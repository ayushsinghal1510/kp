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1ECD5164-3C20-4C2F-B463-5BBAA90698CF}" xr6:coauthVersionLast="47" xr6:coauthVersionMax="47" xr10:uidLastSave="{00000000-0000-0000-0000-000000000000}"/>
  <bookViews>
    <workbookView xWindow="20370" yWindow="-120" windowWidth="29040" windowHeight="15840" xr2:uid="{D32D216F-F6B5-4C4F-AA8D-82BEDACF08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1" l="1"/>
  <c r="K10" i="1"/>
  <c r="G7" i="1"/>
  <c r="J7" i="1" s="1"/>
  <c r="E7" i="1"/>
  <c r="O7" i="1" s="1"/>
  <c r="N8" i="1" s="1"/>
  <c r="H7" i="1" l="1"/>
  <c r="K7" i="1" l="1"/>
  <c r="K8" i="1" s="1"/>
  <c r="H8" i="1"/>
  <c r="H11" i="1" s="1"/>
  <c r="K11" i="1" l="1"/>
  <c r="R8" i="1" s="1"/>
  <c r="R10" i="1" s="1"/>
  <c r="K9" i="1"/>
  <c r="L7" i="1"/>
  <c r="P7" i="1" l="1"/>
  <c r="M7" i="1"/>
  <c r="Q7" i="1" l="1"/>
  <c r="R7" i="1"/>
</calcChain>
</file>

<file path=xl/sharedStrings.xml><?xml version="1.0" encoding="utf-8"?>
<sst xmlns="http://schemas.openxmlformats.org/spreadsheetml/2006/main" count="41" uniqueCount="40">
  <si>
    <t>Tian Ma Group Holdings Pte Ltd</t>
  </si>
  <si>
    <t xml:space="preserve">Date: </t>
  </si>
  <si>
    <t>9 Changi South Street 3 #07-02/03 Singapore 486361</t>
  </si>
  <si>
    <t>Rate :</t>
  </si>
  <si>
    <t>PURCHASE ORDER</t>
  </si>
  <si>
    <t>Cost with Freight &amp; GST, Selling with GST</t>
  </si>
  <si>
    <t>No.</t>
  </si>
  <si>
    <t>Product Name</t>
  </si>
  <si>
    <t>Qty 
(CTN)</t>
  </si>
  <si>
    <t>Packing Size
(PC)</t>
  </si>
  <si>
    <t>Total Ordered Qty</t>
  </si>
  <si>
    <t>Ctn Price
(SGD)
(W/O GST)</t>
  </si>
  <si>
    <t>Unit Price
(SGD)
(W/O GST)</t>
  </si>
  <si>
    <t>Total</t>
  </si>
  <si>
    <t>Unit Cost 
(SGD - PC)
(W/O GST)</t>
  </si>
  <si>
    <t>Total Cost 
(RAW)</t>
  </si>
  <si>
    <t>Unit Cost (9.16%)
(SGD - PC)</t>
  </si>
  <si>
    <t>Total Cost 
(SGD)
(W GST)</t>
  </si>
  <si>
    <t>TMG Selling Price</t>
  </si>
  <si>
    <t>Total Selling</t>
  </si>
  <si>
    <t>UNIT PROFIT ($)</t>
  </si>
  <si>
    <t>TOTAL PROFIT($)</t>
  </si>
  <si>
    <t xml:space="preserve">Profit Margin - % </t>
  </si>
  <si>
    <t>TMG
Promotion
Price</t>
  </si>
  <si>
    <t>100 PLUS 1.5L</t>
  </si>
  <si>
    <t>12</t>
  </si>
  <si>
    <t>SUB TOTAL:</t>
  </si>
  <si>
    <t>Total Cost:
(SGD)</t>
  </si>
  <si>
    <t>Total Selling: 
(SGD)</t>
  </si>
  <si>
    <t>Total Profit:</t>
  </si>
  <si>
    <t>9% GST</t>
  </si>
  <si>
    <t>Freight (CNF) Charge:</t>
  </si>
  <si>
    <t>NA</t>
  </si>
  <si>
    <t>Freight Charge:</t>
  </si>
  <si>
    <t>Profit over SP</t>
  </si>
  <si>
    <t>TOTAL AMT:</t>
  </si>
  <si>
    <t xml:space="preserve">Freight Charge Percentage  
(W/out GST)                                                  </t>
  </si>
  <si>
    <t xml:space="preserve">____________________     ____________________     ____________________     ____________________     ____________________     </t>
  </si>
  <si>
    <t xml:space="preserve">              ORDER BY                          CHECKED BY                       SUBMITTED BY                 ACKNOWLEDGE BY              PRICE CHECKED BY</t>
  </si>
  <si>
    <t xml:space="preserve">Supplier: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</si>
</sst>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000"/>
    <numFmt numFmtId="166" formatCode="&quot;$&quot;#,##0.0000"/>
    <numFmt numFmtId="167" formatCode="&quot;$&quot;#,##0.00"/>
    <numFmt numFmtId="168" formatCode="_-&quot;$&quot;* #,##0.00_-;\-&quot;$&quot;* #,##0.00_-;_-&quot;$&quot;* &quot;-&quot;??_-;_-@_-"/>
    <numFmt numFmtId="169" formatCode="_-&quot;$&quot;* #,##0.000_-;\-&quot;$&quot;* #,##0.000_-;_-&quot;$&quot;* &quot;-&quot;???_-;_-@_-"/>
    <numFmt numFmtId="170" formatCode="&quot;$&quot;&quot; &quot;#,##0.0000"/>
    <numFmt numFmtId="171" formatCode="&quot;$&quot;&quot; &quot;#,##0.00"/>
    <numFmt numFmtId="172" formatCode="0.000%"/>
    <numFmt numFmtId="173" formatCode="&quot; &quot;&quot;$&quot;* #,##0.00&quot; &quot;;&quot;-&quot;&quot;$&quot;* #,##0.00&quot; &quot;;&quot; &quot;&quot;$&quot;* &quot;-&quot;??&quot; 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5"/>
      <color indexed="8"/>
      <name val="Calibri"/>
      <family val="2"/>
    </font>
    <font>
      <b/>
      <sz val="20"/>
      <color indexed="8"/>
      <name val="Calibri"/>
      <family val="2"/>
    </font>
    <font>
      <sz val="12"/>
      <color indexed="8"/>
      <name val="Calibri"/>
      <family val="2"/>
    </font>
    <font>
      <sz val="15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  <font>
      <b/>
      <sz val="12"/>
      <color indexed="8"/>
      <name val="Calibri"/>
      <family val="2"/>
    </font>
    <font>
      <u/>
      <sz val="14"/>
      <color indexed="8"/>
      <name val="Calibri"/>
      <family val="2"/>
    </font>
    <font>
      <b/>
      <sz val="14"/>
      <color indexed="8"/>
      <name val="Calibri"/>
      <family val="2"/>
    </font>
    <font>
      <sz val="11"/>
      <color indexed="8"/>
      <name val="Calibri"/>
      <family val="2"/>
    </font>
    <font>
      <sz val="14"/>
      <color indexed="8"/>
      <name val="Calibri"/>
      <family val="2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sz val="10"/>
      <color indexed="8"/>
      <name val="Calibri"/>
      <family val="2"/>
    </font>
    <font>
      <b/>
      <sz val="16"/>
      <color indexed="8"/>
      <name val="Calibri"/>
      <family val="2"/>
    </font>
    <font>
      <sz val="16"/>
      <color indexed="8"/>
      <name val="Calibri"/>
      <family val="2"/>
    </font>
    <font>
      <sz val="9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dotted">
        <color indexed="8"/>
      </right>
      <top/>
      <bottom/>
      <diagonal/>
    </border>
    <border>
      <left style="dotted">
        <color indexed="8"/>
      </left>
      <right style="dotted">
        <color indexed="8"/>
      </right>
      <top/>
      <bottom/>
      <diagonal/>
    </border>
    <border>
      <left style="dotted">
        <color indexed="8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dotted">
        <color indexed="8"/>
      </right>
      <top/>
      <bottom style="thin">
        <color indexed="8"/>
      </bottom>
      <diagonal/>
    </border>
    <border>
      <left style="dotted">
        <color indexed="8"/>
      </left>
      <right style="dotted">
        <color indexed="8"/>
      </right>
      <top/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 applyNumberFormat="0" applyFill="0" applyBorder="0" applyProtection="0"/>
  </cellStyleXfs>
  <cellXfs count="120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right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4" fillId="2" borderId="6" xfId="0" applyFont="1" applyFill="1" applyBorder="1"/>
    <xf numFmtId="49" fontId="5" fillId="2" borderId="7" xfId="0" applyNumberFormat="1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49" fontId="3" fillId="2" borderId="10" xfId="0" applyNumberFormat="1" applyFont="1" applyFill="1" applyBorder="1" applyAlignment="1">
      <alignment horizontal="right"/>
    </xf>
    <xf numFmtId="164" fontId="6" fillId="2" borderId="11" xfId="0" applyNumberFormat="1" applyFont="1" applyFill="1" applyBorder="1" applyAlignment="1">
      <alignment horizontal="center"/>
    </xf>
    <xf numFmtId="165" fontId="7" fillId="2" borderId="11" xfId="0" applyNumberFormat="1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0" fillId="2" borderId="13" xfId="0" applyFill="1" applyBorder="1"/>
    <xf numFmtId="0" fontId="6" fillId="2" borderId="13" xfId="0" applyFont="1" applyFill="1" applyBorder="1" applyAlignment="1">
      <alignment horizontal="left" vertical="center"/>
    </xf>
    <xf numFmtId="166" fontId="0" fillId="2" borderId="13" xfId="0" applyNumberFormat="1" applyFill="1" applyBorder="1"/>
    <xf numFmtId="167" fontId="0" fillId="2" borderId="13" xfId="0" applyNumberFormat="1" applyFill="1" applyBorder="1"/>
    <xf numFmtId="0" fontId="0" fillId="2" borderId="2" xfId="0" applyFill="1" applyBorder="1"/>
    <xf numFmtId="0" fontId="0" fillId="2" borderId="14" xfId="0" applyFill="1" applyBorder="1"/>
    <xf numFmtId="0" fontId="9" fillId="2" borderId="14" xfId="0" applyFont="1" applyFill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4" fillId="2" borderId="15" xfId="0" applyFont="1" applyFill="1" applyBorder="1"/>
    <xf numFmtId="49" fontId="3" fillId="2" borderId="16" xfId="0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0" fillId="2" borderId="18" xfId="0" applyFill="1" applyBorder="1"/>
    <xf numFmtId="49" fontId="3" fillId="2" borderId="19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left" vertical="center"/>
    </xf>
    <xf numFmtId="166" fontId="0" fillId="2" borderId="14" xfId="0" applyNumberFormat="1" applyFill="1" applyBorder="1"/>
    <xf numFmtId="167" fontId="0" fillId="2" borderId="14" xfId="0" applyNumberFormat="1" applyFill="1" applyBorder="1"/>
    <xf numFmtId="167" fontId="0" fillId="2" borderId="22" xfId="0" applyNumberFormat="1" applyFill="1" applyBorder="1"/>
    <xf numFmtId="0" fontId="0" fillId="2" borderId="15" xfId="0" applyFill="1" applyBorder="1"/>
    <xf numFmtId="0" fontId="0" fillId="0" borderId="15" xfId="0" applyBorder="1"/>
    <xf numFmtId="49" fontId="10" fillId="3" borderId="23" xfId="0" applyNumberFormat="1" applyFont="1" applyFill="1" applyBorder="1" applyAlignment="1">
      <alignment horizontal="center" vertical="center"/>
    </xf>
    <xf numFmtId="49" fontId="10" fillId="3" borderId="23" xfId="0" applyNumberFormat="1" applyFont="1" applyFill="1" applyBorder="1" applyAlignment="1">
      <alignment horizontal="center" vertical="center" wrapText="1"/>
    </xf>
    <xf numFmtId="167" fontId="10" fillId="2" borderId="23" xfId="0" applyNumberFormat="1" applyFont="1" applyFill="1" applyBorder="1" applyAlignment="1">
      <alignment horizontal="center" vertical="center"/>
    </xf>
    <xf numFmtId="49" fontId="10" fillId="4" borderId="23" xfId="0" applyNumberFormat="1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49" fontId="11" fillId="0" borderId="23" xfId="0" applyNumberFormat="1" applyFont="1" applyBorder="1" applyAlignment="1">
      <alignment horizontal="left" vertical="center" wrapText="1"/>
    </xf>
    <xf numFmtId="3" fontId="0" fillId="0" borderId="25" xfId="0" applyNumberFormat="1" applyBorder="1" applyAlignment="1">
      <alignment horizontal="center" vertical="center"/>
    </xf>
    <xf numFmtId="49" fontId="11" fillId="0" borderId="23" xfId="0" applyNumberFormat="1" applyFont="1" applyBorder="1" applyAlignment="1">
      <alignment horizontal="center" vertical="center" wrapText="1"/>
    </xf>
    <xf numFmtId="3" fontId="0" fillId="0" borderId="23" xfId="0" applyNumberFormat="1" applyBorder="1" applyAlignment="1">
      <alignment horizontal="center" vertical="center"/>
    </xf>
    <xf numFmtId="44" fontId="0" fillId="0" borderId="23" xfId="1" applyFont="1" applyFill="1" applyBorder="1" applyAlignment="1">
      <alignment horizontal="center" vertical="center"/>
    </xf>
    <xf numFmtId="169" fontId="0" fillId="0" borderId="23" xfId="2" applyNumberFormat="1" applyFont="1" applyFill="1" applyBorder="1" applyAlignment="1">
      <alignment horizontal="center" vertical="center"/>
    </xf>
    <xf numFmtId="168" fontId="0" fillId="0" borderId="23" xfId="0" applyNumberFormat="1" applyBorder="1" applyAlignment="1">
      <alignment horizontal="center" vertical="center"/>
    </xf>
    <xf numFmtId="1" fontId="12" fillId="0" borderId="23" xfId="0" applyNumberFormat="1" applyFont="1" applyBorder="1" applyAlignment="1">
      <alignment horizontal="center" vertical="center"/>
    </xf>
    <xf numFmtId="170" fontId="0" fillId="0" borderId="23" xfId="0" applyNumberFormat="1" applyBorder="1" applyAlignment="1">
      <alignment horizontal="center" vertical="center"/>
    </xf>
    <xf numFmtId="168" fontId="4" fillId="0" borderId="23" xfId="3" applyNumberFormat="1" applyFont="1" applyFill="1" applyBorder="1" applyAlignment="1">
      <alignment horizontal="center" vertical="center"/>
    </xf>
    <xf numFmtId="171" fontId="0" fillId="0" borderId="23" xfId="0" applyNumberFormat="1" applyBorder="1" applyAlignment="1">
      <alignment horizontal="center" vertical="center"/>
    </xf>
    <xf numFmtId="10" fontId="0" fillId="0" borderId="23" xfId="0" applyNumberFormat="1" applyBorder="1" applyAlignment="1">
      <alignment horizontal="center" vertical="center"/>
    </xf>
    <xf numFmtId="10" fontId="13" fillId="0" borderId="2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4" fillId="2" borderId="26" xfId="0" applyNumberFormat="1" applyFont="1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166" fontId="13" fillId="0" borderId="29" xfId="0" applyNumberFormat="1" applyFont="1" applyBorder="1" applyAlignment="1">
      <alignment horizontal="center" vertical="center" wrapText="1"/>
    </xf>
    <xf numFmtId="49" fontId="13" fillId="3" borderId="30" xfId="0" applyNumberFormat="1" applyFont="1" applyFill="1" applyBorder="1" applyAlignment="1">
      <alignment horizontal="center" vertical="center" wrapText="1"/>
    </xf>
    <xf numFmtId="168" fontId="0" fillId="2" borderId="31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9" fontId="13" fillId="0" borderId="33" xfId="0" applyNumberFormat="1" applyFont="1" applyBorder="1" applyAlignment="1">
      <alignment horizontal="center" vertical="center" wrapText="1"/>
    </xf>
    <xf numFmtId="171" fontId="8" fillId="0" borderId="34" xfId="0" applyNumberFormat="1" applyFont="1" applyBorder="1" applyAlignment="1">
      <alignment horizontal="center" vertical="center"/>
    </xf>
    <xf numFmtId="49" fontId="13" fillId="0" borderId="35" xfId="0" applyNumberFormat="1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171" fontId="10" fillId="0" borderId="37" xfId="0" applyNumberFormat="1" applyFont="1" applyBorder="1" applyAlignment="1">
      <alignment horizontal="center" vertical="center"/>
    </xf>
    <xf numFmtId="171" fontId="10" fillId="0" borderId="38" xfId="0" applyNumberFormat="1" applyFont="1" applyBorder="1" applyAlignment="1">
      <alignment horizontal="center" vertical="center"/>
    </xf>
    <xf numFmtId="49" fontId="13" fillId="3" borderId="0" xfId="0" applyNumberFormat="1" applyFont="1" applyFill="1" applyAlignment="1">
      <alignment horizontal="center" vertical="center"/>
    </xf>
    <xf numFmtId="49" fontId="13" fillId="3" borderId="39" xfId="0" applyNumberFormat="1" applyFont="1" applyFill="1" applyBorder="1" applyAlignment="1">
      <alignment horizontal="center" vertical="center"/>
    </xf>
    <xf numFmtId="171" fontId="4" fillId="2" borderId="29" xfId="0" applyNumberFormat="1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49" fontId="0" fillId="2" borderId="26" xfId="0" applyNumberFormat="1" applyFill="1" applyBorder="1" applyAlignment="1">
      <alignment horizontal="center" vertical="center" wrapText="1"/>
    </xf>
    <xf numFmtId="166" fontId="13" fillId="0" borderId="41" xfId="0" applyNumberFormat="1" applyFont="1" applyBorder="1" applyAlignment="1">
      <alignment horizontal="center" vertical="center" wrapText="1"/>
    </xf>
    <xf numFmtId="49" fontId="13" fillId="3" borderId="42" xfId="0" applyNumberFormat="1" applyFont="1" applyFill="1" applyBorder="1" applyAlignment="1">
      <alignment horizontal="center" vertical="center" wrapText="1"/>
    </xf>
    <xf numFmtId="168" fontId="0" fillId="2" borderId="43" xfId="0" applyNumberFormat="1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49" fontId="13" fillId="3" borderId="45" xfId="0" applyNumberFormat="1" applyFont="1" applyFill="1" applyBorder="1" applyAlignment="1">
      <alignment horizontal="center" vertical="center" wrapText="1"/>
    </xf>
    <xf numFmtId="167" fontId="8" fillId="2" borderId="46" xfId="0" applyNumberFormat="1" applyFont="1" applyFill="1" applyBorder="1" applyAlignment="1">
      <alignment horizontal="center" vertical="center"/>
    </xf>
    <xf numFmtId="49" fontId="15" fillId="2" borderId="23" xfId="0" applyNumberFormat="1" applyFont="1" applyFill="1" applyBorder="1" applyAlignment="1">
      <alignment horizontal="center" vertical="center" wrapText="1"/>
    </xf>
    <xf numFmtId="49" fontId="13" fillId="3" borderId="11" xfId="0" applyNumberFormat="1" applyFont="1" applyFill="1" applyBorder="1" applyAlignment="1">
      <alignment horizontal="center" vertical="center"/>
    </xf>
    <xf numFmtId="49" fontId="13" fillId="3" borderId="12" xfId="0" applyNumberFormat="1" applyFont="1" applyFill="1" applyBorder="1" applyAlignment="1">
      <alignment horizontal="center" vertical="center"/>
    </xf>
    <xf numFmtId="171" fontId="4" fillId="2" borderId="47" xfId="0" applyNumberFormat="1" applyFont="1" applyFill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0" fillId="2" borderId="49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  <xf numFmtId="0" fontId="0" fillId="2" borderId="51" xfId="0" applyFill="1" applyBorder="1" applyAlignment="1">
      <alignment horizontal="center" vertical="center" wrapText="1"/>
    </xf>
    <xf numFmtId="166" fontId="13" fillId="3" borderId="52" xfId="0" applyNumberFormat="1" applyFont="1" applyFill="1" applyBorder="1" applyAlignment="1">
      <alignment horizontal="center" vertical="center" wrapText="1"/>
    </xf>
    <xf numFmtId="166" fontId="13" fillId="3" borderId="53" xfId="0" applyNumberFormat="1" applyFont="1" applyFill="1" applyBorder="1" applyAlignment="1">
      <alignment horizontal="center" vertical="center" wrapText="1"/>
    </xf>
    <xf numFmtId="49" fontId="13" fillId="3" borderId="54" xfId="0" applyNumberFormat="1" applyFont="1" applyFill="1" applyBorder="1" applyAlignment="1">
      <alignment horizontal="center" vertical="center" wrapText="1"/>
    </xf>
    <xf numFmtId="168" fontId="11" fillId="5" borderId="55" xfId="0" applyNumberFormat="1" applyFont="1" applyFill="1" applyBorder="1" applyAlignment="1">
      <alignment horizontal="center" vertical="center"/>
    </xf>
    <xf numFmtId="49" fontId="8" fillId="3" borderId="56" xfId="0" applyNumberFormat="1" applyFont="1" applyFill="1" applyBorder="1" applyAlignment="1">
      <alignment horizontal="center" vertical="center" wrapText="1"/>
    </xf>
    <xf numFmtId="171" fontId="4" fillId="2" borderId="57" xfId="0" applyNumberFormat="1" applyFont="1" applyFill="1" applyBorder="1" applyAlignment="1">
      <alignment horizontal="center" vertical="center"/>
    </xf>
    <xf numFmtId="49" fontId="3" fillId="3" borderId="21" xfId="0" applyNumberFormat="1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172" fontId="16" fillId="2" borderId="58" xfId="0" applyNumberFormat="1" applyFont="1" applyFill="1" applyBorder="1" applyAlignment="1">
      <alignment horizontal="center" vertical="center" wrapText="1"/>
    </xf>
    <xf numFmtId="173" fontId="4" fillId="2" borderId="48" xfId="0" applyNumberFormat="1" applyFont="1" applyFill="1" applyBorder="1" applyAlignment="1">
      <alignment horizontal="center" vertical="center" wrapText="1"/>
    </xf>
    <xf numFmtId="0" fontId="0" fillId="2" borderId="5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166" fontId="13" fillId="3" borderId="60" xfId="0" applyNumberFormat="1" applyFont="1" applyFill="1" applyBorder="1" applyAlignment="1">
      <alignment horizontal="center" vertical="center" wrapText="1"/>
    </xf>
    <xf numFmtId="166" fontId="13" fillId="3" borderId="61" xfId="0" applyNumberFormat="1" applyFont="1" applyFill="1" applyBorder="1" applyAlignment="1">
      <alignment horizontal="center" vertical="center" wrapText="1"/>
    </xf>
    <xf numFmtId="49" fontId="13" fillId="3" borderId="62" xfId="0" applyNumberFormat="1" applyFont="1" applyFill="1" applyBorder="1" applyAlignment="1">
      <alignment horizontal="center" vertical="center" wrapText="1"/>
    </xf>
    <xf numFmtId="168" fontId="0" fillId="2" borderId="55" xfId="0" applyNumberFormat="1" applyFill="1" applyBorder="1" applyAlignment="1">
      <alignment horizontal="center" vertical="center"/>
    </xf>
    <xf numFmtId="49" fontId="8" fillId="3" borderId="63" xfId="0" applyNumberFormat="1" applyFont="1" applyFill="1" applyBorder="1" applyAlignment="1">
      <alignment horizontal="center" vertical="center" wrapText="1"/>
    </xf>
    <xf numFmtId="171" fontId="4" fillId="2" borderId="64" xfId="0" applyNumberFormat="1" applyFont="1" applyFill="1" applyBorder="1" applyAlignment="1">
      <alignment horizontal="center" vertical="center"/>
    </xf>
    <xf numFmtId="49" fontId="0" fillId="2" borderId="33" xfId="0" applyNumberFormat="1" applyFill="1" applyBorder="1" applyAlignment="1">
      <alignment horizontal="center" vertical="center" wrapText="1"/>
    </xf>
    <xf numFmtId="172" fontId="17" fillId="2" borderId="65" xfId="0" applyNumberFormat="1" applyFont="1" applyFill="1" applyBorder="1" applyAlignment="1">
      <alignment horizontal="center" vertical="center"/>
    </xf>
    <xf numFmtId="172" fontId="17" fillId="2" borderId="34" xfId="0" applyNumberFormat="1" applyFont="1" applyFill="1" applyBorder="1" applyAlignment="1">
      <alignment horizontal="center" vertical="center"/>
    </xf>
    <xf numFmtId="9" fontId="18" fillId="2" borderId="40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11" fillId="0" borderId="0" xfId="0" applyFont="1"/>
    <xf numFmtId="0" fontId="4" fillId="0" borderId="0" xfId="0" applyFont="1"/>
    <xf numFmtId="0" fontId="13" fillId="0" borderId="0" xfId="0" applyFont="1"/>
    <xf numFmtId="0" fontId="8" fillId="0" borderId="0" xfId="0" applyFont="1"/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4">
    <cellStyle name="Comma 2 2" xfId="2" xr:uid="{919F5D49-5BE6-4B85-8ECF-514CBB7FB999}"/>
    <cellStyle name="Currency" xfId="1" builtinId="4"/>
    <cellStyle name="Normal" xfId="0" builtinId="0"/>
    <cellStyle name="Normal 2" xfId="3" xr:uid="{8240BA2A-1A08-448E-A04D-9A3305AFC6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88DD-91EB-4C77-B9A5-C758DC683411}">
  <dimension ref="A1:S24"/>
  <sheetViews>
    <sheetView tabSelected="1" workbookViewId="0">
      <selection activeCell="B3" sqref="B3"/>
    </sheetView>
  </sheetViews>
  <sheetFormatPr defaultRowHeight="15.75" x14ac:dyDescent="0.25"/>
  <cols>
    <col min="1" max="1" width="6" customWidth="1"/>
    <col min="2" max="2" width="54.5703125" style="118" bestFit="1" customWidth="1"/>
    <col min="3" max="3" width="7.42578125" bestFit="1" customWidth="1"/>
    <col min="4" max="4" width="9.5703125" bestFit="1" customWidth="1"/>
    <col min="5" max="5" width="10.5703125" bestFit="1" customWidth="1"/>
    <col min="6" max="7" width="13.140625" bestFit="1" customWidth="1"/>
    <col min="8" max="8" width="14.5703125" customWidth="1"/>
    <col min="9" max="9" width="2.5703125" customWidth="1"/>
    <col min="10" max="10" width="13.140625" bestFit="1" customWidth="1"/>
    <col min="11" max="11" width="12.85546875" customWidth="1"/>
    <col min="12" max="12" width="12.85546875" bestFit="1" customWidth="1"/>
    <col min="13" max="13" width="12.42578125" bestFit="1" customWidth="1"/>
    <col min="14" max="14" width="13.5703125" bestFit="1" customWidth="1"/>
    <col min="15" max="15" width="11.42578125" bestFit="1" customWidth="1"/>
    <col min="16" max="16" width="12.7109375" bestFit="1" customWidth="1"/>
    <col min="17" max="17" width="12.140625" bestFit="1" customWidth="1"/>
    <col min="18" max="18" width="16" bestFit="1" customWidth="1"/>
    <col min="19" max="19" width="15.140625" style="114" customWidth="1"/>
  </cols>
  <sheetData>
    <row r="1" spans="1:19" ht="32.25" x14ac:dyDescent="0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 t="s">
        <v>1</v>
      </c>
      <c r="Q1" s="5">
        <v>45848</v>
      </c>
      <c r="R1" s="5"/>
      <c r="S1" s="6"/>
    </row>
    <row r="2" spans="1:19" ht="32.25" thickBot="1" x14ac:dyDescent="0.55000000000000004">
      <c r="A2" s="7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  <c r="P2" s="10" t="s">
        <v>3</v>
      </c>
      <c r="Q2" s="11">
        <v>3.29</v>
      </c>
      <c r="R2" s="12"/>
      <c r="S2" s="13"/>
    </row>
    <row r="3" spans="1:19" ht="24" thickBot="1" x14ac:dyDescent="0.3">
      <c r="A3" s="14"/>
      <c r="B3" s="15" t="s">
        <v>39</v>
      </c>
      <c r="C3" s="14"/>
      <c r="D3" s="14"/>
      <c r="E3" s="16"/>
      <c r="F3" s="16"/>
      <c r="G3" s="16"/>
      <c r="H3" s="17"/>
      <c r="I3" s="18"/>
      <c r="J3" s="19"/>
      <c r="K3" s="20"/>
      <c r="L3" s="20"/>
      <c r="M3" s="20"/>
      <c r="N3" s="21"/>
      <c r="O3" s="20"/>
      <c r="P3" s="22"/>
      <c r="Q3" s="22"/>
      <c r="R3" s="22"/>
      <c r="S3" s="23"/>
    </row>
    <row r="4" spans="1:19" ht="27" thickBot="1" x14ac:dyDescent="0.3">
      <c r="A4" s="24" t="s">
        <v>4</v>
      </c>
      <c r="B4" s="25"/>
      <c r="C4" s="25"/>
      <c r="D4" s="25"/>
      <c r="E4" s="25"/>
      <c r="F4" s="25"/>
      <c r="G4" s="25"/>
      <c r="H4" s="26"/>
      <c r="I4" s="27"/>
      <c r="J4" s="28" t="s">
        <v>5</v>
      </c>
      <c r="K4" s="29"/>
      <c r="L4" s="29"/>
      <c r="M4" s="29"/>
      <c r="N4" s="29"/>
      <c r="O4" s="29"/>
      <c r="P4" s="29"/>
      <c r="Q4" s="29"/>
      <c r="R4" s="29"/>
      <c r="S4" s="30"/>
    </row>
    <row r="5" spans="1:19" x14ac:dyDescent="0.25">
      <c r="A5" s="19"/>
      <c r="B5" s="31"/>
      <c r="C5" s="19"/>
      <c r="D5" s="19"/>
      <c r="E5" s="32"/>
      <c r="F5" s="32"/>
      <c r="G5" s="32"/>
      <c r="H5" s="33"/>
      <c r="I5" s="34"/>
      <c r="J5" s="35"/>
      <c r="K5" s="35"/>
      <c r="L5" s="35"/>
      <c r="M5" s="35"/>
      <c r="N5" s="36"/>
      <c r="O5" s="35"/>
      <c r="P5" s="35"/>
      <c r="Q5" s="35"/>
      <c r="R5" s="35"/>
      <c r="S5" s="23"/>
    </row>
    <row r="6" spans="1:19" ht="75" x14ac:dyDescent="0.25">
      <c r="A6" s="37" t="s">
        <v>6</v>
      </c>
      <c r="B6" s="37" t="s">
        <v>7</v>
      </c>
      <c r="C6" s="38" t="s">
        <v>8</v>
      </c>
      <c r="D6" s="38" t="s">
        <v>9</v>
      </c>
      <c r="E6" s="38" t="s">
        <v>10</v>
      </c>
      <c r="F6" s="38" t="s">
        <v>11</v>
      </c>
      <c r="G6" s="38" t="s">
        <v>12</v>
      </c>
      <c r="H6" s="37" t="s">
        <v>13</v>
      </c>
      <c r="I6" s="39"/>
      <c r="J6" s="38" t="s">
        <v>14</v>
      </c>
      <c r="K6" s="38" t="s">
        <v>15</v>
      </c>
      <c r="L6" s="38" t="s">
        <v>16</v>
      </c>
      <c r="M6" s="38" t="s">
        <v>17</v>
      </c>
      <c r="N6" s="40" t="s">
        <v>18</v>
      </c>
      <c r="O6" s="38" t="s">
        <v>19</v>
      </c>
      <c r="P6" s="38" t="s">
        <v>20</v>
      </c>
      <c r="Q6" s="38" t="s">
        <v>21</v>
      </c>
      <c r="R6" s="38" t="s">
        <v>22</v>
      </c>
      <c r="S6" s="38" t="s">
        <v>23</v>
      </c>
    </row>
    <row r="7" spans="1:19" s="55" customFormat="1" ht="18.75" x14ac:dyDescent="0.25">
      <c r="A7" s="41">
        <v>1</v>
      </c>
      <c r="B7" s="42" t="s">
        <v>24</v>
      </c>
      <c r="C7" s="43">
        <v>120</v>
      </c>
      <c r="D7" s="44" t="s">
        <v>25</v>
      </c>
      <c r="E7" s="45">
        <f>D7*C7</f>
        <v>1440</v>
      </c>
      <c r="F7" s="46">
        <v>36</v>
      </c>
      <c r="G7" s="47">
        <f t="shared" ref="G7" si="0">F7/D7</f>
        <v>3</v>
      </c>
      <c r="H7" s="48">
        <f t="shared" ref="H7" si="1">G7*E7</f>
        <v>4320</v>
      </c>
      <c r="I7" s="49"/>
      <c r="J7" s="50">
        <f>G7/$Q$2</f>
        <v>0.91185410334346506</v>
      </c>
      <c r="K7" s="50">
        <f t="shared" ref="K7" si="2">H7/$Q$2</f>
        <v>1313.0699088145896</v>
      </c>
      <c r="L7" s="50">
        <f>J7*(1+$M$11+9%)</f>
        <v>1.0023640661938535</v>
      </c>
      <c r="M7" s="50">
        <f>L7*E7</f>
        <v>1443.4042553191491</v>
      </c>
      <c r="N7" s="51">
        <v>1.5</v>
      </c>
      <c r="O7" s="52">
        <f t="shared" ref="O7" si="3">N7*E7</f>
        <v>2160</v>
      </c>
      <c r="P7" s="52">
        <f t="shared" ref="P7" si="4">N7-L7</f>
        <v>0.49763593380614646</v>
      </c>
      <c r="Q7" s="52">
        <f t="shared" ref="Q7" si="5">P7*E7</f>
        <v>716.59574468085088</v>
      </c>
      <c r="R7" s="53">
        <f t="shared" ref="R7" si="6">P7/N7</f>
        <v>0.33175728920409764</v>
      </c>
      <c r="S7" s="54"/>
    </row>
    <row r="8" spans="1:19" s="55" customFormat="1" ht="30.75" thickBot="1" x14ac:dyDescent="0.3">
      <c r="A8" s="56"/>
      <c r="B8" s="57"/>
      <c r="C8" s="57"/>
      <c r="D8" s="58"/>
      <c r="E8" s="59"/>
      <c r="F8" s="59"/>
      <c r="G8" s="60" t="s">
        <v>26</v>
      </c>
      <c r="H8" s="61">
        <f>SUM(H7:H7)</f>
        <v>4320</v>
      </c>
      <c r="I8" s="62"/>
      <c r="J8" s="63" t="s">
        <v>27</v>
      </c>
      <c r="K8" s="64">
        <f>SUM(K7:K7)</f>
        <v>1313.0699088145896</v>
      </c>
      <c r="L8" s="65" t="s">
        <v>28</v>
      </c>
      <c r="M8" s="66"/>
      <c r="N8" s="67">
        <f>SUM(O7:O7)</f>
        <v>2160</v>
      </c>
      <c r="O8" s="68"/>
      <c r="P8" s="69" t="s">
        <v>29</v>
      </c>
      <c r="Q8" s="70"/>
      <c r="R8" s="71">
        <f>N8-K11</f>
        <v>716.59574468085111</v>
      </c>
      <c r="S8" s="72"/>
    </row>
    <row r="9" spans="1:19" s="55" customFormat="1" ht="16.5" thickBot="1" x14ac:dyDescent="0.3">
      <c r="A9" s="73"/>
      <c r="B9" s="57"/>
      <c r="C9" s="57"/>
      <c r="D9" s="58"/>
      <c r="E9" s="74"/>
      <c r="F9" s="74"/>
      <c r="G9" s="75"/>
      <c r="H9" s="76"/>
      <c r="I9" s="77"/>
      <c r="J9" s="78" t="s">
        <v>30</v>
      </c>
      <c r="K9" s="79">
        <f>K8*0.09</f>
        <v>118.17629179331306</v>
      </c>
      <c r="L9" s="80"/>
      <c r="M9" s="80"/>
      <c r="N9" s="80"/>
      <c r="O9" s="80"/>
      <c r="P9" s="81"/>
      <c r="Q9" s="82"/>
      <c r="R9" s="83"/>
      <c r="S9" s="84"/>
    </row>
    <row r="10" spans="1:19" s="55" customFormat="1" ht="45.75" thickBot="1" x14ac:dyDescent="0.3">
      <c r="A10" s="85"/>
      <c r="B10" s="86"/>
      <c r="C10" s="86"/>
      <c r="D10" s="87"/>
      <c r="E10" s="88"/>
      <c r="F10" s="89"/>
      <c r="G10" s="90" t="s">
        <v>31</v>
      </c>
      <c r="H10" s="91" t="s">
        <v>32</v>
      </c>
      <c r="I10" s="77"/>
      <c r="J10" s="92" t="s">
        <v>33</v>
      </c>
      <c r="K10" s="93">
        <f>40/$Q$2</f>
        <v>12.1580547112462</v>
      </c>
      <c r="L10" s="80"/>
      <c r="M10" s="80"/>
      <c r="N10" s="80"/>
      <c r="O10" s="80"/>
      <c r="P10" s="94" t="s">
        <v>34</v>
      </c>
      <c r="Q10" s="95"/>
      <c r="R10" s="96">
        <f>R8/N8</f>
        <v>0.33175728920409775</v>
      </c>
      <c r="S10" s="97"/>
    </row>
    <row r="11" spans="1:19" s="55" customFormat="1" ht="60.75" thickBot="1" x14ac:dyDescent="0.3">
      <c r="A11" s="98"/>
      <c r="B11" s="99"/>
      <c r="C11" s="99"/>
      <c r="D11" s="100"/>
      <c r="E11" s="101"/>
      <c r="F11" s="102"/>
      <c r="G11" s="103" t="s">
        <v>35</v>
      </c>
      <c r="H11" s="104">
        <f>SUM(H8:H10)</f>
        <v>4320</v>
      </c>
      <c r="I11" s="77"/>
      <c r="J11" s="105" t="s">
        <v>35</v>
      </c>
      <c r="K11" s="106">
        <f>SUM(K8:K10)</f>
        <v>1443.4042553191489</v>
      </c>
      <c r="L11" s="107" t="s">
        <v>36</v>
      </c>
      <c r="M11" s="108">
        <f>K10/K8</f>
        <v>9.2592592592592587E-3</v>
      </c>
      <c r="N11" s="109"/>
      <c r="O11" s="110"/>
      <c r="P11" s="111"/>
      <c r="Q11" s="111"/>
      <c r="R11" s="111"/>
      <c r="S11" s="112"/>
    </row>
    <row r="12" spans="1:19" x14ac:dyDescent="0.25">
      <c r="B12"/>
      <c r="C12" s="113"/>
    </row>
    <row r="13" spans="1:19" x14ac:dyDescent="0.25">
      <c r="B13"/>
      <c r="C13" s="113"/>
    </row>
    <row r="14" spans="1:19" x14ac:dyDescent="0.25">
      <c r="B14"/>
    </row>
    <row r="15" spans="1:19" x14ac:dyDescent="0.25">
      <c r="B15"/>
    </row>
    <row r="16" spans="1:19" x14ac:dyDescent="0.25">
      <c r="B16"/>
    </row>
    <row r="17" spans="1:19" s="115" customFormat="1" x14ac:dyDescent="0.25">
      <c r="A17" s="115" t="s">
        <v>37</v>
      </c>
      <c r="S17" s="116"/>
    </row>
    <row r="18" spans="1:19" s="117" customFormat="1" ht="15.75" customHeight="1" x14ac:dyDescent="0.25">
      <c r="A18" s="117" t="s">
        <v>38</v>
      </c>
    </row>
    <row r="19" spans="1:19" s="55" customFormat="1" x14ac:dyDescent="0.25">
      <c r="B19" s="118"/>
      <c r="S19" s="119"/>
    </row>
    <row r="20" spans="1:19" s="55" customFormat="1" x14ac:dyDescent="0.25">
      <c r="B20" s="118"/>
      <c r="S20" s="119"/>
    </row>
    <row r="21" spans="1:19" s="55" customFormat="1" x14ac:dyDescent="0.25">
      <c r="B21" s="118"/>
      <c r="S21" s="119"/>
    </row>
    <row r="22" spans="1:19" s="55" customFormat="1" x14ac:dyDescent="0.25">
      <c r="B22" s="118"/>
      <c r="S22" s="119"/>
    </row>
    <row r="23" spans="1:19" x14ac:dyDescent="0.25">
      <c r="C23" s="113"/>
    </row>
    <row r="24" spans="1:19" x14ac:dyDescent="0.25">
      <c r="C24" s="113"/>
    </row>
  </sheetData>
  <mergeCells count="18">
    <mergeCell ref="M11:N11"/>
    <mergeCell ref="A18:XFD18"/>
    <mergeCell ref="L8:M8"/>
    <mergeCell ref="N8:O8"/>
    <mergeCell ref="P8:Q9"/>
    <mergeCell ref="R8:R9"/>
    <mergeCell ref="L9:O10"/>
    <mergeCell ref="P10:Q10"/>
    <mergeCell ref="A1:O1"/>
    <mergeCell ref="Q1:R1"/>
    <mergeCell ref="A2:O2"/>
    <mergeCell ref="A4:H4"/>
    <mergeCell ref="J4:S4"/>
    <mergeCell ref="A8:D11"/>
    <mergeCell ref="E8:E9"/>
    <mergeCell ref="F8:F9"/>
    <mergeCell ref="G8:G9"/>
    <mergeCell ref="H8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banpreet.saluja@gmail.com</dc:creator>
  <cp:lastModifiedBy>banpreet.saluja@gmail.com</cp:lastModifiedBy>
  <dcterms:created xsi:type="dcterms:W3CDTF">2026-04-15T02:15:25Z</dcterms:created>
  <dcterms:modified xsi:type="dcterms:W3CDTF">2026-04-15T02:16:05Z</dcterms:modified>
</cp:coreProperties>
</file>