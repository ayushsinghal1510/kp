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GRAB &amp; FOOD PANDA\"/>
    </mc:Choice>
  </mc:AlternateContent>
  <xr:revisionPtr revIDLastSave="0" documentId="8_{749EAB15-2F7D-4F41-A74D-F1E870C7A957}" xr6:coauthVersionLast="47" xr6:coauthVersionMax="47" xr10:uidLastSave="{00000000-0000-0000-0000-000000000000}"/>
  <bookViews>
    <workbookView xWindow="-120" yWindow="-120" windowWidth="20730" windowHeight="11160" xr2:uid="{F9BE2D47-0CC2-624F-A35E-6125024C9C1D}"/>
  </bookViews>
  <sheets>
    <sheet name="BIO CLEAN PRODUCT PORTFOLIO" sheetId="1" r:id="rId1"/>
  </sheets>
  <definedNames>
    <definedName name="_xlnm._FilterDatabase" localSheetId="0" hidden="1">'BIO CLEAN PRODUCT PORTFOLIO'!$A$6:$W$62</definedName>
    <definedName name="_xlnm.Print_Area" localSheetId="0">'BIO CLEAN PRODUCT PORTFOLIO'!$A$1:$W$69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8" i="1" l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7" i="1"/>
  <c r="F59" i="1"/>
  <c r="I59" i="1"/>
  <c r="F42" i="1"/>
  <c r="F41" i="1"/>
  <c r="I42" i="1"/>
  <c r="I41" i="1"/>
  <c r="F54" i="1"/>
  <c r="F53" i="1"/>
  <c r="F52" i="1"/>
  <c r="F51" i="1"/>
  <c r="F39" i="1"/>
  <c r="F38" i="1"/>
  <c r="F37" i="1"/>
  <c r="I34" i="1"/>
  <c r="I35" i="1"/>
  <c r="F34" i="1"/>
  <c r="F35" i="1"/>
  <c r="F33" i="1"/>
  <c r="F32" i="1"/>
  <c r="F31" i="1"/>
  <c r="F11" i="1"/>
  <c r="F10" i="1"/>
  <c r="X12" i="1"/>
  <c r="Z12" i="1" s="1"/>
  <c r="AC12" i="1" s="1"/>
  <c r="X11" i="1"/>
  <c r="Z11" i="1" s="1"/>
  <c r="AC11" i="1" s="1"/>
  <c r="J12" i="1"/>
  <c r="K12" i="1" s="1"/>
  <c r="F12" i="1"/>
  <c r="E12" i="1"/>
  <c r="S12" i="1" s="1"/>
  <c r="F26" i="1"/>
  <c r="X26" i="1"/>
  <c r="Z26" i="1" s="1"/>
  <c r="AC26" i="1" s="1"/>
  <c r="J26" i="1"/>
  <c r="K26" i="1" s="1"/>
  <c r="E26" i="1"/>
  <c r="S26" i="1" s="1"/>
  <c r="F14" i="1"/>
  <c r="F13" i="1"/>
  <c r="F25" i="1"/>
  <c r="F24" i="1"/>
  <c r="X21" i="1"/>
  <c r="Z21" i="1" s="1"/>
  <c r="AC21" i="1" s="1"/>
  <c r="X22" i="1"/>
  <c r="Z22" i="1" s="1"/>
  <c r="AC22" i="1" s="1"/>
  <c r="X23" i="1"/>
  <c r="Z23" i="1" s="1"/>
  <c r="AC23" i="1" s="1"/>
  <c r="J23" i="1"/>
  <c r="J22" i="1"/>
  <c r="J21" i="1"/>
  <c r="F22" i="1"/>
  <c r="F23" i="1"/>
  <c r="F21" i="1"/>
  <c r="E22" i="1"/>
  <c r="E23" i="1"/>
  <c r="E21" i="1"/>
  <c r="J31" i="1"/>
  <c r="K31" i="1" s="1"/>
  <c r="G32" i="1"/>
  <c r="G31" i="1"/>
  <c r="G50" i="1"/>
  <c r="G49" i="1"/>
  <c r="I50" i="1"/>
  <c r="I49" i="1"/>
  <c r="G45" i="1"/>
  <c r="G44" i="1"/>
  <c r="G17" i="1"/>
  <c r="G16" i="1"/>
  <c r="G15" i="1"/>
  <c r="I39" i="1"/>
  <c r="I38" i="1"/>
  <c r="I11" i="1"/>
  <c r="I10" i="1"/>
  <c r="G27" i="1"/>
  <c r="I27" i="1"/>
  <c r="G60" i="1"/>
  <c r="I60" i="1"/>
  <c r="X13" i="1"/>
  <c r="Z13" i="1" s="1"/>
  <c r="AC13" i="1" s="1"/>
  <c r="X14" i="1"/>
  <c r="Z14" i="1" s="1"/>
  <c r="AC14" i="1" s="1"/>
  <c r="J14" i="1"/>
  <c r="K14" i="1" s="1"/>
  <c r="N14" i="1" s="1"/>
  <c r="J13" i="1"/>
  <c r="K13" i="1" s="1"/>
  <c r="G14" i="1"/>
  <c r="E14" i="1"/>
  <c r="G13" i="1"/>
  <c r="E13" i="1"/>
  <c r="S13" i="1" s="1"/>
  <c r="I54" i="1"/>
  <c r="I52" i="1"/>
  <c r="I53" i="1"/>
  <c r="I51" i="1"/>
  <c r="I45" i="1"/>
  <c r="H47" i="1"/>
  <c r="I47" i="1"/>
  <c r="H48" i="1"/>
  <c r="I48" i="1"/>
  <c r="I46" i="1"/>
  <c r="H46" i="1"/>
  <c r="I44" i="1"/>
  <c r="X15" i="1"/>
  <c r="Z15" i="1" s="1"/>
  <c r="AC15" i="1" s="1"/>
  <c r="X16" i="1"/>
  <c r="Z16" i="1" s="1"/>
  <c r="AC16" i="1" s="1"/>
  <c r="X17" i="1"/>
  <c r="Z17" i="1" s="1"/>
  <c r="AC17" i="1" s="1"/>
  <c r="J17" i="1"/>
  <c r="K17" i="1" s="1"/>
  <c r="E17" i="1"/>
  <c r="S17" i="1" s="1"/>
  <c r="J16" i="1"/>
  <c r="K16" i="1" s="1"/>
  <c r="J15" i="1"/>
  <c r="K15" i="1" s="1"/>
  <c r="E16" i="1"/>
  <c r="S16" i="1" s="1"/>
  <c r="E15" i="1"/>
  <c r="S15" i="1" s="1"/>
  <c r="E18" i="1"/>
  <c r="H18" i="1"/>
  <c r="J18" i="1"/>
  <c r="X18" i="1"/>
  <c r="Z18" i="1" s="1"/>
  <c r="AC18" i="1" s="1"/>
  <c r="H36" i="1"/>
  <c r="X36" i="1"/>
  <c r="Z36" i="1" s="1"/>
  <c r="AC36" i="1" s="1"/>
  <c r="J36" i="1"/>
  <c r="K36" i="1" s="1"/>
  <c r="E36" i="1"/>
  <c r="S36" i="1" s="1"/>
  <c r="I37" i="1"/>
  <c r="I33" i="1"/>
  <c r="I32" i="1"/>
  <c r="I31" i="1"/>
  <c r="J30" i="1"/>
  <c r="K30" i="1" s="1"/>
  <c r="H30" i="1"/>
  <c r="S43" i="1"/>
  <c r="X43" i="1"/>
  <c r="Z43" i="1" s="1"/>
  <c r="AC43" i="1" s="1"/>
  <c r="J43" i="1"/>
  <c r="K43" i="1" s="1"/>
  <c r="H43" i="1"/>
  <c r="I25" i="1"/>
  <c r="I24" i="1"/>
  <c r="G25" i="1"/>
  <c r="G24" i="1"/>
  <c r="X20" i="1"/>
  <c r="Z20" i="1" s="1"/>
  <c r="AC20" i="1" s="1"/>
  <c r="J20" i="1"/>
  <c r="K20" i="1" s="1"/>
  <c r="H20" i="1"/>
  <c r="E20" i="1"/>
  <c r="S20" i="1" s="1"/>
  <c r="J19" i="1"/>
  <c r="K19" i="1" s="1"/>
  <c r="H19" i="1"/>
  <c r="X19" i="1"/>
  <c r="Z19" i="1" s="1"/>
  <c r="AC19" i="1" s="1"/>
  <c r="E19" i="1"/>
  <c r="S19" i="1" s="1"/>
  <c r="X8" i="1"/>
  <c r="Z8" i="1" s="1"/>
  <c r="AC8" i="1" s="1"/>
  <c r="X9" i="1"/>
  <c r="Z9" i="1" s="1"/>
  <c r="AC9" i="1" s="1"/>
  <c r="X10" i="1"/>
  <c r="Z10" i="1" s="1"/>
  <c r="AC10" i="1" s="1"/>
  <c r="X24" i="1"/>
  <c r="Z24" i="1" s="1"/>
  <c r="AC24" i="1" s="1"/>
  <c r="X25" i="1"/>
  <c r="Z25" i="1" s="1"/>
  <c r="AC25" i="1" s="1"/>
  <c r="X27" i="1"/>
  <c r="Z27" i="1" s="1"/>
  <c r="AC27" i="1" s="1"/>
  <c r="X28" i="1"/>
  <c r="Z28" i="1" s="1"/>
  <c r="AC28" i="1" s="1"/>
  <c r="X29" i="1"/>
  <c r="Z29" i="1" s="1"/>
  <c r="AC29" i="1" s="1"/>
  <c r="X30" i="1"/>
  <c r="Z30" i="1" s="1"/>
  <c r="AC30" i="1" s="1"/>
  <c r="X31" i="1"/>
  <c r="Z31" i="1" s="1"/>
  <c r="AC31" i="1" s="1"/>
  <c r="X32" i="1"/>
  <c r="Z32" i="1" s="1"/>
  <c r="AC32" i="1" s="1"/>
  <c r="X33" i="1"/>
  <c r="Z33" i="1" s="1"/>
  <c r="AC33" i="1" s="1"/>
  <c r="X34" i="1"/>
  <c r="Z34" i="1" s="1"/>
  <c r="AC34" i="1" s="1"/>
  <c r="X35" i="1"/>
  <c r="Z35" i="1" s="1"/>
  <c r="AC35" i="1" s="1"/>
  <c r="X37" i="1"/>
  <c r="Z37" i="1" s="1"/>
  <c r="AC37" i="1" s="1"/>
  <c r="X38" i="1"/>
  <c r="Z38" i="1" s="1"/>
  <c r="AC38" i="1" s="1"/>
  <c r="X39" i="1"/>
  <c r="Z39" i="1" s="1"/>
  <c r="AC39" i="1" s="1"/>
  <c r="X40" i="1"/>
  <c r="Z40" i="1" s="1"/>
  <c r="AC40" i="1" s="1"/>
  <c r="X41" i="1"/>
  <c r="Z41" i="1" s="1"/>
  <c r="AC41" i="1" s="1"/>
  <c r="X42" i="1"/>
  <c r="Z42" i="1" s="1"/>
  <c r="AC42" i="1" s="1"/>
  <c r="X44" i="1"/>
  <c r="Z44" i="1" s="1"/>
  <c r="AC44" i="1" s="1"/>
  <c r="X45" i="1"/>
  <c r="Z45" i="1" s="1"/>
  <c r="AC45" i="1" s="1"/>
  <c r="X46" i="1"/>
  <c r="Z46" i="1" s="1"/>
  <c r="AC46" i="1" s="1"/>
  <c r="X47" i="1"/>
  <c r="Z47" i="1" s="1"/>
  <c r="AC47" i="1" s="1"/>
  <c r="X48" i="1"/>
  <c r="Z48" i="1" s="1"/>
  <c r="AC48" i="1" s="1"/>
  <c r="X49" i="1"/>
  <c r="Z49" i="1" s="1"/>
  <c r="AC49" i="1" s="1"/>
  <c r="X50" i="1"/>
  <c r="Z50" i="1" s="1"/>
  <c r="AC50" i="1" s="1"/>
  <c r="X51" i="1"/>
  <c r="Z51" i="1" s="1"/>
  <c r="AC51" i="1" s="1"/>
  <c r="X52" i="1"/>
  <c r="Z52" i="1" s="1"/>
  <c r="AC52" i="1" s="1"/>
  <c r="X53" i="1"/>
  <c r="Z53" i="1" s="1"/>
  <c r="AC53" i="1" s="1"/>
  <c r="X54" i="1"/>
  <c r="Z54" i="1" s="1"/>
  <c r="AC54" i="1" s="1"/>
  <c r="X55" i="1"/>
  <c r="Z55" i="1" s="1"/>
  <c r="AC55" i="1" s="1"/>
  <c r="X56" i="1"/>
  <c r="Z56" i="1" s="1"/>
  <c r="AC56" i="1" s="1"/>
  <c r="X57" i="1"/>
  <c r="Z57" i="1" s="1"/>
  <c r="AC57" i="1" s="1"/>
  <c r="X58" i="1"/>
  <c r="Z58" i="1" s="1"/>
  <c r="AC58" i="1" s="1"/>
  <c r="X59" i="1"/>
  <c r="Z59" i="1" s="1"/>
  <c r="AC59" i="1" s="1"/>
  <c r="X60" i="1"/>
  <c r="Z60" i="1" s="1"/>
  <c r="AC60" i="1" s="1"/>
  <c r="X61" i="1"/>
  <c r="Z61" i="1" s="1"/>
  <c r="AC61" i="1" s="1"/>
  <c r="X7" i="1"/>
  <c r="Z7" i="1" s="1"/>
  <c r="AC7" i="1" s="1"/>
  <c r="J59" i="1"/>
  <c r="K59" i="1" s="1"/>
  <c r="J42" i="1"/>
  <c r="K42" i="1" s="1"/>
  <c r="E42" i="1"/>
  <c r="S42" i="1" s="1"/>
  <c r="J41" i="1"/>
  <c r="K41" i="1" s="1"/>
  <c r="E41" i="1"/>
  <c r="S41" i="1" s="1"/>
  <c r="J54" i="1"/>
  <c r="K54" i="1" s="1"/>
  <c r="N54" i="1" s="1"/>
  <c r="J52" i="1"/>
  <c r="K52" i="1" s="1"/>
  <c r="J53" i="1"/>
  <c r="K53" i="1" s="1"/>
  <c r="N53" i="1" s="1"/>
  <c r="J51" i="1"/>
  <c r="K51" i="1" s="1"/>
  <c r="J50" i="1"/>
  <c r="K50" i="1" s="1"/>
  <c r="E50" i="1"/>
  <c r="S50" i="1" s="1"/>
  <c r="J49" i="1"/>
  <c r="K49" i="1" s="1"/>
  <c r="N49" i="1" s="1"/>
  <c r="J44" i="1"/>
  <c r="K44" i="1" s="1"/>
  <c r="J47" i="1"/>
  <c r="K47" i="1" s="1"/>
  <c r="J46" i="1"/>
  <c r="K46" i="1" s="1"/>
  <c r="J48" i="1"/>
  <c r="K48" i="1" s="1"/>
  <c r="N48" i="1" s="1"/>
  <c r="J45" i="1"/>
  <c r="K45" i="1" s="1"/>
  <c r="N45" i="1" s="1"/>
  <c r="J39" i="1"/>
  <c r="K39" i="1" s="1"/>
  <c r="J38" i="1"/>
  <c r="K38" i="1" s="1"/>
  <c r="N38" i="1" s="1"/>
  <c r="J37" i="1"/>
  <c r="K37" i="1" s="1"/>
  <c r="N37" i="1" s="1"/>
  <c r="J35" i="1"/>
  <c r="K35" i="1" s="1"/>
  <c r="J34" i="1"/>
  <c r="K34" i="1" s="1"/>
  <c r="N34" i="1" s="1"/>
  <c r="E35" i="1"/>
  <c r="S35" i="1" s="1"/>
  <c r="E34" i="1"/>
  <c r="J33" i="1"/>
  <c r="K33" i="1" s="1"/>
  <c r="E33" i="1"/>
  <c r="S33" i="1" s="1"/>
  <c r="J32" i="1"/>
  <c r="K32" i="1" s="1"/>
  <c r="N32" i="1" s="1"/>
  <c r="E31" i="1"/>
  <c r="S31" i="1" s="1"/>
  <c r="J29" i="1"/>
  <c r="K29" i="1" s="1"/>
  <c r="E29" i="1"/>
  <c r="S29" i="1" s="1"/>
  <c r="J28" i="1"/>
  <c r="K28" i="1" s="1"/>
  <c r="N28" i="1" s="1"/>
  <c r="E28" i="1"/>
  <c r="S28" i="1" s="1"/>
  <c r="J11" i="1"/>
  <c r="K11" i="1" s="1"/>
  <c r="J10" i="1"/>
  <c r="K10" i="1" s="1"/>
  <c r="N10" i="1" s="1"/>
  <c r="J27" i="1"/>
  <c r="K27" i="1" s="1"/>
  <c r="E27" i="1"/>
  <c r="S27" i="1" s="1"/>
  <c r="J60" i="1"/>
  <c r="K60" i="1" s="1"/>
  <c r="N60" i="1" s="1"/>
  <c r="J25" i="1"/>
  <c r="K25" i="1" s="1"/>
  <c r="J24" i="1"/>
  <c r="K24" i="1" s="1"/>
  <c r="E59" i="1"/>
  <c r="S59" i="1" s="1"/>
  <c r="E25" i="1"/>
  <c r="S25" i="1" s="1"/>
  <c r="E24" i="1"/>
  <c r="S24" i="1" s="1"/>
  <c r="E7" i="1"/>
  <c r="S7" i="1" s="1"/>
  <c r="K7" i="1"/>
  <c r="E8" i="1"/>
  <c r="S8" i="1" s="1"/>
  <c r="K8" i="1"/>
  <c r="E9" i="1"/>
  <c r="S9" i="1" s="1"/>
  <c r="K9" i="1"/>
  <c r="E10" i="1"/>
  <c r="S10" i="1" s="1"/>
  <c r="E11" i="1"/>
  <c r="S11" i="1" s="1"/>
  <c r="E30" i="1"/>
  <c r="S30" i="1" s="1"/>
  <c r="E32" i="1"/>
  <c r="S32" i="1" s="1"/>
  <c r="E37" i="1"/>
  <c r="S37" i="1" s="1"/>
  <c r="E38" i="1"/>
  <c r="E39" i="1"/>
  <c r="S39" i="1" s="1"/>
  <c r="E40" i="1"/>
  <c r="S40" i="1" s="1"/>
  <c r="K40" i="1"/>
  <c r="E44" i="1"/>
  <c r="S44" i="1" s="1"/>
  <c r="E45" i="1"/>
  <c r="S45" i="1" s="1"/>
  <c r="E46" i="1"/>
  <c r="S46" i="1" s="1"/>
  <c r="E47" i="1"/>
  <c r="S47" i="1" s="1"/>
  <c r="E48" i="1"/>
  <c r="S48" i="1" s="1"/>
  <c r="E49" i="1"/>
  <c r="E51" i="1"/>
  <c r="S51" i="1" s="1"/>
  <c r="E52" i="1"/>
  <c r="S52" i="1" s="1"/>
  <c r="E53" i="1"/>
  <c r="S53" i="1" s="1"/>
  <c r="E54" i="1"/>
  <c r="S54" i="1" s="1"/>
  <c r="E55" i="1"/>
  <c r="S55" i="1" s="1"/>
  <c r="K55" i="1"/>
  <c r="E56" i="1"/>
  <c r="S56" i="1" s="1"/>
  <c r="K56" i="1"/>
  <c r="N56" i="1" s="1"/>
  <c r="E57" i="1"/>
  <c r="S57" i="1" s="1"/>
  <c r="K57" i="1"/>
  <c r="N57" i="1" s="1"/>
  <c r="E58" i="1"/>
  <c r="K58" i="1"/>
  <c r="N58" i="1" s="1"/>
  <c r="E60" i="1"/>
  <c r="S60" i="1" s="1"/>
  <c r="E61" i="1"/>
  <c r="S61" i="1" s="1"/>
  <c r="K61" i="1"/>
  <c r="AB7" i="1" l="1"/>
  <c r="AA7" i="1"/>
  <c r="AA18" i="1"/>
  <c r="AA43" i="1"/>
  <c r="L11" i="1"/>
  <c r="O11" i="1" s="1"/>
  <c r="N11" i="1"/>
  <c r="L12" i="1"/>
  <c r="O12" i="1" s="1"/>
  <c r="N12" i="1"/>
  <c r="AA11" i="1"/>
  <c r="N26" i="1"/>
  <c r="L26" i="1"/>
  <c r="O26" i="1" s="1"/>
  <c r="K23" i="1"/>
  <c r="N23" i="1"/>
  <c r="K22" i="1"/>
  <c r="N22" i="1"/>
  <c r="K21" i="1"/>
  <c r="N21" i="1"/>
  <c r="L22" i="1"/>
  <c r="O22" i="1" s="1"/>
  <c r="S22" i="1"/>
  <c r="L23" i="1"/>
  <c r="O23" i="1" s="1"/>
  <c r="S23" i="1"/>
  <c r="L21" i="1"/>
  <c r="O21" i="1" s="1"/>
  <c r="S21" i="1"/>
  <c r="AA21" i="1"/>
  <c r="AA22" i="1"/>
  <c r="K18" i="1"/>
  <c r="N18" i="1"/>
  <c r="L14" i="1"/>
  <c r="O14" i="1" s="1"/>
  <c r="S14" i="1"/>
  <c r="L13" i="1"/>
  <c r="O13" i="1" s="1"/>
  <c r="N13" i="1"/>
  <c r="AA13" i="1"/>
  <c r="AA14" i="1"/>
  <c r="S18" i="1"/>
  <c r="L18" i="1"/>
  <c r="O18" i="1" s="1"/>
  <c r="AB18" i="1"/>
  <c r="AD18" i="1" s="1"/>
  <c r="AA15" i="1"/>
  <c r="AA16" i="1"/>
  <c r="AA17" i="1"/>
  <c r="N17" i="1"/>
  <c r="L17" i="1"/>
  <c r="O17" i="1" s="1"/>
  <c r="N16" i="1"/>
  <c r="L16" i="1"/>
  <c r="O16" i="1" s="1"/>
  <c r="N15" i="1"/>
  <c r="L15" i="1"/>
  <c r="O15" i="1" s="1"/>
  <c r="L36" i="1"/>
  <c r="O36" i="1" s="1"/>
  <c r="N36" i="1"/>
  <c r="AA36" i="1"/>
  <c r="N43" i="1"/>
  <c r="L43" i="1"/>
  <c r="O43" i="1" s="1"/>
  <c r="AB43" i="1"/>
  <c r="AD43" i="1"/>
  <c r="N20" i="1"/>
  <c r="L20" i="1"/>
  <c r="O20" i="1" s="1"/>
  <c r="L19" i="1"/>
  <c r="O19" i="1" s="1"/>
  <c r="N19" i="1"/>
  <c r="L42" i="1"/>
  <c r="O42" i="1" s="1"/>
  <c r="N42" i="1"/>
  <c r="L41" i="1"/>
  <c r="O41" i="1" s="1"/>
  <c r="N41" i="1"/>
  <c r="L50" i="1"/>
  <c r="O50" i="1" s="1"/>
  <c r="N50" i="1"/>
  <c r="L34" i="1"/>
  <c r="O34" i="1" s="1"/>
  <c r="L35" i="1"/>
  <c r="O35" i="1" s="1"/>
  <c r="S34" i="1"/>
  <c r="N35" i="1"/>
  <c r="L33" i="1"/>
  <c r="O33" i="1" s="1"/>
  <c r="N33" i="1"/>
  <c r="L31" i="1"/>
  <c r="O31" i="1" s="1"/>
  <c r="N31" i="1"/>
  <c r="L29" i="1"/>
  <c r="O29" i="1" s="1"/>
  <c r="N29" i="1"/>
  <c r="L28" i="1"/>
  <c r="O28" i="1" s="1"/>
  <c r="L61" i="1"/>
  <c r="O61" i="1" s="1"/>
  <c r="L27" i="1"/>
  <c r="O27" i="1" s="1"/>
  <c r="N27" i="1"/>
  <c r="L53" i="1"/>
  <c r="O53" i="1" s="1"/>
  <c r="L59" i="1"/>
  <c r="O59" i="1" s="1"/>
  <c r="N59" i="1"/>
  <c r="L55" i="1"/>
  <c r="O55" i="1" s="1"/>
  <c r="L57" i="1"/>
  <c r="O57" i="1" s="1"/>
  <c r="L25" i="1"/>
  <c r="O25" i="1" s="1"/>
  <c r="N25" i="1"/>
  <c r="L24" i="1"/>
  <c r="O24" i="1" s="1"/>
  <c r="N24" i="1"/>
  <c r="L47" i="1"/>
  <c r="O47" i="1" s="1"/>
  <c r="L39" i="1"/>
  <c r="O39" i="1" s="1"/>
  <c r="L9" i="1"/>
  <c r="O9" i="1" s="1"/>
  <c r="L8" i="1"/>
  <c r="O8" i="1" s="1"/>
  <c r="L44" i="1"/>
  <c r="O44" i="1" s="1"/>
  <c r="L37" i="1"/>
  <c r="O37" i="1" s="1"/>
  <c r="L51" i="1"/>
  <c r="O51" i="1" s="1"/>
  <c r="L38" i="1"/>
  <c r="O38" i="1" s="1"/>
  <c r="N51" i="1"/>
  <c r="N39" i="1"/>
  <c r="N44" i="1"/>
  <c r="L46" i="1"/>
  <c r="O46" i="1" s="1"/>
  <c r="L7" i="1"/>
  <c r="O7" i="1" s="1"/>
  <c r="L60" i="1"/>
  <c r="O60" i="1" s="1"/>
  <c r="L48" i="1"/>
  <c r="O48" i="1" s="1"/>
  <c r="L45" i="1"/>
  <c r="O45" i="1" s="1"/>
  <c r="L10" i="1"/>
  <c r="O10" i="1" s="1"/>
  <c r="L56" i="1"/>
  <c r="O56" i="1" s="1"/>
  <c r="L40" i="1"/>
  <c r="O40" i="1" s="1"/>
  <c r="L30" i="1"/>
  <c r="O30" i="1" s="1"/>
  <c r="N8" i="1"/>
  <c r="L49" i="1"/>
  <c r="O49" i="1" s="1"/>
  <c r="L58" i="1"/>
  <c r="O58" i="1" s="1"/>
  <c r="S38" i="1"/>
  <c r="N7" i="1"/>
  <c r="L54" i="1"/>
  <c r="O54" i="1" s="1"/>
  <c r="S49" i="1"/>
  <c r="N47" i="1"/>
  <c r="L32" i="1"/>
  <c r="O32" i="1" s="1"/>
  <c r="S58" i="1"/>
  <c r="L52" i="1"/>
  <c r="O52" i="1" s="1"/>
  <c r="N55" i="1"/>
  <c r="N46" i="1"/>
  <c r="N30" i="1"/>
  <c r="N61" i="1"/>
  <c r="N52" i="1"/>
  <c r="N40" i="1"/>
  <c r="N9" i="1"/>
  <c r="AA12" i="1" l="1"/>
  <c r="AB11" i="1"/>
  <c r="AD11" i="1"/>
  <c r="AA26" i="1"/>
  <c r="AB21" i="1"/>
  <c r="AD21" i="1" s="1"/>
  <c r="AB22" i="1"/>
  <c r="AD22" i="1"/>
  <c r="AA23" i="1"/>
  <c r="AB13" i="1"/>
  <c r="AD13" i="1" s="1"/>
  <c r="AB14" i="1"/>
  <c r="AD14" i="1" s="1"/>
  <c r="AB15" i="1"/>
  <c r="AD15" i="1" s="1"/>
  <c r="AB16" i="1"/>
  <c r="AD16" i="1" s="1"/>
  <c r="AB17" i="1"/>
  <c r="AD17" i="1" s="1"/>
  <c r="AB36" i="1"/>
  <c r="AD36" i="1" s="1"/>
  <c r="AA20" i="1"/>
  <c r="AA19" i="1"/>
  <c r="AA8" i="1"/>
  <c r="AA9" i="1"/>
  <c r="AA10" i="1"/>
  <c r="AA24" i="1"/>
  <c r="AA25" i="1"/>
  <c r="AA27" i="1"/>
  <c r="AA28" i="1"/>
  <c r="AA29" i="1"/>
  <c r="AA30" i="1"/>
  <c r="AA31" i="1"/>
  <c r="AA32" i="1"/>
  <c r="AA33" i="1"/>
  <c r="AA34" i="1"/>
  <c r="AA35" i="1"/>
  <c r="AA37" i="1"/>
  <c r="AA38" i="1"/>
  <c r="AA39" i="1"/>
  <c r="AA40" i="1"/>
  <c r="AA41" i="1"/>
  <c r="AA42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R62" i="1"/>
  <c r="O62" i="1"/>
  <c r="L62" i="1"/>
  <c r="L65" i="1" s="1"/>
  <c r="AB12" i="1" l="1"/>
  <c r="AD12" i="1" s="1"/>
  <c r="AB26" i="1"/>
  <c r="AD26" i="1" s="1"/>
  <c r="AB23" i="1"/>
  <c r="AD23" i="1" s="1"/>
  <c r="AB20" i="1"/>
  <c r="AD20" i="1" s="1"/>
  <c r="AB19" i="1"/>
  <c r="AD19" i="1" s="1"/>
  <c r="AB8" i="1"/>
  <c r="AD8" i="1" s="1"/>
  <c r="AB9" i="1"/>
  <c r="AD9" i="1" s="1"/>
  <c r="AB10" i="1"/>
  <c r="AD10" i="1" s="1"/>
  <c r="AB24" i="1"/>
  <c r="AD24" i="1" s="1"/>
  <c r="AB25" i="1"/>
  <c r="AD25" i="1" s="1"/>
  <c r="AB27" i="1"/>
  <c r="AD27" i="1" s="1"/>
  <c r="AB28" i="1"/>
  <c r="AD28" i="1"/>
  <c r="AB29" i="1"/>
  <c r="AD29" i="1"/>
  <c r="AB30" i="1"/>
  <c r="AD30" i="1" s="1"/>
  <c r="AB31" i="1"/>
  <c r="AD31" i="1" s="1"/>
  <c r="AB32" i="1"/>
  <c r="AD32" i="1" s="1"/>
  <c r="AB33" i="1"/>
  <c r="AD33" i="1"/>
  <c r="AB34" i="1"/>
  <c r="AD34" i="1" s="1"/>
  <c r="AB35" i="1"/>
  <c r="AD35" i="1" s="1"/>
  <c r="AB37" i="1"/>
  <c r="AD37" i="1" s="1"/>
  <c r="AB38" i="1"/>
  <c r="AD38" i="1" s="1"/>
  <c r="AB39" i="1"/>
  <c r="AD39" i="1" s="1"/>
  <c r="AB40" i="1"/>
  <c r="AD40" i="1" s="1"/>
  <c r="AB41" i="1"/>
  <c r="AD41" i="1" s="1"/>
  <c r="AB42" i="1"/>
  <c r="AD42" i="1" s="1"/>
  <c r="AB44" i="1"/>
  <c r="AD44" i="1" s="1"/>
  <c r="AB45" i="1"/>
  <c r="AD45" i="1" s="1"/>
  <c r="AB46" i="1"/>
  <c r="AD46" i="1" s="1"/>
  <c r="AB47" i="1"/>
  <c r="AD47" i="1" s="1"/>
  <c r="AB48" i="1"/>
  <c r="AD48" i="1"/>
  <c r="AB49" i="1"/>
  <c r="AD49" i="1" s="1"/>
  <c r="AB50" i="1"/>
  <c r="AD50" i="1" s="1"/>
  <c r="AB51" i="1"/>
  <c r="AD51" i="1" s="1"/>
  <c r="AB52" i="1"/>
  <c r="AD52" i="1" s="1"/>
  <c r="AB53" i="1"/>
  <c r="AD53" i="1" s="1"/>
  <c r="AB54" i="1"/>
  <c r="AD54" i="1" s="1"/>
  <c r="AB55" i="1"/>
  <c r="AD55" i="1" s="1"/>
  <c r="AB56" i="1"/>
  <c r="AD56" i="1" s="1"/>
  <c r="AB57" i="1"/>
  <c r="AD57" i="1" s="1"/>
  <c r="AB58" i="1"/>
  <c r="AD58" i="1" s="1"/>
  <c r="AB59" i="1"/>
  <c r="AD59" i="1" s="1"/>
  <c r="AB60" i="1"/>
  <c r="AD60" i="1" s="1"/>
  <c r="AB61" i="1"/>
  <c r="AD61" i="1" s="1"/>
  <c r="AD7" i="1"/>
  <c r="O63" i="1"/>
  <c r="O65" i="1" s="1"/>
  <c r="V62" i="1" s="1"/>
  <c r="V64" i="1" s="1"/>
  <c r="Q65" i="1"/>
  <c r="P12" i="1" s="1"/>
  <c r="T12" i="1" l="1"/>
  <c r="Q12" i="1"/>
  <c r="P26" i="1"/>
  <c r="P11" i="1"/>
  <c r="T26" i="1"/>
  <c r="Q26" i="1"/>
  <c r="P21" i="1"/>
  <c r="P22" i="1"/>
  <c r="P23" i="1"/>
  <c r="P14" i="1"/>
  <c r="P13" i="1"/>
  <c r="P16" i="1"/>
  <c r="P17" i="1"/>
  <c r="P18" i="1"/>
  <c r="P15" i="1"/>
  <c r="P43" i="1"/>
  <c r="P36" i="1"/>
  <c r="P19" i="1"/>
  <c r="P20" i="1"/>
  <c r="P42" i="1"/>
  <c r="P50" i="1"/>
  <c r="P41" i="1"/>
  <c r="P31" i="1"/>
  <c r="Q31" i="1" s="1"/>
  <c r="P34" i="1"/>
  <c r="P35" i="1"/>
  <c r="P33" i="1"/>
  <c r="P29" i="1"/>
  <c r="P28" i="1"/>
  <c r="P37" i="1"/>
  <c r="T37" i="1" s="1"/>
  <c r="P27" i="1"/>
  <c r="P57" i="1"/>
  <c r="Q57" i="1" s="1"/>
  <c r="P38" i="1"/>
  <c r="Q38" i="1" s="1"/>
  <c r="P55" i="1"/>
  <c r="T55" i="1" s="1"/>
  <c r="P39" i="1"/>
  <c r="T39" i="1" s="1"/>
  <c r="P7" i="1"/>
  <c r="Q7" i="1" s="1"/>
  <c r="P58" i="1"/>
  <c r="T58" i="1" s="1"/>
  <c r="P53" i="1"/>
  <c r="T53" i="1" s="1"/>
  <c r="P49" i="1"/>
  <c r="T49" i="1" s="1"/>
  <c r="P60" i="1"/>
  <c r="Q60" i="1" s="1"/>
  <c r="P45" i="1"/>
  <c r="T45" i="1" s="1"/>
  <c r="P59" i="1"/>
  <c r="P54" i="1"/>
  <c r="T54" i="1" s="1"/>
  <c r="P24" i="1"/>
  <c r="Q24" i="1" s="1"/>
  <c r="P25" i="1"/>
  <c r="P51" i="1"/>
  <c r="Q51" i="1" s="1"/>
  <c r="P44" i="1"/>
  <c r="T44" i="1" s="1"/>
  <c r="P10" i="1"/>
  <c r="T10" i="1" s="1"/>
  <c r="P40" i="1"/>
  <c r="P61" i="1"/>
  <c r="P46" i="1"/>
  <c r="P9" i="1"/>
  <c r="P30" i="1"/>
  <c r="P52" i="1"/>
  <c r="P48" i="1"/>
  <c r="Q48" i="1" s="1"/>
  <c r="P8" i="1"/>
  <c r="Q8" i="1" s="1"/>
  <c r="P47" i="1"/>
  <c r="Q47" i="1" s="1"/>
  <c r="P56" i="1"/>
  <c r="Q56" i="1" s="1"/>
  <c r="P32" i="1"/>
  <c r="Q32" i="1" s="1"/>
  <c r="V12" i="1" l="1"/>
  <c r="U12" i="1"/>
  <c r="T11" i="1"/>
  <c r="Q11" i="1"/>
  <c r="V26" i="1"/>
  <c r="U26" i="1"/>
  <c r="Q18" i="1"/>
  <c r="T18" i="1"/>
  <c r="Q21" i="1"/>
  <c r="T21" i="1"/>
  <c r="Q22" i="1"/>
  <c r="T22" i="1"/>
  <c r="Q23" i="1"/>
  <c r="T23" i="1"/>
  <c r="T14" i="1"/>
  <c r="Q14" i="1"/>
  <c r="Q13" i="1"/>
  <c r="T13" i="1"/>
  <c r="Q16" i="1"/>
  <c r="T16" i="1"/>
  <c r="Q17" i="1"/>
  <c r="T17" i="1"/>
  <c r="Q15" i="1"/>
  <c r="T15" i="1"/>
  <c r="Q43" i="1"/>
  <c r="T43" i="1"/>
  <c r="T36" i="1"/>
  <c r="Q36" i="1"/>
  <c r="Q19" i="1"/>
  <c r="T19" i="1"/>
  <c r="T20" i="1"/>
  <c r="Q20" i="1"/>
  <c r="Q42" i="1"/>
  <c r="T42" i="1"/>
  <c r="Q50" i="1"/>
  <c r="T50" i="1"/>
  <c r="Q41" i="1"/>
  <c r="T41" i="1"/>
  <c r="T31" i="1"/>
  <c r="T35" i="1"/>
  <c r="Q35" i="1"/>
  <c r="T34" i="1"/>
  <c r="Q34" i="1"/>
  <c r="Q33" i="1"/>
  <c r="T33" i="1"/>
  <c r="Q37" i="1"/>
  <c r="Q28" i="1"/>
  <c r="T28" i="1"/>
  <c r="Q29" i="1"/>
  <c r="T29" i="1"/>
  <c r="T7" i="1"/>
  <c r="U7" i="1" s="1"/>
  <c r="T60" i="1"/>
  <c r="V60" i="1" s="1"/>
  <c r="T57" i="1"/>
  <c r="V57" i="1" s="1"/>
  <c r="Q39" i="1"/>
  <c r="Q45" i="1"/>
  <c r="T38" i="1"/>
  <c r="V38" i="1" s="1"/>
  <c r="Q27" i="1"/>
  <c r="T27" i="1"/>
  <c r="Q55" i="1"/>
  <c r="Q49" i="1"/>
  <c r="Q58" i="1"/>
  <c r="Q54" i="1"/>
  <c r="T51" i="1"/>
  <c r="V51" i="1" s="1"/>
  <c r="Q53" i="1"/>
  <c r="Q44" i="1"/>
  <c r="T24" i="1"/>
  <c r="U24" i="1" s="1"/>
  <c r="T59" i="1"/>
  <c r="Q59" i="1"/>
  <c r="Q10" i="1"/>
  <c r="Q25" i="1"/>
  <c r="T25" i="1"/>
  <c r="T47" i="1"/>
  <c r="U47" i="1" s="1"/>
  <c r="T52" i="1"/>
  <c r="Q52" i="1"/>
  <c r="T46" i="1"/>
  <c r="Q46" i="1"/>
  <c r="T8" i="1"/>
  <c r="U8" i="1" s="1"/>
  <c r="T56" i="1"/>
  <c r="V56" i="1" s="1"/>
  <c r="T32" i="1"/>
  <c r="U32" i="1" s="1"/>
  <c r="Q61" i="1"/>
  <c r="T61" i="1"/>
  <c r="Q30" i="1"/>
  <c r="T30" i="1"/>
  <c r="Q9" i="1"/>
  <c r="T9" i="1"/>
  <c r="T48" i="1"/>
  <c r="U48" i="1" s="1"/>
  <c r="Q40" i="1"/>
  <c r="T40" i="1"/>
  <c r="V53" i="1"/>
  <c r="U53" i="1"/>
  <c r="U45" i="1"/>
  <c r="V45" i="1"/>
  <c r="U49" i="1"/>
  <c r="V49" i="1"/>
  <c r="U37" i="1"/>
  <c r="V37" i="1"/>
  <c r="V54" i="1"/>
  <c r="U54" i="1"/>
  <c r="V39" i="1"/>
  <c r="U39" i="1"/>
  <c r="U44" i="1"/>
  <c r="V44" i="1"/>
  <c r="U10" i="1"/>
  <c r="V10" i="1"/>
  <c r="U55" i="1"/>
  <c r="V55" i="1"/>
  <c r="U58" i="1"/>
  <c r="V58" i="1"/>
  <c r="U11" i="1" l="1"/>
  <c r="V11" i="1"/>
  <c r="V18" i="1"/>
  <c r="U18" i="1"/>
  <c r="U21" i="1"/>
  <c r="V21" i="1"/>
  <c r="U22" i="1"/>
  <c r="V22" i="1"/>
  <c r="U23" i="1"/>
  <c r="V23" i="1"/>
  <c r="V14" i="1"/>
  <c r="U14" i="1"/>
  <c r="V13" i="1"/>
  <c r="U13" i="1"/>
  <c r="V43" i="1"/>
  <c r="U43" i="1"/>
  <c r="V16" i="1"/>
  <c r="U16" i="1"/>
  <c r="V17" i="1"/>
  <c r="U17" i="1"/>
  <c r="V15" i="1"/>
  <c r="U15" i="1"/>
  <c r="U19" i="1"/>
  <c r="V19" i="1"/>
  <c r="V36" i="1"/>
  <c r="U36" i="1"/>
  <c r="V42" i="1"/>
  <c r="U42" i="1"/>
  <c r="V20" i="1"/>
  <c r="U20" i="1"/>
  <c r="V50" i="1"/>
  <c r="U50" i="1"/>
  <c r="U31" i="1"/>
  <c r="V31" i="1"/>
  <c r="U41" i="1"/>
  <c r="V41" i="1"/>
  <c r="U33" i="1"/>
  <c r="V33" i="1"/>
  <c r="U34" i="1"/>
  <c r="V34" i="1"/>
  <c r="U35" i="1"/>
  <c r="V35" i="1"/>
  <c r="U38" i="1"/>
  <c r="V7" i="1"/>
  <c r="U57" i="1"/>
  <c r="U60" i="1"/>
  <c r="U28" i="1"/>
  <c r="V28" i="1"/>
  <c r="U29" i="1"/>
  <c r="V29" i="1"/>
  <c r="V27" i="1"/>
  <c r="U27" i="1"/>
  <c r="U51" i="1"/>
  <c r="V24" i="1"/>
  <c r="V59" i="1"/>
  <c r="U59" i="1"/>
  <c r="V8" i="1"/>
  <c r="V47" i="1"/>
  <c r="V25" i="1"/>
  <c r="U25" i="1"/>
  <c r="U56" i="1"/>
  <c r="V32" i="1"/>
  <c r="U30" i="1"/>
  <c r="V30" i="1"/>
  <c r="U46" i="1"/>
  <c r="V46" i="1"/>
  <c r="V40" i="1"/>
  <c r="U40" i="1"/>
  <c r="V9" i="1"/>
  <c r="U9" i="1"/>
  <c r="V48" i="1"/>
  <c r="V61" i="1"/>
  <c r="U61" i="1"/>
  <c r="V52" i="1"/>
  <c r="U52" i="1"/>
</calcChain>
</file>

<file path=xl/sharedStrings.xml><?xml version="1.0" encoding="utf-8"?>
<sst xmlns="http://schemas.openxmlformats.org/spreadsheetml/2006/main" count="305" uniqueCount="108">
  <si>
    <t xml:space="preserve">              ORDER BY                          CHECKED BY                       SUBMITTED BY                 ACKNOWLEDGE BY              PRICE CHECKED BY</t>
  </si>
  <si>
    <t xml:space="preserve">____________________     ____________________     ____________________     ____________________     ____________________     </t>
  </si>
  <si>
    <t xml:space="preserve">Freight Charge Percentage  
(W/out GST)                                                  </t>
  </si>
  <si>
    <t>TOTAL AMT:</t>
  </si>
  <si>
    <t>Profit over SP</t>
  </si>
  <si>
    <t>Freight Charge:</t>
  </si>
  <si>
    <t>NA</t>
  </si>
  <si>
    <t>Freight (CNF) Charge:</t>
  </si>
  <si>
    <t>9% GST</t>
  </si>
  <si>
    <t>Total Profit:</t>
  </si>
  <si>
    <t>Total Selling: 
(SGD)</t>
  </si>
  <si>
    <t>Total Cost:
(SGD)</t>
  </si>
  <si>
    <t>SUB TOTAL:</t>
  </si>
  <si>
    <r>
      <rPr>
        <b/>
        <u/>
        <sz val="11"/>
        <color indexed="8"/>
        <rFont val="Calibri"/>
        <family val="2"/>
      </rPr>
      <t xml:space="preserve">
</t>
    </r>
    <r>
      <rPr>
        <b/>
        <u/>
        <sz val="11"/>
        <color indexed="8"/>
        <rFont val="Calibri"/>
        <family val="2"/>
      </rPr>
      <t>REMARKS:</t>
    </r>
    <r>
      <rPr>
        <sz val="11"/>
        <color indexed="8"/>
        <rFont val="Calibri"/>
        <family val="2"/>
      </rPr>
      <t xml:space="preserve">
</t>
    </r>
    <r>
      <rPr>
        <sz val="11"/>
        <color indexed="8"/>
        <rFont val="Calibri"/>
        <family val="2"/>
      </rPr>
      <t/>
    </r>
  </si>
  <si>
    <t>Totalclean Anti-Bacterial Hand Wash Lavender Eternity 700g (1×18)</t>
  </si>
  <si>
    <t>SC Laundry Detergent Refill Super White 3.2kg (1×6)</t>
  </si>
  <si>
    <t>SC Laundry Detergent Refill with Softener 2-in-1 Silky Soft 3.2kg (1×6)</t>
  </si>
  <si>
    <t>SC Laundry Detergent Refill Odor Removal 3.2kg (1×6)</t>
  </si>
  <si>
    <t>SC Laundry Detergent Refill Active Clean 3.2kg (1×6)</t>
  </si>
  <si>
    <t>SC Laundry Detergent with Softener 2-in-1 Silky Soft 4.3kg (1×4)</t>
  </si>
  <si>
    <t>SC Liquid Detergent Super White 4.3kg (1×4)</t>
  </si>
  <si>
    <t>SC Liquid Detergent Odor Remover 4.3kg (1×4)</t>
  </si>
  <si>
    <t>SC Liquid Detergent Active Clean 4.3kg (1×4)</t>
  </si>
  <si>
    <t>SC Liquid Detergent Active Clean 700ml (1×18)</t>
  </si>
  <si>
    <t>Inspire Cleansing &amp; Moisturizing Shower Gel Royal Jelly 2100ml (1×8)</t>
  </si>
  <si>
    <t>Inspire Cleansing &amp; Moisturizing Shower Gel Lavender 2100ml (1×8)</t>
  </si>
  <si>
    <t>Inspire Cleansing &amp; Moisturizing Shower Gel Goat’s Milk 2100ml (1×8)</t>
  </si>
  <si>
    <t>SC Concentrated Floor Cleaner Lavender 3 Litre (1×6)</t>
  </si>
  <si>
    <t>SC Concentrated Floor Cleaner Apple 3 Litre (1×6)</t>
  </si>
  <si>
    <t>FB Bleach 3 Litre (1×12)</t>
  </si>
  <si>
    <t>FB Floor Cleaner Relaxing Rose 1.2kg (1×12)</t>
  </si>
  <si>
    <t>FB Floor Cleaner Lavender 1.2kg (1×12)</t>
  </si>
  <si>
    <t>SC Stain Remover 1 Litre (1×12)</t>
  </si>
  <si>
    <t>FB Bio Dishwash Lemon 900ml (1×16)</t>
  </si>
  <si>
    <t>PP Toilet Cleaner Lavender 900g (1×18)</t>
  </si>
  <si>
    <t>Sure Clean Dishwashing Liquid Lemon with Pump 4 Litres (1×4)</t>
  </si>
  <si>
    <t>Sure Clean Dishwashing Liquid Lime with Pump 4 Litres (1×4)</t>
  </si>
  <si>
    <t>Sure Clean Laundry Detergent Powder 2.3kg Miracle (1×6)</t>
  </si>
  <si>
    <t>Sure Clean Laundry Detergent Powder 2.3kg Purple Lavender (1×6)</t>
  </si>
  <si>
    <t>Sure Clean Laundry Detergent Powder 2.3kg Cherry Blossom (1×6)</t>
  </si>
  <si>
    <t>TMG
Promotion
Price</t>
  </si>
  <si>
    <t xml:space="preserve">Profit Margin - % </t>
  </si>
  <si>
    <t>TOTAL PROFIT($)</t>
  </si>
  <si>
    <t>UNIT PROFIT ($)</t>
  </si>
  <si>
    <t>Total Selling</t>
  </si>
  <si>
    <t>TMG Selling Price</t>
  </si>
  <si>
    <t>Total Cost 
(SGD)
(W GST)</t>
  </si>
  <si>
    <t>Unit Cost (9%)
(SGD - PC)</t>
  </si>
  <si>
    <t>Total Cost 
(RAW)</t>
  </si>
  <si>
    <t>Unit Cost 
(SGD - PC)
(W/O GST)</t>
  </si>
  <si>
    <t>Total</t>
  </si>
  <si>
    <t>Unit Price
(SGD)
(W/O GST)</t>
  </si>
  <si>
    <t>Ctn Price
(SGD)
(W/O GST)</t>
  </si>
  <si>
    <t>Total Ordered Qty</t>
  </si>
  <si>
    <t>Packing Size
(PC)</t>
  </si>
  <si>
    <t>Qty 
(CTN)</t>
  </si>
  <si>
    <t>Product Name</t>
  </si>
  <si>
    <t>No.</t>
  </si>
  <si>
    <t>Cost with Freight &amp; GST, Selling with GST</t>
  </si>
  <si>
    <t>PURCHASE ORDER</t>
  </si>
  <si>
    <t>Supplier: BIO CLEAN SUPPLY SDN BHD</t>
  </si>
  <si>
    <t>Rate :</t>
  </si>
  <si>
    <t>9 Changi South Street 3 #07-02/03 Singapore 486361</t>
  </si>
  <si>
    <t xml:space="preserve">Date: </t>
  </si>
  <si>
    <t>Tian Ma Group Holdings Pte Ltd</t>
  </si>
  <si>
    <t>Sure Clean Sabun Cuci Berkualiti 5kg lemon 1*3</t>
  </si>
  <si>
    <t>Sure Clean Sabun Cuci Berkualiti 5kg lavender 1*3</t>
  </si>
  <si>
    <t>SC Waching Machine Cleaner 200g 1*24</t>
  </si>
  <si>
    <t>Sure Clean Drain Clog Remover 750ml 1*18</t>
  </si>
  <si>
    <t>Sure Clean Dishwash Paste 950g Lime 1*18</t>
  </si>
  <si>
    <t>Sure Clean Dishwash Paste 950g Lemon 1*18</t>
  </si>
  <si>
    <t>FS Bleach 1 Litre*12</t>
  </si>
  <si>
    <t>FS Bleach 1 Kg*12 Lavender</t>
  </si>
  <si>
    <t>FS Bleach 1 Kg*12 Lemon</t>
  </si>
  <si>
    <t>SC Liquid Detergent Odor Removal 700ml (1×18)</t>
  </si>
  <si>
    <t>SC FABRIC SOFTENER 4.2L SPRING BURST 1*4</t>
  </si>
  <si>
    <t>SC FABRIC SOFTENER 4.2L LAVENDER 1*4</t>
  </si>
  <si>
    <t>SC Bleach 3.8kg Lemon (1×6)</t>
  </si>
  <si>
    <t>PRICE WE WANT</t>
  </si>
  <si>
    <t>REQUIRED S PRICE</t>
  </si>
  <si>
    <t>TOTAL</t>
  </si>
  <si>
    <t>FOOD PANDA COMM</t>
  </si>
  <si>
    <t>NET AFTER COMM</t>
  </si>
  <si>
    <t>28/4/26</t>
  </si>
  <si>
    <t>6/4/26</t>
  </si>
  <si>
    <t>Sure Clean Sabun Cuci Berkualiti 900G lavender 1*15</t>
  </si>
  <si>
    <t>Sure Clean Sabun Cuci Berkualiti 900G lemon 1*15</t>
  </si>
  <si>
    <t>-</t>
  </si>
  <si>
    <t>SC KITCHEN CLEANER 380ML 1*24</t>
  </si>
  <si>
    <t>FB Bio Dishwash Lime 900ml (1×16)</t>
  </si>
  <si>
    <t>Begain Stain Remover lavender 1 litre</t>
  </si>
  <si>
    <t>Sure Clean Antibacterial HandWash Apple 700g</t>
  </si>
  <si>
    <t>Sure Clean Antibacterial HandWash Orange 700g</t>
  </si>
  <si>
    <t>Sure Clean Antibacterial HandWash Strawberry 700g</t>
  </si>
  <si>
    <t>19/3/26</t>
  </si>
  <si>
    <t>SC Pewangi Favric softener spring burst 700ml</t>
  </si>
  <si>
    <t>SC Pewangi Favric softener softener affinity 700ml</t>
  </si>
  <si>
    <t>4/3/26</t>
  </si>
  <si>
    <t>Sure Clean Sabun Cuci Berkualiti 2.3kg Cherry Blossom</t>
  </si>
  <si>
    <t>Sure Clean Sabun Cuci Berkualiti 2.3kg Miracle</t>
  </si>
  <si>
    <t>Sure Clean Sabun Cuci Berkualiti 2.3kg Purple Lavender</t>
  </si>
  <si>
    <t>Sure Clean Drain Clog Remover 500ml 1*24</t>
  </si>
  <si>
    <t>Sure Clean Bubble Handwash Grape Berry 315g</t>
  </si>
  <si>
    <t>VALUE DOLLAR{TAMPINES AND BEDOK} PRICING</t>
  </si>
  <si>
    <t>GST %</t>
  </si>
  <si>
    <t>GRAB COMM 16.35%</t>
  </si>
  <si>
    <t>MARGIN EARNED %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</si>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</sst>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  <numFmt numFmtId="165" formatCode="&quot;$&quot;&quot; &quot;#,##0.00"/>
    <numFmt numFmtId="166" formatCode="_-&quot;$&quot;* #,##0.00_-;\-&quot;$&quot;* #,##0.00_-;_-&quot;$&quot;* &quot;-&quot;??_-;_-@_-"/>
    <numFmt numFmtId="167" formatCode="&quot;$&quot;#,##0.0000"/>
    <numFmt numFmtId="168" formatCode="&quot; &quot;&quot;$&quot;* #,##0.00&quot; &quot;;&quot;-&quot;&quot;$&quot;* #,##0.00&quot; &quot;;&quot; &quot;&quot;$&quot;* &quot;-&quot;??&quot; &quot;"/>
    <numFmt numFmtId="169" formatCode="&quot;$&quot;#,##0.00"/>
    <numFmt numFmtId="170" formatCode="_-&quot;$&quot;* #,##0.000_-;\-&quot;$&quot;* #,##0.000_-;_-&quot;$&quot;* &quot;-&quot;???_-;_-@_-"/>
    <numFmt numFmtId="171" formatCode="0.0000"/>
    <numFmt numFmtId="172" formatCode="0.000"/>
    <numFmt numFmtId="173" formatCode="_([$$-409]* #,##0.00_);_([$$-409]* \(#,##0.00\);_([$$-409]* &quot;-&quot;??_);_(@_)"/>
  </numFmts>
  <fonts count="2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indexed="8"/>
      <name val="Calibri"/>
      <family val="2"/>
    </font>
    <font>
      <sz val="11"/>
      <color indexed="8"/>
      <name val="Calibri"/>
      <family val="2"/>
    </font>
    <font>
      <sz val="9"/>
      <color indexed="8"/>
      <name val="Calibri"/>
      <family val="2"/>
    </font>
    <font>
      <sz val="16"/>
      <color indexed="8"/>
      <name val="Calibri"/>
      <family val="2"/>
    </font>
    <font>
      <b/>
      <sz val="16"/>
      <color indexed="8"/>
      <name val="Calibri"/>
      <family val="2"/>
    </font>
    <font>
      <b/>
      <sz val="20"/>
      <color indexed="8"/>
      <name val="Calibri"/>
      <family val="2"/>
    </font>
    <font>
      <sz val="10"/>
      <color indexed="8"/>
      <name val="Calibri"/>
      <family val="2"/>
    </font>
    <font>
      <b/>
      <sz val="14"/>
      <color indexed="8"/>
      <name val="Calibri"/>
      <family val="2"/>
    </font>
    <font>
      <b/>
      <u/>
      <sz val="11"/>
      <color indexed="8"/>
      <name val="Calibri"/>
      <family val="2"/>
    </font>
    <font>
      <sz val="14"/>
      <color indexed="8"/>
      <name val="Calibri"/>
      <family val="2"/>
    </font>
    <font>
      <sz val="11"/>
      <color theme="1"/>
      <name val="Calibri"/>
      <family val="2"/>
      <scheme val="minor"/>
    </font>
    <font>
      <u/>
      <sz val="14"/>
      <color indexed="8"/>
      <name val="Calibri"/>
      <family val="2"/>
    </font>
    <font>
      <b/>
      <sz val="18"/>
      <color indexed="8"/>
      <name val="Calibri"/>
      <family val="2"/>
    </font>
    <font>
      <b/>
      <sz val="24"/>
      <color indexed="8"/>
      <name val="Calibri"/>
      <family val="2"/>
    </font>
    <font>
      <sz val="15"/>
      <color indexed="8"/>
      <name val="Calibri"/>
      <family val="2"/>
    </font>
    <font>
      <b/>
      <sz val="25"/>
      <color indexed="8"/>
      <name val="Calibri"/>
      <family val="2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1"/>
      <color rgb="FFFF0000"/>
      <name val="Calibri (Body)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6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dotted">
        <color indexed="8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dotted">
        <color indexed="8"/>
      </left>
      <right style="dotted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dotted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dotted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dotted">
        <color indexed="8"/>
      </left>
      <right style="dotted">
        <color indexed="8"/>
      </right>
      <top/>
      <bottom style="medium">
        <color indexed="8"/>
      </bottom>
      <diagonal/>
    </border>
    <border>
      <left style="medium">
        <color indexed="8"/>
      </left>
      <right style="dotted">
        <color indexed="8"/>
      </right>
      <top/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 style="thin">
        <color indexed="10"/>
      </left>
      <right style="medium">
        <color indexed="8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10"/>
      </right>
      <top/>
      <bottom/>
      <diagonal/>
    </border>
    <border>
      <left/>
      <right style="thin">
        <color indexed="8"/>
      </right>
      <top/>
      <bottom/>
      <diagonal/>
    </border>
    <border>
      <left style="dotted">
        <color indexed="8"/>
      </left>
      <right style="medium">
        <color indexed="8"/>
      </right>
      <top/>
      <bottom style="thin">
        <color indexed="10"/>
      </bottom>
      <diagonal/>
    </border>
    <border>
      <left style="dotted">
        <color indexed="8"/>
      </left>
      <right style="dotted">
        <color indexed="8"/>
      </right>
      <top/>
      <bottom/>
      <diagonal/>
    </border>
    <border>
      <left style="medium">
        <color indexed="8"/>
      </left>
      <right style="dotted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10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</borders>
  <cellStyleXfs count="4">
    <xf numFmtId="0" fontId="0" fillId="0" borderId="0"/>
    <xf numFmtId="0" fontId="5" fillId="0" borderId="0" applyNumberFormat="0" applyFill="0" applyBorder="0" applyProtection="0"/>
    <xf numFmtId="43" fontId="14" fillId="0" borderId="0" applyFont="0" applyFill="0" applyBorder="0" applyAlignment="0" applyProtection="0"/>
    <xf numFmtId="9" fontId="23" fillId="0" borderId="0" applyFont="0" applyFill="0" applyBorder="0" applyAlignment="0" applyProtection="0"/>
  </cellStyleXfs>
  <cellXfs count="14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3" fillId="0" borderId="0" xfId="0" applyFont="1"/>
    <xf numFmtId="0" fontId="5" fillId="0" borderId="0" xfId="0" applyFont="1"/>
    <xf numFmtId="0" fontId="0" fillId="2" borderId="2" xfId="0" applyFill="1" applyBorder="1"/>
    <xf numFmtId="9" fontId="6" fillId="2" borderId="3" xfId="0" applyNumberFormat="1" applyFont="1" applyFill="1" applyBorder="1" applyAlignment="1">
      <alignment horizontal="left" vertical="center"/>
    </xf>
    <xf numFmtId="164" fontId="7" fillId="2" borderId="4" xfId="0" applyNumberFormat="1" applyFont="1" applyFill="1" applyBorder="1" applyAlignment="1">
      <alignment horizontal="center" vertical="center"/>
    </xf>
    <xf numFmtId="164" fontId="7" fillId="2" borderId="5" xfId="0" applyNumberFormat="1" applyFont="1" applyFill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 wrapText="1"/>
    </xf>
    <xf numFmtId="165" fontId="2" fillId="2" borderId="7" xfId="0" applyNumberFormat="1" applyFont="1" applyFill="1" applyBorder="1" applyAlignment="1">
      <alignment horizontal="center" vertical="center"/>
    </xf>
    <xf numFmtId="49" fontId="4" fillId="3" borderId="8" xfId="0" applyNumberFormat="1" applyFont="1" applyFill="1" applyBorder="1" applyAlignment="1">
      <alignment horizontal="right" vertical="center" wrapText="1"/>
    </xf>
    <xf numFmtId="0" fontId="0" fillId="2" borderId="9" xfId="0" applyFill="1" applyBorder="1"/>
    <xf numFmtId="166" fontId="0" fillId="2" borderId="10" xfId="0" applyNumberFormat="1" applyFill="1" applyBorder="1" applyAlignment="1">
      <alignment vertical="center"/>
    </xf>
    <xf numFmtId="49" fontId="3" fillId="3" borderId="11" xfId="0" applyNumberFormat="1" applyFont="1" applyFill="1" applyBorder="1" applyAlignment="1">
      <alignment horizontal="right" vertical="center" wrapText="1"/>
    </xf>
    <xf numFmtId="167" fontId="3" fillId="3" borderId="12" xfId="0" applyNumberFormat="1" applyFont="1" applyFill="1" applyBorder="1" applyAlignment="1">
      <alignment horizontal="right" vertical="center" wrapText="1"/>
    </xf>
    <xf numFmtId="167" fontId="3" fillId="3" borderId="13" xfId="0" applyNumberFormat="1" applyFont="1" applyFill="1" applyBorder="1" applyAlignment="1">
      <alignment horizontal="right" vertical="center" wrapText="1"/>
    </xf>
    <xf numFmtId="0" fontId="0" fillId="2" borderId="14" xfId="0" applyFill="1" applyBorder="1" applyAlignment="1">
      <alignment horizontal="left" vertical="top" wrapText="1"/>
    </xf>
    <xf numFmtId="0" fontId="0" fillId="2" borderId="15" xfId="0" applyFill="1" applyBorder="1" applyAlignment="1">
      <alignment horizontal="left" vertical="top" wrapText="1"/>
    </xf>
    <xf numFmtId="0" fontId="0" fillId="2" borderId="16" xfId="0" applyFill="1" applyBorder="1" applyAlignment="1">
      <alignment horizontal="left" vertical="top" wrapText="1"/>
    </xf>
    <xf numFmtId="0" fontId="9" fillId="3" borderId="17" xfId="0" applyFont="1" applyFill="1" applyBorder="1" applyAlignment="1">
      <alignment horizontal="center" vertical="center"/>
    </xf>
    <xf numFmtId="49" fontId="9" fillId="3" borderId="18" xfId="0" applyNumberFormat="1" applyFont="1" applyFill="1" applyBorder="1" applyAlignment="1">
      <alignment horizontal="center" vertical="center"/>
    </xf>
    <xf numFmtId="49" fontId="10" fillId="2" borderId="19" xfId="0" applyNumberFormat="1" applyFont="1" applyFill="1" applyBorder="1" applyAlignment="1">
      <alignment horizontal="center" vertical="center" wrapText="1"/>
    </xf>
    <xf numFmtId="165" fontId="2" fillId="2" borderId="20" xfId="0" applyNumberFormat="1" applyFont="1" applyFill="1" applyBorder="1" applyAlignment="1">
      <alignment horizontal="center" vertical="center"/>
    </xf>
    <xf numFmtId="49" fontId="4" fillId="3" borderId="21" xfId="0" applyNumberFormat="1" applyFont="1" applyFill="1" applyBorder="1" applyAlignment="1">
      <alignment horizontal="right" vertical="center" wrapText="1"/>
    </xf>
    <xf numFmtId="166" fontId="5" fillId="4" borderId="10" xfId="0" applyNumberFormat="1" applyFont="1" applyFill="1" applyBorder="1" applyAlignment="1">
      <alignment vertical="center"/>
    </xf>
    <xf numFmtId="49" fontId="3" fillId="3" borderId="22" xfId="0" applyNumberFormat="1" applyFont="1" applyFill="1" applyBorder="1" applyAlignment="1">
      <alignment horizontal="right" vertical="center" wrapText="1"/>
    </xf>
    <xf numFmtId="3" fontId="0" fillId="0" borderId="23" xfId="0" applyNumberFormat="1" applyBorder="1" applyAlignment="1">
      <alignment horizontal="center" vertical="center"/>
    </xf>
    <xf numFmtId="3" fontId="0" fillId="0" borderId="24" xfId="0" applyNumberFormat="1" applyBorder="1" applyAlignment="1">
      <alignment horizontal="center" vertical="center"/>
    </xf>
    <xf numFmtId="0" fontId="0" fillId="2" borderId="25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26" xfId="0" applyFill="1" applyBorder="1" applyAlignment="1">
      <alignment horizontal="left" vertical="top" wrapText="1"/>
    </xf>
    <xf numFmtId="49" fontId="3" fillId="3" borderId="27" xfId="0" applyNumberFormat="1" applyFont="1" applyFill="1" applyBorder="1" applyAlignment="1">
      <alignment horizontal="center" vertical="center"/>
    </xf>
    <xf numFmtId="49" fontId="3" fillId="3" borderId="28" xfId="0" applyNumberFormat="1" applyFont="1" applyFill="1" applyBorder="1" applyAlignment="1">
      <alignment horizontal="center" vertical="center"/>
    </xf>
    <xf numFmtId="169" fontId="4" fillId="2" borderId="29" xfId="0" applyNumberFormat="1" applyFont="1" applyFill="1" applyBorder="1" applyAlignment="1">
      <alignment horizontal="right" vertical="center"/>
    </xf>
    <xf numFmtId="49" fontId="3" fillId="3" borderId="30" xfId="0" applyNumberFormat="1" applyFont="1" applyFill="1" applyBorder="1" applyAlignment="1">
      <alignment horizontal="right" vertical="center" wrapText="1"/>
    </xf>
    <xf numFmtId="166" fontId="0" fillId="2" borderId="31" xfId="0" applyNumberFormat="1" applyFill="1" applyBorder="1" applyAlignment="1">
      <alignment horizontal="center" vertical="center"/>
    </xf>
    <xf numFmtId="49" fontId="3" fillId="3" borderId="32" xfId="0" applyNumberFormat="1" applyFont="1" applyFill="1" applyBorder="1" applyAlignment="1">
      <alignment horizontal="center" vertical="center" wrapText="1"/>
    </xf>
    <xf numFmtId="3" fontId="0" fillId="0" borderId="33" xfId="0" applyNumberFormat="1" applyBorder="1" applyAlignment="1">
      <alignment horizontal="center" vertical="center"/>
    </xf>
    <xf numFmtId="3" fontId="0" fillId="0" borderId="34" xfId="0" applyNumberFormat="1" applyBorder="1" applyAlignment="1">
      <alignment horizontal="center" vertical="center"/>
    </xf>
    <xf numFmtId="0" fontId="0" fillId="2" borderId="35" xfId="0" applyFill="1" applyBorder="1" applyAlignment="1">
      <alignment horizontal="left" vertical="top" wrapText="1"/>
    </xf>
    <xf numFmtId="0" fontId="0" fillId="2" borderId="36" xfId="0" applyFill="1" applyBorder="1" applyAlignment="1">
      <alignment horizontal="left" vertical="top" wrapText="1"/>
    </xf>
    <xf numFmtId="49" fontId="0" fillId="2" borderId="37" xfId="0" applyNumberFormat="1" applyFill="1" applyBorder="1" applyAlignment="1">
      <alignment horizontal="left" vertical="top" wrapText="1"/>
    </xf>
    <xf numFmtId="49" fontId="3" fillId="3" borderId="33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165" fontId="11" fillId="2" borderId="38" xfId="0" applyNumberFormat="1" applyFont="1" applyFill="1" applyBorder="1" applyAlignment="1">
      <alignment horizontal="center" vertical="center"/>
    </xf>
    <xf numFmtId="165" fontId="11" fillId="2" borderId="39" xfId="0" applyNumberFormat="1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 wrapText="1"/>
    </xf>
    <xf numFmtId="49" fontId="3" fillId="3" borderId="34" xfId="0" applyNumberFormat="1" applyFont="1" applyFill="1" applyBorder="1" applyAlignment="1">
      <alignment horizontal="center" vertical="center" wrapText="1"/>
    </xf>
    <xf numFmtId="165" fontId="4" fillId="2" borderId="4" xfId="0" applyNumberFormat="1" applyFont="1" applyFill="1" applyBorder="1" applyAlignment="1">
      <alignment horizontal="right" vertical="center"/>
    </xf>
    <xf numFmtId="49" fontId="3" fillId="3" borderId="6" xfId="0" applyNumberFormat="1" applyFont="1" applyFill="1" applyBorder="1" applyAlignment="1">
      <alignment horizontal="right" vertical="center" wrapText="1"/>
    </xf>
    <xf numFmtId="0" fontId="0" fillId="2" borderId="41" xfId="0" applyFill="1" applyBorder="1"/>
    <xf numFmtId="166" fontId="0" fillId="2" borderId="42" xfId="0" applyNumberFormat="1" applyFill="1" applyBorder="1" applyAlignment="1">
      <alignment horizontal="center" vertical="center"/>
    </xf>
    <xf numFmtId="49" fontId="3" fillId="3" borderId="43" xfId="0" applyNumberFormat="1" applyFont="1" applyFill="1" applyBorder="1" applyAlignment="1">
      <alignment horizontal="center" vertical="center" wrapText="1"/>
    </xf>
    <xf numFmtId="49" fontId="5" fillId="2" borderId="37" xfId="0" applyNumberFormat="1" applyFont="1" applyFill="1" applyBorder="1" applyAlignment="1">
      <alignment horizontal="left" vertical="top" wrapText="1"/>
    </xf>
    <xf numFmtId="0" fontId="0" fillId="0" borderId="19" xfId="0" applyBorder="1"/>
    <xf numFmtId="10" fontId="5" fillId="0" borderId="19" xfId="0" applyNumberFormat="1" applyFont="1" applyBorder="1" applyAlignment="1">
      <alignment horizontal="center" vertical="center"/>
    </xf>
    <xf numFmtId="165" fontId="5" fillId="0" borderId="19" xfId="0" applyNumberFormat="1" applyFont="1" applyBorder="1" applyAlignment="1">
      <alignment horizontal="center" vertical="center"/>
    </xf>
    <xf numFmtId="166" fontId="2" fillId="5" borderId="19" xfId="1" applyNumberFormat="1" applyFont="1" applyFill="1" applyBorder="1" applyAlignment="1">
      <alignment horizontal="center" vertical="center"/>
    </xf>
    <xf numFmtId="1" fontId="13" fillId="0" borderId="19" xfId="0" applyNumberFormat="1" applyFont="1" applyBorder="1" applyAlignment="1">
      <alignment horizontal="center" vertical="center"/>
    </xf>
    <xf numFmtId="166" fontId="0" fillId="0" borderId="19" xfId="0" applyNumberFormat="1" applyBorder="1" applyAlignment="1">
      <alignment vertical="center"/>
    </xf>
    <xf numFmtId="170" fontId="0" fillId="0" borderId="19" xfId="2" applyNumberFormat="1" applyFont="1" applyFill="1" applyBorder="1" applyAlignment="1">
      <alignment vertical="center"/>
    </xf>
    <xf numFmtId="3" fontId="0" fillId="0" borderId="19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9" fontId="0" fillId="0" borderId="0" xfId="0" applyNumberFormat="1"/>
    <xf numFmtId="4" fontId="0" fillId="0" borderId="0" xfId="0" applyNumberFormat="1"/>
    <xf numFmtId="0" fontId="5" fillId="0" borderId="19" xfId="0" applyFont="1" applyBorder="1"/>
    <xf numFmtId="49" fontId="11" fillId="3" borderId="44" xfId="0" applyNumberFormat="1" applyFont="1" applyFill="1" applyBorder="1" applyAlignment="1">
      <alignment horizontal="center" vertical="center" wrapText="1"/>
    </xf>
    <xf numFmtId="49" fontId="11" fillId="6" borderId="44" xfId="0" applyNumberFormat="1" applyFont="1" applyFill="1" applyBorder="1" applyAlignment="1">
      <alignment horizontal="center" vertical="center" wrapText="1"/>
    </xf>
    <xf numFmtId="49" fontId="11" fillId="3" borderId="45" xfId="0" applyNumberFormat="1" applyFont="1" applyFill="1" applyBorder="1" applyAlignment="1">
      <alignment horizontal="center" vertical="center" wrapText="1"/>
    </xf>
    <xf numFmtId="169" fontId="11" fillId="2" borderId="46" xfId="0" applyNumberFormat="1" applyFont="1" applyFill="1" applyBorder="1" applyAlignment="1">
      <alignment horizontal="center" vertical="center"/>
    </xf>
    <xf numFmtId="49" fontId="11" fillId="3" borderId="47" xfId="0" applyNumberFormat="1" applyFont="1" applyFill="1" applyBorder="1" applyAlignment="1">
      <alignment horizontal="center" vertical="center"/>
    </xf>
    <xf numFmtId="49" fontId="11" fillId="3" borderId="48" xfId="0" applyNumberFormat="1" applyFont="1" applyFill="1" applyBorder="1" applyAlignment="1">
      <alignment horizontal="center" vertical="center" wrapText="1"/>
    </xf>
    <xf numFmtId="49" fontId="11" fillId="3" borderId="48" xfId="0" applyNumberFormat="1" applyFont="1" applyFill="1" applyBorder="1" applyAlignment="1">
      <alignment horizontal="center" vertical="center"/>
    </xf>
    <xf numFmtId="49" fontId="11" fillId="3" borderId="30" xfId="0" applyNumberFormat="1" applyFont="1" applyFill="1" applyBorder="1" applyAlignment="1">
      <alignment horizontal="center" vertical="center"/>
    </xf>
    <xf numFmtId="0" fontId="2" fillId="2" borderId="49" xfId="0" applyFont="1" applyFill="1" applyBorder="1"/>
    <xf numFmtId="0" fontId="0" fillId="2" borderId="49" xfId="0" applyFill="1" applyBorder="1"/>
    <xf numFmtId="0" fontId="0" fillId="0" borderId="49" xfId="0" applyBorder="1"/>
    <xf numFmtId="169" fontId="0" fillId="2" borderId="1" xfId="0" applyNumberFormat="1" applyFill="1" applyBorder="1"/>
    <xf numFmtId="169" fontId="0" fillId="2" borderId="50" xfId="0" applyNumberFormat="1" applyFill="1" applyBorder="1"/>
    <xf numFmtId="167" fontId="0" fillId="2" borderId="50" xfId="0" applyNumberFormat="1" applyFill="1" applyBorder="1"/>
    <xf numFmtId="0" fontId="0" fillId="2" borderId="50" xfId="0" applyFill="1" applyBorder="1"/>
    <xf numFmtId="0" fontId="0" fillId="2" borderId="53" xfId="0" applyFill="1" applyBorder="1"/>
    <xf numFmtId="0" fontId="1" fillId="0" borderId="0" xfId="0" applyFont="1"/>
    <xf numFmtId="0" fontId="15" fillId="2" borderId="49" xfId="0" applyFont="1" applyFill="1" applyBorder="1" applyAlignment="1">
      <alignment vertical="center"/>
    </xf>
    <xf numFmtId="0" fontId="15" fillId="2" borderId="56" xfId="0" applyFont="1" applyFill="1" applyBorder="1" applyAlignment="1">
      <alignment vertical="center"/>
    </xf>
    <xf numFmtId="0" fontId="15" fillId="0" borderId="56" xfId="0" applyFont="1" applyBorder="1" applyAlignment="1">
      <alignment vertical="center"/>
    </xf>
    <xf numFmtId="0" fontId="0" fillId="2" borderId="56" xfId="0" applyFill="1" applyBorder="1"/>
    <xf numFmtId="0" fontId="16" fillId="2" borderId="50" xfId="0" applyFont="1" applyFill="1" applyBorder="1"/>
    <xf numFmtId="0" fontId="4" fillId="2" borderId="27" xfId="0" applyFont="1" applyFill="1" applyBorder="1" applyAlignment="1">
      <alignment horizontal="center"/>
    </xf>
    <xf numFmtId="171" fontId="17" fillId="2" borderId="28" xfId="0" applyNumberFormat="1" applyFont="1" applyFill="1" applyBorder="1" applyAlignment="1">
      <alignment horizontal="center"/>
    </xf>
    <xf numFmtId="172" fontId="16" fillId="2" borderId="28" xfId="0" applyNumberFormat="1" applyFont="1" applyFill="1" applyBorder="1" applyAlignment="1">
      <alignment horizontal="center"/>
    </xf>
    <xf numFmtId="49" fontId="9" fillId="2" borderId="57" xfId="0" applyNumberFormat="1" applyFont="1" applyFill="1" applyBorder="1" applyAlignment="1">
      <alignment horizontal="right"/>
    </xf>
    <xf numFmtId="0" fontId="2" fillId="2" borderId="59" xfId="0" applyFont="1" applyFill="1" applyBorder="1"/>
    <xf numFmtId="49" fontId="9" fillId="2" borderId="61" xfId="0" applyNumberFormat="1" applyFont="1" applyFill="1" applyBorder="1" applyAlignment="1">
      <alignment horizontal="right" vertical="center"/>
    </xf>
    <xf numFmtId="165" fontId="0" fillId="0" borderId="19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9" fontId="11" fillId="3" borderId="64" xfId="0" applyNumberFormat="1" applyFont="1" applyFill="1" applyBorder="1" applyAlignment="1">
      <alignment horizontal="center" vertical="center" wrapText="1"/>
    </xf>
    <xf numFmtId="0" fontId="0" fillId="0" borderId="65" xfId="0" applyBorder="1"/>
    <xf numFmtId="49" fontId="11" fillId="3" borderId="19" xfId="0" applyNumberFormat="1" applyFont="1" applyFill="1" applyBorder="1" applyAlignment="1">
      <alignment horizontal="center" vertical="center" wrapText="1"/>
    </xf>
    <xf numFmtId="2" fontId="0" fillId="0" borderId="19" xfId="0" applyNumberFormat="1" applyBorder="1" applyAlignment="1">
      <alignment horizontal="center"/>
    </xf>
    <xf numFmtId="166" fontId="0" fillId="0" borderId="19" xfId="0" applyNumberFormat="1" applyBorder="1" applyAlignment="1">
      <alignment horizontal="center"/>
    </xf>
    <xf numFmtId="44" fontId="0" fillId="0" borderId="19" xfId="0" applyNumberFormat="1" applyBorder="1" applyAlignment="1">
      <alignment horizontal="center"/>
    </xf>
    <xf numFmtId="3" fontId="0" fillId="0" borderId="0" xfId="0" applyNumberFormat="1" applyAlignment="1">
      <alignment horizontal="center" vertical="center"/>
    </xf>
    <xf numFmtId="3" fontId="0" fillId="0" borderId="66" xfId="0" applyNumberFormat="1" applyBorder="1" applyAlignment="1">
      <alignment horizontal="center" vertical="center"/>
    </xf>
    <xf numFmtId="173" fontId="0" fillId="0" borderId="19" xfId="0" applyNumberFormat="1" applyBorder="1" applyAlignment="1">
      <alignment horizontal="center" vertical="center"/>
    </xf>
    <xf numFmtId="173" fontId="21" fillId="0" borderId="19" xfId="0" applyNumberFormat="1" applyFont="1" applyBorder="1" applyAlignment="1">
      <alignment horizontal="center" vertical="center"/>
    </xf>
    <xf numFmtId="173" fontId="22" fillId="0" borderId="19" xfId="0" applyNumberFormat="1" applyFont="1" applyBorder="1" applyAlignment="1">
      <alignment horizontal="center" vertical="center"/>
    </xf>
    <xf numFmtId="173" fontId="0" fillId="0" borderId="0" xfId="0" applyNumberFormat="1" applyAlignment="1">
      <alignment horizontal="center" vertical="center"/>
    </xf>
    <xf numFmtId="173" fontId="20" fillId="0" borderId="19" xfId="0" applyNumberFormat="1" applyFont="1" applyBorder="1" applyAlignment="1">
      <alignment horizontal="center" vertical="center"/>
    </xf>
    <xf numFmtId="165" fontId="2" fillId="2" borderId="34" xfId="0" applyNumberFormat="1" applyFont="1" applyFill="1" applyBorder="1" applyAlignment="1">
      <alignment horizontal="center" vertical="center"/>
    </xf>
    <xf numFmtId="165" fontId="2" fillId="2" borderId="57" xfId="0" applyNumberFormat="1" applyFont="1" applyFill="1" applyBorder="1" applyAlignment="1">
      <alignment horizontal="center" vertical="center"/>
    </xf>
    <xf numFmtId="164" fontId="8" fillId="2" borderId="52" xfId="0" applyNumberFormat="1" applyFont="1" applyFill="1" applyBorder="1" applyAlignment="1">
      <alignment horizontal="center" vertical="center" wrapText="1"/>
    </xf>
    <xf numFmtId="0" fontId="2" fillId="2" borderId="36" xfId="0" applyFont="1" applyFill="1" applyBorder="1"/>
    <xf numFmtId="166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/>
    </xf>
    <xf numFmtId="168" fontId="2" fillId="2" borderId="0" xfId="0" applyNumberFormat="1" applyFont="1" applyFill="1" applyAlignment="1">
      <alignment horizontal="center" vertical="center" wrapText="1"/>
    </xf>
    <xf numFmtId="49" fontId="11" fillId="4" borderId="19" xfId="0" applyNumberFormat="1" applyFont="1" applyFill="1" applyBorder="1" applyAlignment="1">
      <alignment horizontal="center" vertical="center" wrapText="1"/>
    </xf>
    <xf numFmtId="44" fontId="0" fillId="4" borderId="19" xfId="0" applyNumberFormat="1" applyFill="1" applyBorder="1" applyAlignment="1">
      <alignment horizontal="center"/>
    </xf>
    <xf numFmtId="10" fontId="0" fillId="0" borderId="19" xfId="0" applyNumberFormat="1" applyBorder="1" applyAlignment="1">
      <alignment horizontal="center"/>
    </xf>
    <xf numFmtId="10" fontId="0" fillId="0" borderId="0" xfId="0" applyNumberFormat="1"/>
    <xf numFmtId="10" fontId="0" fillId="0" borderId="19" xfId="3" applyNumberFormat="1" applyFont="1" applyBorder="1" applyAlignment="1">
      <alignment horizontal="center"/>
    </xf>
    <xf numFmtId="10" fontId="0" fillId="0" borderId="19" xfId="0" applyNumberFormat="1" applyBorder="1"/>
    <xf numFmtId="49" fontId="19" fillId="2" borderId="63" xfId="0" applyNumberFormat="1" applyFont="1" applyFill="1" applyBorder="1" applyAlignment="1">
      <alignment horizontal="center"/>
    </xf>
    <xf numFmtId="0" fontId="19" fillId="2" borderId="2" xfId="0" applyFont="1" applyFill="1" applyBorder="1" applyAlignment="1">
      <alignment horizontal="center"/>
    </xf>
    <xf numFmtId="0" fontId="19" fillId="2" borderId="62" xfId="0" applyFont="1" applyFill="1" applyBorder="1" applyAlignment="1">
      <alignment horizontal="center"/>
    </xf>
    <xf numFmtId="14" fontId="9" fillId="2" borderId="60" xfId="0" applyNumberFormat="1" applyFont="1" applyFill="1" applyBorder="1" applyAlignment="1">
      <alignment horizontal="center" vertical="center"/>
    </xf>
    <xf numFmtId="49" fontId="18" fillId="2" borderId="58" xfId="0" applyNumberFormat="1" applyFont="1" applyFill="1" applyBorder="1" applyAlignment="1">
      <alignment horizontal="center"/>
    </xf>
    <xf numFmtId="0" fontId="18" fillId="2" borderId="15" xfId="0" applyFont="1" applyFill="1" applyBorder="1" applyAlignment="1">
      <alignment horizontal="center"/>
    </xf>
    <xf numFmtId="0" fontId="18" fillId="2" borderId="14" xfId="0" applyFont="1" applyFill="1" applyBorder="1" applyAlignment="1">
      <alignment horizontal="center"/>
    </xf>
    <xf numFmtId="49" fontId="9" fillId="2" borderId="55" xfId="0" applyNumberFormat="1" applyFont="1" applyFill="1" applyBorder="1" applyAlignment="1">
      <alignment horizontal="center" vertical="center" wrapText="1"/>
    </xf>
    <xf numFmtId="0" fontId="9" fillId="2" borderId="50" xfId="0" applyFont="1" applyFill="1" applyBorder="1" applyAlignment="1">
      <alignment horizontal="center" vertical="center" wrapText="1"/>
    </xf>
    <xf numFmtId="0" fontId="9" fillId="2" borderId="54" xfId="0" applyFont="1" applyFill="1" applyBorder="1" applyAlignment="1">
      <alignment horizontal="center" vertical="center" wrapText="1"/>
    </xf>
    <xf numFmtId="49" fontId="9" fillId="2" borderId="52" xfId="0" applyNumberFormat="1" applyFont="1" applyFill="1" applyBorder="1" applyAlignment="1">
      <alignment horizontal="center" vertical="center"/>
    </xf>
    <xf numFmtId="49" fontId="9" fillId="2" borderId="51" xfId="0" applyNumberFormat="1" applyFont="1" applyFill="1" applyBorder="1" applyAlignment="1">
      <alignment horizontal="center" vertical="center"/>
    </xf>
    <xf numFmtId="49" fontId="9" fillId="2" borderId="18" xfId="0" applyNumberFormat="1" applyFont="1" applyFill="1" applyBorder="1" applyAlignment="1">
      <alignment horizontal="center" vertical="center"/>
    </xf>
  </cellXfs>
  <cellStyles count="4">
    <cellStyle name="Comma 2" xfId="2" xr:uid="{D6D6B7F2-12D3-824E-9AFC-4FDE72E577BA}"/>
    <cellStyle name="Normal" xfId="0" builtinId="0"/>
    <cellStyle name="Normal 2" xfId="1" xr:uid="{1FE5DAFF-1F2E-CF4A-BA20-D42300F5444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E2962-20FA-A742-99C7-19665A747A94}">
  <dimension ref="A1:AQ87"/>
  <sheetViews>
    <sheetView tabSelected="1" workbookViewId="0">
      <selection sqref="A1:S1"/>
    </sheetView>
  </sheetViews>
  <sheetFormatPr defaultColWidth="14.5" defaultRowHeight="15.75"/>
  <cols>
    <col min="1" max="1" width="8.375" customWidth="1"/>
    <col min="2" max="2" width="55.5" customWidth="1"/>
    <col min="3" max="3" width="6.875" customWidth="1"/>
    <col min="4" max="4" width="7.5" customWidth="1"/>
    <col min="5" max="6" width="7.875" customWidth="1"/>
    <col min="7" max="7" width="10.375" customWidth="1"/>
    <col min="8" max="8" width="7.875" customWidth="1"/>
    <col min="9" max="9" width="10.5" customWidth="1"/>
    <col min="10" max="10" width="11.125" customWidth="1"/>
    <col min="11" max="12" width="11.5" customWidth="1"/>
    <col min="13" max="13" width="2.5" customWidth="1"/>
    <col min="14" max="14" width="10.625" customWidth="1"/>
    <col min="15" max="15" width="8.125" customWidth="1"/>
    <col min="16" max="16" width="11.125" customWidth="1"/>
    <col min="17" max="17" width="12.125" customWidth="1"/>
    <col min="18" max="18" width="10.875" customWidth="1"/>
    <col min="19" max="19" width="10.125" customWidth="1"/>
    <col min="20" max="20" width="8.875" customWidth="1"/>
    <col min="21" max="21" width="12.125" customWidth="1"/>
    <col min="22" max="22" width="11.125" customWidth="1"/>
    <col min="23" max="23" width="9.125" style="1" customWidth="1"/>
    <col min="24" max="25" width="14.5" style="97" customWidth="1"/>
    <col min="26" max="27" width="14.5" style="97"/>
    <col min="28" max="28" width="14.5" style="100"/>
    <col min="29" max="29" width="14.5" style="97"/>
    <col min="30" max="30" width="17.375" style="97" customWidth="1"/>
    <col min="31" max="31" width="17" style="97" customWidth="1"/>
  </cols>
  <sheetData>
    <row r="1" spans="1:43" ht="32.25">
      <c r="A1" s="128" t="s">
        <v>64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30"/>
      <c r="T1" s="95" t="s">
        <v>63</v>
      </c>
      <c r="U1" s="131"/>
      <c r="V1" s="131"/>
      <c r="W1" s="94"/>
      <c r="Z1" s="98"/>
      <c r="AA1" s="98"/>
      <c r="AB1" s="99"/>
      <c r="AC1" s="98"/>
      <c r="AD1" s="98"/>
      <c r="AE1" s="98"/>
      <c r="AF1" s="84"/>
      <c r="AG1" s="84"/>
      <c r="AH1" s="84"/>
      <c r="AI1" s="84"/>
      <c r="AJ1" s="84"/>
      <c r="AK1" s="84"/>
    </row>
    <row r="2" spans="1:43" ht="32.25" thickBot="1">
      <c r="A2" s="132" t="s">
        <v>62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4"/>
      <c r="T2" s="93" t="s">
        <v>61</v>
      </c>
      <c r="U2" s="92">
        <v>3.16</v>
      </c>
      <c r="V2" s="91"/>
      <c r="W2" s="90"/>
      <c r="AD2" s="98"/>
      <c r="AE2" s="98"/>
      <c r="AF2" s="84"/>
      <c r="AG2" s="84"/>
      <c r="AH2" s="84"/>
      <c r="AI2" s="84"/>
      <c r="AJ2" s="84"/>
      <c r="AK2" s="84"/>
      <c r="AL2" s="84"/>
      <c r="AM2" s="84"/>
    </row>
    <row r="3" spans="1:43" ht="24" thickBot="1">
      <c r="A3" s="82"/>
      <c r="B3" s="89" t="s">
        <v>60</v>
      </c>
      <c r="C3" s="82"/>
      <c r="D3" s="82"/>
      <c r="E3" s="81"/>
      <c r="F3" s="81"/>
      <c r="G3" s="81"/>
      <c r="H3" s="81"/>
      <c r="I3" s="81"/>
      <c r="J3" s="81"/>
      <c r="K3" s="81"/>
      <c r="L3" s="80"/>
      <c r="M3" s="6"/>
      <c r="N3" s="88"/>
      <c r="O3" s="86"/>
      <c r="P3" s="86"/>
      <c r="Q3" s="86"/>
      <c r="R3" s="87"/>
      <c r="S3" s="86"/>
      <c r="T3" s="85"/>
      <c r="U3" s="85"/>
      <c r="V3" s="85"/>
      <c r="W3" s="76"/>
      <c r="Y3" s="98"/>
      <c r="AL3" s="65"/>
      <c r="AM3" s="66"/>
      <c r="AP3" s="56"/>
    </row>
    <row r="4" spans="1:43" ht="27" thickBot="1">
      <c r="A4" s="135" t="s">
        <v>59</v>
      </c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7"/>
      <c r="M4" s="83"/>
      <c r="N4" s="138" t="s">
        <v>58</v>
      </c>
      <c r="O4" s="139"/>
      <c r="P4" s="139"/>
      <c r="Q4" s="139"/>
      <c r="R4" s="139"/>
      <c r="S4" s="139"/>
      <c r="T4" s="139"/>
      <c r="U4" s="139"/>
      <c r="V4" s="139"/>
      <c r="W4" s="140"/>
      <c r="AL4" s="65"/>
      <c r="AM4" s="66"/>
      <c r="AP4" s="56"/>
    </row>
    <row r="5" spans="1:43" ht="16.5" thickBot="1">
      <c r="A5" s="82"/>
      <c r="B5" s="82"/>
      <c r="C5" s="82"/>
      <c r="D5" s="82"/>
      <c r="E5" s="81"/>
      <c r="F5" s="81"/>
      <c r="G5" s="81"/>
      <c r="H5" s="81"/>
      <c r="I5" s="81"/>
      <c r="J5" s="81"/>
      <c r="K5" s="81"/>
      <c r="L5" s="80"/>
      <c r="M5" s="79"/>
      <c r="N5" s="77"/>
      <c r="O5" s="77"/>
      <c r="P5" s="77"/>
      <c r="Q5" s="77"/>
      <c r="R5" s="78"/>
      <c r="S5" s="77"/>
      <c r="T5" s="77"/>
      <c r="U5" s="77"/>
      <c r="V5" s="77"/>
      <c r="W5" s="76"/>
      <c r="AL5" s="65"/>
      <c r="AM5" s="66"/>
      <c r="AP5" s="5"/>
    </row>
    <row r="6" spans="1:43" ht="93.75">
      <c r="A6" s="75" t="s">
        <v>57</v>
      </c>
      <c r="B6" s="74" t="s">
        <v>56</v>
      </c>
      <c r="C6" s="73" t="s">
        <v>55</v>
      </c>
      <c r="D6" s="73" t="s">
        <v>54</v>
      </c>
      <c r="E6" s="73" t="s">
        <v>53</v>
      </c>
      <c r="F6" s="73" t="s">
        <v>97</v>
      </c>
      <c r="G6" s="73" t="s">
        <v>94</v>
      </c>
      <c r="H6" s="73" t="s">
        <v>84</v>
      </c>
      <c r="I6" s="73" t="s">
        <v>83</v>
      </c>
      <c r="J6" s="73" t="s">
        <v>52</v>
      </c>
      <c r="K6" s="73" t="s">
        <v>51</v>
      </c>
      <c r="L6" s="72" t="s">
        <v>50</v>
      </c>
      <c r="M6" s="71"/>
      <c r="N6" s="70" t="s">
        <v>49</v>
      </c>
      <c r="O6" s="68" t="s">
        <v>48</v>
      </c>
      <c r="P6" s="68" t="s">
        <v>47</v>
      </c>
      <c r="Q6" s="68" t="s">
        <v>46</v>
      </c>
      <c r="R6" s="69" t="s">
        <v>45</v>
      </c>
      <c r="S6" s="68" t="s">
        <v>44</v>
      </c>
      <c r="T6" s="68" t="s">
        <v>43</v>
      </c>
      <c r="U6" s="68" t="s">
        <v>42</v>
      </c>
      <c r="V6" s="68" t="s">
        <v>41</v>
      </c>
      <c r="W6" s="101" t="s">
        <v>40</v>
      </c>
      <c r="X6" s="103" t="s">
        <v>78</v>
      </c>
      <c r="Y6" s="103" t="s">
        <v>105</v>
      </c>
      <c r="Z6" s="122" t="s">
        <v>79</v>
      </c>
      <c r="AA6" s="103" t="s">
        <v>81</v>
      </c>
      <c r="AB6" s="103" t="s">
        <v>104</v>
      </c>
      <c r="AC6" s="103" t="s">
        <v>80</v>
      </c>
      <c r="AD6" s="103" t="s">
        <v>82</v>
      </c>
      <c r="AE6" s="103" t="s">
        <v>106</v>
      </c>
      <c r="AF6" s="103" t="s">
        <v>107</v>
      </c>
      <c r="AG6" s="103" t="s">
        <v>103</v>
      </c>
      <c r="AL6" s="65"/>
      <c r="AM6" s="66"/>
    </row>
    <row r="7" spans="1:43" ht="45" customHeight="1">
      <c r="A7" s="64">
        <v>1</v>
      </c>
      <c r="B7" s="56" t="s">
        <v>39</v>
      </c>
      <c r="C7" s="56">
        <v>1</v>
      </c>
      <c r="D7" s="56">
        <v>6</v>
      </c>
      <c r="E7" s="63">
        <f t="shared" ref="E7:E61" si="0">D7*C7</f>
        <v>6</v>
      </c>
      <c r="F7" s="109" t="s">
        <v>87</v>
      </c>
      <c r="G7" s="109" t="s">
        <v>87</v>
      </c>
      <c r="H7" s="109" t="s">
        <v>87</v>
      </c>
      <c r="I7" s="109" t="s">
        <v>87</v>
      </c>
      <c r="J7" s="110">
        <v>42.335999999999999</v>
      </c>
      <c r="K7" s="62">
        <f t="shared" ref="K7:K61" si="1">J7/D7</f>
        <v>7.056</v>
      </c>
      <c r="L7" s="61">
        <f t="shared" ref="L7:L61" si="2">K7*E7</f>
        <v>42.335999999999999</v>
      </c>
      <c r="M7" s="60"/>
      <c r="N7" s="96">
        <f t="shared" ref="N7:N61" si="3">K7/$U$2</f>
        <v>2.2329113924050632</v>
      </c>
      <c r="O7" s="96">
        <f t="shared" ref="O7:O61" si="4">L7/$U$2</f>
        <v>13.397468354430378</v>
      </c>
      <c r="P7" s="96">
        <f t="shared" ref="P7:P12" si="5">N7*(1+$Q$65+9%)</f>
        <v>2.4338734177215189</v>
      </c>
      <c r="Q7" s="96">
        <f t="shared" ref="Q7:Q61" si="6">P7*E7</f>
        <v>14.603240506329113</v>
      </c>
      <c r="R7" s="59">
        <v>3.5</v>
      </c>
      <c r="S7" s="58">
        <f t="shared" ref="S7:S61" si="7">R7*E7</f>
        <v>21</v>
      </c>
      <c r="T7" s="58">
        <f t="shared" ref="T7:T61" si="8">R7-P7</f>
        <v>1.0661265822784811</v>
      </c>
      <c r="U7" s="58">
        <f t="shared" ref="U7:U61" si="9">T7*E7</f>
        <v>6.3967594936708867</v>
      </c>
      <c r="V7" s="57">
        <f t="shared" ref="V7:V61" si="10">T7/R7</f>
        <v>0.30460759493670891</v>
      </c>
      <c r="W7" s="102"/>
      <c r="X7" s="105">
        <f>R7</f>
        <v>3.5</v>
      </c>
      <c r="Y7" s="124">
        <v>0.16350000000000001</v>
      </c>
      <c r="Z7" s="123">
        <f>X7+(X7*Y7)</f>
        <v>4.0722500000000004</v>
      </c>
      <c r="AA7" s="106">
        <f>(100/109)*AC7</f>
        <v>0.52500000000000036</v>
      </c>
      <c r="AB7" s="104">
        <f>(9/109)*AC7</f>
        <v>4.7250000000000035E-2</v>
      </c>
      <c r="AC7" s="106">
        <f>Z7-X7</f>
        <v>0.57225000000000037</v>
      </c>
      <c r="AD7" s="106">
        <f>Z7-AC7</f>
        <v>3.5</v>
      </c>
      <c r="AE7" s="126">
        <f>(AD7-P7)/AD7</f>
        <v>0.30460759493670891</v>
      </c>
      <c r="AF7" s="127">
        <f>AE7-V7</f>
        <v>0</v>
      </c>
      <c r="AG7" s="56" t="s">
        <v>87</v>
      </c>
      <c r="AL7" s="65"/>
      <c r="AM7" s="66"/>
    </row>
    <row r="8" spans="1:43" ht="45" customHeight="1">
      <c r="A8" s="64">
        <v>2</v>
      </c>
      <c r="B8" s="56" t="s">
        <v>38</v>
      </c>
      <c r="C8" s="56">
        <v>1</v>
      </c>
      <c r="D8" s="56">
        <v>6</v>
      </c>
      <c r="E8" s="63">
        <f t="shared" si="0"/>
        <v>6</v>
      </c>
      <c r="F8" s="109" t="s">
        <v>87</v>
      </c>
      <c r="G8" s="109" t="s">
        <v>87</v>
      </c>
      <c r="H8" s="109" t="s">
        <v>87</v>
      </c>
      <c r="I8" s="109" t="s">
        <v>87</v>
      </c>
      <c r="J8" s="110">
        <v>42.335999999999999</v>
      </c>
      <c r="K8" s="62">
        <f t="shared" si="1"/>
        <v>7.056</v>
      </c>
      <c r="L8" s="61">
        <f t="shared" si="2"/>
        <v>42.335999999999999</v>
      </c>
      <c r="M8" s="60"/>
      <c r="N8" s="96">
        <f t="shared" si="3"/>
        <v>2.2329113924050632</v>
      </c>
      <c r="O8" s="96">
        <f t="shared" si="4"/>
        <v>13.397468354430378</v>
      </c>
      <c r="P8" s="96">
        <f t="shared" si="5"/>
        <v>2.4338734177215189</v>
      </c>
      <c r="Q8" s="96">
        <f t="shared" si="6"/>
        <v>14.603240506329113</v>
      </c>
      <c r="R8" s="59">
        <v>3.5</v>
      </c>
      <c r="S8" s="58">
        <f t="shared" si="7"/>
        <v>21</v>
      </c>
      <c r="T8" s="58">
        <f t="shared" si="8"/>
        <v>1.0661265822784811</v>
      </c>
      <c r="U8" s="58">
        <f t="shared" si="9"/>
        <v>6.3967594936708867</v>
      </c>
      <c r="V8" s="57">
        <f t="shared" si="10"/>
        <v>0.30460759493670891</v>
      </c>
      <c r="W8" s="102"/>
      <c r="X8" s="105">
        <f t="shared" ref="X8:X61" si="11">R8</f>
        <v>3.5</v>
      </c>
      <c r="Y8" s="124">
        <v>0.16350000000000001</v>
      </c>
      <c r="Z8" s="123">
        <f t="shared" ref="Z8:Z61" si="12">X8+(X8*Y8)</f>
        <v>4.0722500000000004</v>
      </c>
      <c r="AA8" s="106">
        <f t="shared" ref="AA8:AA61" si="13">Z8*18%</f>
        <v>0.73300500000000002</v>
      </c>
      <c r="AB8" s="104">
        <f t="shared" ref="AB8:AB61" si="14">AA8*9%</f>
        <v>6.597045E-2</v>
      </c>
      <c r="AC8" s="106">
        <f t="shared" ref="AC8:AC61" si="15">Z8-X8</f>
        <v>0.57225000000000037</v>
      </c>
      <c r="AD8" s="106">
        <f t="shared" ref="AD8:AD61" si="16">Z8-AC8</f>
        <v>3.5</v>
      </c>
      <c r="AE8" s="126">
        <f t="shared" ref="AE8:AE61" si="17">(AD8-P8)/AD8</f>
        <v>0.30460759493670891</v>
      </c>
      <c r="AF8" s="127">
        <f t="shared" ref="AF8:AF61" si="18">AE8-V8</f>
        <v>0</v>
      </c>
      <c r="AG8" s="56" t="s">
        <v>87</v>
      </c>
      <c r="AL8" s="65"/>
    </row>
    <row r="9" spans="1:43" s="5" customFormat="1" ht="45" customHeight="1">
      <c r="A9" s="64">
        <v>3</v>
      </c>
      <c r="B9" s="56" t="s">
        <v>37</v>
      </c>
      <c r="C9" s="56">
        <v>1</v>
      </c>
      <c r="D9" s="67">
        <v>6</v>
      </c>
      <c r="E9" s="63">
        <f t="shared" si="0"/>
        <v>6</v>
      </c>
      <c r="F9" s="109" t="s">
        <v>87</v>
      </c>
      <c r="G9" s="109" t="s">
        <v>87</v>
      </c>
      <c r="H9" s="109" t="s">
        <v>87</v>
      </c>
      <c r="I9" s="109" t="s">
        <v>87</v>
      </c>
      <c r="J9" s="111">
        <v>42.335999999999999</v>
      </c>
      <c r="K9" s="62">
        <f t="shared" si="1"/>
        <v>7.056</v>
      </c>
      <c r="L9" s="61">
        <f t="shared" si="2"/>
        <v>42.335999999999999</v>
      </c>
      <c r="M9" s="60"/>
      <c r="N9" s="96">
        <f t="shared" si="3"/>
        <v>2.2329113924050632</v>
      </c>
      <c r="O9" s="96">
        <f t="shared" si="4"/>
        <v>13.397468354430378</v>
      </c>
      <c r="P9" s="96">
        <f t="shared" si="5"/>
        <v>2.4338734177215189</v>
      </c>
      <c r="Q9" s="96">
        <f t="shared" si="6"/>
        <v>14.603240506329113</v>
      </c>
      <c r="R9" s="59">
        <v>3.5</v>
      </c>
      <c r="S9" s="58">
        <f t="shared" si="7"/>
        <v>21</v>
      </c>
      <c r="T9" s="58">
        <f t="shared" si="8"/>
        <v>1.0661265822784811</v>
      </c>
      <c r="U9" s="58">
        <f t="shared" si="9"/>
        <v>6.3967594936708867</v>
      </c>
      <c r="V9" s="57">
        <f t="shared" si="10"/>
        <v>0.30460759493670891</v>
      </c>
      <c r="W9" s="102"/>
      <c r="X9" s="105">
        <f t="shared" si="11"/>
        <v>3.5</v>
      </c>
      <c r="Y9" s="124">
        <v>0.16350000000000001</v>
      </c>
      <c r="Z9" s="123">
        <f t="shared" si="12"/>
        <v>4.0722500000000004</v>
      </c>
      <c r="AA9" s="106">
        <f t="shared" si="13"/>
        <v>0.73300500000000002</v>
      </c>
      <c r="AB9" s="104">
        <f t="shared" si="14"/>
        <v>6.597045E-2</v>
      </c>
      <c r="AC9" s="106">
        <f t="shared" si="15"/>
        <v>0.57225000000000037</v>
      </c>
      <c r="AD9" s="106">
        <f t="shared" si="16"/>
        <v>3.5</v>
      </c>
      <c r="AE9" s="126">
        <f t="shared" si="17"/>
        <v>0.30460759493670891</v>
      </c>
      <c r="AF9" s="127">
        <f t="shared" si="18"/>
        <v>0</v>
      </c>
      <c r="AG9" s="56" t="s">
        <v>87</v>
      </c>
      <c r="AH9"/>
      <c r="AI9"/>
      <c r="AJ9"/>
      <c r="AK9"/>
      <c r="AL9" s="65"/>
      <c r="AM9" s="66"/>
      <c r="AN9"/>
      <c r="AO9"/>
      <c r="AP9"/>
      <c r="AQ9"/>
    </row>
    <row r="10" spans="1:43" ht="45" customHeight="1">
      <c r="A10" s="64">
        <v>4</v>
      </c>
      <c r="B10" s="56" t="s">
        <v>36</v>
      </c>
      <c r="C10" s="56">
        <v>1</v>
      </c>
      <c r="D10" s="56">
        <v>4</v>
      </c>
      <c r="E10" s="63">
        <f t="shared" si="0"/>
        <v>4</v>
      </c>
      <c r="F10" s="109">
        <f>1401.6/50</f>
        <v>28.031999999999996</v>
      </c>
      <c r="G10" s="109" t="s">
        <v>87</v>
      </c>
      <c r="H10" s="109" t="s">
        <v>87</v>
      </c>
      <c r="I10" s="109">
        <f t="shared" ref="I10:I11" si="19">1499.52/50</f>
        <v>29.990400000000001</v>
      </c>
      <c r="J10" s="109">
        <f>1499.52/50</f>
        <v>29.990400000000001</v>
      </c>
      <c r="K10" s="62">
        <f t="shared" si="1"/>
        <v>7.4976000000000003</v>
      </c>
      <c r="L10" s="61">
        <f t="shared" si="2"/>
        <v>29.990400000000001</v>
      </c>
      <c r="M10" s="60"/>
      <c r="N10" s="96">
        <f t="shared" si="3"/>
        <v>2.3726582278481012</v>
      </c>
      <c r="O10" s="96">
        <f t="shared" si="4"/>
        <v>9.4906329113924048</v>
      </c>
      <c r="P10" s="96">
        <f t="shared" si="5"/>
        <v>2.5861974683544307</v>
      </c>
      <c r="Q10" s="96">
        <f t="shared" si="6"/>
        <v>10.344789873417723</v>
      </c>
      <c r="R10" s="59">
        <v>4.25</v>
      </c>
      <c r="S10" s="58">
        <f t="shared" si="7"/>
        <v>17</v>
      </c>
      <c r="T10" s="58">
        <f t="shared" si="8"/>
        <v>1.6638025316455693</v>
      </c>
      <c r="U10" s="58">
        <f t="shared" si="9"/>
        <v>6.6552101265822774</v>
      </c>
      <c r="V10" s="57">
        <f t="shared" si="10"/>
        <v>0.39148294862248689</v>
      </c>
      <c r="W10" s="102"/>
      <c r="X10" s="105">
        <f t="shared" si="11"/>
        <v>4.25</v>
      </c>
      <c r="Y10" s="124">
        <v>0.16350000000000001</v>
      </c>
      <c r="Z10" s="123">
        <f t="shared" si="12"/>
        <v>4.9448749999999997</v>
      </c>
      <c r="AA10" s="106">
        <f t="shared" si="13"/>
        <v>0.89007749999999997</v>
      </c>
      <c r="AB10" s="104">
        <f t="shared" si="14"/>
        <v>8.0106974999999997E-2</v>
      </c>
      <c r="AC10" s="106">
        <f t="shared" si="15"/>
        <v>0.69487499999999969</v>
      </c>
      <c r="AD10" s="106">
        <f t="shared" si="16"/>
        <v>4.25</v>
      </c>
      <c r="AE10" s="126">
        <f t="shared" si="17"/>
        <v>0.39148294862248689</v>
      </c>
      <c r="AF10" s="127">
        <f t="shared" si="18"/>
        <v>0</v>
      </c>
      <c r="AG10" s="56" t="s">
        <v>87</v>
      </c>
      <c r="AL10" s="65"/>
      <c r="AM10" s="66"/>
    </row>
    <row r="11" spans="1:43" ht="45" customHeight="1">
      <c r="A11" s="64">
        <v>5</v>
      </c>
      <c r="B11" s="56" t="s">
        <v>35</v>
      </c>
      <c r="C11" s="56">
        <v>1</v>
      </c>
      <c r="D11" s="56">
        <v>4</v>
      </c>
      <c r="E11" s="63">
        <f t="shared" si="0"/>
        <v>4</v>
      </c>
      <c r="F11" s="109">
        <f>1401.6/50</f>
        <v>28.031999999999996</v>
      </c>
      <c r="G11" s="109" t="s">
        <v>87</v>
      </c>
      <c r="H11" s="109" t="s">
        <v>87</v>
      </c>
      <c r="I11" s="109">
        <f t="shared" si="19"/>
        <v>29.990400000000001</v>
      </c>
      <c r="J11" s="109">
        <f>1499.52/50</f>
        <v>29.990400000000001</v>
      </c>
      <c r="K11" s="62">
        <f t="shared" si="1"/>
        <v>7.4976000000000003</v>
      </c>
      <c r="L11" s="61">
        <f t="shared" si="2"/>
        <v>29.990400000000001</v>
      </c>
      <c r="M11" s="60"/>
      <c r="N11" s="96">
        <f t="shared" si="3"/>
        <v>2.3726582278481012</v>
      </c>
      <c r="O11" s="96">
        <f t="shared" si="4"/>
        <v>9.4906329113924048</v>
      </c>
      <c r="P11" s="96">
        <f t="shared" si="5"/>
        <v>2.5861974683544307</v>
      </c>
      <c r="Q11" s="96">
        <f t="shared" si="6"/>
        <v>10.344789873417723</v>
      </c>
      <c r="R11" s="59">
        <v>4.25</v>
      </c>
      <c r="S11" s="58">
        <f t="shared" si="7"/>
        <v>17</v>
      </c>
      <c r="T11" s="58">
        <f t="shared" si="8"/>
        <v>1.6638025316455693</v>
      </c>
      <c r="U11" s="58">
        <f t="shared" si="9"/>
        <v>6.6552101265822774</v>
      </c>
      <c r="V11" s="57">
        <f t="shared" si="10"/>
        <v>0.39148294862248689</v>
      </c>
      <c r="W11" s="102"/>
      <c r="X11" s="105">
        <f t="shared" si="11"/>
        <v>4.25</v>
      </c>
      <c r="Y11" s="124">
        <v>0.16350000000000001</v>
      </c>
      <c r="Z11" s="123">
        <f t="shared" si="12"/>
        <v>4.9448749999999997</v>
      </c>
      <c r="AA11" s="106">
        <f t="shared" si="13"/>
        <v>0.89007749999999997</v>
      </c>
      <c r="AB11" s="104">
        <f t="shared" si="14"/>
        <v>8.0106974999999997E-2</v>
      </c>
      <c r="AC11" s="106">
        <f t="shared" si="15"/>
        <v>0.69487499999999969</v>
      </c>
      <c r="AD11" s="106">
        <f t="shared" si="16"/>
        <v>4.25</v>
      </c>
      <c r="AE11" s="126">
        <f t="shared" si="17"/>
        <v>0.39148294862248689</v>
      </c>
      <c r="AF11" s="127">
        <f t="shared" si="18"/>
        <v>0</v>
      </c>
      <c r="AG11" s="56" t="s">
        <v>87</v>
      </c>
      <c r="AL11" s="65"/>
      <c r="AM11" s="66"/>
    </row>
    <row r="12" spans="1:43" ht="45" customHeight="1">
      <c r="A12" s="64">
        <v>6</v>
      </c>
      <c r="B12" s="56" t="s">
        <v>102</v>
      </c>
      <c r="C12" s="56">
        <v>1</v>
      </c>
      <c r="D12" s="56">
        <v>36</v>
      </c>
      <c r="E12" s="63">
        <f t="shared" si="0"/>
        <v>36</v>
      </c>
      <c r="F12" s="109">
        <f>1587.6/25</f>
        <v>63.503999999999998</v>
      </c>
      <c r="G12" s="109" t="s">
        <v>87</v>
      </c>
      <c r="H12" s="109" t="s">
        <v>87</v>
      </c>
      <c r="I12" s="109" t="s">
        <v>87</v>
      </c>
      <c r="J12" s="109">
        <f>1587.6/25</f>
        <v>63.503999999999998</v>
      </c>
      <c r="K12" s="62">
        <f t="shared" ref="K12" si="20">J12/D12</f>
        <v>1.764</v>
      </c>
      <c r="L12" s="61">
        <f t="shared" ref="L12" si="21">K12*E12</f>
        <v>63.503999999999998</v>
      </c>
      <c r="M12" s="60"/>
      <c r="N12" s="96">
        <f t="shared" ref="N12" si="22">K12/$U$2</f>
        <v>0.5582278481012658</v>
      </c>
      <c r="O12" s="96">
        <f t="shared" ref="O12" si="23">L12/$U$2</f>
        <v>20.096202531645567</v>
      </c>
      <c r="P12" s="96">
        <f t="shared" si="5"/>
        <v>0.60846835443037972</v>
      </c>
      <c r="Q12" s="96">
        <f t="shared" ref="Q12" si="24">P12*E12</f>
        <v>21.904860759493669</v>
      </c>
      <c r="R12" s="59">
        <v>4.25</v>
      </c>
      <c r="S12" s="58">
        <f t="shared" ref="S12" si="25">R12*E12</f>
        <v>153</v>
      </c>
      <c r="T12" s="58">
        <f t="shared" ref="T12" si="26">R12-P12</f>
        <v>3.6415316455696205</v>
      </c>
      <c r="U12" s="58">
        <f t="shared" ref="U12" si="27">T12*E12</f>
        <v>131.09513924050634</v>
      </c>
      <c r="V12" s="57">
        <f t="shared" ref="V12" si="28">T12/R12</f>
        <v>0.85683097542814601</v>
      </c>
      <c r="W12" s="102"/>
      <c r="X12" s="105">
        <f t="shared" ref="X12" si="29">R12</f>
        <v>4.25</v>
      </c>
      <c r="Y12" s="124">
        <v>0.16350000000000001</v>
      </c>
      <c r="Z12" s="123">
        <f t="shared" si="12"/>
        <v>4.9448749999999997</v>
      </c>
      <c r="AA12" s="106">
        <f t="shared" ref="AA12" si="30">Z12*18%</f>
        <v>0.89007749999999997</v>
      </c>
      <c r="AB12" s="104">
        <f t="shared" ref="AB12" si="31">AA12*9%</f>
        <v>8.0106974999999997E-2</v>
      </c>
      <c r="AC12" s="106">
        <f t="shared" si="15"/>
        <v>0.69487499999999969</v>
      </c>
      <c r="AD12" s="106">
        <f t="shared" ref="AD12" si="32">Z12-AC12</f>
        <v>4.25</v>
      </c>
      <c r="AE12" s="126">
        <f t="shared" si="17"/>
        <v>0.85683097542814601</v>
      </c>
      <c r="AF12" s="127">
        <f t="shared" si="18"/>
        <v>0</v>
      </c>
      <c r="AG12" s="56" t="s">
        <v>87</v>
      </c>
      <c r="AL12" s="65"/>
      <c r="AM12" s="66"/>
    </row>
    <row r="13" spans="1:43" ht="45" customHeight="1">
      <c r="A13" s="64">
        <v>7</v>
      </c>
      <c r="B13" s="56" t="s">
        <v>95</v>
      </c>
      <c r="C13" s="56">
        <v>1</v>
      </c>
      <c r="D13" s="56">
        <v>18</v>
      </c>
      <c r="E13" s="63">
        <f t="shared" si="0"/>
        <v>18</v>
      </c>
      <c r="F13" s="109">
        <f>828/30</f>
        <v>27.6</v>
      </c>
      <c r="G13" s="109">
        <f>933.12/30</f>
        <v>31.103999999999999</v>
      </c>
      <c r="H13" s="109" t="s">
        <v>87</v>
      </c>
      <c r="I13" s="109" t="s">
        <v>87</v>
      </c>
      <c r="J13" s="109">
        <f>933.12/30</f>
        <v>31.103999999999999</v>
      </c>
      <c r="K13" s="62">
        <f t="shared" ref="K13:K14" si="33">J13/D13</f>
        <v>1.728</v>
      </c>
      <c r="L13" s="61">
        <f t="shared" ref="L13:L14" si="34">K13*E13</f>
        <v>31.103999999999999</v>
      </c>
      <c r="M13" s="60"/>
      <c r="N13" s="96">
        <f t="shared" ref="N13:N14" si="35">K13/$U$2</f>
        <v>0.5468354430379746</v>
      </c>
      <c r="O13" s="96">
        <f t="shared" ref="O13:O14" si="36">L13/$U$2</f>
        <v>9.8430379746835435</v>
      </c>
      <c r="P13" s="96">
        <f t="shared" ref="P13:P14" si="37">N13*(1+$Q$65+9%)</f>
        <v>0.59605063291139238</v>
      </c>
      <c r="Q13" s="96">
        <f t="shared" ref="Q13:Q14" si="38">P13*E13</f>
        <v>10.728911392405063</v>
      </c>
      <c r="R13" s="59">
        <v>4.25</v>
      </c>
      <c r="S13" s="58">
        <f t="shared" ref="S13:S14" si="39">R13*E13</f>
        <v>76.5</v>
      </c>
      <c r="T13" s="58">
        <f t="shared" ref="T13:T14" si="40">R13-P13</f>
        <v>3.6539493670886074</v>
      </c>
      <c r="U13" s="58">
        <f t="shared" ref="U13:U14" si="41">T13*E13</f>
        <v>65.771088607594933</v>
      </c>
      <c r="V13" s="57">
        <f t="shared" ref="V13:V14" si="42">T13/R13</f>
        <v>0.85975279225614287</v>
      </c>
      <c r="W13" s="102"/>
      <c r="X13" s="105">
        <f t="shared" ref="X13:X14" si="43">R13</f>
        <v>4.25</v>
      </c>
      <c r="Y13" s="124">
        <v>0.16350000000000001</v>
      </c>
      <c r="Z13" s="123">
        <f t="shared" si="12"/>
        <v>4.9448749999999997</v>
      </c>
      <c r="AA13" s="106">
        <f t="shared" ref="AA13:AA14" si="44">Z13*18%</f>
        <v>0.89007749999999997</v>
      </c>
      <c r="AB13" s="104">
        <f t="shared" ref="AB13:AB14" si="45">AA13*9%</f>
        <v>8.0106974999999997E-2</v>
      </c>
      <c r="AC13" s="106">
        <f t="shared" si="15"/>
        <v>0.69487499999999969</v>
      </c>
      <c r="AD13" s="106">
        <f t="shared" ref="AD13:AD14" si="46">Z13-AC13</f>
        <v>4.25</v>
      </c>
      <c r="AE13" s="126">
        <f t="shared" si="17"/>
        <v>0.85975279225614287</v>
      </c>
      <c r="AF13" s="127">
        <f t="shared" si="18"/>
        <v>0</v>
      </c>
      <c r="AG13" s="56" t="s">
        <v>87</v>
      </c>
      <c r="AL13" s="65"/>
      <c r="AM13" s="66"/>
    </row>
    <row r="14" spans="1:43" ht="45" customHeight="1">
      <c r="A14" s="64">
        <v>8</v>
      </c>
      <c r="B14" s="56" t="s">
        <v>96</v>
      </c>
      <c r="C14" s="56">
        <v>1</v>
      </c>
      <c r="D14" s="56">
        <v>18</v>
      </c>
      <c r="E14" s="63">
        <f t="shared" ref="E14" si="47">D14*C14</f>
        <v>18</v>
      </c>
      <c r="F14" s="109">
        <f>828/30</f>
        <v>27.6</v>
      </c>
      <c r="G14" s="109">
        <f>933.12/30</f>
        <v>31.103999999999999</v>
      </c>
      <c r="H14" s="109" t="s">
        <v>87</v>
      </c>
      <c r="I14" s="109" t="s">
        <v>87</v>
      </c>
      <c r="J14" s="109">
        <f>933.12/30</f>
        <v>31.103999999999999</v>
      </c>
      <c r="K14" s="62">
        <f t="shared" si="33"/>
        <v>1.728</v>
      </c>
      <c r="L14" s="61">
        <f t="shared" si="34"/>
        <v>31.103999999999999</v>
      </c>
      <c r="M14" s="60"/>
      <c r="N14" s="96">
        <f t="shared" si="35"/>
        <v>0.5468354430379746</v>
      </c>
      <c r="O14" s="96">
        <f t="shared" si="36"/>
        <v>9.8430379746835435</v>
      </c>
      <c r="P14" s="96">
        <f t="shared" si="37"/>
        <v>0.59605063291139238</v>
      </c>
      <c r="Q14" s="96">
        <f t="shared" si="38"/>
        <v>10.728911392405063</v>
      </c>
      <c r="R14" s="59">
        <v>4.25</v>
      </c>
      <c r="S14" s="58">
        <f t="shared" si="39"/>
        <v>76.5</v>
      </c>
      <c r="T14" s="58">
        <f t="shared" si="40"/>
        <v>3.6539493670886074</v>
      </c>
      <c r="U14" s="58">
        <f t="shared" si="41"/>
        <v>65.771088607594933</v>
      </c>
      <c r="V14" s="57">
        <f t="shared" si="42"/>
        <v>0.85975279225614287</v>
      </c>
      <c r="W14" s="102"/>
      <c r="X14" s="105">
        <f t="shared" si="43"/>
        <v>4.25</v>
      </c>
      <c r="Y14" s="124">
        <v>0.16350000000000001</v>
      </c>
      <c r="Z14" s="123">
        <f t="shared" si="12"/>
        <v>4.9448749999999997</v>
      </c>
      <c r="AA14" s="106">
        <f t="shared" si="44"/>
        <v>0.89007749999999997</v>
      </c>
      <c r="AB14" s="104">
        <f t="shared" si="45"/>
        <v>8.0106974999999997E-2</v>
      </c>
      <c r="AC14" s="106">
        <f t="shared" si="15"/>
        <v>0.69487499999999969</v>
      </c>
      <c r="AD14" s="106">
        <f t="shared" si="46"/>
        <v>4.25</v>
      </c>
      <c r="AE14" s="126">
        <f t="shared" si="17"/>
        <v>0.85975279225614287</v>
      </c>
      <c r="AF14" s="127">
        <f t="shared" si="18"/>
        <v>0</v>
      </c>
      <c r="AG14" s="56" t="s">
        <v>87</v>
      </c>
      <c r="AL14" s="65"/>
      <c r="AM14" s="66"/>
    </row>
    <row r="15" spans="1:43" ht="45" customHeight="1">
      <c r="A15" s="64">
        <v>9</v>
      </c>
      <c r="B15" s="56" t="s">
        <v>91</v>
      </c>
      <c r="C15" s="56">
        <v>1</v>
      </c>
      <c r="D15" s="56">
        <v>18</v>
      </c>
      <c r="E15" s="63">
        <f t="shared" si="0"/>
        <v>18</v>
      </c>
      <c r="F15" s="109" t="s">
        <v>87</v>
      </c>
      <c r="G15" s="109">
        <f>1918.08/60</f>
        <v>31.968</v>
      </c>
      <c r="H15" s="109" t="s">
        <v>87</v>
      </c>
      <c r="I15" s="109" t="s">
        <v>87</v>
      </c>
      <c r="J15" s="109">
        <f>1918.08/60</f>
        <v>31.968</v>
      </c>
      <c r="K15" s="62">
        <f t="shared" si="1"/>
        <v>1.776</v>
      </c>
      <c r="L15" s="61">
        <f t="shared" si="2"/>
        <v>31.968</v>
      </c>
      <c r="M15" s="60"/>
      <c r="N15" s="96">
        <f t="shared" si="3"/>
        <v>0.5620253164556962</v>
      </c>
      <c r="O15" s="96">
        <f t="shared" si="4"/>
        <v>10.11645569620253</v>
      </c>
      <c r="P15" s="96">
        <f>N15*(1+$Q$65+9%)</f>
        <v>0.61260759493670891</v>
      </c>
      <c r="Q15" s="96">
        <f t="shared" si="6"/>
        <v>11.026936708860759</v>
      </c>
      <c r="R15" s="59"/>
      <c r="S15" s="58">
        <f t="shared" ref="S15:S17" si="48">R15*E15</f>
        <v>0</v>
      </c>
      <c r="T15" s="58">
        <f t="shared" ref="T15:T17" si="49">R15-P15</f>
        <v>-0.61260759493670891</v>
      </c>
      <c r="U15" s="58">
        <f t="shared" ref="U15:U17" si="50">T15*E15</f>
        <v>-11.026936708860759</v>
      </c>
      <c r="V15" s="57" t="e">
        <f t="shared" ref="V15:V17" si="51">T15/R15</f>
        <v>#DIV/0!</v>
      </c>
      <c r="W15" s="102"/>
      <c r="X15" s="105">
        <f t="shared" ref="X15:X17" si="52">R15</f>
        <v>0</v>
      </c>
      <c r="Y15" s="124">
        <v>0.16350000000000001</v>
      </c>
      <c r="Z15" s="123">
        <f t="shared" si="12"/>
        <v>0</v>
      </c>
      <c r="AA15" s="106">
        <f t="shared" ref="AA15:AA17" si="53">Z15*18%</f>
        <v>0</v>
      </c>
      <c r="AB15" s="104">
        <f t="shared" ref="AB15:AB17" si="54">AA15*9%</f>
        <v>0</v>
      </c>
      <c r="AC15" s="106">
        <f t="shared" si="15"/>
        <v>0</v>
      </c>
      <c r="AD15" s="106">
        <f t="shared" ref="AD15:AD17" si="55">Z15-AC15</f>
        <v>0</v>
      </c>
      <c r="AE15" s="126" t="e">
        <f t="shared" si="17"/>
        <v>#DIV/0!</v>
      </c>
      <c r="AF15" s="127" t="e">
        <f t="shared" si="18"/>
        <v>#DIV/0!</v>
      </c>
      <c r="AG15" s="56" t="s">
        <v>87</v>
      </c>
      <c r="AL15" s="65"/>
      <c r="AM15" s="66"/>
    </row>
    <row r="16" spans="1:43" ht="45" customHeight="1">
      <c r="A16" s="64">
        <v>10</v>
      </c>
      <c r="B16" s="56" t="s">
        <v>92</v>
      </c>
      <c r="C16" s="56">
        <v>1</v>
      </c>
      <c r="D16" s="56">
        <v>18</v>
      </c>
      <c r="E16" s="63">
        <f t="shared" si="0"/>
        <v>18</v>
      </c>
      <c r="F16" s="109" t="s">
        <v>87</v>
      </c>
      <c r="G16" s="109">
        <f>959.04/30</f>
        <v>31.968</v>
      </c>
      <c r="H16" s="109" t="s">
        <v>87</v>
      </c>
      <c r="I16" s="109" t="s">
        <v>87</v>
      </c>
      <c r="J16" s="109">
        <f>959.04/30</f>
        <v>31.968</v>
      </c>
      <c r="K16" s="62">
        <f t="shared" ref="K16" si="56">J16/D16</f>
        <v>1.776</v>
      </c>
      <c r="L16" s="61">
        <f t="shared" ref="L16" si="57">K16*E16</f>
        <v>31.968</v>
      </c>
      <c r="M16" s="60"/>
      <c r="N16" s="96">
        <f t="shared" ref="N16" si="58">K16/$U$2</f>
        <v>0.5620253164556962</v>
      </c>
      <c r="O16" s="96">
        <f t="shared" ref="O16" si="59">L16/$U$2</f>
        <v>10.11645569620253</v>
      </c>
      <c r="P16" s="96">
        <f>N16*(1+$Q$65+9%)</f>
        <v>0.61260759493670891</v>
      </c>
      <c r="Q16" s="96">
        <f t="shared" ref="Q16" si="60">P16*E16</f>
        <v>11.026936708860759</v>
      </c>
      <c r="R16" s="59"/>
      <c r="S16" s="58">
        <f t="shared" si="48"/>
        <v>0</v>
      </c>
      <c r="T16" s="58">
        <f t="shared" si="49"/>
        <v>-0.61260759493670891</v>
      </c>
      <c r="U16" s="58">
        <f t="shared" si="50"/>
        <v>-11.026936708860759</v>
      </c>
      <c r="V16" s="57" t="e">
        <f t="shared" si="51"/>
        <v>#DIV/0!</v>
      </c>
      <c r="W16" s="102"/>
      <c r="X16" s="105">
        <f t="shared" si="52"/>
        <v>0</v>
      </c>
      <c r="Y16" s="124">
        <v>0.16350000000000001</v>
      </c>
      <c r="Z16" s="123">
        <f t="shared" si="12"/>
        <v>0</v>
      </c>
      <c r="AA16" s="106">
        <f t="shared" si="53"/>
        <v>0</v>
      </c>
      <c r="AB16" s="104">
        <f t="shared" si="54"/>
        <v>0</v>
      </c>
      <c r="AC16" s="106">
        <f t="shared" si="15"/>
        <v>0</v>
      </c>
      <c r="AD16" s="106">
        <f t="shared" si="55"/>
        <v>0</v>
      </c>
      <c r="AE16" s="126" t="e">
        <f t="shared" si="17"/>
        <v>#DIV/0!</v>
      </c>
      <c r="AF16" s="127" t="e">
        <f t="shared" si="18"/>
        <v>#DIV/0!</v>
      </c>
      <c r="AG16" s="56" t="s">
        <v>87</v>
      </c>
      <c r="AL16" s="65"/>
      <c r="AM16" s="66"/>
    </row>
    <row r="17" spans="1:39" ht="45" customHeight="1">
      <c r="A17" s="64">
        <v>11</v>
      </c>
      <c r="B17" s="56" t="s">
        <v>93</v>
      </c>
      <c r="C17" s="56">
        <v>1</v>
      </c>
      <c r="D17" s="56">
        <v>18</v>
      </c>
      <c r="E17" s="63">
        <f t="shared" ref="E17" si="61">D17*C17</f>
        <v>18</v>
      </c>
      <c r="F17" s="109" t="s">
        <v>87</v>
      </c>
      <c r="G17" s="109">
        <f>959.04/30</f>
        <v>31.968</v>
      </c>
      <c r="H17" s="109" t="s">
        <v>87</v>
      </c>
      <c r="I17" s="109" t="s">
        <v>87</v>
      </c>
      <c r="J17" s="109">
        <f>959.04/30</f>
        <v>31.968</v>
      </c>
      <c r="K17" s="62">
        <f t="shared" ref="K17" si="62">J17/D17</f>
        <v>1.776</v>
      </c>
      <c r="L17" s="61">
        <f t="shared" ref="L17" si="63">K17*E17</f>
        <v>31.968</v>
      </c>
      <c r="M17" s="60"/>
      <c r="N17" s="96">
        <f t="shared" ref="N17" si="64">K17/$U$2</f>
        <v>0.5620253164556962</v>
      </c>
      <c r="O17" s="96">
        <f t="shared" ref="O17" si="65">L17/$U$2</f>
        <v>10.11645569620253</v>
      </c>
      <c r="P17" s="96">
        <f>N17*(1+$Q$65+9%)</f>
        <v>0.61260759493670891</v>
      </c>
      <c r="Q17" s="96">
        <f t="shared" ref="Q17" si="66">P17*E17</f>
        <v>11.026936708860759</v>
      </c>
      <c r="R17" s="59"/>
      <c r="S17" s="58">
        <f t="shared" si="48"/>
        <v>0</v>
      </c>
      <c r="T17" s="58">
        <f t="shared" si="49"/>
        <v>-0.61260759493670891</v>
      </c>
      <c r="U17" s="58">
        <f t="shared" si="50"/>
        <v>-11.026936708860759</v>
      </c>
      <c r="V17" s="57" t="e">
        <f t="shared" si="51"/>
        <v>#DIV/0!</v>
      </c>
      <c r="W17" s="102"/>
      <c r="X17" s="105">
        <f t="shared" si="52"/>
        <v>0</v>
      </c>
      <c r="Y17" s="124">
        <v>0.16350000000000001</v>
      </c>
      <c r="Z17" s="123">
        <f t="shared" si="12"/>
        <v>0</v>
      </c>
      <c r="AA17" s="106">
        <f t="shared" si="53"/>
        <v>0</v>
      </c>
      <c r="AB17" s="104">
        <f t="shared" si="54"/>
        <v>0</v>
      </c>
      <c r="AC17" s="106">
        <f t="shared" si="15"/>
        <v>0</v>
      </c>
      <c r="AD17" s="106">
        <f t="shared" si="55"/>
        <v>0</v>
      </c>
      <c r="AE17" s="126" t="e">
        <f t="shared" si="17"/>
        <v>#DIV/0!</v>
      </c>
      <c r="AF17" s="127" t="e">
        <f t="shared" si="18"/>
        <v>#DIV/0!</v>
      </c>
      <c r="AG17" s="56" t="s">
        <v>87</v>
      </c>
      <c r="AL17" s="65"/>
      <c r="AM17" s="66"/>
    </row>
    <row r="18" spans="1:39" ht="45" customHeight="1">
      <c r="A18" s="64">
        <v>12</v>
      </c>
      <c r="B18" s="56" t="s">
        <v>86</v>
      </c>
      <c r="C18" s="56">
        <v>1</v>
      </c>
      <c r="D18" s="56">
        <v>15</v>
      </c>
      <c r="E18" s="63">
        <f t="shared" si="0"/>
        <v>15</v>
      </c>
      <c r="F18" s="109" t="s">
        <v>87</v>
      </c>
      <c r="G18" s="109" t="s">
        <v>87</v>
      </c>
      <c r="H18" s="109">
        <f>1866.24/72</f>
        <v>25.92</v>
      </c>
      <c r="I18" s="109" t="s">
        <v>87</v>
      </c>
      <c r="J18" s="109">
        <f>1866.24/72</f>
        <v>25.92</v>
      </c>
      <c r="K18" s="62">
        <f t="shared" si="1"/>
        <v>1.7280000000000002</v>
      </c>
      <c r="L18" s="61">
        <f>J18*E18</f>
        <v>388.8</v>
      </c>
      <c r="M18" s="60"/>
      <c r="N18" s="96">
        <f>J18/$U$2</f>
        <v>8.2025316455696196</v>
      </c>
      <c r="O18" s="96">
        <f t="shared" si="4"/>
        <v>123.03797468354431</v>
      </c>
      <c r="P18" s="96">
        <f t="shared" ref="P18" si="67">N18*(1+$Q$65+9%)</f>
        <v>8.9407594936708854</v>
      </c>
      <c r="Q18" s="96">
        <f t="shared" si="6"/>
        <v>134.11139240506327</v>
      </c>
      <c r="R18" s="59"/>
      <c r="S18" s="58">
        <f t="shared" si="7"/>
        <v>0</v>
      </c>
      <c r="T18" s="58">
        <f t="shared" si="8"/>
        <v>-8.9407594936708854</v>
      </c>
      <c r="U18" s="58">
        <f t="shared" si="9"/>
        <v>-134.11139240506327</v>
      </c>
      <c r="V18" s="57" t="e">
        <f t="shared" si="10"/>
        <v>#DIV/0!</v>
      </c>
      <c r="W18" s="102"/>
      <c r="X18" s="105">
        <f t="shared" ref="X18:X19" si="68">R18</f>
        <v>0</v>
      </c>
      <c r="Y18" s="124">
        <v>0.16350000000000001</v>
      </c>
      <c r="Z18" s="123">
        <f t="shared" si="12"/>
        <v>0</v>
      </c>
      <c r="AA18" s="106">
        <f t="shared" ref="AA18:AA19" si="69">Z18*18%</f>
        <v>0</v>
      </c>
      <c r="AB18" s="104">
        <f t="shared" ref="AB18:AB19" si="70">AA18*9%</f>
        <v>0</v>
      </c>
      <c r="AC18" s="106">
        <f t="shared" si="15"/>
        <v>0</v>
      </c>
      <c r="AD18" s="106">
        <f t="shared" ref="AD18:AD19" si="71">Z18-AC18</f>
        <v>0</v>
      </c>
      <c r="AE18" s="126" t="e">
        <f t="shared" si="17"/>
        <v>#DIV/0!</v>
      </c>
      <c r="AF18" s="127" t="e">
        <f t="shared" si="18"/>
        <v>#DIV/0!</v>
      </c>
      <c r="AG18" s="56" t="s">
        <v>87</v>
      </c>
      <c r="AL18" s="65"/>
      <c r="AM18" s="66"/>
    </row>
    <row r="19" spans="1:39" ht="45" customHeight="1">
      <c r="A19" s="64">
        <v>13</v>
      </c>
      <c r="B19" s="56" t="s">
        <v>85</v>
      </c>
      <c r="C19" s="56">
        <v>1</v>
      </c>
      <c r="D19" s="56">
        <v>15</v>
      </c>
      <c r="E19" s="63">
        <f t="shared" si="0"/>
        <v>15</v>
      </c>
      <c r="F19" s="109" t="s">
        <v>87</v>
      </c>
      <c r="G19" s="109" t="s">
        <v>87</v>
      </c>
      <c r="H19" s="109">
        <f>1866.24/72</f>
        <v>25.92</v>
      </c>
      <c r="I19" s="109" t="s">
        <v>87</v>
      </c>
      <c r="J19" s="109">
        <f>1866.24/72</f>
        <v>25.92</v>
      </c>
      <c r="K19" s="62">
        <f t="shared" si="1"/>
        <v>1.7280000000000002</v>
      </c>
      <c r="L19" s="61">
        <f>J19*E19</f>
        <v>388.8</v>
      </c>
      <c r="M19" s="60"/>
      <c r="N19" s="96">
        <f>J19/$U$2</f>
        <v>8.2025316455696196</v>
      </c>
      <c r="O19" s="96">
        <f t="shared" si="4"/>
        <v>123.03797468354431</v>
      </c>
      <c r="P19" s="96">
        <f>N19*(1+$Q$65+9%)</f>
        <v>8.9407594936708854</v>
      </c>
      <c r="Q19" s="96">
        <f t="shared" si="6"/>
        <v>134.11139240506327</v>
      </c>
      <c r="R19" s="59"/>
      <c r="S19" s="58">
        <f t="shared" si="7"/>
        <v>0</v>
      </c>
      <c r="T19" s="58">
        <f t="shared" si="8"/>
        <v>-8.9407594936708854</v>
      </c>
      <c r="U19" s="58">
        <f t="shared" si="9"/>
        <v>-134.11139240506327</v>
      </c>
      <c r="V19" s="57" t="e">
        <f t="shared" si="10"/>
        <v>#DIV/0!</v>
      </c>
      <c r="W19" s="102"/>
      <c r="X19" s="105">
        <f t="shared" si="68"/>
        <v>0</v>
      </c>
      <c r="Y19" s="124">
        <v>0.16350000000000001</v>
      </c>
      <c r="Z19" s="123">
        <f t="shared" si="12"/>
        <v>0</v>
      </c>
      <c r="AA19" s="106">
        <f t="shared" si="69"/>
        <v>0</v>
      </c>
      <c r="AB19" s="104">
        <f t="shared" si="70"/>
        <v>0</v>
      </c>
      <c r="AC19" s="106">
        <f t="shared" si="15"/>
        <v>0</v>
      </c>
      <c r="AD19" s="106">
        <f t="shared" si="71"/>
        <v>0</v>
      </c>
      <c r="AE19" s="126" t="e">
        <f t="shared" si="17"/>
        <v>#DIV/0!</v>
      </c>
      <c r="AF19" s="127" t="e">
        <f t="shared" si="18"/>
        <v>#DIV/0!</v>
      </c>
      <c r="AG19" s="56" t="s">
        <v>87</v>
      </c>
      <c r="AL19" s="65"/>
      <c r="AM19" s="66"/>
    </row>
    <row r="20" spans="1:39" ht="45" customHeight="1">
      <c r="A20" s="64">
        <v>14</v>
      </c>
      <c r="B20" s="56" t="s">
        <v>85</v>
      </c>
      <c r="C20" s="56">
        <v>1</v>
      </c>
      <c r="D20" s="56">
        <v>15</v>
      </c>
      <c r="E20" s="63">
        <f t="shared" ref="E20:E22" si="72">D20*C20</f>
        <v>15</v>
      </c>
      <c r="F20" s="109" t="s">
        <v>87</v>
      </c>
      <c r="G20" s="109" t="s">
        <v>87</v>
      </c>
      <c r="H20" s="109">
        <f>1866.24/72</f>
        <v>25.92</v>
      </c>
      <c r="I20" s="109" t="s">
        <v>87</v>
      </c>
      <c r="J20" s="109">
        <f>1866.24/72</f>
        <v>25.92</v>
      </c>
      <c r="K20" s="62">
        <f t="shared" ref="K20" si="73">J20/D20</f>
        <v>1.7280000000000002</v>
      </c>
      <c r="L20" s="61">
        <f>J20*E20</f>
        <v>388.8</v>
      </c>
      <c r="M20" s="60"/>
      <c r="N20" s="96">
        <f>J20/$U$2</f>
        <v>8.2025316455696196</v>
      </c>
      <c r="O20" s="96">
        <f t="shared" ref="O20" si="74">L20/$U$2</f>
        <v>123.03797468354431</v>
      </c>
      <c r="P20" s="96">
        <f t="shared" ref="P20" si="75">N20*(1+$Q$65+9%)</f>
        <v>8.9407594936708854</v>
      </c>
      <c r="Q20" s="96">
        <f t="shared" ref="Q20" si="76">P20*E20</f>
        <v>134.11139240506327</v>
      </c>
      <c r="R20" s="59"/>
      <c r="S20" s="58">
        <f t="shared" ref="S20" si="77">R20*E20</f>
        <v>0</v>
      </c>
      <c r="T20" s="58">
        <f t="shared" ref="T20" si="78">R20-P20</f>
        <v>-8.9407594936708854</v>
      </c>
      <c r="U20" s="58">
        <f t="shared" ref="U20" si="79">T20*E20</f>
        <v>-134.11139240506327</v>
      </c>
      <c r="V20" s="57" t="e">
        <f t="shared" ref="V20" si="80">T20/R20</f>
        <v>#DIV/0!</v>
      </c>
      <c r="W20" s="102"/>
      <c r="X20" s="105">
        <f t="shared" ref="X20" si="81">R20</f>
        <v>0</v>
      </c>
      <c r="Y20" s="124">
        <v>0.16350000000000001</v>
      </c>
      <c r="Z20" s="123">
        <f t="shared" si="12"/>
        <v>0</v>
      </c>
      <c r="AA20" s="106">
        <f t="shared" ref="AA20" si="82">Z20*18%</f>
        <v>0</v>
      </c>
      <c r="AB20" s="104">
        <f t="shared" ref="AB20" si="83">AA20*9%</f>
        <v>0</v>
      </c>
      <c r="AC20" s="106">
        <f t="shared" si="15"/>
        <v>0</v>
      </c>
      <c r="AD20" s="106">
        <f t="shared" ref="AD20" si="84">Z20-AC20</f>
        <v>0</v>
      </c>
      <c r="AE20" s="126" t="e">
        <f t="shared" si="17"/>
        <v>#DIV/0!</v>
      </c>
      <c r="AF20" s="127" t="e">
        <f t="shared" si="18"/>
        <v>#DIV/0!</v>
      </c>
      <c r="AG20" s="56" t="s">
        <v>87</v>
      </c>
      <c r="AL20" s="65"/>
      <c r="AM20" s="66"/>
    </row>
    <row r="21" spans="1:39" ht="45" customHeight="1">
      <c r="A21" s="64">
        <v>15</v>
      </c>
      <c r="B21" s="56" t="s">
        <v>98</v>
      </c>
      <c r="C21" s="56">
        <v>1</v>
      </c>
      <c r="D21" s="56">
        <v>6</v>
      </c>
      <c r="E21" s="63">
        <f t="shared" si="72"/>
        <v>6</v>
      </c>
      <c r="F21" s="109">
        <f>2540.16/60</f>
        <v>42.335999999999999</v>
      </c>
      <c r="G21" s="109" t="s">
        <v>87</v>
      </c>
      <c r="H21" s="109" t="s">
        <v>87</v>
      </c>
      <c r="I21" s="109" t="s">
        <v>87</v>
      </c>
      <c r="J21" s="109">
        <f>2540.16/60</f>
        <v>42.335999999999999</v>
      </c>
      <c r="K21" s="62">
        <f t="shared" ref="K21:K23" si="85">J21/D21</f>
        <v>7.056</v>
      </c>
      <c r="L21" s="61">
        <f t="shared" ref="L21:L23" si="86">J21*E21</f>
        <v>254.01599999999999</v>
      </c>
      <c r="M21" s="60"/>
      <c r="N21" s="96">
        <f t="shared" ref="N21:N23" si="87">J21/$U$2</f>
        <v>13.397468354430378</v>
      </c>
      <c r="O21" s="96">
        <f t="shared" ref="O21:O23" si="88">L21/$U$2</f>
        <v>80.384810126582266</v>
      </c>
      <c r="P21" s="96">
        <f t="shared" ref="P21:P23" si="89">N21*(1+$Q$65+9%)</f>
        <v>14.603240506329113</v>
      </c>
      <c r="Q21" s="96">
        <f t="shared" ref="Q21:Q23" si="90">P21*E21</f>
        <v>87.619443037974676</v>
      </c>
      <c r="R21" s="59"/>
      <c r="S21" s="58">
        <f t="shared" ref="S21:S23" si="91">R21*E21</f>
        <v>0</v>
      </c>
      <c r="T21" s="58">
        <f t="shared" ref="T21:T23" si="92">R21-P21</f>
        <v>-14.603240506329113</v>
      </c>
      <c r="U21" s="58">
        <f t="shared" ref="U21:U23" si="93">T21*E21</f>
        <v>-87.619443037974676</v>
      </c>
      <c r="V21" s="57" t="e">
        <f t="shared" ref="V21:V23" si="94">T21/R21</f>
        <v>#DIV/0!</v>
      </c>
      <c r="W21" s="102"/>
      <c r="X21" s="105">
        <f t="shared" ref="X21:X23" si="95">R21</f>
        <v>0</v>
      </c>
      <c r="Y21" s="124">
        <v>0.16350000000000001</v>
      </c>
      <c r="Z21" s="123">
        <f t="shared" si="12"/>
        <v>0</v>
      </c>
      <c r="AA21" s="106">
        <f t="shared" ref="AA21:AA23" si="96">Z21*18%</f>
        <v>0</v>
      </c>
      <c r="AB21" s="104">
        <f t="shared" ref="AB21:AB23" si="97">AA21*9%</f>
        <v>0</v>
      </c>
      <c r="AC21" s="106">
        <f t="shared" si="15"/>
        <v>0</v>
      </c>
      <c r="AD21" s="106">
        <f t="shared" ref="AD21:AD23" si="98">Z21-AC21</f>
        <v>0</v>
      </c>
      <c r="AE21" s="126" t="e">
        <f t="shared" si="17"/>
        <v>#DIV/0!</v>
      </c>
      <c r="AF21" s="127" t="e">
        <f t="shared" si="18"/>
        <v>#DIV/0!</v>
      </c>
      <c r="AG21" s="56" t="s">
        <v>87</v>
      </c>
      <c r="AL21" s="65"/>
      <c r="AM21" s="66"/>
    </row>
    <row r="22" spans="1:39" ht="45" customHeight="1">
      <c r="A22" s="64">
        <v>16</v>
      </c>
      <c r="B22" s="56" t="s">
        <v>100</v>
      </c>
      <c r="C22" s="56">
        <v>1</v>
      </c>
      <c r="D22" s="56">
        <v>6</v>
      </c>
      <c r="E22" s="63">
        <f t="shared" si="72"/>
        <v>6</v>
      </c>
      <c r="F22" s="109">
        <f t="shared" ref="F22:F23" si="99">2540.16/60</f>
        <v>42.335999999999999</v>
      </c>
      <c r="G22" s="109" t="s">
        <v>87</v>
      </c>
      <c r="H22" s="109" t="s">
        <v>87</v>
      </c>
      <c r="I22" s="109" t="s">
        <v>87</v>
      </c>
      <c r="J22" s="109">
        <f t="shared" ref="J22:J23" si="100">2540.16/60</f>
        <v>42.335999999999999</v>
      </c>
      <c r="K22" s="62">
        <f t="shared" si="85"/>
        <v>7.056</v>
      </c>
      <c r="L22" s="61">
        <f t="shared" si="86"/>
        <v>254.01599999999999</v>
      </c>
      <c r="M22" s="60"/>
      <c r="N22" s="96">
        <f t="shared" si="87"/>
        <v>13.397468354430378</v>
      </c>
      <c r="O22" s="96">
        <f t="shared" si="88"/>
        <v>80.384810126582266</v>
      </c>
      <c r="P22" s="96">
        <f t="shared" si="89"/>
        <v>14.603240506329113</v>
      </c>
      <c r="Q22" s="96">
        <f t="shared" si="90"/>
        <v>87.619443037974676</v>
      </c>
      <c r="R22" s="59"/>
      <c r="S22" s="58">
        <f t="shared" si="91"/>
        <v>0</v>
      </c>
      <c r="T22" s="58">
        <f t="shared" si="92"/>
        <v>-14.603240506329113</v>
      </c>
      <c r="U22" s="58">
        <f t="shared" si="93"/>
        <v>-87.619443037974676</v>
      </c>
      <c r="V22" s="57" t="e">
        <f t="shared" si="94"/>
        <v>#DIV/0!</v>
      </c>
      <c r="W22" s="102"/>
      <c r="X22" s="105">
        <f t="shared" si="95"/>
        <v>0</v>
      </c>
      <c r="Y22" s="124">
        <v>0.16350000000000001</v>
      </c>
      <c r="Z22" s="123">
        <f t="shared" si="12"/>
        <v>0</v>
      </c>
      <c r="AA22" s="106">
        <f t="shared" si="96"/>
        <v>0</v>
      </c>
      <c r="AB22" s="104">
        <f t="shared" si="97"/>
        <v>0</v>
      </c>
      <c r="AC22" s="106">
        <f t="shared" si="15"/>
        <v>0</v>
      </c>
      <c r="AD22" s="106">
        <f t="shared" si="98"/>
        <v>0</v>
      </c>
      <c r="AE22" s="126" t="e">
        <f t="shared" si="17"/>
        <v>#DIV/0!</v>
      </c>
      <c r="AF22" s="127" t="e">
        <f t="shared" si="18"/>
        <v>#DIV/0!</v>
      </c>
      <c r="AG22" s="56" t="s">
        <v>87</v>
      </c>
      <c r="AL22" s="65"/>
      <c r="AM22" s="66"/>
    </row>
    <row r="23" spans="1:39" ht="45" customHeight="1">
      <c r="A23" s="64">
        <v>17</v>
      </c>
      <c r="B23" s="56" t="s">
        <v>99</v>
      </c>
      <c r="C23" s="56">
        <v>1</v>
      </c>
      <c r="D23" s="56">
        <v>6</v>
      </c>
      <c r="E23" s="63">
        <f t="shared" ref="E23" si="101">D23*C23</f>
        <v>6</v>
      </c>
      <c r="F23" s="109">
        <f t="shared" si="99"/>
        <v>42.335999999999999</v>
      </c>
      <c r="G23" s="109" t="s">
        <v>87</v>
      </c>
      <c r="H23" s="109" t="s">
        <v>87</v>
      </c>
      <c r="I23" s="109" t="s">
        <v>87</v>
      </c>
      <c r="J23" s="109">
        <f t="shared" si="100"/>
        <v>42.335999999999999</v>
      </c>
      <c r="K23" s="62">
        <f t="shared" si="85"/>
        <v>7.056</v>
      </c>
      <c r="L23" s="61">
        <f t="shared" si="86"/>
        <v>254.01599999999999</v>
      </c>
      <c r="M23" s="60"/>
      <c r="N23" s="96">
        <f t="shared" si="87"/>
        <v>13.397468354430378</v>
      </c>
      <c r="O23" s="96">
        <f t="shared" si="88"/>
        <v>80.384810126582266</v>
      </c>
      <c r="P23" s="96">
        <f t="shared" si="89"/>
        <v>14.603240506329113</v>
      </c>
      <c r="Q23" s="96">
        <f t="shared" si="90"/>
        <v>87.619443037974676</v>
      </c>
      <c r="R23" s="59"/>
      <c r="S23" s="58">
        <f t="shared" si="91"/>
        <v>0</v>
      </c>
      <c r="T23" s="58">
        <f t="shared" si="92"/>
        <v>-14.603240506329113</v>
      </c>
      <c r="U23" s="58">
        <f t="shared" si="93"/>
        <v>-87.619443037974676</v>
      </c>
      <c r="V23" s="57" t="e">
        <f t="shared" si="94"/>
        <v>#DIV/0!</v>
      </c>
      <c r="W23" s="102"/>
      <c r="X23" s="105">
        <f t="shared" si="95"/>
        <v>0</v>
      </c>
      <c r="Y23" s="124">
        <v>0.16350000000000001</v>
      </c>
      <c r="Z23" s="123">
        <f t="shared" si="12"/>
        <v>0</v>
      </c>
      <c r="AA23" s="106">
        <f t="shared" si="96"/>
        <v>0</v>
      </c>
      <c r="AB23" s="104">
        <f t="shared" si="97"/>
        <v>0</v>
      </c>
      <c r="AC23" s="106">
        <f t="shared" si="15"/>
        <v>0</v>
      </c>
      <c r="AD23" s="106">
        <f t="shared" si="98"/>
        <v>0</v>
      </c>
      <c r="AE23" s="126" t="e">
        <f t="shared" si="17"/>
        <v>#DIV/0!</v>
      </c>
      <c r="AF23" s="127" t="e">
        <f t="shared" si="18"/>
        <v>#DIV/0!</v>
      </c>
      <c r="AG23" s="56" t="s">
        <v>87</v>
      </c>
      <c r="AL23" s="65"/>
      <c r="AM23" s="66"/>
    </row>
    <row r="24" spans="1:39" ht="45" customHeight="1">
      <c r="A24" s="64">
        <v>18</v>
      </c>
      <c r="B24" s="56" t="s">
        <v>65</v>
      </c>
      <c r="C24" s="56">
        <v>1</v>
      </c>
      <c r="D24" s="56">
        <v>3</v>
      </c>
      <c r="E24" s="63">
        <f t="shared" ref="E24" si="102">D24*C24</f>
        <v>3</v>
      </c>
      <c r="F24" s="109">
        <f>828/30</f>
        <v>27.6</v>
      </c>
      <c r="G24" s="109">
        <f>3312/100</f>
        <v>33.119999999999997</v>
      </c>
      <c r="H24" s="112" t="s">
        <v>87</v>
      </c>
      <c r="I24" s="109">
        <f>2658.96/75</f>
        <v>35.452800000000003</v>
      </c>
      <c r="J24" s="109">
        <f>2658.96/75</f>
        <v>35.452800000000003</v>
      </c>
      <c r="K24" s="62">
        <f t="shared" ref="K24:K27" si="103">J24/D24</f>
        <v>11.817600000000001</v>
      </c>
      <c r="L24" s="61">
        <f t="shared" ref="L24" si="104">K24*E24</f>
        <v>35.452800000000003</v>
      </c>
      <c r="M24" s="60"/>
      <c r="N24" s="96">
        <f t="shared" ref="N24" si="105">K24/$U$2</f>
        <v>3.7397468354430381</v>
      </c>
      <c r="O24" s="96">
        <f t="shared" ref="O24" si="106">L24/$U$2</f>
        <v>11.219240506329115</v>
      </c>
      <c r="P24" s="96">
        <f t="shared" ref="P24" si="107">N24*(1+$Q$65+9%)</f>
        <v>4.0763240506329117</v>
      </c>
      <c r="Q24" s="96">
        <f t="shared" ref="Q24" si="108">P24*E24</f>
        <v>12.228972151898734</v>
      </c>
      <c r="R24" s="59">
        <v>6.5</v>
      </c>
      <c r="S24" s="58">
        <f t="shared" ref="S24" si="109">R24*E24</f>
        <v>19.5</v>
      </c>
      <c r="T24" s="58">
        <f t="shared" ref="T24" si="110">R24-P24</f>
        <v>2.4236759493670883</v>
      </c>
      <c r="U24" s="58">
        <f t="shared" ref="U24" si="111">T24*E24</f>
        <v>7.2710278481012649</v>
      </c>
      <c r="V24" s="57">
        <f t="shared" ref="V24" si="112">T24/R24</f>
        <v>0.37287322297955205</v>
      </c>
      <c r="W24" s="102"/>
      <c r="X24" s="105">
        <f t="shared" si="11"/>
        <v>6.5</v>
      </c>
      <c r="Y24" s="124">
        <v>0.16350000000000001</v>
      </c>
      <c r="Z24" s="123">
        <f t="shared" si="12"/>
        <v>7.5627500000000003</v>
      </c>
      <c r="AA24" s="106">
        <f t="shared" si="13"/>
        <v>1.3612949999999999</v>
      </c>
      <c r="AB24" s="104">
        <f t="shared" si="14"/>
        <v>0.12251654999999999</v>
      </c>
      <c r="AC24" s="106">
        <f t="shared" si="15"/>
        <v>1.0627500000000003</v>
      </c>
      <c r="AD24" s="106">
        <f t="shared" si="16"/>
        <v>6.5</v>
      </c>
      <c r="AE24" s="126">
        <f t="shared" si="17"/>
        <v>0.37287322297955205</v>
      </c>
      <c r="AF24" s="127">
        <f t="shared" si="18"/>
        <v>0</v>
      </c>
      <c r="AG24" s="56" t="s">
        <v>87</v>
      </c>
      <c r="AL24" s="65"/>
      <c r="AM24" s="66"/>
    </row>
    <row r="25" spans="1:39" ht="45" customHeight="1">
      <c r="A25" s="64">
        <v>19</v>
      </c>
      <c r="B25" s="56" t="s">
        <v>66</v>
      </c>
      <c r="C25" s="56">
        <v>1</v>
      </c>
      <c r="D25" s="56">
        <v>3</v>
      </c>
      <c r="E25" s="63">
        <f t="shared" ref="E25:E28" si="113">D25*C25</f>
        <v>3</v>
      </c>
      <c r="F25" s="109">
        <f>828/30</f>
        <v>27.6</v>
      </c>
      <c r="G25" s="109">
        <f>3312/100</f>
        <v>33.119999999999997</v>
      </c>
      <c r="H25" s="112" t="s">
        <v>87</v>
      </c>
      <c r="I25" s="109">
        <f>2658.96/75</f>
        <v>35.452800000000003</v>
      </c>
      <c r="J25" s="109">
        <f>2658.96/75</f>
        <v>35.452800000000003</v>
      </c>
      <c r="K25" s="62">
        <f t="shared" si="103"/>
        <v>11.817600000000001</v>
      </c>
      <c r="L25" s="61">
        <f t="shared" ref="L25:L27" si="114">K25*E25</f>
        <v>35.452800000000003</v>
      </c>
      <c r="M25" s="60"/>
      <c r="N25" s="96">
        <f t="shared" ref="N25:N27" si="115">K25/$U$2</f>
        <v>3.7397468354430381</v>
      </c>
      <c r="O25" s="96">
        <f t="shared" ref="O25:O27" si="116">L25/$U$2</f>
        <v>11.219240506329115</v>
      </c>
      <c r="P25" s="96">
        <f t="shared" ref="P25:P27" si="117">N25*(1+$Q$65+9%)</f>
        <v>4.0763240506329117</v>
      </c>
      <c r="Q25" s="96">
        <f t="shared" ref="Q25:Q27" si="118">P25*E25</f>
        <v>12.228972151898734</v>
      </c>
      <c r="R25" s="59">
        <v>6.5</v>
      </c>
      <c r="S25" s="58">
        <f t="shared" ref="S25:S27" si="119">R25*E25</f>
        <v>19.5</v>
      </c>
      <c r="T25" s="58">
        <f t="shared" ref="T25:T27" si="120">R25-P25</f>
        <v>2.4236759493670883</v>
      </c>
      <c r="U25" s="58">
        <f t="shared" ref="U25:U27" si="121">T25*E25</f>
        <v>7.2710278481012649</v>
      </c>
      <c r="V25" s="57">
        <f t="shared" ref="V25:V27" si="122">T25/R25</f>
        <v>0.37287322297955205</v>
      </c>
      <c r="W25" s="102"/>
      <c r="X25" s="105">
        <f t="shared" si="11"/>
        <v>6.5</v>
      </c>
      <c r="Y25" s="124">
        <v>0.16350000000000001</v>
      </c>
      <c r="Z25" s="123">
        <f t="shared" si="12"/>
        <v>7.5627500000000003</v>
      </c>
      <c r="AA25" s="106">
        <f t="shared" si="13"/>
        <v>1.3612949999999999</v>
      </c>
      <c r="AB25" s="104">
        <f t="shared" si="14"/>
        <v>0.12251654999999999</v>
      </c>
      <c r="AC25" s="106">
        <f t="shared" si="15"/>
        <v>1.0627500000000003</v>
      </c>
      <c r="AD25" s="106">
        <f t="shared" si="16"/>
        <v>6.5</v>
      </c>
      <c r="AE25" s="126">
        <f t="shared" si="17"/>
        <v>0.37287322297955205</v>
      </c>
      <c r="AF25" s="127">
        <f t="shared" si="18"/>
        <v>0</v>
      </c>
      <c r="AG25" s="56" t="s">
        <v>87</v>
      </c>
      <c r="AL25" s="65"/>
      <c r="AM25" s="66"/>
    </row>
    <row r="26" spans="1:39" ht="45" customHeight="1">
      <c r="A26" s="64">
        <v>20</v>
      </c>
      <c r="B26" s="56" t="s">
        <v>101</v>
      </c>
      <c r="C26" s="56">
        <v>1</v>
      </c>
      <c r="D26" s="56">
        <v>24</v>
      </c>
      <c r="E26" s="63">
        <f t="shared" ref="E26" si="123">D26*C26</f>
        <v>24</v>
      </c>
      <c r="F26" s="109">
        <f>1700.35/41</f>
        <v>41.471951219512192</v>
      </c>
      <c r="G26" s="109" t="s">
        <v>87</v>
      </c>
      <c r="H26" s="109" t="s">
        <v>87</v>
      </c>
      <c r="I26" s="109" t="s">
        <v>87</v>
      </c>
      <c r="J26" s="109">
        <f>1667.52/50</f>
        <v>33.3504</v>
      </c>
      <c r="K26" s="62">
        <f t="shared" ref="K26" si="124">J26/D26</f>
        <v>1.3895999999999999</v>
      </c>
      <c r="L26" s="61">
        <f t="shared" ref="L26" si="125">K26*E26</f>
        <v>33.3504</v>
      </c>
      <c r="M26" s="60"/>
      <c r="N26" s="96">
        <f t="shared" ref="N26" si="126">K26/$U$2</f>
        <v>0.43974683544303794</v>
      </c>
      <c r="O26" s="96">
        <f t="shared" ref="O26" si="127">L26/$U$2</f>
        <v>10.553924050632912</v>
      </c>
      <c r="P26" s="96">
        <f t="shared" ref="P26" si="128">N26*(1+$Q$65+9%)</f>
        <v>0.47932405063291139</v>
      </c>
      <c r="Q26" s="96">
        <f t="shared" ref="Q26" si="129">P26*E26</f>
        <v>11.503777215189874</v>
      </c>
      <c r="R26" s="59">
        <v>1.1000000000000001</v>
      </c>
      <c r="S26" s="58">
        <f t="shared" ref="S26" si="130">R26*E26</f>
        <v>26.400000000000002</v>
      </c>
      <c r="T26" s="58">
        <f t="shared" ref="T26" si="131">R26-P26</f>
        <v>0.6206759493670887</v>
      </c>
      <c r="U26" s="58">
        <f t="shared" ref="U26" si="132">T26*E26</f>
        <v>14.896222784810128</v>
      </c>
      <c r="V26" s="57">
        <f t="shared" ref="V26" si="133">T26/R26</f>
        <v>0.5642508630609897</v>
      </c>
      <c r="W26" s="102"/>
      <c r="X26" s="105">
        <f t="shared" ref="X26" si="134">R26</f>
        <v>1.1000000000000001</v>
      </c>
      <c r="Y26" s="124">
        <v>0.16350000000000001</v>
      </c>
      <c r="Z26" s="123">
        <f t="shared" si="12"/>
        <v>1.2798500000000002</v>
      </c>
      <c r="AA26" s="106">
        <f t="shared" ref="AA26" si="135">Z26*18%</f>
        <v>0.23037300000000002</v>
      </c>
      <c r="AB26" s="104">
        <f t="shared" ref="AB26" si="136">AA26*9%</f>
        <v>2.073357E-2</v>
      </c>
      <c r="AC26" s="106">
        <f t="shared" si="15"/>
        <v>0.17985000000000007</v>
      </c>
      <c r="AD26" s="106">
        <f t="shared" ref="AD26" si="137">Z26-AC26</f>
        <v>1.1000000000000001</v>
      </c>
      <c r="AE26" s="126">
        <f t="shared" si="17"/>
        <v>0.5642508630609897</v>
      </c>
      <c r="AF26" s="127">
        <f t="shared" si="18"/>
        <v>0</v>
      </c>
      <c r="AG26" s="56" t="s">
        <v>87</v>
      </c>
      <c r="AL26" s="65"/>
      <c r="AM26" s="66"/>
    </row>
    <row r="27" spans="1:39" ht="45" customHeight="1">
      <c r="A27" s="64">
        <v>21</v>
      </c>
      <c r="B27" s="56" t="s">
        <v>68</v>
      </c>
      <c r="C27" s="56">
        <v>1</v>
      </c>
      <c r="D27" s="56">
        <v>18</v>
      </c>
      <c r="E27" s="63">
        <f t="shared" si="113"/>
        <v>18</v>
      </c>
      <c r="F27" s="109" t="s">
        <v>87</v>
      </c>
      <c r="G27" s="109">
        <f>1555.2/50</f>
        <v>31.103999999999999</v>
      </c>
      <c r="H27" s="109" t="s">
        <v>87</v>
      </c>
      <c r="I27" s="109">
        <f>1667.52/50</f>
        <v>33.3504</v>
      </c>
      <c r="J27" s="109">
        <f>1667.52/50</f>
        <v>33.3504</v>
      </c>
      <c r="K27" s="62">
        <f t="shared" si="103"/>
        <v>1.8528</v>
      </c>
      <c r="L27" s="61">
        <f t="shared" si="114"/>
        <v>33.3504</v>
      </c>
      <c r="M27" s="60"/>
      <c r="N27" s="96">
        <f t="shared" si="115"/>
        <v>0.58632911392405063</v>
      </c>
      <c r="O27" s="96">
        <f t="shared" si="116"/>
        <v>10.553924050632912</v>
      </c>
      <c r="P27" s="96">
        <f t="shared" si="117"/>
        <v>0.63909873417721519</v>
      </c>
      <c r="Q27" s="96">
        <f t="shared" si="118"/>
        <v>11.503777215189874</v>
      </c>
      <c r="R27" s="59">
        <v>1.1000000000000001</v>
      </c>
      <c r="S27" s="58">
        <f t="shared" si="119"/>
        <v>19.8</v>
      </c>
      <c r="T27" s="58">
        <f t="shared" si="120"/>
        <v>0.4609012658227849</v>
      </c>
      <c r="U27" s="58">
        <f t="shared" si="121"/>
        <v>8.2962227848101282</v>
      </c>
      <c r="V27" s="57">
        <f t="shared" si="122"/>
        <v>0.41900115074798622</v>
      </c>
      <c r="W27" s="102"/>
      <c r="X27" s="105">
        <f t="shared" si="11"/>
        <v>1.1000000000000001</v>
      </c>
      <c r="Y27" s="124">
        <v>0.16350000000000001</v>
      </c>
      <c r="Z27" s="123">
        <f t="shared" si="12"/>
        <v>1.2798500000000002</v>
      </c>
      <c r="AA27" s="106">
        <f t="shared" si="13"/>
        <v>0.23037300000000002</v>
      </c>
      <c r="AB27" s="104">
        <f t="shared" si="14"/>
        <v>2.073357E-2</v>
      </c>
      <c r="AC27" s="106">
        <f t="shared" si="15"/>
        <v>0.17985000000000007</v>
      </c>
      <c r="AD27" s="106">
        <f t="shared" si="16"/>
        <v>1.1000000000000001</v>
      </c>
      <c r="AE27" s="126">
        <f t="shared" si="17"/>
        <v>0.41900115074798622</v>
      </c>
      <c r="AF27" s="127">
        <f t="shared" si="18"/>
        <v>0</v>
      </c>
      <c r="AG27" s="56" t="s">
        <v>87</v>
      </c>
      <c r="AL27" s="65"/>
      <c r="AM27" s="66"/>
    </row>
    <row r="28" spans="1:39" ht="45" customHeight="1">
      <c r="A28" s="64">
        <v>22</v>
      </c>
      <c r="B28" s="56" t="s">
        <v>69</v>
      </c>
      <c r="C28" s="56">
        <v>1</v>
      </c>
      <c r="D28" s="56">
        <v>18</v>
      </c>
      <c r="E28" s="63">
        <f t="shared" si="113"/>
        <v>18</v>
      </c>
      <c r="F28" s="109" t="s">
        <v>87</v>
      </c>
      <c r="G28" s="109" t="s">
        <v>87</v>
      </c>
      <c r="H28" s="109" t="s">
        <v>87</v>
      </c>
      <c r="I28" s="109" t="s">
        <v>87</v>
      </c>
      <c r="J28" s="109">
        <f>1206/25</f>
        <v>48.24</v>
      </c>
      <c r="K28" s="62">
        <f t="shared" ref="K28:K29" si="138">J28/D28</f>
        <v>2.68</v>
      </c>
      <c r="L28" s="61">
        <f t="shared" ref="L28:L29" si="139">K28*E28</f>
        <v>48.24</v>
      </c>
      <c r="M28" s="60"/>
      <c r="N28" s="96">
        <f t="shared" ref="N28:N29" si="140">K28/$U$2</f>
        <v>0.84810126582278478</v>
      </c>
      <c r="O28" s="96">
        <f t="shared" ref="O28:O29" si="141">L28/$U$2</f>
        <v>15.265822784810126</v>
      </c>
      <c r="P28" s="96">
        <f t="shared" ref="P28:P29" si="142">N28*(1+$Q$65+9%)</f>
        <v>0.92443037974683551</v>
      </c>
      <c r="Q28" s="96">
        <f t="shared" ref="Q28:Q29" si="143">P28*E28</f>
        <v>16.639746835443038</v>
      </c>
      <c r="R28" s="59">
        <v>1.5</v>
      </c>
      <c r="S28" s="58">
        <f t="shared" ref="S28:S29" si="144">R28*E28</f>
        <v>27</v>
      </c>
      <c r="T28" s="58">
        <f t="shared" ref="T28:T29" si="145">R28-P28</f>
        <v>0.57556962025316449</v>
      </c>
      <c r="U28" s="58">
        <f t="shared" ref="U28:U29" si="146">T28*E28</f>
        <v>10.36025316455696</v>
      </c>
      <c r="V28" s="57">
        <f t="shared" ref="V28:V29" si="147">T28/R28</f>
        <v>0.38371308016877631</v>
      </c>
      <c r="W28" s="102"/>
      <c r="X28" s="105">
        <f t="shared" si="11"/>
        <v>1.5</v>
      </c>
      <c r="Y28" s="124">
        <v>0.16350000000000001</v>
      </c>
      <c r="Z28" s="123">
        <f t="shared" si="12"/>
        <v>1.74525</v>
      </c>
      <c r="AA28" s="106">
        <f t="shared" si="13"/>
        <v>0.31414500000000001</v>
      </c>
      <c r="AB28" s="104">
        <f t="shared" si="14"/>
        <v>2.8273050000000001E-2</v>
      </c>
      <c r="AC28" s="106">
        <f t="shared" si="15"/>
        <v>0.24524999999999997</v>
      </c>
      <c r="AD28" s="106">
        <f t="shared" si="16"/>
        <v>1.5</v>
      </c>
      <c r="AE28" s="126">
        <f t="shared" si="17"/>
        <v>0.38371308016877631</v>
      </c>
      <c r="AF28" s="127">
        <f t="shared" si="18"/>
        <v>0</v>
      </c>
      <c r="AG28" s="56" t="s">
        <v>87</v>
      </c>
      <c r="AL28" s="65"/>
      <c r="AM28" s="66"/>
    </row>
    <row r="29" spans="1:39" ht="45" customHeight="1">
      <c r="A29" s="64">
        <v>23</v>
      </c>
      <c r="B29" s="56" t="s">
        <v>70</v>
      </c>
      <c r="C29" s="56">
        <v>1</v>
      </c>
      <c r="D29" s="56">
        <v>18</v>
      </c>
      <c r="E29" s="63">
        <f t="shared" ref="E29" si="148">D29*C29</f>
        <v>18</v>
      </c>
      <c r="F29" s="109" t="s">
        <v>87</v>
      </c>
      <c r="G29" s="109" t="s">
        <v>87</v>
      </c>
      <c r="H29" s="109" t="s">
        <v>87</v>
      </c>
      <c r="I29" s="109" t="s">
        <v>87</v>
      </c>
      <c r="J29" s="109">
        <f>1206/25</f>
        <v>48.24</v>
      </c>
      <c r="K29" s="62">
        <f t="shared" si="138"/>
        <v>2.68</v>
      </c>
      <c r="L29" s="61">
        <f t="shared" si="139"/>
        <v>48.24</v>
      </c>
      <c r="M29" s="60"/>
      <c r="N29" s="96">
        <f t="shared" si="140"/>
        <v>0.84810126582278478</v>
      </c>
      <c r="O29" s="96">
        <f t="shared" si="141"/>
        <v>15.265822784810126</v>
      </c>
      <c r="P29" s="96">
        <f t="shared" si="142"/>
        <v>0.92443037974683551</v>
      </c>
      <c r="Q29" s="96">
        <f t="shared" si="143"/>
        <v>16.639746835443038</v>
      </c>
      <c r="R29" s="59">
        <v>1.5</v>
      </c>
      <c r="S29" s="58">
        <f t="shared" si="144"/>
        <v>27</v>
      </c>
      <c r="T29" s="58">
        <f t="shared" si="145"/>
        <v>0.57556962025316449</v>
      </c>
      <c r="U29" s="58">
        <f t="shared" si="146"/>
        <v>10.36025316455696</v>
      </c>
      <c r="V29" s="57">
        <f t="shared" si="147"/>
        <v>0.38371308016877631</v>
      </c>
      <c r="W29" s="102"/>
      <c r="X29" s="105">
        <f t="shared" si="11"/>
        <v>1.5</v>
      </c>
      <c r="Y29" s="124">
        <v>0.16350000000000001</v>
      </c>
      <c r="Z29" s="123">
        <f t="shared" si="12"/>
        <v>1.74525</v>
      </c>
      <c r="AA29" s="106">
        <f t="shared" si="13"/>
        <v>0.31414500000000001</v>
      </c>
      <c r="AB29" s="104">
        <f t="shared" si="14"/>
        <v>2.8273050000000001E-2</v>
      </c>
      <c r="AC29" s="106">
        <f t="shared" si="15"/>
        <v>0.24524999999999997</v>
      </c>
      <c r="AD29" s="106">
        <f t="shared" si="16"/>
        <v>1.5</v>
      </c>
      <c r="AE29" s="126">
        <f t="shared" si="17"/>
        <v>0.38371308016877631</v>
      </c>
      <c r="AF29" s="127">
        <f t="shared" si="18"/>
        <v>0</v>
      </c>
      <c r="AG29" s="56" t="s">
        <v>87</v>
      </c>
      <c r="AL29" s="65"/>
      <c r="AM29" s="66"/>
    </row>
    <row r="30" spans="1:39" ht="45" customHeight="1">
      <c r="A30" s="64">
        <v>24</v>
      </c>
      <c r="B30" s="56" t="s">
        <v>34</v>
      </c>
      <c r="C30" s="56">
        <v>1</v>
      </c>
      <c r="D30" s="56">
        <v>18</v>
      </c>
      <c r="E30" s="63">
        <f t="shared" si="0"/>
        <v>18</v>
      </c>
      <c r="F30" s="109" t="s">
        <v>87</v>
      </c>
      <c r="G30" s="109" t="s">
        <v>87</v>
      </c>
      <c r="H30" s="109">
        <f>1566.72/60</f>
        <v>26.112000000000002</v>
      </c>
      <c r="I30" s="109" t="s">
        <v>87</v>
      </c>
      <c r="J30" s="109">
        <f>1566.72/60</f>
        <v>26.112000000000002</v>
      </c>
      <c r="K30" s="62">
        <f t="shared" si="1"/>
        <v>1.4506666666666668</v>
      </c>
      <c r="L30" s="61">
        <f t="shared" si="2"/>
        <v>26.112000000000002</v>
      </c>
      <c r="M30" s="60"/>
      <c r="N30" s="96">
        <f t="shared" si="3"/>
        <v>0.45907172995780593</v>
      </c>
      <c r="O30" s="96">
        <f t="shared" si="4"/>
        <v>8.263291139240506</v>
      </c>
      <c r="P30" s="96">
        <f>N30*(1+$Q$65+9%)</f>
        <v>0.50038818565400855</v>
      </c>
      <c r="Q30" s="96">
        <f t="shared" si="6"/>
        <v>9.0069873417721542</v>
      </c>
      <c r="R30" s="59">
        <v>1.1499999999999999</v>
      </c>
      <c r="S30" s="58">
        <f t="shared" si="7"/>
        <v>20.7</v>
      </c>
      <c r="T30" s="58">
        <f t="shared" si="8"/>
        <v>0.64961181434599136</v>
      </c>
      <c r="U30" s="58">
        <f t="shared" si="9"/>
        <v>11.693012658227845</v>
      </c>
      <c r="V30" s="57">
        <f t="shared" si="10"/>
        <v>0.56487983856173163</v>
      </c>
      <c r="W30" s="102"/>
      <c r="X30" s="105">
        <f t="shared" si="11"/>
        <v>1.1499999999999999</v>
      </c>
      <c r="Y30" s="124">
        <v>0.16350000000000001</v>
      </c>
      <c r="Z30" s="123">
        <f t="shared" si="12"/>
        <v>1.338025</v>
      </c>
      <c r="AA30" s="106">
        <f t="shared" si="13"/>
        <v>0.24084449999999999</v>
      </c>
      <c r="AB30" s="104">
        <f t="shared" si="14"/>
        <v>2.1676004999999998E-2</v>
      </c>
      <c r="AC30" s="106">
        <f t="shared" si="15"/>
        <v>0.18802500000000011</v>
      </c>
      <c r="AD30" s="106">
        <f t="shared" si="16"/>
        <v>1.1499999999999999</v>
      </c>
      <c r="AE30" s="126">
        <f t="shared" si="17"/>
        <v>0.56487983856173163</v>
      </c>
      <c r="AF30" s="127">
        <f t="shared" si="18"/>
        <v>0</v>
      </c>
      <c r="AG30" s="56" t="s">
        <v>87</v>
      </c>
      <c r="AL30" s="65"/>
      <c r="AM30" s="66"/>
    </row>
    <row r="31" spans="1:39" ht="45" customHeight="1">
      <c r="A31" s="64">
        <v>25</v>
      </c>
      <c r="B31" s="56" t="s">
        <v>89</v>
      </c>
      <c r="C31" s="56">
        <v>1</v>
      </c>
      <c r="D31" s="56">
        <v>16</v>
      </c>
      <c r="E31" s="63">
        <f t="shared" ref="E31" si="149">D31*C31</f>
        <v>16</v>
      </c>
      <c r="F31" s="109">
        <f>898.56/30</f>
        <v>29.951999999999998</v>
      </c>
      <c r="G31" s="109">
        <f>898.56/30</f>
        <v>29.951999999999998</v>
      </c>
      <c r="H31" s="109" t="s">
        <v>87</v>
      </c>
      <c r="I31" s="109">
        <f>1926.14/60</f>
        <v>32.102333333333334</v>
      </c>
      <c r="J31" s="109">
        <f>1926.14/60</f>
        <v>32.102333333333334</v>
      </c>
      <c r="K31" s="62">
        <f t="shared" ref="K31" si="150">J31/D31</f>
        <v>2.0063958333333334</v>
      </c>
      <c r="L31" s="61">
        <f t="shared" ref="L31" si="151">K31*E31</f>
        <v>32.102333333333334</v>
      </c>
      <c r="M31" s="60"/>
      <c r="N31" s="96">
        <f t="shared" ref="N31" si="152">K31/$U$2</f>
        <v>0.63493539029535861</v>
      </c>
      <c r="O31" s="96">
        <f t="shared" ref="O31" si="153">L31/$U$2</f>
        <v>10.158966244725738</v>
      </c>
      <c r="P31" s="96">
        <f t="shared" ref="P31" si="154">N31*(1+$Q$65+9%)</f>
        <v>0.69207957542194098</v>
      </c>
      <c r="Q31" s="96">
        <f t="shared" ref="Q31" si="155">P31*E31</f>
        <v>11.073273206751056</v>
      </c>
      <c r="R31" s="59"/>
      <c r="S31" s="58">
        <f t="shared" ref="S31" si="156">R31*E31</f>
        <v>0</v>
      </c>
      <c r="T31" s="58">
        <f t="shared" ref="T31" si="157">R31-P31</f>
        <v>-0.69207957542194098</v>
      </c>
      <c r="U31" s="58">
        <f t="shared" ref="U31" si="158">T31*E31</f>
        <v>-11.073273206751056</v>
      </c>
      <c r="V31" s="57" t="e">
        <f t="shared" ref="V31" si="159">T31/R31</f>
        <v>#DIV/0!</v>
      </c>
      <c r="W31" s="102"/>
      <c r="X31" s="105">
        <f t="shared" si="11"/>
        <v>0</v>
      </c>
      <c r="Y31" s="124">
        <v>0.16350000000000001</v>
      </c>
      <c r="Z31" s="123">
        <f t="shared" si="12"/>
        <v>0</v>
      </c>
      <c r="AA31" s="106">
        <f t="shared" si="13"/>
        <v>0</v>
      </c>
      <c r="AB31" s="104">
        <f t="shared" si="14"/>
        <v>0</v>
      </c>
      <c r="AC31" s="106">
        <f t="shared" si="15"/>
        <v>0</v>
      </c>
      <c r="AD31" s="106">
        <f t="shared" si="16"/>
        <v>0</v>
      </c>
      <c r="AE31" s="126" t="e">
        <f t="shared" si="17"/>
        <v>#DIV/0!</v>
      </c>
      <c r="AF31" s="127" t="e">
        <f t="shared" si="18"/>
        <v>#DIV/0!</v>
      </c>
      <c r="AG31" s="56" t="s">
        <v>87</v>
      </c>
      <c r="AL31" s="65"/>
      <c r="AM31" s="66"/>
    </row>
    <row r="32" spans="1:39" ht="45" customHeight="1">
      <c r="A32" s="64">
        <v>26</v>
      </c>
      <c r="B32" s="56" t="s">
        <v>33</v>
      </c>
      <c r="C32" s="56">
        <v>1</v>
      </c>
      <c r="D32" s="56">
        <v>16</v>
      </c>
      <c r="E32" s="63">
        <f t="shared" si="0"/>
        <v>16</v>
      </c>
      <c r="F32" s="109">
        <f>898.56/30</f>
        <v>29.951999999999998</v>
      </c>
      <c r="G32" s="109">
        <f>898.56/30</f>
        <v>29.951999999999998</v>
      </c>
      <c r="H32" s="109" t="s">
        <v>87</v>
      </c>
      <c r="I32" s="109">
        <f>1926.14/60</f>
        <v>32.102333333333334</v>
      </c>
      <c r="J32" s="109">
        <f>1926.14/60</f>
        <v>32.102333333333334</v>
      </c>
      <c r="K32" s="62">
        <f t="shared" si="1"/>
        <v>2.0063958333333334</v>
      </c>
      <c r="L32" s="61">
        <f t="shared" si="2"/>
        <v>32.102333333333334</v>
      </c>
      <c r="M32" s="60"/>
      <c r="N32" s="96">
        <f t="shared" si="3"/>
        <v>0.63493539029535861</v>
      </c>
      <c r="O32" s="96">
        <f t="shared" si="4"/>
        <v>10.158966244725738</v>
      </c>
      <c r="P32" s="96">
        <f>N32*(1+$Q$65+9%)</f>
        <v>0.69207957542194098</v>
      </c>
      <c r="Q32" s="96">
        <f t="shared" si="6"/>
        <v>11.073273206751056</v>
      </c>
      <c r="R32" s="59"/>
      <c r="S32" s="58">
        <f t="shared" si="7"/>
        <v>0</v>
      </c>
      <c r="T32" s="58">
        <f t="shared" si="8"/>
        <v>-0.69207957542194098</v>
      </c>
      <c r="U32" s="58">
        <f t="shared" si="9"/>
        <v>-11.073273206751056</v>
      </c>
      <c r="V32" s="57" t="e">
        <f t="shared" si="10"/>
        <v>#DIV/0!</v>
      </c>
      <c r="W32" s="102"/>
      <c r="X32" s="105">
        <f t="shared" si="11"/>
        <v>0</v>
      </c>
      <c r="Y32" s="124">
        <v>0.16350000000000001</v>
      </c>
      <c r="Z32" s="123">
        <f t="shared" si="12"/>
        <v>0</v>
      </c>
      <c r="AA32" s="106">
        <f t="shared" si="13"/>
        <v>0</v>
      </c>
      <c r="AB32" s="104">
        <f t="shared" si="14"/>
        <v>0</v>
      </c>
      <c r="AC32" s="106">
        <f t="shared" si="15"/>
        <v>0</v>
      </c>
      <c r="AD32" s="106">
        <f t="shared" si="16"/>
        <v>0</v>
      </c>
      <c r="AE32" s="126" t="e">
        <f t="shared" si="17"/>
        <v>#DIV/0!</v>
      </c>
      <c r="AF32" s="127" t="e">
        <f t="shared" si="18"/>
        <v>#DIV/0!</v>
      </c>
      <c r="AG32" s="56" t="s">
        <v>87</v>
      </c>
      <c r="AL32" s="65"/>
      <c r="AM32" s="66"/>
    </row>
    <row r="33" spans="1:39" ht="45" customHeight="1">
      <c r="A33" s="64">
        <v>27</v>
      </c>
      <c r="B33" s="56" t="s">
        <v>71</v>
      </c>
      <c r="C33" s="56">
        <v>1</v>
      </c>
      <c r="D33" s="56">
        <v>12</v>
      </c>
      <c r="E33" s="63">
        <f t="shared" si="0"/>
        <v>12</v>
      </c>
      <c r="F33" s="109">
        <f>532.8/25</f>
        <v>21.311999999999998</v>
      </c>
      <c r="G33" s="109" t="s">
        <v>87</v>
      </c>
      <c r="H33" s="109" t="s">
        <v>87</v>
      </c>
      <c r="I33" s="109">
        <f>1254.53/55</f>
        <v>22.809636363636365</v>
      </c>
      <c r="J33" s="109">
        <f>1254.53/55</f>
        <v>22.809636363636365</v>
      </c>
      <c r="K33" s="62">
        <f t="shared" ref="K33:K35" si="160">J33/D33</f>
        <v>1.9008030303030303</v>
      </c>
      <c r="L33" s="61">
        <f t="shared" ref="L33:L35" si="161">K33*E33</f>
        <v>22.809636363636365</v>
      </c>
      <c r="M33" s="60"/>
      <c r="N33" s="96">
        <f t="shared" ref="N33:N35" si="162">K33/$U$2</f>
        <v>0.60151994629842731</v>
      </c>
      <c r="O33" s="96">
        <f t="shared" ref="O33:O35" si="163">L33/$U$2</f>
        <v>7.2182393555811277</v>
      </c>
      <c r="P33" s="96">
        <f t="shared" ref="P33:P35" si="164">N33*(1+$Q$65+9%)</f>
        <v>0.65565674146528585</v>
      </c>
      <c r="Q33" s="96">
        <f t="shared" ref="Q33:Q35" si="165">P33*E33</f>
        <v>7.8678808975834302</v>
      </c>
      <c r="R33" s="59">
        <v>1.1499999999999999</v>
      </c>
      <c r="S33" s="58">
        <f t="shared" ref="S33:S35" si="166">R33*E33</f>
        <v>13.799999999999999</v>
      </c>
      <c r="T33" s="58">
        <f t="shared" ref="T33:T35" si="167">R33-P33</f>
        <v>0.49434325853471406</v>
      </c>
      <c r="U33" s="58">
        <f t="shared" ref="U33:U35" si="168">T33*E33</f>
        <v>5.9321191024165687</v>
      </c>
      <c r="V33" s="57">
        <f t="shared" ref="V33:V35" si="169">T33/R33</f>
        <v>0.42986370307366445</v>
      </c>
      <c r="W33" s="102"/>
      <c r="X33" s="105">
        <f t="shared" si="11"/>
        <v>1.1499999999999999</v>
      </c>
      <c r="Y33" s="124">
        <v>0.16350000000000001</v>
      </c>
      <c r="Z33" s="123">
        <f t="shared" si="12"/>
        <v>1.338025</v>
      </c>
      <c r="AA33" s="106">
        <f t="shared" si="13"/>
        <v>0.24084449999999999</v>
      </c>
      <c r="AB33" s="104">
        <f t="shared" si="14"/>
        <v>2.1676004999999998E-2</v>
      </c>
      <c r="AC33" s="106">
        <f t="shared" si="15"/>
        <v>0.18802500000000011</v>
      </c>
      <c r="AD33" s="106">
        <f t="shared" si="16"/>
        <v>1.1499999999999999</v>
      </c>
      <c r="AE33" s="126">
        <f t="shared" si="17"/>
        <v>0.42986370307366445</v>
      </c>
      <c r="AF33" s="127">
        <f t="shared" si="18"/>
        <v>0</v>
      </c>
      <c r="AG33" s="56" t="s">
        <v>87</v>
      </c>
      <c r="AL33" s="65"/>
      <c r="AM33" s="66"/>
    </row>
    <row r="34" spans="1:39" ht="45" customHeight="1">
      <c r="A34" s="64">
        <v>28</v>
      </c>
      <c r="B34" s="56" t="s">
        <v>72</v>
      </c>
      <c r="C34" s="56">
        <v>1</v>
      </c>
      <c r="D34" s="56">
        <v>12</v>
      </c>
      <c r="E34" s="63">
        <f t="shared" ref="E34:E36" si="170">D34*C34</f>
        <v>12</v>
      </c>
      <c r="F34" s="109">
        <f t="shared" ref="F34:F35" si="171">532.8/25</f>
        <v>21.311999999999998</v>
      </c>
      <c r="G34" s="109" t="s">
        <v>87</v>
      </c>
      <c r="H34" s="109" t="s">
        <v>87</v>
      </c>
      <c r="I34" s="109">
        <f t="shared" ref="I34:I35" si="172">1254.53/55</f>
        <v>22.809636363636365</v>
      </c>
      <c r="J34" s="109">
        <f>638.67/28</f>
        <v>22.809642857142855</v>
      </c>
      <c r="K34" s="62">
        <f t="shared" si="160"/>
        <v>1.9008035714285711</v>
      </c>
      <c r="L34" s="61">
        <f t="shared" si="161"/>
        <v>22.809642857142855</v>
      </c>
      <c r="M34" s="60"/>
      <c r="N34" s="96">
        <f t="shared" si="162"/>
        <v>0.60152011754068702</v>
      </c>
      <c r="O34" s="96">
        <f t="shared" si="163"/>
        <v>7.2182414104882451</v>
      </c>
      <c r="P34" s="96">
        <f t="shared" si="164"/>
        <v>0.65565692811934895</v>
      </c>
      <c r="Q34" s="96">
        <f t="shared" si="165"/>
        <v>7.8678831374321874</v>
      </c>
      <c r="R34" s="59">
        <v>1.1499999999999999</v>
      </c>
      <c r="S34" s="58">
        <f t="shared" si="166"/>
        <v>13.799999999999999</v>
      </c>
      <c r="T34" s="58">
        <f t="shared" si="167"/>
        <v>0.49434307188065096</v>
      </c>
      <c r="U34" s="58">
        <f t="shared" si="168"/>
        <v>5.9321168625678116</v>
      </c>
      <c r="V34" s="57">
        <f t="shared" si="169"/>
        <v>0.42986354076578348</v>
      </c>
      <c r="W34" s="102"/>
      <c r="X34" s="105">
        <f t="shared" si="11"/>
        <v>1.1499999999999999</v>
      </c>
      <c r="Y34" s="124">
        <v>0.16350000000000001</v>
      </c>
      <c r="Z34" s="123">
        <f t="shared" si="12"/>
        <v>1.338025</v>
      </c>
      <c r="AA34" s="106">
        <f t="shared" si="13"/>
        <v>0.24084449999999999</v>
      </c>
      <c r="AB34" s="104">
        <f t="shared" si="14"/>
        <v>2.1676004999999998E-2</v>
      </c>
      <c r="AC34" s="106">
        <f t="shared" si="15"/>
        <v>0.18802500000000011</v>
      </c>
      <c r="AD34" s="106">
        <f t="shared" si="16"/>
        <v>1.1499999999999999</v>
      </c>
      <c r="AE34" s="126">
        <f t="shared" si="17"/>
        <v>0.42986354076578348</v>
      </c>
      <c r="AF34" s="127">
        <f t="shared" si="18"/>
        <v>0</v>
      </c>
      <c r="AG34" s="56" t="s">
        <v>87</v>
      </c>
      <c r="AL34" s="65"/>
      <c r="AM34" s="66"/>
    </row>
    <row r="35" spans="1:39" ht="45" customHeight="1">
      <c r="A35" s="64">
        <v>29</v>
      </c>
      <c r="B35" s="56" t="s">
        <v>73</v>
      </c>
      <c r="C35" s="56">
        <v>1</v>
      </c>
      <c r="D35" s="56">
        <v>12</v>
      </c>
      <c r="E35" s="63">
        <f t="shared" si="170"/>
        <v>12</v>
      </c>
      <c r="F35" s="109">
        <f t="shared" si="171"/>
        <v>21.311999999999998</v>
      </c>
      <c r="G35" s="109" t="s">
        <v>87</v>
      </c>
      <c r="H35" s="109" t="s">
        <v>87</v>
      </c>
      <c r="I35" s="109">
        <f t="shared" si="172"/>
        <v>22.809636363636365</v>
      </c>
      <c r="J35" s="109">
        <f>638.67/28</f>
        <v>22.809642857142855</v>
      </c>
      <c r="K35" s="62">
        <f t="shared" si="160"/>
        <v>1.9008035714285711</v>
      </c>
      <c r="L35" s="61">
        <f t="shared" si="161"/>
        <v>22.809642857142855</v>
      </c>
      <c r="M35" s="60"/>
      <c r="N35" s="96">
        <f t="shared" si="162"/>
        <v>0.60152011754068702</v>
      </c>
      <c r="O35" s="96">
        <f t="shared" si="163"/>
        <v>7.2182414104882451</v>
      </c>
      <c r="P35" s="96">
        <f t="shared" si="164"/>
        <v>0.65565692811934895</v>
      </c>
      <c r="Q35" s="96">
        <f t="shared" si="165"/>
        <v>7.8678831374321874</v>
      </c>
      <c r="R35" s="59">
        <v>1.1499999999999999</v>
      </c>
      <c r="S35" s="58">
        <f t="shared" si="166"/>
        <v>13.799999999999999</v>
      </c>
      <c r="T35" s="58">
        <f t="shared" si="167"/>
        <v>0.49434307188065096</v>
      </c>
      <c r="U35" s="58">
        <f t="shared" si="168"/>
        <v>5.9321168625678116</v>
      </c>
      <c r="V35" s="57">
        <f t="shared" si="169"/>
        <v>0.42986354076578348</v>
      </c>
      <c r="W35" s="102"/>
      <c r="X35" s="105">
        <f t="shared" si="11"/>
        <v>1.1499999999999999</v>
      </c>
      <c r="Y35" s="124">
        <v>0.16350000000000001</v>
      </c>
      <c r="Z35" s="123">
        <f t="shared" si="12"/>
        <v>1.338025</v>
      </c>
      <c r="AA35" s="106">
        <f t="shared" si="13"/>
        <v>0.24084449999999999</v>
      </c>
      <c r="AB35" s="104">
        <f t="shared" si="14"/>
        <v>2.1676004999999998E-2</v>
      </c>
      <c r="AC35" s="106">
        <f t="shared" si="15"/>
        <v>0.18802500000000011</v>
      </c>
      <c r="AD35" s="106">
        <f t="shared" si="16"/>
        <v>1.1499999999999999</v>
      </c>
      <c r="AE35" s="126">
        <f t="shared" si="17"/>
        <v>0.42986354076578348</v>
      </c>
      <c r="AF35" s="127">
        <f t="shared" si="18"/>
        <v>0</v>
      </c>
      <c r="AG35" s="56" t="s">
        <v>87</v>
      </c>
      <c r="AL35" s="65"/>
      <c r="AM35" s="66"/>
    </row>
    <row r="36" spans="1:39" ht="45" customHeight="1">
      <c r="A36" s="64">
        <v>30</v>
      </c>
      <c r="B36" s="56" t="s">
        <v>90</v>
      </c>
      <c r="C36" s="56">
        <v>1</v>
      </c>
      <c r="D36" s="56">
        <v>12</v>
      </c>
      <c r="E36" s="63">
        <f t="shared" si="170"/>
        <v>12</v>
      </c>
      <c r="F36" s="109" t="s">
        <v>87</v>
      </c>
      <c r="G36" s="109" t="s">
        <v>87</v>
      </c>
      <c r="H36" s="109">
        <f>666/30</f>
        <v>22.2</v>
      </c>
      <c r="I36" s="109" t="s">
        <v>87</v>
      </c>
      <c r="J36" s="109">
        <f>666/30</f>
        <v>22.2</v>
      </c>
      <c r="K36" s="62">
        <f t="shared" ref="K36" si="173">J36/D36</f>
        <v>1.8499999999999999</v>
      </c>
      <c r="L36" s="61">
        <f t="shared" ref="L36" si="174">K36*E36</f>
        <v>22.2</v>
      </c>
      <c r="M36" s="60"/>
      <c r="N36" s="96">
        <f t="shared" ref="N36" si="175">K36/$U$2</f>
        <v>0.58544303797468344</v>
      </c>
      <c r="O36" s="96">
        <f t="shared" ref="O36" si="176">L36/$U$2</f>
        <v>7.0253164556962018</v>
      </c>
      <c r="P36" s="96">
        <f t="shared" ref="P36" si="177">N36*(1+$Q$65+9%)</f>
        <v>0.63813291139240502</v>
      </c>
      <c r="Q36" s="96">
        <f t="shared" ref="Q36" si="178">P36*E36</f>
        <v>7.6575949367088603</v>
      </c>
      <c r="R36" s="59">
        <v>1.1499999999999999</v>
      </c>
      <c r="S36" s="58">
        <f t="shared" ref="S36" si="179">R36*E36</f>
        <v>13.799999999999999</v>
      </c>
      <c r="T36" s="58">
        <f t="shared" ref="T36" si="180">R36-P36</f>
        <v>0.51186708860759489</v>
      </c>
      <c r="U36" s="58">
        <f t="shared" ref="U36" si="181">T36*E36</f>
        <v>6.1424050632911387</v>
      </c>
      <c r="V36" s="57">
        <f t="shared" ref="V36" si="182">T36/R36</f>
        <v>0.44510181618051731</v>
      </c>
      <c r="W36" s="102"/>
      <c r="X36" s="105">
        <f t="shared" ref="X36" si="183">R36</f>
        <v>1.1499999999999999</v>
      </c>
      <c r="Y36" s="124">
        <v>0.16350000000000001</v>
      </c>
      <c r="Z36" s="123">
        <f t="shared" si="12"/>
        <v>1.338025</v>
      </c>
      <c r="AA36" s="106">
        <f t="shared" ref="AA36" si="184">Z36*18%</f>
        <v>0.24084449999999999</v>
      </c>
      <c r="AB36" s="104">
        <f t="shared" ref="AB36" si="185">AA36*9%</f>
        <v>2.1676004999999998E-2</v>
      </c>
      <c r="AC36" s="106">
        <f t="shared" si="15"/>
        <v>0.18802500000000011</v>
      </c>
      <c r="AD36" s="106">
        <f t="shared" ref="AD36" si="186">Z36-AC36</f>
        <v>1.1499999999999999</v>
      </c>
      <c r="AE36" s="126">
        <f t="shared" si="17"/>
        <v>0.44510181618051731</v>
      </c>
      <c r="AF36" s="127">
        <f t="shared" si="18"/>
        <v>0</v>
      </c>
      <c r="AG36" s="56" t="s">
        <v>87</v>
      </c>
      <c r="AL36" s="65"/>
      <c r="AM36" s="66"/>
    </row>
    <row r="37" spans="1:39" ht="45" customHeight="1">
      <c r="A37" s="64">
        <v>31</v>
      </c>
      <c r="B37" s="56" t="s">
        <v>32</v>
      </c>
      <c r="C37" s="56">
        <v>1</v>
      </c>
      <c r="D37" s="56">
        <v>12</v>
      </c>
      <c r="E37" s="63">
        <f t="shared" si="0"/>
        <v>12</v>
      </c>
      <c r="F37" s="109">
        <f>1278.72/60</f>
        <v>21.312000000000001</v>
      </c>
      <c r="G37" s="109" t="s">
        <v>87</v>
      </c>
      <c r="H37" s="109" t="s">
        <v>87</v>
      </c>
      <c r="I37" s="109">
        <f>1368.58/60</f>
        <v>22.809666666666665</v>
      </c>
      <c r="J37" s="109">
        <f>1368.58/60</f>
        <v>22.809666666666665</v>
      </c>
      <c r="K37" s="62">
        <f t="shared" si="1"/>
        <v>1.9008055555555554</v>
      </c>
      <c r="L37" s="61">
        <f t="shared" si="2"/>
        <v>22.809666666666665</v>
      </c>
      <c r="M37" s="60"/>
      <c r="N37" s="96">
        <f t="shared" si="3"/>
        <v>0.60152074542897316</v>
      </c>
      <c r="O37" s="96">
        <f t="shared" si="4"/>
        <v>7.2182489451476783</v>
      </c>
      <c r="P37" s="96">
        <f>N37*(1+$Q$65+9%)</f>
        <v>0.65565761251758081</v>
      </c>
      <c r="Q37" s="96">
        <f t="shared" si="6"/>
        <v>7.8678913502109697</v>
      </c>
      <c r="R37" s="59">
        <v>1.1499999999999999</v>
      </c>
      <c r="S37" s="58">
        <f t="shared" si="7"/>
        <v>13.799999999999999</v>
      </c>
      <c r="T37" s="58">
        <f t="shared" si="8"/>
        <v>0.4943423874824191</v>
      </c>
      <c r="U37" s="58">
        <f t="shared" si="9"/>
        <v>5.9321086497890292</v>
      </c>
      <c r="V37" s="57">
        <f t="shared" si="10"/>
        <v>0.42986294563688621</v>
      </c>
      <c r="W37" s="102"/>
      <c r="X37" s="105">
        <f t="shared" si="11"/>
        <v>1.1499999999999999</v>
      </c>
      <c r="Y37" s="124">
        <v>0.16350000000000001</v>
      </c>
      <c r="Z37" s="123">
        <f t="shared" si="12"/>
        <v>1.338025</v>
      </c>
      <c r="AA37" s="106">
        <f t="shared" si="13"/>
        <v>0.24084449999999999</v>
      </c>
      <c r="AB37" s="104">
        <f t="shared" si="14"/>
        <v>2.1676004999999998E-2</v>
      </c>
      <c r="AC37" s="106">
        <f t="shared" si="15"/>
        <v>0.18802500000000011</v>
      </c>
      <c r="AD37" s="106">
        <f t="shared" si="16"/>
        <v>1.1499999999999999</v>
      </c>
      <c r="AE37" s="126">
        <f t="shared" si="17"/>
        <v>0.42986294563688621</v>
      </c>
      <c r="AF37" s="127">
        <f t="shared" si="18"/>
        <v>0</v>
      </c>
      <c r="AG37" s="56" t="s">
        <v>87</v>
      </c>
      <c r="AL37" s="65"/>
      <c r="AM37" s="66"/>
    </row>
    <row r="38" spans="1:39" ht="45" customHeight="1">
      <c r="A38" s="64">
        <v>32</v>
      </c>
      <c r="B38" s="56" t="s">
        <v>31</v>
      </c>
      <c r="C38" s="56">
        <v>1</v>
      </c>
      <c r="D38" s="56">
        <v>12</v>
      </c>
      <c r="E38" s="63">
        <f t="shared" si="0"/>
        <v>12</v>
      </c>
      <c r="F38" s="109">
        <f>691.2/30</f>
        <v>23.040000000000003</v>
      </c>
      <c r="G38" s="109" t="s">
        <v>87</v>
      </c>
      <c r="H38" s="109" t="s">
        <v>87</v>
      </c>
      <c r="I38" s="109">
        <f>1479.17/60</f>
        <v>24.652833333333334</v>
      </c>
      <c r="J38" s="109">
        <f>1479.17/60</f>
        <v>24.652833333333334</v>
      </c>
      <c r="K38" s="62">
        <f t="shared" si="1"/>
        <v>2.0544027777777778</v>
      </c>
      <c r="L38" s="61">
        <f t="shared" si="2"/>
        <v>24.652833333333334</v>
      </c>
      <c r="M38" s="60"/>
      <c r="N38" s="96">
        <f t="shared" si="3"/>
        <v>0.65012746132208155</v>
      </c>
      <c r="O38" s="96">
        <f t="shared" si="4"/>
        <v>7.8015295358649785</v>
      </c>
      <c r="P38" s="96">
        <f>N38*(1+$Q$65+9%)</f>
        <v>0.70863893284106894</v>
      </c>
      <c r="Q38" s="96">
        <f t="shared" si="6"/>
        <v>8.5036671940928272</v>
      </c>
      <c r="R38" s="59">
        <v>1.25</v>
      </c>
      <c r="S38" s="58">
        <f t="shared" si="7"/>
        <v>15</v>
      </c>
      <c r="T38" s="58">
        <f t="shared" si="8"/>
        <v>0.54136106715893106</v>
      </c>
      <c r="U38" s="58">
        <f t="shared" si="9"/>
        <v>6.4963328059071728</v>
      </c>
      <c r="V38" s="57">
        <f t="shared" si="10"/>
        <v>0.43308885372714484</v>
      </c>
      <c r="W38" s="102"/>
      <c r="X38" s="105">
        <f t="shared" si="11"/>
        <v>1.25</v>
      </c>
      <c r="Y38" s="124">
        <v>0.16350000000000001</v>
      </c>
      <c r="Z38" s="123">
        <f t="shared" si="12"/>
        <v>1.454375</v>
      </c>
      <c r="AA38" s="106">
        <f t="shared" si="13"/>
        <v>0.26178750000000001</v>
      </c>
      <c r="AB38" s="104">
        <f t="shared" si="14"/>
        <v>2.3560874999999998E-2</v>
      </c>
      <c r="AC38" s="106">
        <f t="shared" si="15"/>
        <v>0.20437499999999997</v>
      </c>
      <c r="AD38" s="106">
        <f t="shared" si="16"/>
        <v>1.25</v>
      </c>
      <c r="AE38" s="126">
        <f t="shared" si="17"/>
        <v>0.43308885372714484</v>
      </c>
      <c r="AF38" s="127">
        <f t="shared" si="18"/>
        <v>0</v>
      </c>
      <c r="AG38" s="56" t="s">
        <v>87</v>
      </c>
      <c r="AL38" s="65"/>
      <c r="AM38" s="66"/>
    </row>
    <row r="39" spans="1:39" ht="45" customHeight="1">
      <c r="A39" s="64">
        <v>33</v>
      </c>
      <c r="B39" s="56" t="s">
        <v>30</v>
      </c>
      <c r="C39" s="56">
        <v>1</v>
      </c>
      <c r="D39" s="56">
        <v>12</v>
      </c>
      <c r="E39" s="63">
        <f t="shared" si="0"/>
        <v>12</v>
      </c>
      <c r="F39" s="109">
        <f>691.2/30</f>
        <v>23.040000000000003</v>
      </c>
      <c r="G39" s="109" t="s">
        <v>87</v>
      </c>
      <c r="H39" s="109" t="s">
        <v>87</v>
      </c>
      <c r="I39" s="109">
        <f>1479.17/60</f>
        <v>24.652833333333334</v>
      </c>
      <c r="J39" s="109">
        <f>1479.17/60</f>
        <v>24.652833333333334</v>
      </c>
      <c r="K39" s="62">
        <f t="shared" si="1"/>
        <v>2.0544027777777778</v>
      </c>
      <c r="L39" s="61">
        <f t="shared" si="2"/>
        <v>24.652833333333334</v>
      </c>
      <c r="M39" s="60"/>
      <c r="N39" s="96">
        <f t="shared" si="3"/>
        <v>0.65012746132208155</v>
      </c>
      <c r="O39" s="96">
        <f t="shared" si="4"/>
        <v>7.8015295358649785</v>
      </c>
      <c r="P39" s="96">
        <f>N39*(1+$Q$65+9%)</f>
        <v>0.70863893284106894</v>
      </c>
      <c r="Q39" s="96">
        <f t="shared" si="6"/>
        <v>8.5036671940928272</v>
      </c>
      <c r="R39" s="59">
        <v>1.25</v>
      </c>
      <c r="S39" s="58">
        <f t="shared" si="7"/>
        <v>15</v>
      </c>
      <c r="T39" s="58">
        <f t="shared" si="8"/>
        <v>0.54136106715893106</v>
      </c>
      <c r="U39" s="58">
        <f t="shared" si="9"/>
        <v>6.4963328059071728</v>
      </c>
      <c r="V39" s="57">
        <f t="shared" si="10"/>
        <v>0.43308885372714484</v>
      </c>
      <c r="W39" s="102"/>
      <c r="X39" s="105">
        <f t="shared" si="11"/>
        <v>1.25</v>
      </c>
      <c r="Y39" s="124">
        <v>0.16350000000000001</v>
      </c>
      <c r="Z39" s="123">
        <f t="shared" si="12"/>
        <v>1.454375</v>
      </c>
      <c r="AA39" s="106">
        <f t="shared" si="13"/>
        <v>0.26178750000000001</v>
      </c>
      <c r="AB39" s="104">
        <f t="shared" si="14"/>
        <v>2.3560874999999998E-2</v>
      </c>
      <c r="AC39" s="106">
        <f t="shared" si="15"/>
        <v>0.20437499999999997</v>
      </c>
      <c r="AD39" s="106">
        <f t="shared" si="16"/>
        <v>1.25</v>
      </c>
      <c r="AE39" s="126">
        <f t="shared" si="17"/>
        <v>0.43308885372714484</v>
      </c>
      <c r="AF39" s="127">
        <f t="shared" si="18"/>
        <v>0</v>
      </c>
      <c r="AG39" s="56" t="s">
        <v>87</v>
      </c>
      <c r="AL39" s="65"/>
    </row>
    <row r="40" spans="1:39" ht="45" customHeight="1">
      <c r="A40" s="64">
        <v>34</v>
      </c>
      <c r="B40" s="56" t="s">
        <v>29</v>
      </c>
      <c r="C40" s="56">
        <v>1</v>
      </c>
      <c r="D40" s="56">
        <v>12</v>
      </c>
      <c r="E40" s="63">
        <f t="shared" si="0"/>
        <v>12</v>
      </c>
      <c r="F40" s="109" t="s">
        <v>87</v>
      </c>
      <c r="G40" s="109" t="s">
        <v>87</v>
      </c>
      <c r="H40" s="109" t="s">
        <v>87</v>
      </c>
      <c r="I40" s="109" t="s">
        <v>87</v>
      </c>
      <c r="J40" s="113">
        <v>21.312000000000001</v>
      </c>
      <c r="K40" s="62">
        <f t="shared" si="1"/>
        <v>1.776</v>
      </c>
      <c r="L40" s="61">
        <f t="shared" si="2"/>
        <v>21.312000000000001</v>
      </c>
      <c r="M40" s="60"/>
      <c r="N40" s="96">
        <f t="shared" si="3"/>
        <v>0.5620253164556962</v>
      </c>
      <c r="O40" s="96">
        <f t="shared" si="4"/>
        <v>6.7443037974683548</v>
      </c>
      <c r="P40" s="96">
        <f>N40*(1+$Q$65+9%)</f>
        <v>0.61260759493670891</v>
      </c>
      <c r="Q40" s="96">
        <f t="shared" si="6"/>
        <v>7.3512911392405069</v>
      </c>
      <c r="R40" s="59"/>
      <c r="S40" s="58">
        <f t="shared" si="7"/>
        <v>0</v>
      </c>
      <c r="T40" s="58">
        <f t="shared" si="8"/>
        <v>-0.61260759493670891</v>
      </c>
      <c r="U40" s="58">
        <f t="shared" si="9"/>
        <v>-7.3512911392405069</v>
      </c>
      <c r="V40" s="57" t="e">
        <f t="shared" si="10"/>
        <v>#DIV/0!</v>
      </c>
      <c r="W40" s="102"/>
      <c r="X40" s="105">
        <f t="shared" si="11"/>
        <v>0</v>
      </c>
      <c r="Y40" s="124">
        <v>0.16350000000000001</v>
      </c>
      <c r="Z40" s="123">
        <f t="shared" si="12"/>
        <v>0</v>
      </c>
      <c r="AA40" s="106">
        <f t="shared" si="13"/>
        <v>0</v>
      </c>
      <c r="AB40" s="104">
        <f t="shared" si="14"/>
        <v>0</v>
      </c>
      <c r="AC40" s="106">
        <f t="shared" si="15"/>
        <v>0</v>
      </c>
      <c r="AD40" s="106">
        <f t="shared" si="16"/>
        <v>0</v>
      </c>
      <c r="AE40" s="126" t="e">
        <f t="shared" si="17"/>
        <v>#DIV/0!</v>
      </c>
      <c r="AF40" s="127" t="e">
        <f t="shared" si="18"/>
        <v>#DIV/0!</v>
      </c>
      <c r="AG40" s="56" t="s">
        <v>87</v>
      </c>
      <c r="AL40" s="65"/>
    </row>
    <row r="41" spans="1:39" ht="45" customHeight="1">
      <c r="A41" s="64">
        <v>35</v>
      </c>
      <c r="B41" s="56" t="s">
        <v>75</v>
      </c>
      <c r="C41" s="56">
        <v>1</v>
      </c>
      <c r="D41" s="56">
        <v>4</v>
      </c>
      <c r="E41" s="63">
        <f t="shared" si="0"/>
        <v>4</v>
      </c>
      <c r="F41" s="109">
        <f>950.4/25</f>
        <v>38.015999999999998</v>
      </c>
      <c r="G41" s="109" t="s">
        <v>87</v>
      </c>
      <c r="H41" s="109" t="s">
        <v>87</v>
      </c>
      <c r="I41" s="109">
        <f>1016.64/25</f>
        <v>40.665599999999998</v>
      </c>
      <c r="J41" s="109">
        <f>1016.64/25</f>
        <v>40.665599999999998</v>
      </c>
      <c r="K41" s="62">
        <f t="shared" ref="K41" si="187">J41/D41</f>
        <v>10.166399999999999</v>
      </c>
      <c r="L41" s="61">
        <f t="shared" ref="L41" si="188">K41*E41</f>
        <v>40.665599999999998</v>
      </c>
      <c r="M41" s="60"/>
      <c r="N41" s="96">
        <f t="shared" ref="N41" si="189">K41/$U$2</f>
        <v>3.2172151898734174</v>
      </c>
      <c r="O41" s="96">
        <f t="shared" ref="O41" si="190">L41/$U$2</f>
        <v>12.868860759493669</v>
      </c>
      <c r="P41" s="96">
        <f t="shared" ref="P41" si="191">N41*(1+$Q$65+9%)</f>
        <v>3.5067645569620254</v>
      </c>
      <c r="Q41" s="96">
        <f t="shared" ref="Q41" si="192">P41*E41</f>
        <v>14.027058227848102</v>
      </c>
      <c r="R41" s="59">
        <v>5.75</v>
      </c>
      <c r="S41" s="58">
        <f t="shared" ref="S41" si="193">R41*E41</f>
        <v>23</v>
      </c>
      <c r="T41" s="58">
        <f t="shared" ref="T41" si="194">R41-P41</f>
        <v>2.2432354430379746</v>
      </c>
      <c r="U41" s="58">
        <f t="shared" ref="U41" si="195">T41*E41</f>
        <v>8.9729417721518985</v>
      </c>
      <c r="V41" s="57">
        <f t="shared" ref="V41" si="196">T41/R41</f>
        <v>0.39012790313703904</v>
      </c>
      <c r="W41" s="102"/>
      <c r="X41" s="105">
        <f t="shared" si="11"/>
        <v>5.75</v>
      </c>
      <c r="Y41" s="124">
        <v>0.16350000000000001</v>
      </c>
      <c r="Z41" s="123">
        <f t="shared" si="12"/>
        <v>6.6901250000000001</v>
      </c>
      <c r="AA41" s="106">
        <f t="shared" si="13"/>
        <v>1.2042225</v>
      </c>
      <c r="AB41" s="104">
        <f t="shared" si="14"/>
        <v>0.10838002499999999</v>
      </c>
      <c r="AC41" s="106">
        <f t="shared" si="15"/>
        <v>0.9401250000000001</v>
      </c>
      <c r="AD41" s="106">
        <f t="shared" si="16"/>
        <v>5.75</v>
      </c>
      <c r="AE41" s="126">
        <f t="shared" si="17"/>
        <v>0.39012790313703904</v>
      </c>
      <c r="AF41" s="127">
        <f t="shared" si="18"/>
        <v>0</v>
      </c>
      <c r="AG41" s="56" t="s">
        <v>87</v>
      </c>
      <c r="AL41" s="65"/>
    </row>
    <row r="42" spans="1:39" ht="45" customHeight="1">
      <c r="A42" s="64">
        <v>36</v>
      </c>
      <c r="B42" s="56" t="s">
        <v>76</v>
      </c>
      <c r="C42" s="56">
        <v>1</v>
      </c>
      <c r="D42" s="56">
        <v>4</v>
      </c>
      <c r="E42" s="63">
        <f t="shared" ref="E42" si="197">D42*C42</f>
        <v>4</v>
      </c>
      <c r="F42" s="109">
        <f>950.4/25</f>
        <v>38.015999999999998</v>
      </c>
      <c r="G42" s="109" t="s">
        <v>87</v>
      </c>
      <c r="H42" s="109" t="s">
        <v>87</v>
      </c>
      <c r="I42" s="109">
        <f>1016.64/25</f>
        <v>40.665599999999998</v>
      </c>
      <c r="J42" s="109">
        <f>1016.64/25</f>
        <v>40.665599999999998</v>
      </c>
      <c r="K42" s="62">
        <f t="shared" ref="K42" si="198">J42/D42</f>
        <v>10.166399999999999</v>
      </c>
      <c r="L42" s="61">
        <f t="shared" ref="L42" si="199">K42*E42</f>
        <v>40.665599999999998</v>
      </c>
      <c r="M42" s="60"/>
      <c r="N42" s="96">
        <f t="shared" ref="N42" si="200">K42/$U$2</f>
        <v>3.2172151898734174</v>
      </c>
      <c r="O42" s="96">
        <f t="shared" ref="O42" si="201">L42/$U$2</f>
        <v>12.868860759493669</v>
      </c>
      <c r="P42" s="96">
        <f t="shared" ref="P42" si="202">N42*(1+$Q$65+9%)</f>
        <v>3.5067645569620254</v>
      </c>
      <c r="Q42" s="96">
        <f t="shared" ref="Q42" si="203">P42*E42</f>
        <v>14.027058227848102</v>
      </c>
      <c r="R42" s="59">
        <v>5.75</v>
      </c>
      <c r="S42" s="58">
        <f t="shared" ref="S42" si="204">R42*E42</f>
        <v>23</v>
      </c>
      <c r="T42" s="58">
        <f t="shared" ref="T42" si="205">R42-P42</f>
        <v>2.2432354430379746</v>
      </c>
      <c r="U42" s="58">
        <f t="shared" ref="U42" si="206">T42*E42</f>
        <v>8.9729417721518985</v>
      </c>
      <c r="V42" s="57">
        <f t="shared" ref="V42" si="207">T42/R42</f>
        <v>0.39012790313703904</v>
      </c>
      <c r="W42" s="102"/>
      <c r="X42" s="105">
        <f t="shared" si="11"/>
        <v>5.75</v>
      </c>
      <c r="Y42" s="124">
        <v>0.16350000000000001</v>
      </c>
      <c r="Z42" s="123">
        <f t="shared" si="12"/>
        <v>6.6901250000000001</v>
      </c>
      <c r="AA42" s="106">
        <f t="shared" si="13"/>
        <v>1.2042225</v>
      </c>
      <c r="AB42" s="104">
        <f t="shared" si="14"/>
        <v>0.10838002499999999</v>
      </c>
      <c r="AC42" s="106">
        <f t="shared" si="15"/>
        <v>0.9401250000000001</v>
      </c>
      <c r="AD42" s="106">
        <f t="shared" si="16"/>
        <v>5.75</v>
      </c>
      <c r="AE42" s="126">
        <f t="shared" si="17"/>
        <v>0.39012790313703904</v>
      </c>
      <c r="AF42" s="127">
        <f t="shared" si="18"/>
        <v>0</v>
      </c>
      <c r="AG42" s="56" t="s">
        <v>87</v>
      </c>
      <c r="AL42" s="65"/>
    </row>
    <row r="43" spans="1:39" ht="45" customHeight="1">
      <c r="A43" s="64">
        <v>37</v>
      </c>
      <c r="B43" s="56" t="s">
        <v>88</v>
      </c>
      <c r="C43" s="56">
        <v>1</v>
      </c>
      <c r="D43" s="56">
        <v>24</v>
      </c>
      <c r="E43" s="63">
        <v>24</v>
      </c>
      <c r="F43" s="109" t="s">
        <v>87</v>
      </c>
      <c r="G43" s="109" t="s">
        <v>87</v>
      </c>
      <c r="H43" s="109">
        <f>979.2/25</f>
        <v>39.167999999999999</v>
      </c>
      <c r="I43" s="109" t="s">
        <v>87</v>
      </c>
      <c r="J43" s="109">
        <f>979.2/25</f>
        <v>39.167999999999999</v>
      </c>
      <c r="K43" s="62">
        <f t="shared" ref="K43" si="208">J43/D43</f>
        <v>1.6319999999999999</v>
      </c>
      <c r="L43" s="61">
        <f t="shared" ref="L43" si="209">K43*E43</f>
        <v>39.167999999999999</v>
      </c>
      <c r="M43" s="60"/>
      <c r="N43" s="96">
        <f t="shared" ref="N43" si="210">K43/$U$2</f>
        <v>0.51645569620253162</v>
      </c>
      <c r="O43" s="96">
        <f t="shared" ref="O43" si="211">L43/$U$2</f>
        <v>12.394936708860758</v>
      </c>
      <c r="P43" s="96">
        <f t="shared" ref="P43" si="212">N43*(1+$Q$65+9%)</f>
        <v>0.56293670886075953</v>
      </c>
      <c r="Q43" s="96">
        <f t="shared" ref="Q43" si="213">P43*E43</f>
        <v>13.510481012658229</v>
      </c>
      <c r="R43" s="59">
        <v>5.75</v>
      </c>
      <c r="S43" s="58">
        <f t="shared" ref="S43" si="214">R43*E43</f>
        <v>138</v>
      </c>
      <c r="T43" s="58">
        <f t="shared" ref="T43" si="215">R43-P43</f>
        <v>5.1870632911392409</v>
      </c>
      <c r="U43" s="58">
        <f t="shared" ref="U43" si="216">T43*E43</f>
        <v>124.48951898734178</v>
      </c>
      <c r="V43" s="57">
        <f t="shared" ref="V43" si="217">T43/R43</f>
        <v>0.90209796367638972</v>
      </c>
      <c r="W43" s="102"/>
      <c r="X43" s="105">
        <f t="shared" ref="X43" si="218">R43</f>
        <v>5.75</v>
      </c>
      <c r="Y43" s="124">
        <v>0.16350000000000001</v>
      </c>
      <c r="Z43" s="123">
        <f t="shared" si="12"/>
        <v>6.6901250000000001</v>
      </c>
      <c r="AA43" s="106">
        <f t="shared" ref="AA43" si="219">Z43*18%</f>
        <v>1.2042225</v>
      </c>
      <c r="AB43" s="104">
        <f t="shared" ref="AB43" si="220">AA43*9%</f>
        <v>0.10838002499999999</v>
      </c>
      <c r="AC43" s="106">
        <f t="shared" si="15"/>
        <v>0.9401250000000001</v>
      </c>
      <c r="AD43" s="106">
        <f t="shared" ref="AD43" si="221">Z43-AC43</f>
        <v>5.75</v>
      </c>
      <c r="AE43" s="126">
        <f t="shared" si="17"/>
        <v>0.90209796367638972</v>
      </c>
      <c r="AF43" s="127">
        <f t="shared" si="18"/>
        <v>0</v>
      </c>
      <c r="AG43" s="56" t="s">
        <v>87</v>
      </c>
      <c r="AL43" s="65"/>
    </row>
    <row r="44" spans="1:39" ht="45" customHeight="1">
      <c r="A44" s="64">
        <v>38</v>
      </c>
      <c r="B44" s="56" t="s">
        <v>28</v>
      </c>
      <c r="C44" s="56">
        <v>1</v>
      </c>
      <c r="D44" s="56">
        <v>6</v>
      </c>
      <c r="E44" s="63">
        <f t="shared" si="0"/>
        <v>6</v>
      </c>
      <c r="F44" s="109" t="s">
        <v>87</v>
      </c>
      <c r="G44" s="109">
        <f>1296/50</f>
        <v>25.92</v>
      </c>
      <c r="H44" s="109" t="s">
        <v>87</v>
      </c>
      <c r="I44" s="109">
        <f>1388.16/50</f>
        <v>27.763200000000001</v>
      </c>
      <c r="J44" s="109">
        <f>1388.16/50</f>
        <v>27.763200000000001</v>
      </c>
      <c r="K44" s="62">
        <f t="shared" si="1"/>
        <v>4.6272000000000002</v>
      </c>
      <c r="L44" s="61">
        <f t="shared" si="2"/>
        <v>27.763200000000001</v>
      </c>
      <c r="M44" s="60"/>
      <c r="N44" s="96">
        <f t="shared" si="3"/>
        <v>1.4643037974683544</v>
      </c>
      <c r="O44" s="96">
        <f t="shared" si="4"/>
        <v>8.7858227848101258</v>
      </c>
      <c r="P44" s="96">
        <f t="shared" ref="P44:P49" si="222">N44*(1+$Q$65+9%)</f>
        <v>1.5960911392405064</v>
      </c>
      <c r="Q44" s="96">
        <f t="shared" si="6"/>
        <v>9.5765468354430379</v>
      </c>
      <c r="R44" s="59">
        <v>2.75</v>
      </c>
      <c r="S44" s="58">
        <f t="shared" si="7"/>
        <v>16.5</v>
      </c>
      <c r="T44" s="58">
        <f t="shared" si="8"/>
        <v>1.1539088607594936</v>
      </c>
      <c r="U44" s="58">
        <f t="shared" si="9"/>
        <v>6.9234531645569621</v>
      </c>
      <c r="V44" s="57">
        <f t="shared" si="10"/>
        <v>0.41960322209436129</v>
      </c>
      <c r="W44" s="102"/>
      <c r="X44" s="105">
        <f t="shared" si="11"/>
        <v>2.75</v>
      </c>
      <c r="Y44" s="124">
        <v>0.16350000000000001</v>
      </c>
      <c r="Z44" s="123">
        <f t="shared" si="12"/>
        <v>3.1996250000000002</v>
      </c>
      <c r="AA44" s="106">
        <f t="shared" si="13"/>
        <v>0.57593249999999996</v>
      </c>
      <c r="AB44" s="104">
        <f t="shared" si="14"/>
        <v>5.1833924999999996E-2</v>
      </c>
      <c r="AC44" s="106">
        <f t="shared" si="15"/>
        <v>0.44962500000000016</v>
      </c>
      <c r="AD44" s="106">
        <f t="shared" si="16"/>
        <v>2.75</v>
      </c>
      <c r="AE44" s="126">
        <f t="shared" si="17"/>
        <v>0.41960322209436129</v>
      </c>
      <c r="AF44" s="127">
        <f t="shared" si="18"/>
        <v>0</v>
      </c>
      <c r="AG44" s="56" t="s">
        <v>87</v>
      </c>
      <c r="AL44" s="65"/>
    </row>
    <row r="45" spans="1:39" ht="45" customHeight="1">
      <c r="A45" s="64">
        <v>39</v>
      </c>
      <c r="B45" s="56" t="s">
        <v>27</v>
      </c>
      <c r="C45" s="56">
        <v>1</v>
      </c>
      <c r="D45" s="56">
        <v>6</v>
      </c>
      <c r="E45" s="63">
        <f t="shared" si="0"/>
        <v>6</v>
      </c>
      <c r="F45" s="109" t="s">
        <v>87</v>
      </c>
      <c r="G45" s="109">
        <f>1296/50</f>
        <v>25.92</v>
      </c>
      <c r="H45" s="109" t="s">
        <v>87</v>
      </c>
      <c r="I45" s="109">
        <f>1388.16/50</f>
        <v>27.763200000000001</v>
      </c>
      <c r="J45" s="109">
        <f>1388.16/50</f>
        <v>27.763200000000001</v>
      </c>
      <c r="K45" s="62">
        <f t="shared" si="1"/>
        <v>4.6272000000000002</v>
      </c>
      <c r="L45" s="61">
        <f t="shared" si="2"/>
        <v>27.763200000000001</v>
      </c>
      <c r="M45" s="60"/>
      <c r="N45" s="96">
        <f t="shared" si="3"/>
        <v>1.4643037974683544</v>
      </c>
      <c r="O45" s="96">
        <f t="shared" si="4"/>
        <v>8.7858227848101258</v>
      </c>
      <c r="P45" s="96">
        <f t="shared" si="222"/>
        <v>1.5960911392405064</v>
      </c>
      <c r="Q45" s="96">
        <f t="shared" si="6"/>
        <v>9.5765468354430379</v>
      </c>
      <c r="R45" s="59">
        <v>2.75</v>
      </c>
      <c r="S45" s="58">
        <f t="shared" si="7"/>
        <v>16.5</v>
      </c>
      <c r="T45" s="58">
        <f t="shared" si="8"/>
        <v>1.1539088607594936</v>
      </c>
      <c r="U45" s="58">
        <f t="shared" si="9"/>
        <v>6.9234531645569621</v>
      </c>
      <c r="V45" s="57">
        <f t="shared" si="10"/>
        <v>0.41960322209436129</v>
      </c>
      <c r="W45" s="102"/>
      <c r="X45" s="105">
        <f t="shared" si="11"/>
        <v>2.75</v>
      </c>
      <c r="Y45" s="124">
        <v>0.16350000000000001</v>
      </c>
      <c r="Z45" s="123">
        <f t="shared" si="12"/>
        <v>3.1996250000000002</v>
      </c>
      <c r="AA45" s="106">
        <f t="shared" si="13"/>
        <v>0.57593249999999996</v>
      </c>
      <c r="AB45" s="104">
        <f t="shared" si="14"/>
        <v>5.1833924999999996E-2</v>
      </c>
      <c r="AC45" s="106">
        <f t="shared" si="15"/>
        <v>0.44962500000000016</v>
      </c>
      <c r="AD45" s="106">
        <f t="shared" si="16"/>
        <v>2.75</v>
      </c>
      <c r="AE45" s="126">
        <f t="shared" si="17"/>
        <v>0.41960322209436129</v>
      </c>
      <c r="AF45" s="127">
        <f t="shared" si="18"/>
        <v>0</v>
      </c>
      <c r="AG45" s="56" t="s">
        <v>87</v>
      </c>
      <c r="AL45" s="65"/>
    </row>
    <row r="46" spans="1:39" ht="45" customHeight="1">
      <c r="A46" s="64">
        <v>40</v>
      </c>
      <c r="B46" s="56" t="s">
        <v>26</v>
      </c>
      <c r="C46" s="56">
        <v>1</v>
      </c>
      <c r="D46" s="56">
        <v>8</v>
      </c>
      <c r="E46" s="63">
        <f t="shared" si="0"/>
        <v>8</v>
      </c>
      <c r="F46" s="109" t="s">
        <v>87</v>
      </c>
      <c r="G46" s="109" t="s">
        <v>87</v>
      </c>
      <c r="H46" s="109">
        <f>1257.98/26</f>
        <v>48.383846153846157</v>
      </c>
      <c r="I46" s="109">
        <f>1294.08/25</f>
        <v>51.763199999999998</v>
      </c>
      <c r="J46" s="109">
        <f>1294.08/25</f>
        <v>51.763199999999998</v>
      </c>
      <c r="K46" s="62">
        <f t="shared" si="1"/>
        <v>6.4703999999999997</v>
      </c>
      <c r="L46" s="61">
        <f t="shared" si="2"/>
        <v>51.763199999999998</v>
      </c>
      <c r="M46" s="60"/>
      <c r="N46" s="96">
        <f t="shared" si="3"/>
        <v>2.0475949367088604</v>
      </c>
      <c r="O46" s="96">
        <f t="shared" si="4"/>
        <v>16.380759493670883</v>
      </c>
      <c r="P46" s="96">
        <f t="shared" si="222"/>
        <v>2.2318784810126582</v>
      </c>
      <c r="Q46" s="96">
        <f t="shared" si="6"/>
        <v>17.855027848101265</v>
      </c>
      <c r="R46" s="59">
        <v>3.75</v>
      </c>
      <c r="S46" s="58">
        <f t="shared" si="7"/>
        <v>30</v>
      </c>
      <c r="T46" s="58">
        <f t="shared" si="8"/>
        <v>1.5181215189873418</v>
      </c>
      <c r="U46" s="58">
        <f t="shared" si="9"/>
        <v>12.144972151898735</v>
      </c>
      <c r="V46" s="57">
        <f t="shared" si="10"/>
        <v>0.40483240506329116</v>
      </c>
      <c r="W46" s="102"/>
      <c r="X46" s="105">
        <f t="shared" si="11"/>
        <v>3.75</v>
      </c>
      <c r="Y46" s="124">
        <v>0.16350000000000001</v>
      </c>
      <c r="Z46" s="123">
        <f t="shared" si="12"/>
        <v>4.3631250000000001</v>
      </c>
      <c r="AA46" s="106">
        <f t="shared" si="13"/>
        <v>0.78536249999999996</v>
      </c>
      <c r="AB46" s="104">
        <f t="shared" si="14"/>
        <v>7.0682624999999999E-2</v>
      </c>
      <c r="AC46" s="106">
        <f t="shared" si="15"/>
        <v>0.61312500000000014</v>
      </c>
      <c r="AD46" s="106">
        <f t="shared" si="16"/>
        <v>3.75</v>
      </c>
      <c r="AE46" s="126">
        <f t="shared" si="17"/>
        <v>0.40483240506329116</v>
      </c>
      <c r="AF46" s="127">
        <f t="shared" si="18"/>
        <v>0</v>
      </c>
      <c r="AG46" s="56" t="s">
        <v>87</v>
      </c>
      <c r="AL46" s="65"/>
    </row>
    <row r="47" spans="1:39" ht="45" customHeight="1">
      <c r="A47" s="64">
        <v>41</v>
      </c>
      <c r="B47" s="56" t="s">
        <v>25</v>
      </c>
      <c r="C47" s="56">
        <v>1</v>
      </c>
      <c r="D47" s="56">
        <v>8</v>
      </c>
      <c r="E47" s="63">
        <f t="shared" si="0"/>
        <v>8</v>
      </c>
      <c r="F47" s="109" t="s">
        <v>87</v>
      </c>
      <c r="G47" s="109" t="s">
        <v>87</v>
      </c>
      <c r="H47" s="109">
        <f t="shared" ref="H47:H48" si="223">1257.98/26</f>
        <v>48.383846153846157</v>
      </c>
      <c r="I47" s="109">
        <f t="shared" ref="I47:I48" si="224">1294.08/25</f>
        <v>51.763199999999998</v>
      </c>
      <c r="J47" s="109">
        <f>1294.08/25</f>
        <v>51.763199999999998</v>
      </c>
      <c r="K47" s="62">
        <f t="shared" si="1"/>
        <v>6.4703999999999997</v>
      </c>
      <c r="L47" s="61">
        <f t="shared" si="2"/>
        <v>51.763199999999998</v>
      </c>
      <c r="M47" s="60"/>
      <c r="N47" s="96">
        <f t="shared" si="3"/>
        <v>2.0475949367088604</v>
      </c>
      <c r="O47" s="96">
        <f t="shared" si="4"/>
        <v>16.380759493670883</v>
      </c>
      <c r="P47" s="96">
        <f t="shared" si="222"/>
        <v>2.2318784810126582</v>
      </c>
      <c r="Q47" s="96">
        <f t="shared" si="6"/>
        <v>17.855027848101265</v>
      </c>
      <c r="R47" s="59">
        <v>3.75</v>
      </c>
      <c r="S47" s="58">
        <f t="shared" si="7"/>
        <v>30</v>
      </c>
      <c r="T47" s="58">
        <f t="shared" si="8"/>
        <v>1.5181215189873418</v>
      </c>
      <c r="U47" s="58">
        <f t="shared" si="9"/>
        <v>12.144972151898735</v>
      </c>
      <c r="V47" s="57">
        <f t="shared" si="10"/>
        <v>0.40483240506329116</v>
      </c>
      <c r="W47" s="102"/>
      <c r="X47" s="105">
        <f t="shared" si="11"/>
        <v>3.75</v>
      </c>
      <c r="Y47" s="124">
        <v>0.16350000000000001</v>
      </c>
      <c r="Z47" s="123">
        <f t="shared" si="12"/>
        <v>4.3631250000000001</v>
      </c>
      <c r="AA47" s="106">
        <f t="shared" si="13"/>
        <v>0.78536249999999996</v>
      </c>
      <c r="AB47" s="104">
        <f t="shared" si="14"/>
        <v>7.0682624999999999E-2</v>
      </c>
      <c r="AC47" s="106">
        <f t="shared" si="15"/>
        <v>0.61312500000000014</v>
      </c>
      <c r="AD47" s="106">
        <f t="shared" si="16"/>
        <v>3.75</v>
      </c>
      <c r="AE47" s="126">
        <f t="shared" si="17"/>
        <v>0.40483240506329116</v>
      </c>
      <c r="AF47" s="127">
        <f t="shared" si="18"/>
        <v>0</v>
      </c>
      <c r="AG47" s="56" t="s">
        <v>87</v>
      </c>
      <c r="AL47" s="65"/>
      <c r="AM47" s="66"/>
    </row>
    <row r="48" spans="1:39" ht="45" customHeight="1">
      <c r="A48" s="64">
        <v>42</v>
      </c>
      <c r="B48" s="56" t="s">
        <v>24</v>
      </c>
      <c r="C48" s="56">
        <v>1</v>
      </c>
      <c r="D48" s="56">
        <v>8</v>
      </c>
      <c r="E48" s="63">
        <f t="shared" si="0"/>
        <v>8</v>
      </c>
      <c r="F48" s="109" t="s">
        <v>87</v>
      </c>
      <c r="G48" s="109" t="s">
        <v>87</v>
      </c>
      <c r="H48" s="109">
        <f t="shared" si="223"/>
        <v>48.383846153846157</v>
      </c>
      <c r="I48" s="109">
        <f t="shared" si="224"/>
        <v>51.763199999999998</v>
      </c>
      <c r="J48" s="109">
        <f>1294.08/25</f>
        <v>51.763199999999998</v>
      </c>
      <c r="K48" s="62">
        <f t="shared" si="1"/>
        <v>6.4703999999999997</v>
      </c>
      <c r="L48" s="61">
        <f t="shared" si="2"/>
        <v>51.763199999999998</v>
      </c>
      <c r="M48" s="60"/>
      <c r="N48" s="96">
        <f t="shared" si="3"/>
        <v>2.0475949367088604</v>
      </c>
      <c r="O48" s="96">
        <f t="shared" si="4"/>
        <v>16.380759493670883</v>
      </c>
      <c r="P48" s="96">
        <f t="shared" si="222"/>
        <v>2.2318784810126582</v>
      </c>
      <c r="Q48" s="96">
        <f t="shared" si="6"/>
        <v>17.855027848101265</v>
      </c>
      <c r="R48" s="59">
        <v>3.85</v>
      </c>
      <c r="S48" s="58">
        <f t="shared" si="7"/>
        <v>30.8</v>
      </c>
      <c r="T48" s="58">
        <f t="shared" si="8"/>
        <v>1.6181215189873419</v>
      </c>
      <c r="U48" s="58">
        <f t="shared" si="9"/>
        <v>12.944972151898735</v>
      </c>
      <c r="V48" s="57">
        <f t="shared" si="10"/>
        <v>0.42029130363307582</v>
      </c>
      <c r="W48" s="102"/>
      <c r="X48" s="105">
        <f t="shared" si="11"/>
        <v>3.85</v>
      </c>
      <c r="Y48" s="124">
        <v>0.16350000000000001</v>
      </c>
      <c r="Z48" s="123">
        <f t="shared" si="12"/>
        <v>4.4794749999999999</v>
      </c>
      <c r="AA48" s="106">
        <f t="shared" si="13"/>
        <v>0.8063054999999999</v>
      </c>
      <c r="AB48" s="104">
        <f t="shared" si="14"/>
        <v>7.2567494999999982E-2</v>
      </c>
      <c r="AC48" s="106">
        <f t="shared" si="15"/>
        <v>0.62947499999999978</v>
      </c>
      <c r="AD48" s="106">
        <f t="shared" si="16"/>
        <v>3.85</v>
      </c>
      <c r="AE48" s="126">
        <f t="shared" si="17"/>
        <v>0.42029130363307582</v>
      </c>
      <c r="AF48" s="127">
        <f t="shared" si="18"/>
        <v>0</v>
      </c>
      <c r="AG48" s="56" t="s">
        <v>87</v>
      </c>
      <c r="AL48" s="65"/>
    </row>
    <row r="49" spans="1:39" ht="45" customHeight="1">
      <c r="A49" s="64">
        <v>43</v>
      </c>
      <c r="B49" s="56" t="s">
        <v>23</v>
      </c>
      <c r="C49" s="56">
        <v>1</v>
      </c>
      <c r="D49" s="56">
        <v>18</v>
      </c>
      <c r="E49" s="63">
        <f t="shared" si="0"/>
        <v>18</v>
      </c>
      <c r="F49" s="109" t="s">
        <v>87</v>
      </c>
      <c r="G49" s="109">
        <f>933.12/30</f>
        <v>31.103999999999999</v>
      </c>
      <c r="H49" s="109" t="s">
        <v>87</v>
      </c>
      <c r="I49" s="109">
        <f>1000.51/30</f>
        <v>33.350333333333332</v>
      </c>
      <c r="J49" s="109">
        <f>1000.51/30</f>
        <v>33.350333333333332</v>
      </c>
      <c r="K49" s="62">
        <f t="shared" si="1"/>
        <v>1.8527962962962963</v>
      </c>
      <c r="L49" s="61">
        <f t="shared" si="2"/>
        <v>33.350333333333332</v>
      </c>
      <c r="M49" s="60"/>
      <c r="N49" s="96">
        <f t="shared" si="3"/>
        <v>0.58632794186591652</v>
      </c>
      <c r="O49" s="96">
        <f t="shared" si="4"/>
        <v>10.553902953586498</v>
      </c>
      <c r="P49" s="96">
        <f t="shared" si="222"/>
        <v>0.63909745663384909</v>
      </c>
      <c r="Q49" s="96">
        <f t="shared" si="6"/>
        <v>11.503754219409284</v>
      </c>
      <c r="R49" s="59">
        <v>1.1499999999999999</v>
      </c>
      <c r="S49" s="58">
        <f t="shared" si="7"/>
        <v>20.7</v>
      </c>
      <c r="T49" s="58">
        <f t="shared" si="8"/>
        <v>0.51090254336615082</v>
      </c>
      <c r="U49" s="58">
        <f t="shared" si="9"/>
        <v>9.196245780590715</v>
      </c>
      <c r="V49" s="57">
        <f t="shared" si="10"/>
        <v>0.44426308118795726</v>
      </c>
      <c r="W49" s="102"/>
      <c r="X49" s="105">
        <f t="shared" si="11"/>
        <v>1.1499999999999999</v>
      </c>
      <c r="Y49" s="124">
        <v>0.16350000000000001</v>
      </c>
      <c r="Z49" s="123">
        <f t="shared" si="12"/>
        <v>1.338025</v>
      </c>
      <c r="AA49" s="106">
        <f t="shared" si="13"/>
        <v>0.24084449999999999</v>
      </c>
      <c r="AB49" s="104">
        <f t="shared" si="14"/>
        <v>2.1676004999999998E-2</v>
      </c>
      <c r="AC49" s="106">
        <f t="shared" si="15"/>
        <v>0.18802500000000011</v>
      </c>
      <c r="AD49" s="106">
        <f t="shared" si="16"/>
        <v>1.1499999999999999</v>
      </c>
      <c r="AE49" s="126">
        <f t="shared" si="17"/>
        <v>0.44426308118795726</v>
      </c>
      <c r="AF49" s="127">
        <f t="shared" si="18"/>
        <v>0</v>
      </c>
      <c r="AG49" s="56" t="s">
        <v>87</v>
      </c>
      <c r="AL49" s="65"/>
      <c r="AM49" s="66"/>
    </row>
    <row r="50" spans="1:39" ht="45" customHeight="1">
      <c r="A50" s="64">
        <v>44</v>
      </c>
      <c r="B50" s="56" t="s">
        <v>74</v>
      </c>
      <c r="C50" s="56">
        <v>1</v>
      </c>
      <c r="D50" s="56">
        <v>18</v>
      </c>
      <c r="E50" s="63">
        <f t="shared" ref="E50" si="225">D50*C50</f>
        <v>18</v>
      </c>
      <c r="F50" s="109" t="s">
        <v>87</v>
      </c>
      <c r="G50" s="109">
        <f>933.12/30</f>
        <v>31.103999999999999</v>
      </c>
      <c r="H50" s="109" t="s">
        <v>87</v>
      </c>
      <c r="I50" s="109">
        <f>1000.51/30</f>
        <v>33.350333333333332</v>
      </c>
      <c r="J50" s="109">
        <f>1000.51/30</f>
        <v>33.350333333333332</v>
      </c>
      <c r="K50" s="62">
        <f t="shared" ref="K50" si="226">J50/D50</f>
        <v>1.8527962962962963</v>
      </c>
      <c r="L50" s="61">
        <f t="shared" ref="L50" si="227">K50*E50</f>
        <v>33.350333333333332</v>
      </c>
      <c r="M50" s="60"/>
      <c r="N50" s="96">
        <f t="shared" ref="N50" si="228">K50/$U$2</f>
        <v>0.58632794186591652</v>
      </c>
      <c r="O50" s="96">
        <f t="shared" ref="O50" si="229">L50/$U$2</f>
        <v>10.553902953586498</v>
      </c>
      <c r="P50" s="96">
        <f t="shared" ref="P50" si="230">N50*(1+$Q$65+9%)</f>
        <v>0.63909745663384909</v>
      </c>
      <c r="Q50" s="96">
        <f t="shared" ref="Q50" si="231">P50*E50</f>
        <v>11.503754219409284</v>
      </c>
      <c r="R50" s="59">
        <v>1.1499999999999999</v>
      </c>
      <c r="S50" s="58">
        <f t="shared" ref="S50" si="232">R50*E50</f>
        <v>20.7</v>
      </c>
      <c r="T50" s="58">
        <f t="shared" ref="T50" si="233">R50-P50</f>
        <v>0.51090254336615082</v>
      </c>
      <c r="U50" s="58">
        <f t="shared" ref="U50" si="234">T50*E50</f>
        <v>9.196245780590715</v>
      </c>
      <c r="V50" s="57">
        <f t="shared" ref="V50" si="235">T50/R50</f>
        <v>0.44426308118795726</v>
      </c>
      <c r="W50" s="102"/>
      <c r="X50" s="105">
        <f t="shared" si="11"/>
        <v>1.1499999999999999</v>
      </c>
      <c r="Y50" s="124">
        <v>0.16350000000000001</v>
      </c>
      <c r="Z50" s="123">
        <f t="shared" si="12"/>
        <v>1.338025</v>
      </c>
      <c r="AA50" s="106">
        <f t="shared" si="13"/>
        <v>0.24084449999999999</v>
      </c>
      <c r="AB50" s="104">
        <f t="shared" si="14"/>
        <v>2.1676004999999998E-2</v>
      </c>
      <c r="AC50" s="106">
        <f t="shared" si="15"/>
        <v>0.18802500000000011</v>
      </c>
      <c r="AD50" s="106">
        <f t="shared" si="16"/>
        <v>1.1499999999999999</v>
      </c>
      <c r="AE50" s="126">
        <f t="shared" si="17"/>
        <v>0.44426308118795726</v>
      </c>
      <c r="AF50" s="127">
        <f t="shared" si="18"/>
        <v>0</v>
      </c>
      <c r="AG50" s="56" t="s">
        <v>87</v>
      </c>
      <c r="AL50" s="65"/>
      <c r="AM50" s="66"/>
    </row>
    <row r="51" spans="1:39" ht="45" customHeight="1">
      <c r="A51" s="64">
        <v>45</v>
      </c>
      <c r="B51" s="56" t="s">
        <v>22</v>
      </c>
      <c r="C51" s="56">
        <v>1</v>
      </c>
      <c r="D51" s="56">
        <v>4</v>
      </c>
      <c r="E51" s="63">
        <f t="shared" si="0"/>
        <v>4</v>
      </c>
      <c r="F51" s="109">
        <f>1900.8/50</f>
        <v>38.015999999999998</v>
      </c>
      <c r="G51" s="109" t="s">
        <v>87</v>
      </c>
      <c r="H51" s="109" t="s">
        <v>87</v>
      </c>
      <c r="I51" s="109">
        <f>2033.28/50</f>
        <v>40.665599999999998</v>
      </c>
      <c r="J51" s="109">
        <f>2033.28/50</f>
        <v>40.665599999999998</v>
      </c>
      <c r="K51" s="62">
        <f t="shared" si="1"/>
        <v>10.166399999999999</v>
      </c>
      <c r="L51" s="61">
        <f t="shared" si="2"/>
        <v>40.665599999999998</v>
      </c>
      <c r="M51" s="60"/>
      <c r="N51" s="96">
        <f t="shared" si="3"/>
        <v>3.2172151898734174</v>
      </c>
      <c r="O51" s="96">
        <f t="shared" si="4"/>
        <v>12.868860759493669</v>
      </c>
      <c r="P51" s="96">
        <f t="shared" ref="P51:P58" si="236">N51*(1+$Q$65+9%)</f>
        <v>3.5067645569620254</v>
      </c>
      <c r="Q51" s="96">
        <f t="shared" si="6"/>
        <v>14.027058227848102</v>
      </c>
      <c r="R51" s="59">
        <v>5.75</v>
      </c>
      <c r="S51" s="58">
        <f t="shared" si="7"/>
        <v>23</v>
      </c>
      <c r="T51" s="58">
        <f t="shared" si="8"/>
        <v>2.2432354430379746</v>
      </c>
      <c r="U51" s="58">
        <f t="shared" si="9"/>
        <v>8.9729417721518985</v>
      </c>
      <c r="V51" s="57">
        <f t="shared" si="10"/>
        <v>0.39012790313703904</v>
      </c>
      <c r="W51" s="102"/>
      <c r="X51" s="105">
        <f t="shared" si="11"/>
        <v>5.75</v>
      </c>
      <c r="Y51" s="124">
        <v>0.16350000000000001</v>
      </c>
      <c r="Z51" s="123">
        <f t="shared" si="12"/>
        <v>6.6901250000000001</v>
      </c>
      <c r="AA51" s="106">
        <f t="shared" si="13"/>
        <v>1.2042225</v>
      </c>
      <c r="AB51" s="104">
        <f t="shared" si="14"/>
        <v>0.10838002499999999</v>
      </c>
      <c r="AC51" s="106">
        <f t="shared" si="15"/>
        <v>0.9401250000000001</v>
      </c>
      <c r="AD51" s="106">
        <f t="shared" si="16"/>
        <v>5.75</v>
      </c>
      <c r="AE51" s="126">
        <f t="shared" si="17"/>
        <v>0.39012790313703904</v>
      </c>
      <c r="AF51" s="127">
        <f t="shared" si="18"/>
        <v>0</v>
      </c>
      <c r="AG51" s="56" t="s">
        <v>87</v>
      </c>
    </row>
    <row r="52" spans="1:39" ht="45" customHeight="1">
      <c r="A52" s="64">
        <v>46</v>
      </c>
      <c r="B52" s="56" t="s">
        <v>21</v>
      </c>
      <c r="C52" s="56">
        <v>1</v>
      </c>
      <c r="D52" s="56">
        <v>4</v>
      </c>
      <c r="E52" s="63">
        <f t="shared" si="0"/>
        <v>4</v>
      </c>
      <c r="F52" s="109">
        <f t="shared" ref="F52:F53" si="237">1900.8/50</f>
        <v>38.015999999999998</v>
      </c>
      <c r="G52" s="109" t="s">
        <v>87</v>
      </c>
      <c r="H52" s="109" t="s">
        <v>87</v>
      </c>
      <c r="I52" s="109">
        <f t="shared" ref="I52:I53" si="238">2033.28/50</f>
        <v>40.665599999999998</v>
      </c>
      <c r="J52" s="109">
        <f t="shared" ref="J52:J53" si="239">2033.28/50</f>
        <v>40.665599999999998</v>
      </c>
      <c r="K52" s="62">
        <f t="shared" si="1"/>
        <v>10.166399999999999</v>
      </c>
      <c r="L52" s="61">
        <f t="shared" si="2"/>
        <v>40.665599999999998</v>
      </c>
      <c r="M52" s="60"/>
      <c r="N52" s="96">
        <f t="shared" si="3"/>
        <v>3.2172151898734174</v>
      </c>
      <c r="O52" s="96">
        <f t="shared" si="4"/>
        <v>12.868860759493669</v>
      </c>
      <c r="P52" s="96">
        <f t="shared" si="236"/>
        <v>3.5067645569620254</v>
      </c>
      <c r="Q52" s="96">
        <f t="shared" si="6"/>
        <v>14.027058227848102</v>
      </c>
      <c r="R52" s="59">
        <v>5.75</v>
      </c>
      <c r="S52" s="58">
        <f t="shared" si="7"/>
        <v>23</v>
      </c>
      <c r="T52" s="58">
        <f t="shared" si="8"/>
        <v>2.2432354430379746</v>
      </c>
      <c r="U52" s="58">
        <f t="shared" si="9"/>
        <v>8.9729417721518985</v>
      </c>
      <c r="V52" s="57">
        <f t="shared" si="10"/>
        <v>0.39012790313703904</v>
      </c>
      <c r="W52" s="102"/>
      <c r="X52" s="105">
        <f t="shared" si="11"/>
        <v>5.75</v>
      </c>
      <c r="Y52" s="124">
        <v>0.16350000000000001</v>
      </c>
      <c r="Z52" s="123">
        <f t="shared" si="12"/>
        <v>6.6901250000000001</v>
      </c>
      <c r="AA52" s="106">
        <f t="shared" si="13"/>
        <v>1.2042225</v>
      </c>
      <c r="AB52" s="104">
        <f t="shared" si="14"/>
        <v>0.10838002499999999</v>
      </c>
      <c r="AC52" s="106">
        <f t="shared" si="15"/>
        <v>0.9401250000000001</v>
      </c>
      <c r="AD52" s="106">
        <f t="shared" si="16"/>
        <v>5.75</v>
      </c>
      <c r="AE52" s="126">
        <f t="shared" si="17"/>
        <v>0.39012790313703904</v>
      </c>
      <c r="AF52" s="127">
        <f t="shared" si="18"/>
        <v>0</v>
      </c>
      <c r="AG52" s="56" t="s">
        <v>87</v>
      </c>
      <c r="AM52" s="66"/>
    </row>
    <row r="53" spans="1:39" ht="45" customHeight="1">
      <c r="A53" s="64">
        <v>47</v>
      </c>
      <c r="B53" s="56" t="s">
        <v>20</v>
      </c>
      <c r="C53" s="56">
        <v>1</v>
      </c>
      <c r="D53" s="56">
        <v>4</v>
      </c>
      <c r="E53" s="63">
        <f t="shared" si="0"/>
        <v>4</v>
      </c>
      <c r="F53" s="109">
        <f t="shared" si="237"/>
        <v>38.015999999999998</v>
      </c>
      <c r="G53" s="109" t="s">
        <v>87</v>
      </c>
      <c r="H53" s="109" t="s">
        <v>87</v>
      </c>
      <c r="I53" s="109">
        <f t="shared" si="238"/>
        <v>40.665599999999998</v>
      </c>
      <c r="J53" s="109">
        <f t="shared" si="239"/>
        <v>40.665599999999998</v>
      </c>
      <c r="K53" s="62">
        <f t="shared" si="1"/>
        <v>10.166399999999999</v>
      </c>
      <c r="L53" s="61">
        <f t="shared" si="2"/>
        <v>40.665599999999998</v>
      </c>
      <c r="M53" s="60"/>
      <c r="N53" s="96">
        <f t="shared" si="3"/>
        <v>3.2172151898734174</v>
      </c>
      <c r="O53" s="96">
        <f t="shared" si="4"/>
        <v>12.868860759493669</v>
      </c>
      <c r="P53" s="96">
        <f t="shared" si="236"/>
        <v>3.5067645569620254</v>
      </c>
      <c r="Q53" s="96">
        <f t="shared" si="6"/>
        <v>14.027058227848102</v>
      </c>
      <c r="R53" s="59">
        <v>5.75</v>
      </c>
      <c r="S53" s="58">
        <f t="shared" si="7"/>
        <v>23</v>
      </c>
      <c r="T53" s="58">
        <f t="shared" si="8"/>
        <v>2.2432354430379746</v>
      </c>
      <c r="U53" s="58">
        <f t="shared" si="9"/>
        <v>8.9729417721518985</v>
      </c>
      <c r="V53" s="57">
        <f t="shared" si="10"/>
        <v>0.39012790313703904</v>
      </c>
      <c r="W53" s="102"/>
      <c r="X53" s="105">
        <f t="shared" si="11"/>
        <v>5.75</v>
      </c>
      <c r="Y53" s="124">
        <v>0.16350000000000001</v>
      </c>
      <c r="Z53" s="123">
        <f t="shared" si="12"/>
        <v>6.6901250000000001</v>
      </c>
      <c r="AA53" s="106">
        <f t="shared" si="13"/>
        <v>1.2042225</v>
      </c>
      <c r="AB53" s="104">
        <f t="shared" si="14"/>
        <v>0.10838002499999999</v>
      </c>
      <c r="AC53" s="106">
        <f t="shared" si="15"/>
        <v>0.9401250000000001</v>
      </c>
      <c r="AD53" s="106">
        <f t="shared" si="16"/>
        <v>5.75</v>
      </c>
      <c r="AE53" s="126">
        <f t="shared" si="17"/>
        <v>0.39012790313703904</v>
      </c>
      <c r="AF53" s="127">
        <f t="shared" si="18"/>
        <v>0</v>
      </c>
      <c r="AG53" s="56" t="s">
        <v>87</v>
      </c>
      <c r="AM53" s="66"/>
    </row>
    <row r="54" spans="1:39" ht="45" customHeight="1">
      <c r="A54" s="64">
        <v>48</v>
      </c>
      <c r="B54" s="56" t="s">
        <v>19</v>
      </c>
      <c r="C54" s="56">
        <v>1</v>
      </c>
      <c r="D54" s="56">
        <v>4</v>
      </c>
      <c r="E54" s="63">
        <f t="shared" si="0"/>
        <v>4</v>
      </c>
      <c r="F54" s="109">
        <f>1900.8/50</f>
        <v>38.015999999999998</v>
      </c>
      <c r="G54" s="109" t="s">
        <v>87</v>
      </c>
      <c r="H54" s="109" t="s">
        <v>87</v>
      </c>
      <c r="I54" s="109">
        <f>2033.28/50</f>
        <v>40.665599999999998</v>
      </c>
      <c r="J54" s="109">
        <f>2033.28/50</f>
        <v>40.665599999999998</v>
      </c>
      <c r="K54" s="62">
        <f t="shared" si="1"/>
        <v>10.166399999999999</v>
      </c>
      <c r="L54" s="61">
        <f t="shared" si="2"/>
        <v>40.665599999999998</v>
      </c>
      <c r="M54" s="60"/>
      <c r="N54" s="96">
        <f t="shared" si="3"/>
        <v>3.2172151898734174</v>
      </c>
      <c r="O54" s="96">
        <f t="shared" si="4"/>
        <v>12.868860759493669</v>
      </c>
      <c r="P54" s="96">
        <f t="shared" si="236"/>
        <v>3.5067645569620254</v>
      </c>
      <c r="Q54" s="96">
        <f t="shared" si="6"/>
        <v>14.027058227848102</v>
      </c>
      <c r="R54" s="59">
        <v>5.75</v>
      </c>
      <c r="S54" s="58">
        <f t="shared" si="7"/>
        <v>23</v>
      </c>
      <c r="T54" s="58">
        <f t="shared" si="8"/>
        <v>2.2432354430379746</v>
      </c>
      <c r="U54" s="58">
        <f t="shared" si="9"/>
        <v>8.9729417721518985</v>
      </c>
      <c r="V54" s="57">
        <f t="shared" si="10"/>
        <v>0.39012790313703904</v>
      </c>
      <c r="W54" s="102"/>
      <c r="X54" s="105">
        <f t="shared" si="11"/>
        <v>5.75</v>
      </c>
      <c r="Y54" s="124">
        <v>0.16350000000000001</v>
      </c>
      <c r="Z54" s="123">
        <f t="shared" si="12"/>
        <v>6.6901250000000001</v>
      </c>
      <c r="AA54" s="106">
        <f t="shared" si="13"/>
        <v>1.2042225</v>
      </c>
      <c r="AB54" s="104">
        <f t="shared" si="14"/>
        <v>0.10838002499999999</v>
      </c>
      <c r="AC54" s="106">
        <f t="shared" si="15"/>
        <v>0.9401250000000001</v>
      </c>
      <c r="AD54" s="106">
        <f t="shared" si="16"/>
        <v>5.75</v>
      </c>
      <c r="AE54" s="126">
        <f t="shared" si="17"/>
        <v>0.39012790313703904</v>
      </c>
      <c r="AF54" s="127">
        <f t="shared" si="18"/>
        <v>0</v>
      </c>
      <c r="AG54" s="56" t="s">
        <v>87</v>
      </c>
      <c r="AM54" s="66"/>
    </row>
    <row r="55" spans="1:39" ht="45" customHeight="1">
      <c r="A55" s="64">
        <v>49</v>
      </c>
      <c r="B55" s="56" t="s">
        <v>18</v>
      </c>
      <c r="C55" s="56">
        <v>1</v>
      </c>
      <c r="D55" s="56">
        <v>6</v>
      </c>
      <c r="E55" s="63">
        <f t="shared" si="0"/>
        <v>6</v>
      </c>
      <c r="F55" s="109" t="s">
        <v>87</v>
      </c>
      <c r="G55" s="109" t="s">
        <v>87</v>
      </c>
      <c r="H55" s="109" t="s">
        <v>87</v>
      </c>
      <c r="I55" s="109" t="s">
        <v>87</v>
      </c>
      <c r="J55" s="113">
        <v>42</v>
      </c>
      <c r="K55" s="62">
        <f t="shared" si="1"/>
        <v>7</v>
      </c>
      <c r="L55" s="61">
        <f t="shared" si="2"/>
        <v>42</v>
      </c>
      <c r="M55" s="60"/>
      <c r="N55" s="96">
        <f t="shared" si="3"/>
        <v>2.2151898734177213</v>
      </c>
      <c r="O55" s="96">
        <f t="shared" si="4"/>
        <v>13.291139240506329</v>
      </c>
      <c r="P55" s="96">
        <f t="shared" si="236"/>
        <v>2.4145569620253164</v>
      </c>
      <c r="Q55" s="96">
        <f t="shared" si="6"/>
        <v>14.487341772151899</v>
      </c>
      <c r="R55" s="59">
        <v>3.95</v>
      </c>
      <c r="S55" s="58">
        <f t="shared" si="7"/>
        <v>23.700000000000003</v>
      </c>
      <c r="T55" s="58">
        <f t="shared" si="8"/>
        <v>1.5354430379746837</v>
      </c>
      <c r="U55" s="58">
        <f t="shared" si="9"/>
        <v>9.2126582278481024</v>
      </c>
      <c r="V55" s="57">
        <f t="shared" si="10"/>
        <v>0.38871975644928702</v>
      </c>
      <c r="W55" s="102"/>
      <c r="X55" s="105">
        <f t="shared" si="11"/>
        <v>3.95</v>
      </c>
      <c r="Y55" s="124">
        <v>0.16350000000000001</v>
      </c>
      <c r="Z55" s="123">
        <f t="shared" si="12"/>
        <v>4.5958250000000005</v>
      </c>
      <c r="AA55" s="106">
        <f t="shared" si="13"/>
        <v>0.82724850000000005</v>
      </c>
      <c r="AB55" s="104">
        <f t="shared" si="14"/>
        <v>7.4452365000000006E-2</v>
      </c>
      <c r="AC55" s="106">
        <f t="shared" si="15"/>
        <v>0.64582500000000032</v>
      </c>
      <c r="AD55" s="106">
        <f t="shared" si="16"/>
        <v>3.95</v>
      </c>
      <c r="AE55" s="126">
        <f t="shared" si="17"/>
        <v>0.38871975644928702</v>
      </c>
      <c r="AF55" s="127">
        <f t="shared" si="18"/>
        <v>0</v>
      </c>
      <c r="AG55" s="56" t="s">
        <v>87</v>
      </c>
      <c r="AM55" s="66"/>
    </row>
    <row r="56" spans="1:39" ht="45" customHeight="1">
      <c r="A56" s="64">
        <v>50</v>
      </c>
      <c r="B56" s="56" t="s">
        <v>17</v>
      </c>
      <c r="C56" s="56">
        <v>1</v>
      </c>
      <c r="D56" s="56">
        <v>6</v>
      </c>
      <c r="E56" s="63">
        <f t="shared" si="0"/>
        <v>6</v>
      </c>
      <c r="F56" s="109" t="s">
        <v>87</v>
      </c>
      <c r="G56" s="109" t="s">
        <v>87</v>
      </c>
      <c r="H56" s="109" t="s">
        <v>87</v>
      </c>
      <c r="I56" s="109" t="s">
        <v>87</v>
      </c>
      <c r="J56" s="113">
        <v>42</v>
      </c>
      <c r="K56" s="62">
        <f t="shared" si="1"/>
        <v>7</v>
      </c>
      <c r="L56" s="61">
        <f t="shared" si="2"/>
        <v>42</v>
      </c>
      <c r="M56" s="60"/>
      <c r="N56" s="96">
        <f t="shared" si="3"/>
        <v>2.2151898734177213</v>
      </c>
      <c r="O56" s="96">
        <f t="shared" si="4"/>
        <v>13.291139240506329</v>
      </c>
      <c r="P56" s="96">
        <f t="shared" si="236"/>
        <v>2.4145569620253164</v>
      </c>
      <c r="Q56" s="96">
        <f t="shared" si="6"/>
        <v>14.487341772151899</v>
      </c>
      <c r="R56" s="59">
        <v>3.95</v>
      </c>
      <c r="S56" s="58">
        <f t="shared" si="7"/>
        <v>23.700000000000003</v>
      </c>
      <c r="T56" s="58">
        <f t="shared" si="8"/>
        <v>1.5354430379746837</v>
      </c>
      <c r="U56" s="58">
        <f t="shared" si="9"/>
        <v>9.2126582278481024</v>
      </c>
      <c r="V56" s="57">
        <f t="shared" si="10"/>
        <v>0.38871975644928702</v>
      </c>
      <c r="W56" s="102"/>
      <c r="X56" s="105">
        <f t="shared" si="11"/>
        <v>3.95</v>
      </c>
      <c r="Y56" s="124">
        <v>0.16350000000000001</v>
      </c>
      <c r="Z56" s="123">
        <f t="shared" si="12"/>
        <v>4.5958250000000005</v>
      </c>
      <c r="AA56" s="106">
        <f t="shared" si="13"/>
        <v>0.82724850000000005</v>
      </c>
      <c r="AB56" s="104">
        <f t="shared" si="14"/>
        <v>7.4452365000000006E-2</v>
      </c>
      <c r="AC56" s="106">
        <f t="shared" si="15"/>
        <v>0.64582500000000032</v>
      </c>
      <c r="AD56" s="106">
        <f t="shared" si="16"/>
        <v>3.95</v>
      </c>
      <c r="AE56" s="126">
        <f t="shared" si="17"/>
        <v>0.38871975644928702</v>
      </c>
      <c r="AF56" s="127">
        <f t="shared" si="18"/>
        <v>0</v>
      </c>
      <c r="AG56" s="56" t="s">
        <v>87</v>
      </c>
      <c r="AL56" s="65"/>
    </row>
    <row r="57" spans="1:39" ht="45" customHeight="1">
      <c r="A57" s="64">
        <v>51</v>
      </c>
      <c r="B57" s="56" t="s">
        <v>16</v>
      </c>
      <c r="C57" s="56">
        <v>1</v>
      </c>
      <c r="D57" s="56">
        <v>6</v>
      </c>
      <c r="E57" s="63">
        <f t="shared" si="0"/>
        <v>6</v>
      </c>
      <c r="F57" s="109" t="s">
        <v>87</v>
      </c>
      <c r="G57" s="109" t="s">
        <v>87</v>
      </c>
      <c r="H57" s="109" t="s">
        <v>87</v>
      </c>
      <c r="I57" s="109" t="s">
        <v>87</v>
      </c>
      <c r="J57" s="113">
        <v>42</v>
      </c>
      <c r="K57" s="62">
        <f t="shared" si="1"/>
        <v>7</v>
      </c>
      <c r="L57" s="61">
        <f t="shared" si="2"/>
        <v>42</v>
      </c>
      <c r="M57" s="60"/>
      <c r="N57" s="96">
        <f t="shared" si="3"/>
        <v>2.2151898734177213</v>
      </c>
      <c r="O57" s="96">
        <f t="shared" si="4"/>
        <v>13.291139240506329</v>
      </c>
      <c r="P57" s="96">
        <f t="shared" si="236"/>
        <v>2.4145569620253164</v>
      </c>
      <c r="Q57" s="96">
        <f t="shared" si="6"/>
        <v>14.487341772151899</v>
      </c>
      <c r="R57" s="59">
        <v>3.95</v>
      </c>
      <c r="S57" s="58">
        <f t="shared" si="7"/>
        <v>23.700000000000003</v>
      </c>
      <c r="T57" s="58">
        <f t="shared" si="8"/>
        <v>1.5354430379746837</v>
      </c>
      <c r="U57" s="58">
        <f t="shared" si="9"/>
        <v>9.2126582278481024</v>
      </c>
      <c r="V57" s="57">
        <f t="shared" si="10"/>
        <v>0.38871975644928702</v>
      </c>
      <c r="W57" s="102"/>
      <c r="X57" s="105">
        <f t="shared" si="11"/>
        <v>3.95</v>
      </c>
      <c r="Y57" s="124">
        <v>0.16350000000000001</v>
      </c>
      <c r="Z57" s="123">
        <f t="shared" si="12"/>
        <v>4.5958250000000005</v>
      </c>
      <c r="AA57" s="106">
        <f t="shared" si="13"/>
        <v>0.82724850000000005</v>
      </c>
      <c r="AB57" s="104">
        <f t="shared" si="14"/>
        <v>7.4452365000000006E-2</v>
      </c>
      <c r="AC57" s="106">
        <f t="shared" si="15"/>
        <v>0.64582500000000032</v>
      </c>
      <c r="AD57" s="106">
        <f t="shared" si="16"/>
        <v>3.95</v>
      </c>
      <c r="AE57" s="126">
        <f t="shared" si="17"/>
        <v>0.38871975644928702</v>
      </c>
      <c r="AF57" s="127">
        <f t="shared" si="18"/>
        <v>0</v>
      </c>
      <c r="AG57" s="56" t="s">
        <v>87</v>
      </c>
    </row>
    <row r="58" spans="1:39" ht="45" customHeight="1">
      <c r="A58" s="64">
        <v>52</v>
      </c>
      <c r="B58" s="56" t="s">
        <v>15</v>
      </c>
      <c r="C58" s="56">
        <v>1</v>
      </c>
      <c r="D58" s="56">
        <v>6</v>
      </c>
      <c r="E58" s="63">
        <f t="shared" si="0"/>
        <v>6</v>
      </c>
      <c r="F58" s="109" t="s">
        <v>87</v>
      </c>
      <c r="G58" s="109" t="s">
        <v>87</v>
      </c>
      <c r="H58" s="109" t="s">
        <v>87</v>
      </c>
      <c r="I58" s="109" t="s">
        <v>87</v>
      </c>
      <c r="J58" s="113">
        <v>42</v>
      </c>
      <c r="K58" s="62">
        <f t="shared" si="1"/>
        <v>7</v>
      </c>
      <c r="L58" s="61">
        <f t="shared" si="2"/>
        <v>42</v>
      </c>
      <c r="M58" s="60"/>
      <c r="N58" s="96">
        <f t="shared" si="3"/>
        <v>2.2151898734177213</v>
      </c>
      <c r="O58" s="96">
        <f t="shared" si="4"/>
        <v>13.291139240506329</v>
      </c>
      <c r="P58" s="96">
        <f t="shared" si="236"/>
        <v>2.4145569620253164</v>
      </c>
      <c r="Q58" s="96">
        <f t="shared" si="6"/>
        <v>14.487341772151899</v>
      </c>
      <c r="R58" s="59">
        <v>3.95</v>
      </c>
      <c r="S58" s="58">
        <f t="shared" si="7"/>
        <v>23.700000000000003</v>
      </c>
      <c r="T58" s="58">
        <f t="shared" si="8"/>
        <v>1.5354430379746837</v>
      </c>
      <c r="U58" s="58">
        <f t="shared" si="9"/>
        <v>9.2126582278481024</v>
      </c>
      <c r="V58" s="57">
        <f t="shared" si="10"/>
        <v>0.38871975644928702</v>
      </c>
      <c r="W58" s="102"/>
      <c r="X58" s="105">
        <f t="shared" si="11"/>
        <v>3.95</v>
      </c>
      <c r="Y58" s="124">
        <v>0.16350000000000001</v>
      </c>
      <c r="Z58" s="123">
        <f t="shared" si="12"/>
        <v>4.5958250000000005</v>
      </c>
      <c r="AA58" s="106">
        <f t="shared" si="13"/>
        <v>0.82724850000000005</v>
      </c>
      <c r="AB58" s="104">
        <f t="shared" si="14"/>
        <v>7.4452365000000006E-2</v>
      </c>
      <c r="AC58" s="106">
        <f t="shared" si="15"/>
        <v>0.64582500000000032</v>
      </c>
      <c r="AD58" s="106">
        <f t="shared" si="16"/>
        <v>3.95</v>
      </c>
      <c r="AE58" s="126">
        <f t="shared" si="17"/>
        <v>0.38871975644928702</v>
      </c>
      <c r="AF58" s="127">
        <f t="shared" si="18"/>
        <v>0</v>
      </c>
      <c r="AG58" s="56" t="s">
        <v>87</v>
      </c>
    </row>
    <row r="59" spans="1:39" ht="45" customHeight="1">
      <c r="A59" s="64">
        <v>53</v>
      </c>
      <c r="B59" s="56" t="s">
        <v>77</v>
      </c>
      <c r="C59" s="56">
        <v>1</v>
      </c>
      <c r="D59" s="56">
        <v>6</v>
      </c>
      <c r="E59" s="63">
        <f t="shared" ref="E59" si="240">D59*C59</f>
        <v>6</v>
      </c>
      <c r="F59" s="109">
        <f>697.2/28</f>
        <v>24.900000000000002</v>
      </c>
      <c r="G59" s="109" t="s">
        <v>87</v>
      </c>
      <c r="H59" s="109" t="s">
        <v>87</v>
      </c>
      <c r="I59" s="109">
        <f>1440/50</f>
        <v>28.8</v>
      </c>
      <c r="J59" s="109">
        <f>1440/50</f>
        <v>28.8</v>
      </c>
      <c r="K59" s="62">
        <f t="shared" ref="K59" si="241">J59/D59</f>
        <v>4.8</v>
      </c>
      <c r="L59" s="61">
        <f t="shared" ref="L59" si="242">K59*E59</f>
        <v>28.799999999999997</v>
      </c>
      <c r="M59" s="60"/>
      <c r="N59" s="96">
        <f t="shared" ref="N59" si="243">K59/$U$2</f>
        <v>1.5189873417721518</v>
      </c>
      <c r="O59" s="96">
        <f t="shared" ref="O59" si="244">L59/$U$2</f>
        <v>9.1139240506329102</v>
      </c>
      <c r="P59" s="96">
        <f t="shared" ref="P59" si="245">N59*(1+$Q$65+9%)</f>
        <v>1.6556962025316455</v>
      </c>
      <c r="Q59" s="96">
        <f t="shared" ref="Q59" si="246">P59*E59</f>
        <v>9.9341772151898731</v>
      </c>
      <c r="R59" s="59">
        <v>2.95</v>
      </c>
      <c r="S59" s="58">
        <f t="shared" ref="S59" si="247">R59*E59</f>
        <v>17.700000000000003</v>
      </c>
      <c r="T59" s="58">
        <f t="shared" ref="T59" si="248">R59-P59</f>
        <v>1.2943037974683547</v>
      </c>
      <c r="U59" s="58">
        <f t="shared" ref="U59" si="249">T59*E59</f>
        <v>7.765822784810128</v>
      </c>
      <c r="V59" s="57">
        <f t="shared" ref="V59" si="250">T59/R59</f>
        <v>0.43874704998927272</v>
      </c>
      <c r="W59" s="102"/>
      <c r="X59" s="105">
        <f t="shared" si="11"/>
        <v>2.95</v>
      </c>
      <c r="Y59" s="124">
        <v>0.16350000000000001</v>
      </c>
      <c r="Z59" s="123">
        <f t="shared" si="12"/>
        <v>3.4323250000000001</v>
      </c>
      <c r="AA59" s="106">
        <f t="shared" si="13"/>
        <v>0.61781849999999994</v>
      </c>
      <c r="AB59" s="104">
        <f t="shared" si="14"/>
        <v>5.560366499999999E-2</v>
      </c>
      <c r="AC59" s="106">
        <f t="shared" si="15"/>
        <v>0.48232499999999989</v>
      </c>
      <c r="AD59" s="106">
        <f t="shared" si="16"/>
        <v>2.95</v>
      </c>
      <c r="AE59" s="126">
        <f t="shared" si="17"/>
        <v>0.43874704998927272</v>
      </c>
      <c r="AF59" s="127">
        <f t="shared" si="18"/>
        <v>0</v>
      </c>
      <c r="AG59" s="56" t="s">
        <v>87</v>
      </c>
    </row>
    <row r="60" spans="1:39" ht="45" customHeight="1">
      <c r="A60" s="64">
        <v>54</v>
      </c>
      <c r="B60" s="56" t="s">
        <v>67</v>
      </c>
      <c r="C60" s="56">
        <v>1</v>
      </c>
      <c r="D60" s="56">
        <v>24</v>
      </c>
      <c r="E60" s="63">
        <f t="shared" si="0"/>
        <v>24</v>
      </c>
      <c r="F60" s="109" t="s">
        <v>87</v>
      </c>
      <c r="G60" s="109">
        <f>783.36/20</f>
        <v>39.167999999999999</v>
      </c>
      <c r="H60" s="109" t="s">
        <v>87</v>
      </c>
      <c r="I60" s="109">
        <f>838.9/20</f>
        <v>41.945</v>
      </c>
      <c r="J60" s="109">
        <f>838.9/20</f>
        <v>41.945</v>
      </c>
      <c r="K60" s="62">
        <f t="shared" si="1"/>
        <v>1.7477083333333334</v>
      </c>
      <c r="L60" s="61">
        <f t="shared" si="2"/>
        <v>41.945</v>
      </c>
      <c r="M60" s="60"/>
      <c r="N60" s="96">
        <f t="shared" si="3"/>
        <v>0.55307225738396626</v>
      </c>
      <c r="O60" s="96">
        <f t="shared" si="4"/>
        <v>13.273734177215189</v>
      </c>
      <c r="P60" s="96">
        <f>N60*(1+$Q$65+9%)</f>
        <v>0.60284876054852332</v>
      </c>
      <c r="Q60" s="96">
        <f t="shared" si="6"/>
        <v>14.46837025316456</v>
      </c>
      <c r="R60" s="59">
        <v>1.1000000000000001</v>
      </c>
      <c r="S60" s="58">
        <f t="shared" si="7"/>
        <v>26.400000000000002</v>
      </c>
      <c r="T60" s="58">
        <f t="shared" si="8"/>
        <v>0.49715123945147677</v>
      </c>
      <c r="U60" s="58">
        <f t="shared" si="9"/>
        <v>11.931629746835442</v>
      </c>
      <c r="V60" s="57">
        <f t="shared" si="10"/>
        <v>0.45195567222861521</v>
      </c>
      <c r="W60" s="102"/>
      <c r="X60" s="105">
        <f t="shared" si="11"/>
        <v>1.1000000000000001</v>
      </c>
      <c r="Y60" s="124">
        <v>0.16350000000000001</v>
      </c>
      <c r="Z60" s="123">
        <f t="shared" si="12"/>
        <v>1.2798500000000002</v>
      </c>
      <c r="AA60" s="106">
        <f t="shared" si="13"/>
        <v>0.23037300000000002</v>
      </c>
      <c r="AB60" s="104">
        <f t="shared" si="14"/>
        <v>2.073357E-2</v>
      </c>
      <c r="AC60" s="106">
        <f t="shared" si="15"/>
        <v>0.17985000000000007</v>
      </c>
      <c r="AD60" s="106">
        <f t="shared" si="16"/>
        <v>1.1000000000000001</v>
      </c>
      <c r="AE60" s="126">
        <f t="shared" si="17"/>
        <v>0.45195567222861521</v>
      </c>
      <c r="AF60" s="127">
        <f t="shared" si="18"/>
        <v>0</v>
      </c>
      <c r="AG60" s="56" t="s">
        <v>87</v>
      </c>
    </row>
    <row r="61" spans="1:39" ht="45" customHeight="1">
      <c r="A61" s="64">
        <v>55</v>
      </c>
      <c r="B61" s="56" t="s">
        <v>14</v>
      </c>
      <c r="C61" s="56">
        <v>1</v>
      </c>
      <c r="D61" s="56">
        <v>18</v>
      </c>
      <c r="E61" s="63">
        <f t="shared" si="0"/>
        <v>18</v>
      </c>
      <c r="F61" s="109" t="s">
        <v>87</v>
      </c>
      <c r="G61" s="109">
        <v>31.968</v>
      </c>
      <c r="H61" s="109" t="s">
        <v>87</v>
      </c>
      <c r="I61" s="109" t="s">
        <v>87</v>
      </c>
      <c r="J61" s="109">
        <v>31.968</v>
      </c>
      <c r="K61" s="62">
        <f t="shared" si="1"/>
        <v>1.776</v>
      </c>
      <c r="L61" s="61">
        <f t="shared" si="2"/>
        <v>31.968</v>
      </c>
      <c r="M61" s="60"/>
      <c r="N61" s="96">
        <f t="shared" si="3"/>
        <v>0.5620253164556962</v>
      </c>
      <c r="O61" s="96">
        <f t="shared" si="4"/>
        <v>10.11645569620253</v>
      </c>
      <c r="P61" s="96">
        <f>N61*(1+$Q$65+9%)</f>
        <v>0.61260759493670891</v>
      </c>
      <c r="Q61" s="96">
        <f t="shared" si="6"/>
        <v>11.026936708860759</v>
      </c>
      <c r="R61" s="59">
        <v>1.1499999999999999</v>
      </c>
      <c r="S61" s="58">
        <f t="shared" si="7"/>
        <v>20.7</v>
      </c>
      <c r="T61" s="58">
        <f t="shared" si="8"/>
        <v>0.537392405063291</v>
      </c>
      <c r="U61" s="58">
        <f t="shared" si="9"/>
        <v>9.673063291139238</v>
      </c>
      <c r="V61" s="57">
        <f t="shared" si="10"/>
        <v>0.46729774353329656</v>
      </c>
      <c r="W61" s="56"/>
      <c r="X61" s="105">
        <f t="shared" si="11"/>
        <v>1.1499999999999999</v>
      </c>
      <c r="Y61" s="124">
        <v>0.16350000000000001</v>
      </c>
      <c r="Z61" s="123">
        <f t="shared" si="12"/>
        <v>1.338025</v>
      </c>
      <c r="AA61" s="106">
        <f t="shared" si="13"/>
        <v>0.24084449999999999</v>
      </c>
      <c r="AB61" s="104">
        <f t="shared" si="14"/>
        <v>2.1676004999999998E-2</v>
      </c>
      <c r="AC61" s="106">
        <f t="shared" si="15"/>
        <v>0.18802500000000011</v>
      </c>
      <c r="AD61" s="106">
        <f t="shared" si="16"/>
        <v>1.1499999999999999</v>
      </c>
      <c r="AE61" s="126">
        <f t="shared" si="17"/>
        <v>0.46729774353329656</v>
      </c>
      <c r="AF61" s="127">
        <f t="shared" si="18"/>
        <v>0</v>
      </c>
      <c r="AG61" s="56" t="s">
        <v>87</v>
      </c>
    </row>
    <row r="62" spans="1:39" ht="60.75" thickBot="1">
      <c r="A62" s="55" t="s">
        <v>13</v>
      </c>
      <c r="B62" s="42"/>
      <c r="C62" s="42"/>
      <c r="D62" s="41"/>
      <c r="E62" s="40"/>
      <c r="F62" s="107"/>
      <c r="G62" s="107"/>
      <c r="H62" s="107"/>
      <c r="I62" s="107"/>
      <c r="J62" s="39"/>
      <c r="K62" s="54" t="s">
        <v>12</v>
      </c>
      <c r="L62" s="53">
        <f>SUM(L7:L61)</f>
        <v>3676.9033887445867</v>
      </c>
      <c r="M62" s="52"/>
      <c r="N62" s="51" t="s">
        <v>11</v>
      </c>
      <c r="O62" s="50">
        <f>SUM(O7:O61)</f>
        <v>1163.577021754616</v>
      </c>
      <c r="P62" s="49" t="s">
        <v>10</v>
      </c>
      <c r="Q62" s="48"/>
      <c r="R62" s="47">
        <f>SUM(S7:S76)</f>
        <v>1262.7000000000003</v>
      </c>
      <c r="S62" s="46"/>
      <c r="T62" s="45" t="s">
        <v>9</v>
      </c>
      <c r="U62" s="44"/>
      <c r="V62" s="114">
        <f>R62-O65</f>
        <v>-5.5989537125310562</v>
      </c>
      <c r="X62" s="118"/>
      <c r="Y62" s="119"/>
      <c r="Z62" s="120"/>
      <c r="AA62" s="120"/>
      <c r="AC62" s="120"/>
      <c r="AD62" s="120"/>
      <c r="AE62" s="120"/>
      <c r="AF62" s="125"/>
    </row>
    <row r="63" spans="1:39" ht="16.5" thickBot="1">
      <c r="A63" s="43"/>
      <c r="B63" s="42"/>
      <c r="C63" s="42"/>
      <c r="D63" s="41"/>
      <c r="E63" s="40"/>
      <c r="F63" s="107"/>
      <c r="G63" s="107"/>
      <c r="H63" s="107"/>
      <c r="I63" s="107"/>
      <c r="J63" s="39"/>
      <c r="K63" s="38"/>
      <c r="L63" s="37"/>
      <c r="M63" s="13"/>
      <c r="N63" s="36" t="s">
        <v>8</v>
      </c>
      <c r="O63" s="35">
        <f>O62*0.09</f>
        <v>104.72193195791543</v>
      </c>
      <c r="P63" s="23"/>
      <c r="Q63" s="23"/>
      <c r="R63" s="23"/>
      <c r="S63" s="23"/>
      <c r="T63" s="34"/>
      <c r="U63" s="33"/>
      <c r="V63" s="115"/>
      <c r="X63" s="118"/>
      <c r="Y63" s="119"/>
      <c r="Z63" s="120"/>
      <c r="AA63" s="120"/>
      <c r="AC63" s="120"/>
      <c r="AD63" s="120"/>
      <c r="AE63" s="120"/>
      <c r="AF63" s="125"/>
    </row>
    <row r="64" spans="1:39" ht="32.25" thickBot="1">
      <c r="A64" s="32"/>
      <c r="B64" s="31"/>
      <c r="C64" s="31"/>
      <c r="D64" s="30"/>
      <c r="E64" s="29"/>
      <c r="F64" s="108"/>
      <c r="G64" s="108"/>
      <c r="H64" s="108"/>
      <c r="I64" s="108"/>
      <c r="J64" s="28"/>
      <c r="K64" s="27" t="s">
        <v>7</v>
      </c>
      <c r="L64" s="26" t="s">
        <v>6</v>
      </c>
      <c r="M64" s="13"/>
      <c r="N64" s="25" t="s">
        <v>5</v>
      </c>
      <c r="O64" s="24">
        <v>0</v>
      </c>
      <c r="P64" s="23"/>
      <c r="Q64" s="23"/>
      <c r="R64" s="23"/>
      <c r="S64" s="23"/>
      <c r="T64" s="22" t="s">
        <v>4</v>
      </c>
      <c r="U64" s="21"/>
      <c r="V64" s="116">
        <f>V62/R62</f>
        <v>-4.434112388161127E-3</v>
      </c>
      <c r="W64" s="121"/>
      <c r="X64" s="118"/>
      <c r="Y64" s="119"/>
      <c r="Z64" s="120"/>
      <c r="AA64" s="120"/>
      <c r="AC64" s="120"/>
      <c r="AD64" s="120"/>
      <c r="AE64" s="120"/>
      <c r="AF64" s="125"/>
    </row>
    <row r="65" spans="1:23" ht="63.75" thickBot="1">
      <c r="A65" s="20"/>
      <c r="B65" s="19"/>
      <c r="C65" s="19"/>
      <c r="D65" s="18"/>
      <c r="E65" s="17"/>
      <c r="F65" s="16"/>
      <c r="G65" s="16"/>
      <c r="H65" s="16"/>
      <c r="I65" s="16"/>
      <c r="J65" s="16"/>
      <c r="K65" s="15" t="s">
        <v>3</v>
      </c>
      <c r="L65" s="14">
        <f>SUM(L62:L64)</f>
        <v>3676.9033887445867</v>
      </c>
      <c r="M65" s="13"/>
      <c r="N65" s="12" t="s">
        <v>3</v>
      </c>
      <c r="O65" s="11">
        <f>SUM(O62:O64)</f>
        <v>1268.2989537125313</v>
      </c>
      <c r="P65" s="10" t="s">
        <v>2</v>
      </c>
      <c r="Q65" s="9">
        <f>O64/O62</f>
        <v>0</v>
      </c>
      <c r="R65" s="8"/>
      <c r="S65" s="7"/>
      <c r="T65" s="6"/>
      <c r="U65" s="6"/>
      <c r="V65" s="6"/>
      <c r="W65" s="117"/>
    </row>
    <row r="81" spans="1:23">
      <c r="C81" s="5"/>
    </row>
    <row r="82" spans="1:23">
      <c r="C82" s="5"/>
    </row>
    <row r="86" spans="1:23">
      <c r="A86" s="4" t="s">
        <v>1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3"/>
    </row>
    <row r="87" spans="1:23">
      <c r="A87" s="2" t="s">
        <v>0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</sheetData>
  <autoFilter ref="A6:W62" xr:uid="{93BE2962-20FA-A742-99C7-19665A747A94}"/>
  <mergeCells count="5">
    <mergeCell ref="A1:S1"/>
    <mergeCell ref="U1:V1"/>
    <mergeCell ref="A2:S2"/>
    <mergeCell ref="A4:L4"/>
    <mergeCell ref="N4:W4"/>
  </mergeCells>
  <pageMargins left="0.25" right="0.25" top="0.75" bottom="0.75" header="0.3" footer="0.3"/>
  <pageSetup paperSize="9" scale="8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BIO CLEAN PRODUCT PORTFOLIO</vt:lpstr>
      <vt:lpstr>'BIO CLEAN PRODUCT PORTFOLIO'!Print_Area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Viraj Agarwal</dc:creator>
  <cp:lastModifiedBy>banpreet.saluja@gmail.com</cp:lastModifiedBy>
  <cp:lastPrinted>2026-04-30T06:28:12Z</cp:lastPrinted>
  <dcterms:created xsi:type="dcterms:W3CDTF">2026-01-20T09:28:25Z</dcterms:created>
  <dcterms:modified xsi:type="dcterms:W3CDTF">2026-05-08T07:52:00Z</dcterms:modified>
</cp:coreProperties>
</file>