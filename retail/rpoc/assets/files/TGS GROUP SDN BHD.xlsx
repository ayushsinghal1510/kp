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PROFIT LISTING 11 - 20 JULY\"/>
    </mc:Choice>
  </mc:AlternateContent>
  <xr:revisionPtr revIDLastSave="0" documentId="13_ncr:1_{C2A9D90D-767D-471E-B5CC-D9C282179A20}" xr6:coauthVersionLast="47" xr6:coauthVersionMax="47" xr10:uidLastSave="{00000000-0000-0000-0000-000000000000}"/>
  <bookViews>
    <workbookView xWindow="20370" yWindow="-120" windowWidth="29040" windowHeight="15840" tabRatio="588" xr2:uid="{00000000-000D-0000-FFFF-FFFF00000000}"/>
  </bookViews>
  <sheets>
    <sheet name="TIN2507-109" sheetId="157" r:id="rId1"/>
    <sheet name="TIN2507-136" sheetId="158" r:id="rId2"/>
    <sheet name="TIN2507-153" sheetId="159" r:id="rId3"/>
    <sheet name="TIN2507-158" sheetId="160" r:id="rId4"/>
    <sheet name="TIN2507-162" sheetId="161" r:id="rId5"/>
    <sheet name="TIN2507-172" sheetId="162" r:id="rId6"/>
    <sheet name="TIN2507-178" sheetId="163" r:id="rId7"/>
  </sheets>
  <definedNames>
    <definedName name="_xlnm._FilterDatabase" localSheetId="0" hidden="1">'TIN2507-109'!$A$6:$S$6</definedName>
    <definedName name="_xlnm._FilterDatabase" localSheetId="1" hidden="1">'TIN2507-136'!$A$6:$S$6</definedName>
    <definedName name="_xlnm._FilterDatabase" localSheetId="2" hidden="1">'TIN2507-153'!$A$6:$S$6</definedName>
    <definedName name="_xlnm._FilterDatabase" localSheetId="3" hidden="1">'TIN2507-158'!$A$6:$S$6</definedName>
    <definedName name="_xlnm._FilterDatabase" localSheetId="4" hidden="1">'TIN2507-162'!$A$6:$S$6</definedName>
    <definedName name="_xlnm._FilterDatabase" localSheetId="5" hidden="1">'TIN2507-172'!$A$6:$S$6</definedName>
    <definedName name="_xlnm._FilterDatabase" localSheetId="6" hidden="1">'TIN2507-178'!$A$6:$S$37</definedName>
    <definedName name="_xlnm.Print_Titles" localSheetId="0">'TIN2507-109'!$1:$6</definedName>
    <definedName name="_xlnm.Print_Titles" localSheetId="1">'TIN2507-136'!$1:$6</definedName>
    <definedName name="_xlnm.Print_Titles" localSheetId="2">'TIN2507-153'!$1:$6</definedName>
    <definedName name="_xlnm.Print_Titles" localSheetId="3">'TIN2507-158'!$1:$6</definedName>
    <definedName name="_xlnm.Print_Titles" localSheetId="4">'TIN2507-162'!$1:$6</definedName>
    <definedName name="_xlnm.Print_Titles" localSheetId="5">'TIN2507-172'!$1:$6</definedName>
    <definedName name="_xlnm.Print_Titles" localSheetId="6">'TIN2507-178'!$1:$6</definedName>
  </definedNames>
  <calcPr calcId="181029"/>
</workbook>
</file>

<file path=xl/calcChain.xml><?xml version="1.0" encoding="utf-8"?>
<calcChain xmlns="http://schemas.openxmlformats.org/spreadsheetml/2006/main">
  <c r="G21" i="163" l="1"/>
  <c r="J21" i="163" s="1"/>
  <c r="E21" i="163"/>
  <c r="O21" i="163" s="1"/>
  <c r="G30" i="163"/>
  <c r="G29" i="163"/>
  <c r="J29" i="163" s="1"/>
  <c r="G20" i="163"/>
  <c r="G19" i="163"/>
  <c r="J19" i="163" s="1"/>
  <c r="G18" i="163"/>
  <c r="G17" i="163"/>
  <c r="G16" i="163"/>
  <c r="G15" i="163"/>
  <c r="G14" i="163"/>
  <c r="G13" i="163"/>
  <c r="J13" i="163" s="1"/>
  <c r="G12" i="163"/>
  <c r="J12" i="163" s="1"/>
  <c r="E30" i="163"/>
  <c r="O30" i="163" s="1"/>
  <c r="E29" i="163"/>
  <c r="O29" i="163" s="1"/>
  <c r="E20" i="163"/>
  <c r="O20" i="163" s="1"/>
  <c r="E19" i="163"/>
  <c r="O19" i="163" s="1"/>
  <c r="E18" i="163"/>
  <c r="O18" i="163" s="1"/>
  <c r="E17" i="163"/>
  <c r="O17" i="163" s="1"/>
  <c r="E16" i="163"/>
  <c r="O16" i="163" s="1"/>
  <c r="E15" i="163"/>
  <c r="O15" i="163" s="1"/>
  <c r="E14" i="163"/>
  <c r="O14" i="163" s="1"/>
  <c r="E13" i="163"/>
  <c r="O13" i="163" s="1"/>
  <c r="E12" i="163"/>
  <c r="O12" i="163" s="1"/>
  <c r="G33" i="163"/>
  <c r="E33" i="163"/>
  <c r="O33" i="163" s="1"/>
  <c r="G32" i="163"/>
  <c r="J32" i="163" s="1"/>
  <c r="E32" i="163"/>
  <c r="O32" i="163" s="1"/>
  <c r="G31" i="163"/>
  <c r="J31" i="163" s="1"/>
  <c r="E31" i="163"/>
  <c r="O31" i="163" s="1"/>
  <c r="G28" i="163"/>
  <c r="J28" i="163" s="1"/>
  <c r="E28" i="163"/>
  <c r="O28" i="163" s="1"/>
  <c r="G27" i="163"/>
  <c r="E27" i="163"/>
  <c r="O27" i="163" s="1"/>
  <c r="G26" i="163"/>
  <c r="J26" i="163" s="1"/>
  <c r="E26" i="163"/>
  <c r="O26" i="163" s="1"/>
  <c r="G25" i="163"/>
  <c r="J25" i="163" s="1"/>
  <c r="E25" i="163"/>
  <c r="O25" i="163" s="1"/>
  <c r="G24" i="163"/>
  <c r="J24" i="163" s="1"/>
  <c r="E24" i="163"/>
  <c r="O24" i="163" s="1"/>
  <c r="G23" i="163"/>
  <c r="J23" i="163" s="1"/>
  <c r="E23" i="163"/>
  <c r="O23" i="163" s="1"/>
  <c r="G22" i="163"/>
  <c r="J22" i="163" s="1"/>
  <c r="E22" i="163"/>
  <c r="O22" i="163" s="1"/>
  <c r="G11" i="163"/>
  <c r="J11" i="163" s="1"/>
  <c r="E11" i="163"/>
  <c r="O11" i="163" s="1"/>
  <c r="G10" i="163"/>
  <c r="E10" i="163"/>
  <c r="O10" i="163" s="1"/>
  <c r="G9" i="163"/>
  <c r="J9" i="163" s="1"/>
  <c r="E9" i="163"/>
  <c r="O9" i="163" s="1"/>
  <c r="G8" i="163"/>
  <c r="J8" i="163" s="1"/>
  <c r="E8" i="163"/>
  <c r="O8" i="163" s="1"/>
  <c r="G7" i="163"/>
  <c r="J7" i="163" s="1"/>
  <c r="E7" i="163"/>
  <c r="O7" i="163" s="1"/>
  <c r="G19" i="162"/>
  <c r="J19" i="162" s="1"/>
  <c r="H19" i="162"/>
  <c r="K19" i="162" s="1"/>
  <c r="E19" i="162"/>
  <c r="O19" i="162" s="1"/>
  <c r="H13" i="163" l="1"/>
  <c r="K13" i="163" s="1"/>
  <c r="H10" i="163"/>
  <c r="K10" i="163" s="1"/>
  <c r="H17" i="163"/>
  <c r="K17" i="163" s="1"/>
  <c r="H20" i="163"/>
  <c r="K20" i="163" s="1"/>
  <c r="H14" i="163"/>
  <c r="K14" i="163" s="1"/>
  <c r="H18" i="163"/>
  <c r="K18" i="163" s="1"/>
  <c r="H30" i="163"/>
  <c r="K30" i="163" s="1"/>
  <c r="H16" i="163"/>
  <c r="K16" i="163" s="1"/>
  <c r="N34" i="163"/>
  <c r="H29" i="163"/>
  <c r="K29" i="163" s="1"/>
  <c r="J20" i="163"/>
  <c r="H19" i="163"/>
  <c r="K19" i="163" s="1"/>
  <c r="J18" i="163"/>
  <c r="J17" i="163"/>
  <c r="J16" i="163"/>
  <c r="H15" i="163"/>
  <c r="K15" i="163" s="1"/>
  <c r="J15" i="163"/>
  <c r="J14" i="163"/>
  <c r="H12" i="163"/>
  <c r="K12" i="163" s="1"/>
  <c r="J10" i="163"/>
  <c r="H21" i="163"/>
  <c r="K21" i="163" s="1"/>
  <c r="J30" i="163"/>
  <c r="H24" i="163"/>
  <c r="K24" i="163" s="1"/>
  <c r="H31" i="163"/>
  <c r="K31" i="163" s="1"/>
  <c r="H28" i="163"/>
  <c r="K28" i="163" s="1"/>
  <c r="H25" i="163"/>
  <c r="K25" i="163" s="1"/>
  <c r="H11" i="163"/>
  <c r="K11" i="163" s="1"/>
  <c r="H7" i="163"/>
  <c r="H23" i="163"/>
  <c r="K23" i="163" s="1"/>
  <c r="J27" i="163"/>
  <c r="H27" i="163"/>
  <c r="K27" i="163" s="1"/>
  <c r="J33" i="163"/>
  <c r="H33" i="163"/>
  <c r="K33" i="163" s="1"/>
  <c r="H9" i="163"/>
  <c r="K9" i="163" s="1"/>
  <c r="H22" i="163"/>
  <c r="K22" i="163" s="1"/>
  <c r="H8" i="163"/>
  <c r="K8" i="163" s="1"/>
  <c r="H26" i="163"/>
  <c r="K26" i="163" s="1"/>
  <c r="H32" i="163"/>
  <c r="K32" i="163" s="1"/>
  <c r="G21" i="162"/>
  <c r="J21" i="162" s="1"/>
  <c r="E21" i="162"/>
  <c r="O21" i="162" s="1"/>
  <c r="G20" i="162"/>
  <c r="J20" i="162" s="1"/>
  <c r="E20" i="162"/>
  <c r="G17" i="162"/>
  <c r="J17" i="162" s="1"/>
  <c r="E17" i="162"/>
  <c r="O17" i="162" s="1"/>
  <c r="G18" i="162"/>
  <c r="E18" i="162"/>
  <c r="O18" i="162" s="1"/>
  <c r="G16" i="162"/>
  <c r="J16" i="162" s="1"/>
  <c r="E16" i="162"/>
  <c r="O16" i="162" s="1"/>
  <c r="G15" i="162"/>
  <c r="J15" i="162" s="1"/>
  <c r="E15" i="162"/>
  <c r="O15" i="162" s="1"/>
  <c r="G14" i="162"/>
  <c r="E14" i="162"/>
  <c r="O14" i="162" s="1"/>
  <c r="G13" i="162"/>
  <c r="J13" i="162" s="1"/>
  <c r="E13" i="162"/>
  <c r="O13" i="162" s="1"/>
  <c r="G12" i="162"/>
  <c r="J12" i="162" s="1"/>
  <c r="E12" i="162"/>
  <c r="O12" i="162" s="1"/>
  <c r="G11" i="162"/>
  <c r="J11" i="162" s="1"/>
  <c r="E11" i="162"/>
  <c r="O11" i="162" s="1"/>
  <c r="G10" i="162"/>
  <c r="J10" i="162" s="1"/>
  <c r="E10" i="162"/>
  <c r="O10" i="162" s="1"/>
  <c r="G9" i="162"/>
  <c r="E9" i="162"/>
  <c r="O9" i="162" s="1"/>
  <c r="G8" i="162"/>
  <c r="J8" i="162" s="1"/>
  <c r="E8" i="162"/>
  <c r="O8" i="162" s="1"/>
  <c r="G7" i="162"/>
  <c r="J7" i="162" s="1"/>
  <c r="E7" i="162"/>
  <c r="O7" i="162" s="1"/>
  <c r="H34" i="163" l="1"/>
  <c r="H37" i="163" s="1"/>
  <c r="K7" i="163"/>
  <c r="K34" i="163" s="1"/>
  <c r="H20" i="162"/>
  <c r="K20" i="162" s="1"/>
  <c r="O20" i="162"/>
  <c r="N22" i="162" s="1"/>
  <c r="H16" i="162"/>
  <c r="K16" i="162" s="1"/>
  <c r="H15" i="162"/>
  <c r="K15" i="162" s="1"/>
  <c r="H9" i="162"/>
  <c r="K9" i="162" s="1"/>
  <c r="H8" i="162"/>
  <c r="K8" i="162" s="1"/>
  <c r="H7" i="162"/>
  <c r="J18" i="162"/>
  <c r="H18" i="162"/>
  <c r="K18" i="162" s="1"/>
  <c r="J9" i="162"/>
  <c r="H10" i="162"/>
  <c r="K10" i="162" s="1"/>
  <c r="J14" i="162"/>
  <c r="H14" i="162"/>
  <c r="K14" i="162" s="1"/>
  <c r="H21" i="162"/>
  <c r="K21" i="162" s="1"/>
  <c r="H11" i="162"/>
  <c r="K11" i="162" s="1"/>
  <c r="H12" i="162"/>
  <c r="K12" i="162" s="1"/>
  <c r="H13" i="162"/>
  <c r="K13" i="162" s="1"/>
  <c r="H17" i="162"/>
  <c r="K17" i="162" s="1"/>
  <c r="G8" i="161"/>
  <c r="J8" i="161" s="1"/>
  <c r="E8" i="161"/>
  <c r="O8" i="161" s="1"/>
  <c r="G7" i="161"/>
  <c r="J7" i="161" s="1"/>
  <c r="E7" i="161"/>
  <c r="O7" i="161" s="1"/>
  <c r="G10" i="160"/>
  <c r="E10" i="160"/>
  <c r="O10" i="160" s="1"/>
  <c r="G9" i="160"/>
  <c r="J9" i="160" s="1"/>
  <c r="E9" i="160"/>
  <c r="O9" i="160" s="1"/>
  <c r="G8" i="160"/>
  <c r="E8" i="160"/>
  <c r="O8" i="160" s="1"/>
  <c r="G7" i="160"/>
  <c r="J7" i="160" s="1"/>
  <c r="E7" i="160"/>
  <c r="O7" i="160" s="1"/>
  <c r="O12" i="159"/>
  <c r="G8" i="159"/>
  <c r="J8" i="159" s="1"/>
  <c r="H8" i="159"/>
  <c r="K8" i="159" s="1"/>
  <c r="G9" i="159"/>
  <c r="J9" i="159" s="1"/>
  <c r="G10" i="159"/>
  <c r="J10" i="159" s="1"/>
  <c r="G11" i="159"/>
  <c r="G12" i="159"/>
  <c r="J12" i="159" s="1"/>
  <c r="G13" i="159"/>
  <c r="G14" i="159"/>
  <c r="J14" i="159" s="1"/>
  <c r="G15" i="159"/>
  <c r="J15" i="159" s="1"/>
  <c r="G16" i="159"/>
  <c r="J16" i="159" s="1"/>
  <c r="H16" i="159"/>
  <c r="K16" i="159" s="1"/>
  <c r="E8" i="159"/>
  <c r="O8" i="159" s="1"/>
  <c r="E9" i="159"/>
  <c r="O9" i="159" s="1"/>
  <c r="E10" i="159"/>
  <c r="O10" i="159" s="1"/>
  <c r="E11" i="159"/>
  <c r="O11" i="159" s="1"/>
  <c r="E12" i="159"/>
  <c r="E13" i="159"/>
  <c r="O13" i="159" s="1"/>
  <c r="E14" i="159"/>
  <c r="O14" i="159" s="1"/>
  <c r="E15" i="159"/>
  <c r="O15" i="159" s="1"/>
  <c r="E16" i="159"/>
  <c r="O16" i="159" s="1"/>
  <c r="E17" i="159"/>
  <c r="E18" i="159"/>
  <c r="E19" i="159"/>
  <c r="O19" i="159" s="1"/>
  <c r="G31" i="159"/>
  <c r="J31" i="159" s="1"/>
  <c r="E31" i="159"/>
  <c r="O31" i="159" s="1"/>
  <c r="G30" i="159"/>
  <c r="J30" i="159" s="1"/>
  <c r="E30" i="159"/>
  <c r="H30" i="159" s="1"/>
  <c r="K30" i="159" s="1"/>
  <c r="G29" i="159"/>
  <c r="J29" i="159" s="1"/>
  <c r="E29" i="159"/>
  <c r="O29" i="159" s="1"/>
  <c r="G28" i="159"/>
  <c r="J28" i="159" s="1"/>
  <c r="E28" i="159"/>
  <c r="O28" i="159" s="1"/>
  <c r="G27" i="159"/>
  <c r="J27" i="159" s="1"/>
  <c r="E27" i="159"/>
  <c r="O27" i="159" s="1"/>
  <c r="G26" i="159"/>
  <c r="J26" i="159" s="1"/>
  <c r="E26" i="159"/>
  <c r="G25" i="159"/>
  <c r="J25" i="159" s="1"/>
  <c r="E25" i="159"/>
  <c r="O25" i="159" s="1"/>
  <c r="G24" i="159"/>
  <c r="J24" i="159" s="1"/>
  <c r="E24" i="159"/>
  <c r="O24" i="159" s="1"/>
  <c r="G23" i="159"/>
  <c r="J23" i="159" s="1"/>
  <c r="E23" i="159"/>
  <c r="O23" i="159" s="1"/>
  <c r="G22" i="159"/>
  <c r="J22" i="159" s="1"/>
  <c r="E22" i="159"/>
  <c r="O22" i="159" s="1"/>
  <c r="G21" i="159"/>
  <c r="J21" i="159" s="1"/>
  <c r="E21" i="159"/>
  <c r="O21" i="159" s="1"/>
  <c r="G20" i="159"/>
  <c r="J20" i="159" s="1"/>
  <c r="E20" i="159"/>
  <c r="O20" i="159" s="1"/>
  <c r="G19" i="159"/>
  <c r="J19" i="159" s="1"/>
  <c r="G18" i="159"/>
  <c r="J18" i="159" s="1"/>
  <c r="G17" i="159"/>
  <c r="O17" i="159"/>
  <c r="G7" i="159"/>
  <c r="E7" i="159"/>
  <c r="O7" i="159" s="1"/>
  <c r="H11" i="159" l="1"/>
  <c r="K11" i="159" s="1"/>
  <c r="H13" i="159"/>
  <c r="K13" i="159" s="1"/>
  <c r="H10" i="159"/>
  <c r="K10" i="159" s="1"/>
  <c r="J13" i="159"/>
  <c r="J11" i="159"/>
  <c r="H15" i="159"/>
  <c r="K15" i="159" s="1"/>
  <c r="H12" i="159"/>
  <c r="K12" i="159" s="1"/>
  <c r="H14" i="159"/>
  <c r="K14" i="159" s="1"/>
  <c r="H9" i="159"/>
  <c r="K9" i="159" s="1"/>
  <c r="K7" i="162"/>
  <c r="K22" i="162" s="1"/>
  <c r="H22" i="162"/>
  <c r="H25" i="162" s="1"/>
  <c r="M37" i="163"/>
  <c r="K35" i="163"/>
  <c r="K37" i="163" s="1"/>
  <c r="H7" i="161"/>
  <c r="K7" i="161" s="1"/>
  <c r="N9" i="161"/>
  <c r="H8" i="161"/>
  <c r="K8" i="161" s="1"/>
  <c r="H10" i="160"/>
  <c r="K10" i="160" s="1"/>
  <c r="H8" i="160"/>
  <c r="K8" i="160" s="1"/>
  <c r="J10" i="160"/>
  <c r="H9" i="160"/>
  <c r="K9" i="160" s="1"/>
  <c r="J8" i="160"/>
  <c r="N11" i="160"/>
  <c r="H7" i="160"/>
  <c r="H26" i="159"/>
  <c r="K26" i="159" s="1"/>
  <c r="H18" i="159"/>
  <c r="K18" i="159" s="1"/>
  <c r="H7" i="159"/>
  <c r="K7" i="159" s="1"/>
  <c r="H17" i="159"/>
  <c r="K17" i="159" s="1"/>
  <c r="H21" i="159"/>
  <c r="K21" i="159" s="1"/>
  <c r="J17" i="159"/>
  <c r="O18" i="159"/>
  <c r="O30" i="159"/>
  <c r="H25" i="159"/>
  <c r="K25" i="159" s="1"/>
  <c r="H29" i="159"/>
  <c r="K29" i="159" s="1"/>
  <c r="H22" i="159"/>
  <c r="K22" i="159" s="1"/>
  <c r="O26" i="159"/>
  <c r="H20" i="159"/>
  <c r="K20" i="159" s="1"/>
  <c r="H24" i="159"/>
  <c r="K24" i="159" s="1"/>
  <c r="H28" i="159"/>
  <c r="K28" i="159" s="1"/>
  <c r="J7" i="159"/>
  <c r="H19" i="159"/>
  <c r="K19" i="159" s="1"/>
  <c r="H23" i="159"/>
  <c r="K23" i="159" s="1"/>
  <c r="H27" i="159"/>
  <c r="K27" i="159" s="1"/>
  <c r="H31" i="159"/>
  <c r="K31" i="159" s="1"/>
  <c r="G22" i="158"/>
  <c r="E22" i="158"/>
  <c r="O22" i="158" s="1"/>
  <c r="G21" i="158"/>
  <c r="J21" i="158" s="1"/>
  <c r="E21" i="158"/>
  <c r="O21" i="158" s="1"/>
  <c r="G20" i="158"/>
  <c r="E20" i="158"/>
  <c r="O20" i="158" s="1"/>
  <c r="G19" i="158"/>
  <c r="J19" i="158" s="1"/>
  <c r="E19" i="158"/>
  <c r="O19" i="158" s="1"/>
  <c r="G18" i="158"/>
  <c r="E18" i="158"/>
  <c r="O18" i="158" s="1"/>
  <c r="G17" i="158"/>
  <c r="J17" i="158" s="1"/>
  <c r="E17" i="158"/>
  <c r="O17" i="158" s="1"/>
  <c r="G16" i="158"/>
  <c r="E16" i="158"/>
  <c r="O16" i="158" s="1"/>
  <c r="G15" i="158"/>
  <c r="J15" i="158" s="1"/>
  <c r="E15" i="158"/>
  <c r="O15" i="158" s="1"/>
  <c r="G14" i="158"/>
  <c r="E14" i="158"/>
  <c r="O14" i="158" s="1"/>
  <c r="G13" i="158"/>
  <c r="J13" i="158" s="1"/>
  <c r="E13" i="158"/>
  <c r="O13" i="158" s="1"/>
  <c r="G12" i="158"/>
  <c r="J12" i="158" s="1"/>
  <c r="E12" i="158"/>
  <c r="O12" i="158" s="1"/>
  <c r="G11" i="158"/>
  <c r="J11" i="158" s="1"/>
  <c r="E11" i="158"/>
  <c r="G10" i="158"/>
  <c r="E10" i="158"/>
  <c r="O10" i="158" s="1"/>
  <c r="G9" i="158"/>
  <c r="J9" i="158" s="1"/>
  <c r="E9" i="158"/>
  <c r="O9" i="158" s="1"/>
  <c r="G8" i="158"/>
  <c r="E8" i="158"/>
  <c r="O8" i="158" s="1"/>
  <c r="G7" i="158"/>
  <c r="J7" i="158" s="1"/>
  <c r="E7" i="158"/>
  <c r="O7" i="158" s="1"/>
  <c r="H20" i="158" l="1"/>
  <c r="K20" i="158" s="1"/>
  <c r="R34" i="163"/>
  <c r="R36" i="163" s="1"/>
  <c r="L8" i="163"/>
  <c r="M8" i="163" s="1"/>
  <c r="L9" i="163"/>
  <c r="M9" i="163" s="1"/>
  <c r="L10" i="163"/>
  <c r="M10" i="163" s="1"/>
  <c r="L11" i="163"/>
  <c r="M11" i="163" s="1"/>
  <c r="L12" i="163"/>
  <c r="M12" i="163" s="1"/>
  <c r="L13" i="163"/>
  <c r="M13" i="163" s="1"/>
  <c r="L14" i="163"/>
  <c r="M14" i="163" s="1"/>
  <c r="L15" i="163"/>
  <c r="M15" i="163" s="1"/>
  <c r="L16" i="163"/>
  <c r="M16" i="163" s="1"/>
  <c r="L17" i="163"/>
  <c r="M17" i="163" s="1"/>
  <c r="L18" i="163"/>
  <c r="M18" i="163" s="1"/>
  <c r="L19" i="163"/>
  <c r="M19" i="163" s="1"/>
  <c r="L20" i="163"/>
  <c r="M20" i="163" s="1"/>
  <c r="L21" i="163"/>
  <c r="M21" i="163" s="1"/>
  <c r="L25" i="163"/>
  <c r="M25" i="163" s="1"/>
  <c r="L23" i="163"/>
  <c r="M23" i="163" s="1"/>
  <c r="L22" i="163"/>
  <c r="M22" i="163" s="1"/>
  <c r="L24" i="163"/>
  <c r="M24" i="163" s="1"/>
  <c r="L29" i="163"/>
  <c r="L30" i="163"/>
  <c r="L32" i="163"/>
  <c r="L31" i="163"/>
  <c r="L28" i="163"/>
  <c r="L26" i="163"/>
  <c r="L7" i="163"/>
  <c r="L27" i="163"/>
  <c r="L33" i="163"/>
  <c r="M25" i="162"/>
  <c r="K23" i="162"/>
  <c r="K25" i="162" s="1"/>
  <c r="H9" i="161"/>
  <c r="H12" i="161" s="1"/>
  <c r="K9" i="161"/>
  <c r="H11" i="160"/>
  <c r="H14" i="160" s="1"/>
  <c r="K7" i="160"/>
  <c r="K11" i="160" s="1"/>
  <c r="N32" i="159"/>
  <c r="H32" i="159"/>
  <c r="H35" i="159" s="1"/>
  <c r="K32" i="159"/>
  <c r="H11" i="158"/>
  <c r="K11" i="158" s="1"/>
  <c r="J20" i="158"/>
  <c r="H19" i="158"/>
  <c r="K19" i="158" s="1"/>
  <c r="H12" i="158"/>
  <c r="K12" i="158" s="1"/>
  <c r="H8" i="158"/>
  <c r="K8" i="158" s="1"/>
  <c r="O11" i="158"/>
  <c r="N23" i="158" s="1"/>
  <c r="H16" i="158"/>
  <c r="K16" i="158" s="1"/>
  <c r="H7" i="158"/>
  <c r="K7" i="158" s="1"/>
  <c r="H15" i="158"/>
  <c r="K15" i="158" s="1"/>
  <c r="H22" i="158"/>
  <c r="K22" i="158" s="1"/>
  <c r="J8" i="158"/>
  <c r="J16" i="158"/>
  <c r="J10" i="158"/>
  <c r="H10" i="158"/>
  <c r="K10" i="158" s="1"/>
  <c r="H14" i="158"/>
  <c r="K14" i="158" s="1"/>
  <c r="J14" i="158"/>
  <c r="H18" i="158"/>
  <c r="K18" i="158" s="1"/>
  <c r="J18" i="158"/>
  <c r="H9" i="158"/>
  <c r="K9" i="158" s="1"/>
  <c r="H13" i="158"/>
  <c r="K13" i="158" s="1"/>
  <c r="H17" i="158"/>
  <c r="K17" i="158" s="1"/>
  <c r="H21" i="158"/>
  <c r="K21" i="158" s="1"/>
  <c r="J22" i="158"/>
  <c r="R22" i="162" l="1"/>
  <c r="R24" i="162" s="1"/>
  <c r="P13" i="163"/>
  <c r="P20" i="163"/>
  <c r="P16" i="163"/>
  <c r="P14" i="163"/>
  <c r="P18" i="163"/>
  <c r="P17" i="163"/>
  <c r="P12" i="163"/>
  <c r="M30" i="163"/>
  <c r="P30" i="163"/>
  <c r="P15" i="163"/>
  <c r="P19" i="163"/>
  <c r="M29" i="163"/>
  <c r="P29" i="163"/>
  <c r="P33" i="163"/>
  <c r="M33" i="163"/>
  <c r="P10" i="163"/>
  <c r="P23" i="163"/>
  <c r="M31" i="163"/>
  <c r="P31" i="163"/>
  <c r="P22" i="163"/>
  <c r="P25" i="163"/>
  <c r="M26" i="163"/>
  <c r="P26" i="163"/>
  <c r="M32" i="163"/>
  <c r="P32" i="163"/>
  <c r="P27" i="163"/>
  <c r="M27" i="163"/>
  <c r="M7" i="163"/>
  <c r="P7" i="163"/>
  <c r="P28" i="163"/>
  <c r="M28" i="163"/>
  <c r="P24" i="163"/>
  <c r="P8" i="163"/>
  <c r="P11" i="163"/>
  <c r="P9" i="163"/>
  <c r="L9" i="162"/>
  <c r="M9" i="162" s="1"/>
  <c r="L13" i="162"/>
  <c r="M13" i="162" s="1"/>
  <c r="L17" i="162"/>
  <c r="M17" i="162" s="1"/>
  <c r="L21" i="162"/>
  <c r="M21" i="162" s="1"/>
  <c r="L11" i="162"/>
  <c r="M11" i="162" s="1"/>
  <c r="L15" i="162"/>
  <c r="M15" i="162" s="1"/>
  <c r="L19" i="162"/>
  <c r="L8" i="162"/>
  <c r="M8" i="162" s="1"/>
  <c r="L16" i="162"/>
  <c r="M16" i="162" s="1"/>
  <c r="L10" i="162"/>
  <c r="M10" i="162" s="1"/>
  <c r="L14" i="162"/>
  <c r="M14" i="162" s="1"/>
  <c r="L18" i="162"/>
  <c r="M18" i="162" s="1"/>
  <c r="L12" i="162"/>
  <c r="M12" i="162" s="1"/>
  <c r="L20" i="162"/>
  <c r="M20" i="162" s="1"/>
  <c r="L7" i="162"/>
  <c r="M12" i="161"/>
  <c r="K10" i="161"/>
  <c r="K12" i="161" s="1"/>
  <c r="R9" i="161" s="1"/>
  <c r="R11" i="161" s="1"/>
  <c r="M14" i="160"/>
  <c r="K12" i="160"/>
  <c r="K14" i="160" s="1"/>
  <c r="R11" i="160" s="1"/>
  <c r="R13" i="160" s="1"/>
  <c r="M35" i="159"/>
  <c r="K33" i="159"/>
  <c r="K35" i="159" s="1"/>
  <c r="R32" i="159" s="1"/>
  <c r="R34" i="159" s="1"/>
  <c r="K23" i="158"/>
  <c r="H23" i="158"/>
  <c r="H26" i="158" s="1"/>
  <c r="R29" i="163" l="1"/>
  <c r="Q29" i="163"/>
  <c r="Q15" i="163"/>
  <c r="R15" i="163"/>
  <c r="R12" i="163"/>
  <c r="Q12" i="163"/>
  <c r="Q18" i="163"/>
  <c r="R18" i="163"/>
  <c r="Q16" i="163"/>
  <c r="R16" i="163"/>
  <c r="R13" i="163"/>
  <c r="Q13" i="163"/>
  <c r="P21" i="163"/>
  <c r="Q19" i="163"/>
  <c r="R19" i="163"/>
  <c r="R30" i="163"/>
  <c r="Q30" i="163"/>
  <c r="Q17" i="163"/>
  <c r="R17" i="163"/>
  <c r="Q14" i="163"/>
  <c r="R14" i="163"/>
  <c r="Q20" i="163"/>
  <c r="R20" i="163"/>
  <c r="Q24" i="163"/>
  <c r="R24" i="163"/>
  <c r="Q10" i="163"/>
  <c r="R10" i="163"/>
  <c r="R26" i="163"/>
  <c r="Q26" i="163"/>
  <c r="R22" i="163"/>
  <c r="Q22" i="163"/>
  <c r="R9" i="163"/>
  <c r="Q9" i="163"/>
  <c r="Q28" i="163"/>
  <c r="R28" i="163"/>
  <c r="R27" i="163"/>
  <c r="Q27" i="163"/>
  <c r="R23" i="163"/>
  <c r="Q23" i="163"/>
  <c r="R33" i="163"/>
  <c r="Q33" i="163"/>
  <c r="R11" i="163"/>
  <c r="Q11" i="163"/>
  <c r="R7" i="163"/>
  <c r="Q7" i="163"/>
  <c r="R32" i="163"/>
  <c r="Q32" i="163"/>
  <c r="R25" i="163"/>
  <c r="Q25" i="163"/>
  <c r="R31" i="163"/>
  <c r="Q31" i="163"/>
  <c r="R8" i="163"/>
  <c r="Q8" i="163"/>
  <c r="M19" i="162"/>
  <c r="P19" i="162"/>
  <c r="P18" i="162"/>
  <c r="P11" i="162"/>
  <c r="P17" i="162"/>
  <c r="P9" i="162"/>
  <c r="P13" i="162"/>
  <c r="P20" i="162"/>
  <c r="P14" i="162"/>
  <c r="P8" i="162"/>
  <c r="P12" i="162"/>
  <c r="P15" i="162"/>
  <c r="P7" i="162"/>
  <c r="M7" i="162"/>
  <c r="P21" i="162"/>
  <c r="P16" i="162"/>
  <c r="P10" i="162"/>
  <c r="L7" i="161"/>
  <c r="L8" i="161"/>
  <c r="L8" i="160"/>
  <c r="L7" i="160"/>
  <c r="L10" i="160"/>
  <c r="L9" i="160"/>
  <c r="L8" i="159"/>
  <c r="L9" i="159"/>
  <c r="L10" i="159"/>
  <c r="L11" i="159"/>
  <c r="L12" i="159"/>
  <c r="L13" i="159"/>
  <c r="L14" i="159"/>
  <c r="L15" i="159"/>
  <c r="L16" i="159"/>
  <c r="L22" i="159"/>
  <c r="L26" i="159"/>
  <c r="L28" i="159"/>
  <c r="L27" i="159"/>
  <c r="L31" i="159"/>
  <c r="L29" i="159"/>
  <c r="L17" i="159"/>
  <c r="L20" i="159"/>
  <c r="L24" i="159"/>
  <c r="L30" i="159"/>
  <c r="L18" i="159"/>
  <c r="L21" i="159"/>
  <c r="L25" i="159"/>
  <c r="L19" i="159"/>
  <c r="L23" i="159"/>
  <c r="L7" i="159"/>
  <c r="M26" i="158"/>
  <c r="K24" i="158"/>
  <c r="K26" i="158" s="1"/>
  <c r="R23" i="158" s="1"/>
  <c r="R25" i="158" s="1"/>
  <c r="M11" i="159" l="1"/>
  <c r="P11" i="159"/>
  <c r="M14" i="159"/>
  <c r="P14" i="159"/>
  <c r="M10" i="159"/>
  <c r="P10" i="159"/>
  <c r="M15" i="159"/>
  <c r="P15" i="159"/>
  <c r="M13" i="159"/>
  <c r="P13" i="159"/>
  <c r="M9" i="159"/>
  <c r="P9" i="159"/>
  <c r="M16" i="159"/>
  <c r="P16" i="159"/>
  <c r="M12" i="159"/>
  <c r="P12" i="159"/>
  <c r="M8" i="159"/>
  <c r="P8" i="159"/>
  <c r="R21" i="163"/>
  <c r="Q21" i="163"/>
  <c r="R19" i="162"/>
  <c r="Q19" i="162"/>
  <c r="R15" i="162"/>
  <c r="Q15" i="162"/>
  <c r="Q12" i="162"/>
  <c r="R12" i="162"/>
  <c r="R13" i="162"/>
  <c r="Q13" i="162"/>
  <c r="Q7" i="162"/>
  <c r="R7" i="162"/>
  <c r="Q20" i="162"/>
  <c r="R20" i="162"/>
  <c r="Q17" i="162"/>
  <c r="R17" i="162"/>
  <c r="Q11" i="162"/>
  <c r="R11" i="162"/>
  <c r="Q16" i="162"/>
  <c r="R16" i="162"/>
  <c r="Q21" i="162"/>
  <c r="R21" i="162"/>
  <c r="Q8" i="162"/>
  <c r="R8" i="162"/>
  <c r="R10" i="162"/>
  <c r="Q10" i="162"/>
  <c r="R14" i="162"/>
  <c r="Q14" i="162"/>
  <c r="R9" i="162"/>
  <c r="Q9" i="162"/>
  <c r="R18" i="162"/>
  <c r="Q18" i="162"/>
  <c r="M8" i="161"/>
  <c r="P8" i="161"/>
  <c r="P7" i="161"/>
  <c r="M7" i="161"/>
  <c r="M9" i="160"/>
  <c r="P9" i="160"/>
  <c r="P8" i="160"/>
  <c r="M8" i="160"/>
  <c r="P7" i="160"/>
  <c r="M7" i="160"/>
  <c r="M10" i="160"/>
  <c r="P10" i="160"/>
  <c r="P25" i="159"/>
  <c r="M25" i="159"/>
  <c r="P24" i="159"/>
  <c r="M24" i="159"/>
  <c r="M31" i="159"/>
  <c r="P31" i="159"/>
  <c r="M22" i="159"/>
  <c r="P22" i="159"/>
  <c r="P7" i="159"/>
  <c r="M7" i="159"/>
  <c r="M21" i="159"/>
  <c r="P21" i="159"/>
  <c r="P20" i="159"/>
  <c r="M20" i="159"/>
  <c r="P27" i="159"/>
  <c r="M27" i="159"/>
  <c r="P23" i="159"/>
  <c r="M23" i="159"/>
  <c r="M18" i="159"/>
  <c r="P18" i="159"/>
  <c r="M17" i="159"/>
  <c r="P17" i="159"/>
  <c r="P28" i="159"/>
  <c r="M28" i="159"/>
  <c r="P19" i="159"/>
  <c r="M19" i="159"/>
  <c r="M30" i="159"/>
  <c r="P30" i="159"/>
  <c r="P29" i="159"/>
  <c r="M29" i="159"/>
  <c r="M26" i="159"/>
  <c r="P26" i="159"/>
  <c r="L17" i="158"/>
  <c r="L8" i="158"/>
  <c r="L11" i="158"/>
  <c r="L13" i="158"/>
  <c r="L12" i="158"/>
  <c r="L15" i="158"/>
  <c r="L9" i="158"/>
  <c r="L16" i="158"/>
  <c r="L21" i="158"/>
  <c r="L19" i="158"/>
  <c r="L7" i="158"/>
  <c r="L20" i="158"/>
  <c r="L18" i="158"/>
  <c r="L14" i="158"/>
  <c r="L22" i="158"/>
  <c r="L10" i="158"/>
  <c r="Q9" i="159" l="1"/>
  <c r="R9" i="159"/>
  <c r="R12" i="159"/>
  <c r="Q12" i="159"/>
  <c r="R15" i="159"/>
  <c r="Q15" i="159"/>
  <c r="Q8" i="159"/>
  <c r="R8" i="159"/>
  <c r="R16" i="159"/>
  <c r="Q16" i="159"/>
  <c r="R13" i="159"/>
  <c r="Q13" i="159"/>
  <c r="Q10" i="159"/>
  <c r="R10" i="159"/>
  <c r="R11" i="159"/>
  <c r="Q11" i="159"/>
  <c r="R14" i="159"/>
  <c r="Q14" i="159"/>
  <c r="Q7" i="161"/>
  <c r="R7" i="161"/>
  <c r="R8" i="161"/>
  <c r="Q8" i="161"/>
  <c r="R10" i="160"/>
  <c r="Q10" i="160"/>
  <c r="Q9" i="160"/>
  <c r="R9" i="160"/>
  <c r="Q7" i="160"/>
  <c r="R7" i="160"/>
  <c r="R8" i="160"/>
  <c r="Q8" i="160"/>
  <c r="R30" i="159"/>
  <c r="Q30" i="159"/>
  <c r="R18" i="159"/>
  <c r="Q18" i="159"/>
  <c r="Q21" i="159"/>
  <c r="R21" i="159"/>
  <c r="R28" i="159"/>
  <c r="Q28" i="159"/>
  <c r="R26" i="159"/>
  <c r="Q26" i="159"/>
  <c r="R22" i="159"/>
  <c r="Q22" i="159"/>
  <c r="R27" i="159"/>
  <c r="Q27" i="159"/>
  <c r="R24" i="159"/>
  <c r="Q24" i="159"/>
  <c r="Q17" i="159"/>
  <c r="R17" i="159"/>
  <c r="R31" i="159"/>
  <c r="Q31" i="159"/>
  <c r="Q29" i="159"/>
  <c r="R29" i="159"/>
  <c r="R19" i="159"/>
  <c r="Q19" i="159"/>
  <c r="R23" i="159"/>
  <c r="Q23" i="159"/>
  <c r="Q20" i="159"/>
  <c r="R20" i="159"/>
  <c r="R7" i="159"/>
  <c r="Q7" i="159"/>
  <c r="Q25" i="159"/>
  <c r="R25" i="159"/>
  <c r="M18" i="158"/>
  <c r="P18" i="158"/>
  <c r="M19" i="158"/>
  <c r="P19" i="158"/>
  <c r="P15" i="158"/>
  <c r="M15" i="158"/>
  <c r="M8" i="158"/>
  <c r="P8" i="158"/>
  <c r="M10" i="158"/>
  <c r="P10" i="158"/>
  <c r="P20" i="158"/>
  <c r="M20" i="158"/>
  <c r="P21" i="158"/>
  <c r="M21" i="158"/>
  <c r="M12" i="158"/>
  <c r="P12" i="158"/>
  <c r="M17" i="158"/>
  <c r="P17" i="158"/>
  <c r="M22" i="158"/>
  <c r="P22" i="158"/>
  <c r="P7" i="158"/>
  <c r="M7" i="158"/>
  <c r="P16" i="158"/>
  <c r="M16" i="158"/>
  <c r="M13" i="158"/>
  <c r="P13" i="158"/>
  <c r="M14" i="158"/>
  <c r="P14" i="158"/>
  <c r="M9" i="158"/>
  <c r="P9" i="158"/>
  <c r="P11" i="158"/>
  <c r="M11" i="158"/>
  <c r="Q13" i="158" l="1"/>
  <c r="R13" i="158"/>
  <c r="Q17" i="158"/>
  <c r="R17" i="158"/>
  <c r="R10" i="158"/>
  <c r="Q10" i="158"/>
  <c r="R18" i="158"/>
  <c r="Q18" i="158"/>
  <c r="Q11" i="158"/>
  <c r="R11" i="158"/>
  <c r="Q7" i="158"/>
  <c r="R7" i="158"/>
  <c r="Q21" i="158"/>
  <c r="R21" i="158"/>
  <c r="Q15" i="158"/>
  <c r="R15" i="158"/>
  <c r="Q9" i="158"/>
  <c r="R9" i="158"/>
  <c r="R14" i="158"/>
  <c r="Q14" i="158"/>
  <c r="R22" i="158"/>
  <c r="Q22" i="158"/>
  <c r="R12" i="158"/>
  <c r="Q12" i="158"/>
  <c r="R8" i="158"/>
  <c r="Q8" i="158"/>
  <c r="Q19" i="158"/>
  <c r="R19" i="158"/>
  <c r="R16" i="158"/>
  <c r="Q16" i="158"/>
  <c r="R20" i="158"/>
  <c r="Q20" i="158"/>
  <c r="G16" i="157" l="1"/>
  <c r="J16" i="157" s="1"/>
  <c r="E16" i="157"/>
  <c r="O16" i="157" s="1"/>
  <c r="G15" i="157"/>
  <c r="J15" i="157" s="1"/>
  <c r="E15" i="157"/>
  <c r="O15" i="157" s="1"/>
  <c r="G14" i="157"/>
  <c r="E14" i="157"/>
  <c r="O14" i="157" s="1"/>
  <c r="G13" i="157"/>
  <c r="E13" i="157"/>
  <c r="O13" i="157" s="1"/>
  <c r="G12" i="157"/>
  <c r="J12" i="157" s="1"/>
  <c r="E12" i="157"/>
  <c r="O12" i="157" s="1"/>
  <c r="G11" i="157"/>
  <c r="J11" i="157" s="1"/>
  <c r="E11" i="157"/>
  <c r="O11" i="157" s="1"/>
  <c r="G10" i="157"/>
  <c r="J10" i="157" s="1"/>
  <c r="E10" i="157"/>
  <c r="O10" i="157" s="1"/>
  <c r="G9" i="157"/>
  <c r="E9" i="157"/>
  <c r="O9" i="157" s="1"/>
  <c r="G8" i="157"/>
  <c r="J8" i="157" s="1"/>
  <c r="E8" i="157"/>
  <c r="O8" i="157" s="1"/>
  <c r="G7" i="157"/>
  <c r="J7" i="157" s="1"/>
  <c r="E7" i="157"/>
  <c r="O7" i="157" s="1"/>
  <c r="H15" i="157" l="1"/>
  <c r="K15" i="157" s="1"/>
  <c r="H16" i="157"/>
  <c r="K16" i="157" s="1"/>
  <c r="H12" i="157"/>
  <c r="K12" i="157" s="1"/>
  <c r="H11" i="157"/>
  <c r="K11" i="157" s="1"/>
  <c r="N17" i="157"/>
  <c r="H7" i="157"/>
  <c r="K7" i="157" s="1"/>
  <c r="H8" i="157"/>
  <c r="K8" i="157" s="1"/>
  <c r="H10" i="157"/>
  <c r="K10" i="157" s="1"/>
  <c r="J13" i="157"/>
  <c r="H13" i="157"/>
  <c r="K13" i="157" s="1"/>
  <c r="J9" i="157"/>
  <c r="H9" i="157"/>
  <c r="K9" i="157" s="1"/>
  <c r="J14" i="157"/>
  <c r="H14" i="157"/>
  <c r="K14" i="157" s="1"/>
  <c r="H17" i="157" l="1"/>
  <c r="H20" i="157" s="1"/>
  <c r="K17" i="157"/>
  <c r="M20" i="157" l="1"/>
  <c r="K18" i="157"/>
  <c r="K20" i="157" s="1"/>
  <c r="R17" i="157" s="1"/>
  <c r="R19" i="157" s="1"/>
  <c r="L8" i="157" l="1"/>
  <c r="L15" i="157"/>
  <c r="L10" i="157"/>
  <c r="L7" i="157"/>
  <c r="L12" i="157"/>
  <c r="L16" i="157"/>
  <c r="L11" i="157"/>
  <c r="L13" i="157"/>
  <c r="L9" i="157"/>
  <c r="L14" i="157"/>
  <c r="M9" i="157" l="1"/>
  <c r="P9" i="157"/>
  <c r="M16" i="157"/>
  <c r="P16" i="157"/>
  <c r="P7" i="157"/>
  <c r="M7" i="157"/>
  <c r="P15" i="157"/>
  <c r="M15" i="157"/>
  <c r="M8" i="157"/>
  <c r="P8" i="157"/>
  <c r="P14" i="157"/>
  <c r="M14" i="157"/>
  <c r="M13" i="157"/>
  <c r="P13" i="157"/>
  <c r="P11" i="157"/>
  <c r="M11" i="157"/>
  <c r="M12" i="157"/>
  <c r="P12" i="157"/>
  <c r="P10" i="157"/>
  <c r="M10" i="157"/>
  <c r="Q15" i="157" l="1"/>
  <c r="R15" i="157"/>
  <c r="R9" i="157"/>
  <c r="Q9" i="157"/>
  <c r="R10" i="157"/>
  <c r="Q10" i="157"/>
  <c r="Q11" i="157"/>
  <c r="R11" i="157"/>
  <c r="R14" i="157"/>
  <c r="Q14" i="157"/>
  <c r="Q7" i="157"/>
  <c r="R7" i="157"/>
  <c r="R12" i="157"/>
  <c r="Q12" i="157"/>
  <c r="R13" i="157"/>
  <c r="Q13" i="157"/>
  <c r="R8" i="157"/>
  <c r="Q8" i="157"/>
  <c r="R16" i="157"/>
  <c r="Q16" i="157"/>
</calcChain>
</file>

<file path=xl/sharedStrings.xml><?xml version="1.0" encoding="utf-8"?>
<sst xmlns="http://schemas.openxmlformats.org/spreadsheetml/2006/main" count="502" uniqueCount="165">
  <si>
    <t>Tian Ma Group Holdings Pte Ltd</t>
  </si>
  <si>
    <t xml:space="preserve">Date: </t>
  </si>
  <si>
    <t>Rate :</t>
  </si>
  <si>
    <t>PURCHASE ORDER</t>
  </si>
  <si>
    <t>Cost with Freight &amp; GST, Selling with GST</t>
  </si>
  <si>
    <t>No.</t>
  </si>
  <si>
    <t>Product Name</t>
  </si>
  <si>
    <t>Qty 
(CTN)</t>
  </si>
  <si>
    <t>Total Ordered Qty</t>
  </si>
  <si>
    <t>Total</t>
  </si>
  <si>
    <t>Total Cost 
(RAW)</t>
  </si>
  <si>
    <t>TMG Selling Price</t>
  </si>
  <si>
    <t>Total Selling</t>
  </si>
  <si>
    <t>UNIT PROFIT ($)</t>
  </si>
  <si>
    <t>TOTAL PROFIT($)</t>
  </si>
  <si>
    <t xml:space="preserve">Profit Margin - % </t>
  </si>
  <si>
    <t>SUB TOTAL:</t>
  </si>
  <si>
    <t>Total Cost:
(SGD)</t>
  </si>
  <si>
    <t>Total Selling: 
(SGD)</t>
  </si>
  <si>
    <t>Total Profit:</t>
  </si>
  <si>
    <t>Freight (CNF) Charge:</t>
  </si>
  <si>
    <t>Freight Charge:</t>
  </si>
  <si>
    <t>Profit over SP</t>
  </si>
  <si>
    <t>TOTAL AMT:</t>
  </si>
  <si>
    <t xml:space="preserve">Freight Charge Percentage  
(W/out GST)                                                  </t>
  </si>
  <si>
    <t>9 Changi South Street 3 #07-02/03 Singapore 486361</t>
  </si>
  <si>
    <t>Packing Size
(PC)</t>
  </si>
  <si>
    <t>NA</t>
  </si>
  <si>
    <t>TMG
Promotion
Price</t>
  </si>
  <si>
    <t>Unit Cost 
(SGD - PC)
(W/O GST)</t>
  </si>
  <si>
    <t>Total Cost 
(SGD)
(W GST)</t>
  </si>
  <si>
    <t>Ctn Price
(SGD)
(W/O GST)</t>
  </si>
  <si>
    <t>Unit Price
(SGD)
(W/O GST)</t>
  </si>
  <si>
    <t>Supplier: TGS GROUP SDN BHD</t>
  </si>
  <si>
    <t>9% GST</t>
  </si>
  <si>
    <t>24</t>
  </si>
  <si>
    <t>8</t>
  </si>
  <si>
    <t>10</t>
  </si>
  <si>
    <t>50</t>
  </si>
  <si>
    <t>30</t>
  </si>
  <si>
    <t>4</t>
  </si>
  <si>
    <t xml:space="preserve">CRACKER CAP MENARA SPICY 80G          </t>
  </si>
  <si>
    <t xml:space="preserve">CRACKER CAP MENARA ORIG 80G          </t>
  </si>
  <si>
    <t>POKKA GREEN TEA CAN 300ML</t>
  </si>
  <si>
    <t>1 for $0.65
4 for $2.50
24 for $14.80</t>
  </si>
  <si>
    <t>POKKA GREEN TEA PACKET 250MLX6</t>
  </si>
  <si>
    <t>1 for $3.25
4 for $12.80</t>
  </si>
  <si>
    <t xml:space="preserve">HSC OLDENLANDIA WATER 325ML </t>
  </si>
  <si>
    <t>1 for $0.80
4 for $3.00
24 for $17.80</t>
  </si>
  <si>
    <t>12</t>
  </si>
  <si>
    <t>60</t>
  </si>
  <si>
    <t xml:space="preserve">COCA COLA ZERO 1.25L       </t>
  </si>
  <si>
    <t xml:space="preserve">SPRITE 1.25L      </t>
  </si>
  <si>
    <t>1 for $1.25
2 for $2.25</t>
  </si>
  <si>
    <t xml:space="preserve">MAMEE EXPRESS CUP TOMYAM 68G                </t>
  </si>
  <si>
    <t xml:space="preserve">MAMEE EXPRESS CUP VEGETABLE 68G                </t>
  </si>
  <si>
    <t>1 for $0.70
3 for $2.00</t>
  </si>
  <si>
    <t>36</t>
  </si>
  <si>
    <t>20</t>
  </si>
  <si>
    <t xml:space="preserve">KNORR INSTANT CUP PORRIDGE 32G - CHIC       </t>
  </si>
  <si>
    <t xml:space="preserve">KNORR INSTANT CUP PORRIDGE 32G - CHIC MUSHROOM       </t>
  </si>
  <si>
    <t xml:space="preserve">ZESS SAVOURY CRACKERS ORIG 75G               </t>
  </si>
  <si>
    <t xml:space="preserve">OBASAN STEAM CAKE CHEESE 100G           </t>
  </si>
  <si>
    <t xml:space="preserve">OBASAN STEAM CAKE CHOCOLATE 100G                     </t>
  </si>
  <si>
    <t xml:space="preserve">OBASAN STEAM CAKE PANDAN 100G         </t>
  </si>
  <si>
    <t xml:space="preserve">OBASAN STEAM CAKE STRAWBERRY 100G                 </t>
  </si>
  <si>
    <t>1 for $2.25
2 for $4.25</t>
  </si>
  <si>
    <t>SEASON ICE LEMON TEA 300ML</t>
  </si>
  <si>
    <t>1 for $0.55
24 for $12.80</t>
  </si>
  <si>
    <t xml:space="preserve">MARIGOLD UHT MILK 3X200ML - STRAWBERRY             </t>
  </si>
  <si>
    <t>1 for $1.95
8 for $15.50</t>
  </si>
  <si>
    <t xml:space="preserve">HUP SENG SESAME CRACKERS 158G                </t>
  </si>
  <si>
    <t>Unit Cost (9.57%)
(SGD - PC)</t>
  </si>
  <si>
    <t xml:space="preserve">JULIES PNUT BUTTER SWICH 360G              </t>
  </si>
  <si>
    <t xml:space="preserve">MAMEE EXPRESS CUP CHICKEN 68G                </t>
  </si>
  <si>
    <t xml:space="preserve">MAMEE EXPRESS CUP CURRY 68G                </t>
  </si>
  <si>
    <t>ORIENTAL SUPER RING 60G</t>
  </si>
  <si>
    <t xml:space="preserve">POPO MURUKU FISH 12Gx24   </t>
  </si>
  <si>
    <t xml:space="preserve">MAGICLEAN TOILET BLEACHPOWER ORI 500ML   </t>
  </si>
  <si>
    <t>1 for $2.90
2 for $5.50</t>
  </si>
  <si>
    <t>48</t>
  </si>
  <si>
    <t>54</t>
  </si>
  <si>
    <t xml:space="preserve">HACKS REG 100G                  </t>
  </si>
  <si>
    <t xml:space="preserve">MAGGI HOT CUP CURRY 59G   </t>
  </si>
  <si>
    <t>Unit Cost (9.78%)
(SGD - PC)</t>
  </si>
  <si>
    <t>POKKA OOLONG TEA PACKET 250MLX6</t>
  </si>
  <si>
    <t>A&amp;W 1.25L</t>
  </si>
  <si>
    <t xml:space="preserve">JACKJILL CREAM O BLUBERRY 60G              </t>
  </si>
  <si>
    <t xml:space="preserve">NESTLE MILO NUGGETS 30G        </t>
  </si>
  <si>
    <t>Unit Cost (9.52%)
(SGD - PC)</t>
  </si>
  <si>
    <t xml:space="preserve">____________________     ____________________     ____________________     ____________________     ____________________     </t>
  </si>
  <si>
    <t xml:space="preserve">              ORDER BY                          CHECKED BY                       SUBMITTED BY                 ACKNOWLEDGE BY              PRICE CHECKED BY</t>
  </si>
  <si>
    <t>90</t>
  </si>
  <si>
    <t xml:space="preserve">F&amp;N ICE CREAM SODA 500ML     </t>
  </si>
  <si>
    <t>F&amp;N ZAPPEL 500ML</t>
  </si>
  <si>
    <t>1 for $0.90
4 for $3.50
24 for $20.80</t>
  </si>
  <si>
    <t xml:space="preserve">KICKAPOO 1.5L   </t>
  </si>
  <si>
    <t xml:space="preserve">HUP SENG SESAME CRACKERS 158G   </t>
  </si>
  <si>
    <t xml:space="preserve">CRISPY ORIG CHOC MINI 6S            </t>
  </si>
  <si>
    <t xml:space="preserve">APOLLO LYR CAKE CHOC 18Gx24    </t>
  </si>
  <si>
    <t xml:space="preserve">APOLLO LYR CAKE PANDAN 18Gx24    </t>
  </si>
  <si>
    <t xml:space="preserve">MAMEE MONSTER BBQ 25Gx10    </t>
  </si>
  <si>
    <t>ORIENTAL GREEN PEAS 14Gx8</t>
  </si>
  <si>
    <t>POKKA LEMON TEA 1.5L</t>
  </si>
  <si>
    <t xml:space="preserve">POKKA LEMON TEA 500ML               </t>
  </si>
  <si>
    <t>1 for $1.20
3 for $3.50
24 for $27.80</t>
  </si>
  <si>
    <t xml:space="preserve">POPO MURUKU SWEET SPICY 12Gx24                </t>
  </si>
  <si>
    <t>6</t>
  </si>
  <si>
    <t xml:space="preserve">APOLLO LYR CAKE BANANA 18Gx24    </t>
  </si>
  <si>
    <t xml:space="preserve">APOLLO LYR CAKE COCOA 18Gx24    </t>
  </si>
  <si>
    <t xml:space="preserve">DOUBLE DECKER MINI CHEESE RING 13Gx8      </t>
  </si>
  <si>
    <t xml:space="preserve">DOUBLE DECKER MINI CHICKEN 10Gx8         </t>
  </si>
  <si>
    <t xml:space="preserve">DOUBLE DECKER MINI PRAWN CRK 15Gx8              </t>
  </si>
  <si>
    <t xml:space="preserve">JULIES CHEESE SWICH 360G              </t>
  </si>
  <si>
    <t xml:space="preserve">MAGGI HOT CUP CHICKEN 66G                       </t>
  </si>
  <si>
    <t xml:space="preserve">MAMEE CHEF CREAMY TOMYAM 88GX4S         </t>
  </si>
  <si>
    <t xml:space="preserve">MAMEE CHEF CURRY LAKSA 80GX4S            </t>
  </si>
  <si>
    <t xml:space="preserve">MAMEE CURRY 75Gx5     </t>
  </si>
  <si>
    <t xml:space="preserve">MAMEE MONSTER H&amp;S 25Gx10       </t>
  </si>
  <si>
    <t xml:space="preserve">MUNCHYS CRACKERS WHEAT CRK 276G                  </t>
  </si>
  <si>
    <t xml:space="preserve">MUNCHYS FUNMIX ASSORTED BISCUITS 900G   </t>
  </si>
  <si>
    <t xml:space="preserve">MUNCHYS LEXUS CRKS VEGETABLE 200G     </t>
  </si>
  <si>
    <t xml:space="preserve">MUNCHYS ORIGINAL CREAM CRKS 375G        </t>
  </si>
  <si>
    <t xml:space="preserve">POPO MURUKU SEAWEED 12Gx24              </t>
  </si>
  <si>
    <t xml:space="preserve">POPO MURUKU SPICY CHICKEN 12Gx24                 </t>
  </si>
  <si>
    <t xml:space="preserve">DYNAMO DET LIQ COLOR CARE 2.5L          </t>
  </si>
  <si>
    <t xml:space="preserve">DYNAMO DET LIQ ANTIBAC 2.5L         </t>
  </si>
  <si>
    <t xml:space="preserve">DYNAMO DET LIQ ROSE 2.5L             </t>
  </si>
  <si>
    <t xml:space="preserve">DYNAMO DET LIQ FRESH 2.5L            </t>
  </si>
  <si>
    <t xml:space="preserve">KICKAPOO 325ML            </t>
  </si>
  <si>
    <t>1 for $0.70
3 for $2.00
24 for $15.80</t>
  </si>
  <si>
    <t>Unit Cost (11.66%)
(SGD - PC)</t>
  </si>
  <si>
    <t>Unit Cost (9.47%)
(SGD - PC)</t>
  </si>
  <si>
    <t xml:space="preserve">JULIES BUTTER CRKS 200G            </t>
  </si>
  <si>
    <t>JULIES LOVE LETTERS 360G - CHOC</t>
  </si>
  <si>
    <t xml:space="preserve">MUNCHYS OAT KRUNCH BFAST 192G - CRANBERRY </t>
  </si>
  <si>
    <t xml:space="preserve">KNORR CUP MASHED POTATO MUSHROOM 26G               </t>
  </si>
  <si>
    <t xml:space="preserve">KNORR CUP MASHED POTATO CHEESE 26G             </t>
  </si>
  <si>
    <t>POKKA LEMON TEA PACKET 250MLX6</t>
  </si>
  <si>
    <t xml:space="preserve">POKKA OOLONG TEA 1500ML  </t>
  </si>
  <si>
    <t xml:space="preserve">POKKA OOLONG TEA 500ML </t>
  </si>
  <si>
    <t xml:space="preserve">COKE 1.25L      </t>
  </si>
  <si>
    <t xml:space="preserve">F&amp;N FRUITADE 500ML     </t>
  </si>
  <si>
    <t>100 PLUS 1.75L</t>
  </si>
  <si>
    <t>F&amp;N SARSI 500ML</t>
  </si>
  <si>
    <t>F&amp;N SBERRY 500ML</t>
  </si>
  <si>
    <t xml:space="preserve">MAGGI HOT CUP CHICKEN 59G   </t>
  </si>
  <si>
    <t xml:space="preserve">MAMEE MONSTER CHICKEN 25Gx10    </t>
  </si>
  <si>
    <t xml:space="preserve">MUNCHYS OAT KRUNCH BFAST 192G - CHIA SEED MILK </t>
  </si>
  <si>
    <t xml:space="preserve">BREEZE DET LIQ POWER CLEAN 4KG                </t>
  </si>
  <si>
    <t xml:space="preserve">BREEZE DET LIQ GENTLE SKIN 3.6KG                 </t>
  </si>
  <si>
    <t xml:space="preserve">BREEZE DET LIQ GOODBYE MUSTY 4KG            </t>
  </si>
  <si>
    <t xml:space="preserve">TOP DET LIQ ODOUR BUSTER 4L                  </t>
  </si>
  <si>
    <t xml:space="preserve">JULIES CHEESE SWICH 360G            </t>
  </si>
  <si>
    <t xml:space="preserve">JULIES PNUT BUTTER SWICH 360G       </t>
  </si>
  <si>
    <t xml:space="preserve">FUDO SWISS ROLL CAKE TIRAMISU 18Gx24S             </t>
  </si>
  <si>
    <t xml:space="preserve">FUDO SWISS ROLL CAKE SBERRY 18Gx24S            </t>
  </si>
  <si>
    <t xml:space="preserve">FUDO SWISS ROLL CAKE PANDAN 18Gx24S            </t>
  </si>
  <si>
    <t xml:space="preserve">FUDO SWISS ROLL CAKE BUTTER 18Gx24S               </t>
  </si>
  <si>
    <t xml:space="preserve">FUDO SWISS ROLL CAKE CHOCO 18Gx24S                 </t>
  </si>
  <si>
    <t xml:space="preserve">KAO WIDE BLEACH COLOR LIQUID 2L    </t>
  </si>
  <si>
    <t>Unit Cost (9.39%)
(SGD - PC)</t>
  </si>
  <si>
    <t>1 for $1.50     
2 for $2.80</t>
  </si>
  <si>
    <t>1 for $1.50        
2 for $2.80</t>
  </si>
  <si>
    <t>1 for $1.20
3 for $3.50      
24 for $27.80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</si>
</sst>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&quot;$&quot;#,##0.0000"/>
    <numFmt numFmtId="166" formatCode="&quot;$&quot;#,##0.00"/>
    <numFmt numFmtId="167" formatCode="&quot;$&quot;&quot; &quot;#,##0.0000"/>
    <numFmt numFmtId="168" formatCode="&quot;$&quot;&quot; &quot;#,##0.00"/>
    <numFmt numFmtId="169" formatCode="0.000%"/>
    <numFmt numFmtId="170" formatCode="&quot; &quot;&quot;$&quot;* #,##0.00&quot; &quot;;&quot;-&quot;&quot;$&quot;* #,##0.00&quot; &quot;;&quot; &quot;&quot;$&quot;* &quot;-&quot;??&quot; &quot;"/>
    <numFmt numFmtId="171" formatCode="0.000"/>
    <numFmt numFmtId="172" formatCode="0.0000"/>
    <numFmt numFmtId="173" formatCode="_-&quot;$&quot;* #,##0.000_-;\-&quot;$&quot;* #,##0.000_-;_-&quot;$&quot;* &quot;-&quot;???_-;_-@_-"/>
  </numFmts>
  <fonts count="25">
    <font>
      <sz val="11"/>
      <color indexed="8"/>
      <name val="Calibri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b/>
      <sz val="25"/>
      <color indexed="8"/>
      <name val="Calibri"/>
      <family val="2"/>
    </font>
    <font>
      <b/>
      <sz val="20"/>
      <color indexed="8"/>
      <name val="Calibri"/>
      <family val="2"/>
    </font>
    <font>
      <sz val="15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u/>
      <sz val="14"/>
      <color indexed="8"/>
      <name val="Calibri"/>
      <family val="2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sz val="9"/>
      <color indexed="8"/>
      <name val="Calibri"/>
      <family val="2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dotted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dotted">
        <color indexed="8"/>
      </left>
      <right style="medium">
        <color indexed="8"/>
      </right>
      <top/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3">
    <xf numFmtId="0" fontId="0" fillId="0" borderId="0" applyNumberFormat="0" applyFill="0" applyBorder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>
      <alignment vertical="center"/>
    </xf>
    <xf numFmtId="0" fontId="19" fillId="0" borderId="0" applyNumberFormat="0" applyFill="0" applyBorder="0" applyProtection="0"/>
    <xf numFmtId="164" fontId="21" fillId="0" borderId="0" applyFont="0" applyFill="0" applyBorder="0" applyAlignment="0" applyProtection="0"/>
    <xf numFmtId="0" fontId="1" fillId="0" borderId="0"/>
    <xf numFmtId="0" fontId="19" fillId="0" borderId="0" applyNumberFormat="0" applyFill="0" applyBorder="0" applyProtection="0"/>
  </cellStyleXfs>
  <cellXfs count="166">
    <xf numFmtId="0" fontId="0" fillId="0" borderId="0" xfId="0"/>
    <xf numFmtId="0" fontId="0" fillId="0" borderId="0" xfId="0" applyNumberFormat="1"/>
    <xf numFmtId="0" fontId="0" fillId="2" borderId="7" xfId="0" applyFill="1" applyBorder="1"/>
    <xf numFmtId="165" fontId="0" fillId="2" borderId="7" xfId="0" applyNumberFormat="1" applyFill="1" applyBorder="1"/>
    <xf numFmtId="166" fontId="0" fillId="2" borderId="7" xfId="0" applyNumberFormat="1" applyFill="1" applyBorder="1"/>
    <xf numFmtId="0" fontId="0" fillId="2" borderId="2" xfId="0" applyFill="1" applyBorder="1"/>
    <xf numFmtId="0" fontId="0" fillId="2" borderId="11" xfId="0" applyFill="1" applyBorder="1"/>
    <xf numFmtId="0" fontId="0" fillId="2" borderId="20" xfId="0" applyFill="1" applyBorder="1"/>
    <xf numFmtId="165" fontId="14" fillId="3" borderId="15" xfId="0" applyNumberFormat="1" applyFont="1" applyFill="1" applyBorder="1" applyAlignment="1">
      <alignment horizontal="right" vertical="center" wrapText="1"/>
    </xf>
    <xf numFmtId="49" fontId="14" fillId="3" borderId="23" xfId="0" applyNumberFormat="1" applyFont="1" applyFill="1" applyBorder="1" applyAlignment="1">
      <alignment horizontal="right" vertical="center" wrapText="1"/>
    </xf>
    <xf numFmtId="49" fontId="15" fillId="3" borderId="14" xfId="0" applyNumberFormat="1" applyFont="1" applyFill="1" applyBorder="1" applyAlignment="1">
      <alignment horizontal="right" vertical="center" wrapText="1"/>
    </xf>
    <xf numFmtId="169" fontId="17" fillId="2" borderId="13" xfId="0" applyNumberFormat="1" applyFont="1" applyFill="1" applyBorder="1" applyAlignment="1">
      <alignment horizontal="center" vertical="center" wrapText="1"/>
    </xf>
    <xf numFmtId="165" fontId="14" fillId="3" borderId="18" xfId="0" applyNumberFormat="1" applyFont="1" applyFill="1" applyBorder="1" applyAlignment="1">
      <alignment horizontal="right" vertical="center" wrapText="1"/>
    </xf>
    <xf numFmtId="49" fontId="14" fillId="3" borderId="25" xfId="0" applyNumberFormat="1" applyFont="1" applyFill="1" applyBorder="1" applyAlignment="1">
      <alignment horizontal="right" vertical="center" wrapText="1"/>
    </xf>
    <xf numFmtId="49" fontId="15" fillId="3" borderId="16" xfId="0" applyNumberFormat="1" applyFont="1" applyFill="1" applyBorder="1" applyAlignment="1">
      <alignment horizontal="right" vertical="center" wrapText="1"/>
    </xf>
    <xf numFmtId="168" fontId="9" fillId="2" borderId="17" xfId="0" applyNumberFormat="1" applyFont="1" applyFill="1" applyBorder="1" applyAlignment="1">
      <alignment horizontal="center" vertical="center"/>
    </xf>
    <xf numFmtId="0" fontId="0" fillId="0" borderId="0" xfId="0" applyNumberFormat="1" applyFill="1"/>
    <xf numFmtId="49" fontId="14" fillId="3" borderId="32" xfId="0" applyNumberFormat="1" applyFont="1" applyFill="1" applyBorder="1" applyAlignment="1">
      <alignment horizontal="right" vertical="center" wrapText="1"/>
    </xf>
    <xf numFmtId="168" fontId="9" fillId="2" borderId="39" xfId="0" applyNumberFormat="1" applyFont="1" applyFill="1" applyBorder="1" applyAlignment="1">
      <alignment horizontal="center" vertical="center"/>
    </xf>
    <xf numFmtId="49" fontId="0" fillId="2" borderId="40" xfId="0" applyNumberFormat="1" applyFill="1" applyBorder="1" applyAlignment="1">
      <alignment horizontal="center" vertical="center" wrapText="1"/>
    </xf>
    <xf numFmtId="9" fontId="12" fillId="2" borderId="43" xfId="0" applyNumberFormat="1" applyFont="1" applyFill="1" applyBorder="1" applyAlignment="1">
      <alignment horizontal="left" vertical="center"/>
    </xf>
    <xf numFmtId="0" fontId="9" fillId="2" borderId="8" xfId="0" applyFont="1" applyFill="1" applyBorder="1"/>
    <xf numFmtId="170" fontId="9" fillId="2" borderId="12" xfId="0" applyNumberFormat="1" applyFont="1" applyFill="1" applyBorder="1" applyAlignment="1">
      <alignment horizontal="center" vertical="center" wrapText="1"/>
    </xf>
    <xf numFmtId="0" fontId="9" fillId="0" borderId="0" xfId="0" applyNumberFormat="1" applyFont="1"/>
    <xf numFmtId="3" fontId="0" fillId="0" borderId="26" xfId="0" applyNumberFormat="1" applyFill="1" applyBorder="1" applyAlignment="1">
      <alignment horizontal="center" vertical="center"/>
    </xf>
    <xf numFmtId="0" fontId="9" fillId="0" borderId="12" xfId="0" applyFont="1" applyFill="1" applyBorder="1"/>
    <xf numFmtId="164" fontId="0" fillId="2" borderId="19" xfId="0" applyNumberFormat="1" applyFill="1" applyBorder="1" applyAlignment="1">
      <alignment vertical="center"/>
    </xf>
    <xf numFmtId="165" fontId="14" fillId="3" borderId="50" xfId="0" applyNumberFormat="1" applyFont="1" applyFill="1" applyBorder="1" applyAlignment="1">
      <alignment horizontal="right" vertical="center" wrapText="1"/>
    </xf>
    <xf numFmtId="165" fontId="14" fillId="3" borderId="51" xfId="0" applyNumberFormat="1" applyFont="1" applyFill="1" applyBorder="1" applyAlignment="1">
      <alignment horizontal="right" vertical="center" wrapText="1"/>
    </xf>
    <xf numFmtId="173" fontId="0" fillId="0" borderId="26" xfId="1" applyNumberFormat="1" applyFont="1" applyFill="1" applyBorder="1" applyAlignment="1">
      <alignment vertical="center"/>
    </xf>
    <xf numFmtId="164" fontId="0" fillId="0" borderId="26" xfId="10" applyFont="1" applyFill="1" applyBorder="1" applyAlignment="1">
      <alignment horizontal="center" vertical="center"/>
    </xf>
    <xf numFmtId="0" fontId="19" fillId="0" borderId="0" xfId="0" applyNumberFormat="1" applyFont="1"/>
    <xf numFmtId="164" fontId="19" fillId="5" borderId="19" xfId="0" applyNumberFormat="1" applyFont="1" applyFill="1" applyBorder="1" applyAlignment="1">
      <alignment vertical="center"/>
    </xf>
    <xf numFmtId="0" fontId="9" fillId="0" borderId="43" xfId="0" applyFont="1" applyFill="1" applyBorder="1"/>
    <xf numFmtId="0" fontId="0" fillId="2" borderId="54" xfId="0" applyFill="1" applyBorder="1"/>
    <xf numFmtId="0" fontId="8" fillId="2" borderId="54" xfId="0" applyFont="1" applyFill="1" applyBorder="1" applyAlignment="1">
      <alignment vertical="center"/>
    </xf>
    <xf numFmtId="0" fontId="8" fillId="0" borderId="54" xfId="0" applyFont="1" applyFill="1" applyBorder="1" applyAlignment="1">
      <alignment vertical="center"/>
    </xf>
    <xf numFmtId="168" fontId="0" fillId="0" borderId="26" xfId="0" applyNumberFormat="1" applyFill="1" applyBorder="1" applyAlignment="1">
      <alignment horizontal="center" vertical="center"/>
    </xf>
    <xf numFmtId="10" fontId="0" fillId="0" borderId="26" xfId="0" applyNumberFormat="1" applyFill="1" applyBorder="1" applyAlignment="1">
      <alignment horizontal="center" vertical="center"/>
    </xf>
    <xf numFmtId="0" fontId="0" fillId="2" borderId="60" xfId="0" applyFill="1" applyBorder="1"/>
    <xf numFmtId="0" fontId="0" fillId="0" borderId="60" xfId="0" applyFill="1" applyBorder="1"/>
    <xf numFmtId="0" fontId="9" fillId="2" borderId="60" xfId="0" applyFont="1" applyFill="1" applyBorder="1"/>
    <xf numFmtId="0" fontId="8" fillId="2" borderId="60" xfId="0" applyFont="1" applyFill="1" applyBorder="1" applyAlignment="1">
      <alignment vertical="center"/>
    </xf>
    <xf numFmtId="49" fontId="4" fillId="2" borderId="36" xfId="0" applyNumberFormat="1" applyFont="1" applyFill="1" applyBorder="1" applyAlignment="1">
      <alignment horizontal="right" vertical="center"/>
    </xf>
    <xf numFmtId="0" fontId="9" fillId="2" borderId="33" xfId="0" applyFont="1" applyFill="1" applyBorder="1"/>
    <xf numFmtId="49" fontId="4" fillId="2" borderId="61" xfId="0" applyNumberFormat="1" applyFont="1" applyFill="1" applyBorder="1" applyAlignment="1">
      <alignment horizontal="right"/>
    </xf>
    <xf numFmtId="171" fontId="6" fillId="2" borderId="44" xfId="0" applyNumberFormat="1" applyFont="1" applyFill="1" applyBorder="1" applyAlignment="1">
      <alignment horizontal="center"/>
    </xf>
    <xf numFmtId="172" fontId="7" fillId="2" borderId="44" xfId="0" applyNumberFormat="1" applyFont="1" applyFill="1" applyBorder="1" applyAlignment="1">
      <alignment horizontal="center"/>
    </xf>
    <xf numFmtId="0" fontId="15" fillId="2" borderId="45" xfId="0" applyFont="1" applyFill="1" applyBorder="1" applyAlignment="1">
      <alignment horizontal="center"/>
    </xf>
    <xf numFmtId="166" fontId="15" fillId="2" borderId="38" xfId="0" applyNumberFormat="1" applyFont="1" applyFill="1" applyBorder="1" applyAlignment="1">
      <alignment horizontal="right" vertical="center"/>
    </xf>
    <xf numFmtId="10" fontId="14" fillId="0" borderId="26" xfId="0" applyNumberFormat="1" applyFont="1" applyFill="1" applyBorder="1" applyAlignment="1">
      <alignment horizontal="center" vertical="center" wrapText="1"/>
    </xf>
    <xf numFmtId="164" fontId="0" fillId="0" borderId="26" xfId="0" applyNumberFormat="1" applyFill="1" applyBorder="1" applyAlignment="1">
      <alignment vertical="center"/>
    </xf>
    <xf numFmtId="1" fontId="11" fillId="0" borderId="26" xfId="0" applyNumberFormat="1" applyFont="1" applyFill="1" applyBorder="1" applyAlignment="1">
      <alignment horizontal="center" vertical="center"/>
    </xf>
    <xf numFmtId="167" fontId="0" fillId="0" borderId="26" xfId="0" applyNumberFormat="1" applyFill="1" applyBorder="1" applyAlignment="1">
      <alignment horizontal="center" vertical="center"/>
    </xf>
    <xf numFmtId="0" fontId="0" fillId="0" borderId="63" xfId="0" applyNumberFormat="1" applyFill="1" applyBorder="1" applyAlignment="1">
      <alignment horizontal="center" vertical="center"/>
    </xf>
    <xf numFmtId="49" fontId="10" fillId="3" borderId="26" xfId="0" applyNumberFormat="1" applyFont="1" applyFill="1" applyBorder="1" applyAlignment="1">
      <alignment horizontal="center" vertical="center"/>
    </xf>
    <xf numFmtId="165" fontId="0" fillId="2" borderId="54" xfId="0" applyNumberFormat="1" applyFill="1" applyBorder="1"/>
    <xf numFmtId="166" fontId="0" fillId="2" borderId="54" xfId="0" applyNumberFormat="1" applyFill="1" applyBorder="1"/>
    <xf numFmtId="166" fontId="0" fillId="2" borderId="65" xfId="0" applyNumberFormat="1" applyFill="1" applyBorder="1"/>
    <xf numFmtId="49" fontId="10" fillId="3" borderId="26" xfId="0" applyNumberFormat="1" applyFont="1" applyFill="1" applyBorder="1" applyAlignment="1">
      <alignment horizontal="center" vertical="center" wrapText="1"/>
    </xf>
    <xf numFmtId="166" fontId="10" fillId="2" borderId="26" xfId="0" applyNumberFormat="1" applyFont="1" applyFill="1" applyBorder="1" applyAlignment="1">
      <alignment horizontal="center" vertical="center"/>
    </xf>
    <xf numFmtId="49" fontId="10" fillId="4" borderId="26" xfId="0" applyNumberFormat="1" applyFont="1" applyFill="1" applyBorder="1" applyAlignment="1">
      <alignment horizontal="center" vertical="center" wrapText="1"/>
    </xf>
    <xf numFmtId="49" fontId="19" fillId="0" borderId="26" xfId="0" applyNumberFormat="1" applyFont="1" applyFill="1" applyBorder="1" applyAlignment="1">
      <alignment vertical="center" wrapText="1"/>
    </xf>
    <xf numFmtId="49" fontId="19" fillId="0" borderId="26" xfId="0" applyNumberFormat="1" applyFont="1" applyFill="1" applyBorder="1" applyAlignment="1">
      <alignment horizontal="center" vertical="center" wrapText="1"/>
    </xf>
    <xf numFmtId="164" fontId="9" fillId="0" borderId="26" xfId="9" applyNumberFormat="1" applyFont="1" applyFill="1" applyBorder="1" applyAlignment="1">
      <alignment horizontal="center" vertical="center"/>
    </xf>
    <xf numFmtId="0" fontId="0" fillId="0" borderId="62" xfId="0" applyFill="1" applyBorder="1"/>
    <xf numFmtId="49" fontId="14" fillId="0" borderId="40" xfId="0" applyNumberFormat="1" applyFont="1" applyFill="1" applyBorder="1" applyAlignment="1">
      <alignment horizontal="right" vertical="center" wrapText="1"/>
    </xf>
    <xf numFmtId="168" fontId="15" fillId="0" borderId="42" xfId="0" applyNumberFormat="1" applyFont="1" applyFill="1" applyBorder="1" applyAlignment="1">
      <alignment horizontal="right" vertical="center"/>
    </xf>
    <xf numFmtId="3" fontId="0" fillId="0" borderId="64" xfId="0" applyNumberForma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0" fillId="2" borderId="54" xfId="0" applyFill="1" applyBorder="1" applyAlignment="1">
      <alignment vertical="center"/>
    </xf>
    <xf numFmtId="0" fontId="0" fillId="0" borderId="0" xfId="0" applyNumberFormat="1" applyAlignment="1">
      <alignment vertical="center"/>
    </xf>
    <xf numFmtId="0" fontId="19" fillId="0" borderId="26" xfId="0" applyNumberFormat="1" applyFont="1" applyFill="1" applyBorder="1" applyAlignment="1">
      <alignment horizontal="left" vertical="center"/>
    </xf>
    <xf numFmtId="49" fontId="19" fillId="0" borderId="66" xfId="0" applyNumberFormat="1" applyFont="1" applyFill="1" applyBorder="1" applyAlignment="1">
      <alignment horizontal="left" vertical="center" wrapText="1"/>
    </xf>
    <xf numFmtId="0" fontId="0" fillId="0" borderId="26" xfId="0" applyFill="1" applyBorder="1" applyAlignment="1">
      <alignment vertical="center"/>
    </xf>
    <xf numFmtId="49" fontId="19" fillId="5" borderId="26" xfId="0" applyNumberFormat="1" applyFont="1" applyFill="1" applyBorder="1" applyAlignment="1">
      <alignment vertical="center" wrapText="1"/>
    </xf>
    <xf numFmtId="49" fontId="19" fillId="0" borderId="67" xfId="0" applyNumberFormat="1" applyFont="1" applyFill="1" applyBorder="1" applyAlignment="1">
      <alignment horizontal="left" vertical="center" wrapText="1"/>
    </xf>
    <xf numFmtId="49" fontId="14" fillId="0" borderId="26" xfId="4" applyNumberFormat="1" applyFont="1" applyBorder="1" applyAlignment="1">
      <alignment horizontal="center" vertical="center" wrapText="1"/>
    </xf>
    <xf numFmtId="49" fontId="14" fillId="6" borderId="26" xfId="11" applyNumberFormat="1" applyFont="1" applyFill="1" applyBorder="1" applyAlignment="1">
      <alignment horizontal="center" vertical="center" wrapText="1"/>
    </xf>
    <xf numFmtId="49" fontId="19" fillId="0" borderId="68" xfId="0" applyNumberFormat="1" applyFont="1" applyFill="1" applyBorder="1" applyAlignment="1">
      <alignment vertical="center" wrapText="1"/>
    </xf>
    <xf numFmtId="0" fontId="0" fillId="5" borderId="63" xfId="0" applyNumberForma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left" vertical="center"/>
    </xf>
    <xf numFmtId="3" fontId="0" fillId="5" borderId="26" xfId="0" applyNumberFormat="1" applyFill="1" applyBorder="1" applyAlignment="1">
      <alignment horizontal="center" vertical="center"/>
    </xf>
    <xf numFmtId="49" fontId="19" fillId="5" borderId="26" xfId="0" applyNumberFormat="1" applyFont="1" applyFill="1" applyBorder="1" applyAlignment="1">
      <alignment horizontal="center" vertical="center" wrapText="1"/>
    </xf>
    <xf numFmtId="164" fontId="0" fillId="5" borderId="26" xfId="10" applyFont="1" applyFill="1" applyBorder="1" applyAlignment="1">
      <alignment horizontal="center" vertical="center"/>
    </xf>
    <xf numFmtId="173" fontId="0" fillId="5" borderId="26" xfId="1" applyNumberFormat="1" applyFont="1" applyFill="1" applyBorder="1" applyAlignment="1">
      <alignment vertical="center"/>
    </xf>
    <xf numFmtId="164" fontId="0" fillId="5" borderId="26" xfId="0" applyNumberFormat="1" applyFill="1" applyBorder="1" applyAlignment="1">
      <alignment vertical="center"/>
    </xf>
    <xf numFmtId="1" fontId="11" fillId="5" borderId="26" xfId="0" applyNumberFormat="1" applyFont="1" applyFill="1" applyBorder="1" applyAlignment="1">
      <alignment horizontal="center" vertical="center"/>
    </xf>
    <xf numFmtId="167" fontId="0" fillId="5" borderId="26" xfId="0" applyNumberFormat="1" applyFill="1" applyBorder="1" applyAlignment="1">
      <alignment horizontal="center" vertical="center"/>
    </xf>
    <xf numFmtId="164" fontId="9" fillId="5" borderId="26" xfId="9" applyNumberFormat="1" applyFont="1" applyFill="1" applyBorder="1" applyAlignment="1">
      <alignment horizontal="center" vertical="center"/>
    </xf>
    <xf numFmtId="168" fontId="0" fillId="5" borderId="26" xfId="0" applyNumberFormat="1" applyFill="1" applyBorder="1" applyAlignment="1">
      <alignment horizontal="center" vertical="center"/>
    </xf>
    <xf numFmtId="10" fontId="0" fillId="5" borderId="26" xfId="0" applyNumberFormat="1" applyFill="1" applyBorder="1" applyAlignment="1">
      <alignment horizontal="center" vertical="center"/>
    </xf>
    <xf numFmtId="10" fontId="14" fillId="5" borderId="26" xfId="0" applyNumberFormat="1" applyFont="1" applyFill="1" applyBorder="1" applyAlignment="1">
      <alignment horizontal="center" vertical="center" wrapText="1"/>
    </xf>
    <xf numFmtId="0" fontId="0" fillId="0" borderId="26" xfId="0" applyNumberFormat="1" applyFill="1" applyBorder="1" applyAlignment="1">
      <alignment horizontal="left" vertical="center"/>
    </xf>
    <xf numFmtId="0" fontId="0" fillId="0" borderId="26" xfId="0" applyNumberFormat="1" applyFill="1" applyBorder="1" applyAlignment="1">
      <alignment vertical="center"/>
    </xf>
    <xf numFmtId="0" fontId="23" fillId="5" borderId="26" xfId="0" applyNumberFormat="1" applyFont="1" applyFill="1" applyBorder="1" applyAlignment="1">
      <alignment horizontal="left" vertical="center"/>
    </xf>
    <xf numFmtId="10" fontId="24" fillId="5" borderId="26" xfId="0" applyNumberFormat="1" applyFont="1" applyFill="1" applyBorder="1" applyAlignment="1">
      <alignment horizontal="center" vertical="center" wrapText="1"/>
    </xf>
    <xf numFmtId="0" fontId="22" fillId="0" borderId="26" xfId="0" applyFont="1" applyFill="1" applyBorder="1" applyAlignment="1">
      <alignment horizontal="left" vertical="center"/>
    </xf>
    <xf numFmtId="49" fontId="14" fillId="5" borderId="26" xfId="11" applyNumberFormat="1" applyFont="1" applyFill="1" applyBorder="1" applyAlignment="1">
      <alignment horizontal="center" vertical="center" wrapText="1"/>
    </xf>
    <xf numFmtId="49" fontId="14" fillId="6" borderId="26" xfId="4" applyNumberFormat="1" applyFont="1" applyFill="1" applyBorder="1" applyAlignment="1">
      <alignment horizontal="center" vertical="center" wrapText="1"/>
    </xf>
    <xf numFmtId="0" fontId="19" fillId="5" borderId="26" xfId="0" applyNumberFormat="1" applyFont="1" applyFill="1" applyBorder="1" applyAlignment="1">
      <alignment horizontal="left" vertical="center"/>
    </xf>
    <xf numFmtId="0" fontId="0" fillId="5" borderId="26" xfId="0" applyNumberFormat="1" applyFill="1" applyBorder="1" applyAlignment="1">
      <alignment horizontal="left" vertical="center"/>
    </xf>
    <xf numFmtId="49" fontId="14" fillId="0" borderId="26" xfId="11" applyNumberFormat="1" applyFont="1" applyBorder="1" applyAlignment="1">
      <alignment horizontal="center" vertical="center" wrapText="1"/>
    </xf>
    <xf numFmtId="49" fontId="23" fillId="0" borderId="26" xfId="0" applyNumberFormat="1" applyFont="1" applyFill="1" applyBorder="1" applyAlignment="1">
      <alignment vertical="center" wrapText="1"/>
    </xf>
    <xf numFmtId="0" fontId="14" fillId="0" borderId="0" xfId="0" applyNumberFormat="1" applyFont="1"/>
    <xf numFmtId="0" fontId="14" fillId="0" borderId="0" xfId="0" applyNumberFormat="1" applyFont="1" applyFill="1"/>
    <xf numFmtId="0" fontId="15" fillId="0" borderId="0" xfId="0" applyNumberFormat="1" applyFont="1"/>
    <xf numFmtId="0" fontId="0" fillId="5" borderId="26" xfId="0" applyFill="1" applyBorder="1" applyAlignment="1">
      <alignment vertical="center"/>
    </xf>
    <xf numFmtId="49" fontId="19" fillId="0" borderId="68" xfId="0" applyNumberFormat="1" applyFont="1" applyBorder="1" applyAlignment="1">
      <alignment vertical="center" wrapText="1"/>
    </xf>
    <xf numFmtId="10" fontId="24" fillId="0" borderId="26" xfId="0" applyNumberFormat="1" applyFont="1" applyFill="1" applyBorder="1" applyAlignment="1">
      <alignment horizontal="center" vertical="center" wrapText="1"/>
    </xf>
    <xf numFmtId="0" fontId="0" fillId="5" borderId="26" xfId="0" applyNumberFormat="1" applyFill="1" applyBorder="1" applyAlignment="1">
      <alignment vertical="center"/>
    </xf>
    <xf numFmtId="0" fontId="0" fillId="0" borderId="26" xfId="0" applyNumberFormat="1" applyBorder="1" applyAlignment="1">
      <alignment horizontal="center" vertical="center"/>
    </xf>
    <xf numFmtId="0" fontId="0" fillId="0" borderId="26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19" fillId="0" borderId="26" xfId="0" applyNumberFormat="1" applyFont="1" applyFill="1" applyBorder="1" applyAlignment="1">
      <alignment horizontal="left" vertical="center" wrapText="1"/>
    </xf>
    <xf numFmtId="164" fontId="0" fillId="0" borderId="26" xfId="10" applyFont="1" applyBorder="1" applyAlignment="1">
      <alignment horizontal="center" vertical="center"/>
    </xf>
    <xf numFmtId="49" fontId="14" fillId="5" borderId="26" xfId="4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19" fillId="0" borderId="26" xfId="0" applyFont="1" applyFill="1" applyBorder="1" applyAlignment="1">
      <alignment vertical="center"/>
    </xf>
    <xf numFmtId="49" fontId="19" fillId="5" borderId="68" xfId="0" applyNumberFormat="1" applyFont="1" applyFill="1" applyBorder="1" applyAlignment="1">
      <alignment vertical="center" wrapText="1"/>
    </xf>
    <xf numFmtId="169" fontId="18" fillId="2" borderId="41" xfId="0" applyNumberFormat="1" applyFont="1" applyFill="1" applyBorder="1" applyAlignment="1">
      <alignment horizontal="center" vertical="center"/>
    </xf>
    <xf numFmtId="169" fontId="18" fillId="2" borderId="42" xfId="0" applyNumberFormat="1" applyFont="1" applyFill="1" applyBorder="1" applyAlignment="1">
      <alignment horizontal="center" vertical="center"/>
    </xf>
    <xf numFmtId="0" fontId="14" fillId="0" borderId="0" xfId="0" applyNumberFormat="1" applyFont="1" applyAlignment="1">
      <alignment horizontal="left" vertical="center"/>
    </xf>
    <xf numFmtId="49" fontId="14" fillId="0" borderId="49" xfId="0" applyNumberFormat="1" applyFont="1" applyFill="1" applyBorder="1" applyAlignment="1">
      <alignment horizontal="center" vertical="center" wrapText="1"/>
    </xf>
    <xf numFmtId="0" fontId="14" fillId="0" borderId="55" xfId="0" applyFont="1" applyFill="1" applyBorder="1" applyAlignment="1">
      <alignment horizontal="center" vertical="center" wrapText="1"/>
    </xf>
    <xf numFmtId="168" fontId="10" fillId="0" borderId="56" xfId="0" applyNumberFormat="1" applyFont="1" applyFill="1" applyBorder="1" applyAlignment="1">
      <alignment horizontal="center" vertical="center"/>
    </xf>
    <xf numFmtId="168" fontId="10" fillId="0" borderId="57" xfId="0" applyNumberFormat="1" applyFont="1" applyFill="1" applyBorder="1" applyAlignment="1">
      <alignment horizontal="center" vertical="center"/>
    </xf>
    <xf numFmtId="49" fontId="14" fillId="3" borderId="0" xfId="0" applyNumberFormat="1" applyFont="1" applyFill="1" applyBorder="1" applyAlignment="1">
      <alignment horizontal="center" vertical="center"/>
    </xf>
    <xf numFmtId="49" fontId="14" fillId="3" borderId="58" xfId="0" applyNumberFormat="1" applyFont="1" applyFill="1" applyBorder="1" applyAlignment="1">
      <alignment horizontal="center" vertical="center"/>
    </xf>
    <xf numFmtId="49" fontId="14" fillId="3" borderId="44" xfId="0" applyNumberFormat="1" applyFont="1" applyFill="1" applyBorder="1" applyAlignment="1">
      <alignment horizontal="center" vertical="center"/>
    </xf>
    <xf numFmtId="49" fontId="14" fillId="3" borderId="45" xfId="0" applyNumberFormat="1" applyFont="1" applyFill="1" applyBorder="1" applyAlignment="1">
      <alignment horizontal="center" vertical="center"/>
    </xf>
    <xf numFmtId="168" fontId="9" fillId="2" borderId="59" xfId="0" applyNumberFormat="1" applyFont="1" applyFill="1" applyBorder="1" applyAlignment="1">
      <alignment horizontal="center" vertical="center"/>
    </xf>
    <xf numFmtId="168" fontId="9" fillId="2" borderId="46" xfId="0" applyNumberFormat="1" applyFont="1" applyFill="1" applyBorder="1" applyAlignment="1">
      <alignment horizontal="center" vertical="center"/>
    </xf>
    <xf numFmtId="49" fontId="16" fillId="2" borderId="26" xfId="0" applyNumberFormat="1" applyFont="1" applyFill="1" applyBorder="1" applyAlignment="1">
      <alignment horizontal="center" vertical="center" wrapText="1"/>
    </xf>
    <xf numFmtId="49" fontId="4" fillId="3" borderId="35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49" fontId="13" fillId="2" borderId="27" xfId="0" applyNumberFormat="1" applyFont="1" applyFill="1" applyBorder="1" applyAlignment="1">
      <alignment horizontal="left" vertical="top" wrapText="1"/>
    </xf>
    <xf numFmtId="0" fontId="0" fillId="2" borderId="28" xfId="0" applyFill="1" applyBorder="1" applyAlignment="1">
      <alignment horizontal="left" vertical="top" wrapText="1"/>
    </xf>
    <xf numFmtId="0" fontId="0" fillId="2" borderId="29" xfId="0" applyFill="1" applyBorder="1" applyAlignment="1">
      <alignment horizontal="left" vertical="top" wrapText="1"/>
    </xf>
    <xf numFmtId="49" fontId="0" fillId="2" borderId="27" xfId="0" applyNumberFormat="1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2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14" fillId="0" borderId="59" xfId="0" applyNumberFormat="1" applyFont="1" applyFill="1" applyBorder="1" applyAlignment="1">
      <alignment horizontal="center" vertical="center" wrapText="1"/>
    </xf>
    <xf numFmtId="165" fontId="14" fillId="0" borderId="30" xfId="0" applyNumberFormat="1" applyFont="1" applyFill="1" applyBorder="1" applyAlignment="1">
      <alignment horizontal="center" vertical="center" wrapText="1"/>
    </xf>
    <xf numFmtId="49" fontId="14" fillId="3" borderId="47" xfId="0" applyNumberFormat="1" applyFont="1" applyFill="1" applyBorder="1" applyAlignment="1">
      <alignment horizontal="center" vertical="center" wrapText="1"/>
    </xf>
    <xf numFmtId="49" fontId="14" fillId="3" borderId="31" xfId="0" applyNumberFormat="1" applyFont="1" applyFill="1" applyBorder="1" applyAlignment="1">
      <alignment horizontal="center" vertical="center" wrapText="1"/>
    </xf>
    <xf numFmtId="164" fontId="0" fillId="2" borderId="48" xfId="0" applyNumberFormat="1" applyFill="1" applyBorder="1" applyAlignment="1">
      <alignment horizontal="center" vertical="center"/>
    </xf>
    <xf numFmtId="164" fontId="0" fillId="2" borderId="34" xfId="0" applyNumberForma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4" fillId="2" borderId="37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49" fontId="4" fillId="2" borderId="9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9" fontId="4" fillId="2" borderId="52" xfId="0" applyNumberFormat="1" applyFont="1" applyFill="1" applyBorder="1" applyAlignment="1">
      <alignment horizontal="center" vertical="center"/>
    </xf>
    <xf numFmtId="49" fontId="4" fillId="2" borderId="53" xfId="0" applyNumberFormat="1" applyFont="1" applyFill="1" applyBorder="1" applyAlignment="1">
      <alignment horizontal="center" vertical="center"/>
    </xf>
    <xf numFmtId="49" fontId="4" fillId="2" borderId="35" xfId="0" applyNumberFormat="1" applyFont="1" applyFill="1" applyBorder="1" applyAlignment="1">
      <alignment horizontal="center" vertical="center"/>
    </xf>
  </cellXfs>
  <cellStyles count="13">
    <cellStyle name=" 3]_x000d__x000a_Zoomed=1_x000d__x000a_Row=0_x000d__x000a_Column=0_x000d__x000a_Height=300_x000d__x000a_Width=300_x000d__x000a_FontName=細明體_x000d__x000a_FontStyle=0_x000d__x000a_FontSize=9_x000d__x000a_PrtFontName=Co" xfId="8" xr:uid="{00000000-0005-0000-0000-000000000000}"/>
    <cellStyle name="Comma 2" xfId="1" xr:uid="{00000000-0005-0000-0000-000001000000}"/>
    <cellStyle name="Comma 2 2" xfId="5" xr:uid="{00000000-0005-0000-0000-000002000000}"/>
    <cellStyle name="Comma 2 3" xfId="3" xr:uid="{00000000-0005-0000-0000-000003000000}"/>
    <cellStyle name="Currency" xfId="10" builtinId="4"/>
    <cellStyle name="Currency 2" xfId="6" xr:uid="{00000000-0005-0000-0000-000005000000}"/>
    <cellStyle name="Normal" xfId="0" builtinId="0"/>
    <cellStyle name="Normal 2" xfId="9" xr:uid="{00000000-0005-0000-0000-000007000000}"/>
    <cellStyle name="Normal 3" xfId="4" xr:uid="{00000000-0005-0000-0000-000008000000}"/>
    <cellStyle name="Normal 3 2" xfId="11" xr:uid="{00000000-0005-0000-0000-000009000000}"/>
    <cellStyle name="Normal 4" xfId="2" xr:uid="{00000000-0005-0000-0000-00000A000000}"/>
    <cellStyle name="Normal 7 2" xfId="12" xr:uid="{00000000-0005-0000-0000-00000B000000}"/>
    <cellStyle name="Percent 2" xfId="7" xr:uid="{00000000-0005-0000-0000-00000C00000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BD4B4"/>
      <rgbColor rgb="FFFFC000"/>
      <rgbColor rgb="FF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2"/>
  <sheetViews>
    <sheetView tabSelected="1" zoomScale="80" zoomScaleNormal="80" workbookViewId="0">
      <selection activeCell="B10" sqref="B10"/>
    </sheetView>
  </sheetViews>
  <sheetFormatPr defaultColWidth="14.42578125" defaultRowHeight="15.75"/>
  <cols>
    <col min="1" max="1" width="6" style="1" customWidth="1"/>
    <col min="2" max="2" width="54.5703125" style="71" customWidth="1"/>
    <col min="3" max="3" width="7.42578125" style="1" bestFit="1" customWidth="1"/>
    <col min="4" max="4" width="9.5703125" style="1" bestFit="1" customWidth="1"/>
    <col min="5" max="5" width="10.5703125" style="1" bestFit="1" customWidth="1"/>
    <col min="6" max="7" width="13.140625" style="1" bestFit="1" customWidth="1"/>
    <col min="8" max="8" width="14.5703125" style="1" customWidth="1"/>
    <col min="9" max="9" width="2.5703125" style="1" customWidth="1"/>
    <col min="10" max="10" width="13.140625" style="1" bestFit="1" customWidth="1"/>
    <col min="11" max="11" width="12.85546875" style="1" customWidth="1"/>
    <col min="12" max="12" width="12.85546875" style="1" bestFit="1" customWidth="1"/>
    <col min="13" max="13" width="12.42578125" style="1" bestFit="1" customWidth="1"/>
    <col min="14" max="14" width="13.5703125" style="16" bestFit="1" customWidth="1"/>
    <col min="15" max="15" width="11.42578125" style="1" bestFit="1" customWidth="1"/>
    <col min="16" max="16" width="12.7109375" style="1" bestFit="1" customWidth="1"/>
    <col min="17" max="17" width="12.140625" style="1" bestFit="1" customWidth="1"/>
    <col min="18" max="18" width="17.42578125" style="1" bestFit="1" customWidth="1"/>
    <col min="19" max="19" width="15.140625" style="23" customWidth="1"/>
    <col min="20" max="16384" width="14.42578125" style="1"/>
  </cols>
  <sheetData>
    <row r="1" spans="1:19" ht="32.450000000000003" customHeight="1">
      <c r="A1" s="153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5"/>
      <c r="P1" s="43" t="s">
        <v>1</v>
      </c>
      <c r="Q1" s="156">
        <v>45849</v>
      </c>
      <c r="R1" s="156"/>
      <c r="S1" s="44"/>
    </row>
    <row r="2" spans="1:19" ht="31.7" customHeight="1" thickBot="1">
      <c r="A2" s="157" t="s">
        <v>25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9"/>
      <c r="P2" s="45" t="s">
        <v>2</v>
      </c>
      <c r="Q2" s="46">
        <v>1</v>
      </c>
      <c r="R2" s="47"/>
      <c r="S2" s="48"/>
    </row>
    <row r="3" spans="1:19" ht="22.7" customHeight="1" thickBot="1">
      <c r="A3" s="2"/>
      <c r="B3" s="69" t="s">
        <v>33</v>
      </c>
      <c r="C3" s="2"/>
      <c r="D3" s="2"/>
      <c r="E3" s="3"/>
      <c r="F3" s="3"/>
      <c r="G3" s="3"/>
      <c r="H3" s="4"/>
      <c r="I3" s="5"/>
      <c r="J3" s="34"/>
      <c r="K3" s="35"/>
      <c r="L3" s="35"/>
      <c r="M3" s="35"/>
      <c r="N3" s="36"/>
      <c r="O3" s="35"/>
      <c r="P3" s="42"/>
      <c r="Q3" s="42"/>
      <c r="R3" s="42"/>
      <c r="S3" s="41"/>
    </row>
    <row r="4" spans="1:19" ht="22.7" customHeight="1" thickBot="1">
      <c r="A4" s="160" t="s">
        <v>3</v>
      </c>
      <c r="B4" s="161"/>
      <c r="C4" s="161"/>
      <c r="D4" s="161"/>
      <c r="E4" s="161"/>
      <c r="F4" s="161"/>
      <c r="G4" s="161"/>
      <c r="H4" s="162"/>
      <c r="I4" s="6"/>
      <c r="J4" s="163" t="s">
        <v>4</v>
      </c>
      <c r="K4" s="164"/>
      <c r="L4" s="164"/>
      <c r="M4" s="164"/>
      <c r="N4" s="164"/>
      <c r="O4" s="164"/>
      <c r="P4" s="164"/>
      <c r="Q4" s="164"/>
      <c r="R4" s="164"/>
      <c r="S4" s="165"/>
    </row>
    <row r="5" spans="1:19" ht="15" customHeight="1">
      <c r="A5" s="34"/>
      <c r="B5" s="70"/>
      <c r="C5" s="34"/>
      <c r="D5" s="34"/>
      <c r="E5" s="56"/>
      <c r="F5" s="56"/>
      <c r="G5" s="56"/>
      <c r="H5" s="57"/>
      <c r="I5" s="58"/>
      <c r="J5" s="39"/>
      <c r="K5" s="39"/>
      <c r="L5" s="39"/>
      <c r="M5" s="39"/>
      <c r="N5" s="40"/>
      <c r="O5" s="39"/>
      <c r="P5" s="39"/>
      <c r="Q5" s="39"/>
      <c r="R5" s="39"/>
      <c r="S5" s="41"/>
    </row>
    <row r="6" spans="1:19" ht="75">
      <c r="A6" s="55" t="s">
        <v>5</v>
      </c>
      <c r="B6" s="55" t="s">
        <v>6</v>
      </c>
      <c r="C6" s="59" t="s">
        <v>7</v>
      </c>
      <c r="D6" s="59" t="s">
        <v>26</v>
      </c>
      <c r="E6" s="59" t="s">
        <v>8</v>
      </c>
      <c r="F6" s="59" t="s">
        <v>31</v>
      </c>
      <c r="G6" s="59" t="s">
        <v>32</v>
      </c>
      <c r="H6" s="55" t="s">
        <v>9</v>
      </c>
      <c r="I6" s="60"/>
      <c r="J6" s="59" t="s">
        <v>29</v>
      </c>
      <c r="K6" s="59" t="s">
        <v>10</v>
      </c>
      <c r="L6" s="59" t="s">
        <v>72</v>
      </c>
      <c r="M6" s="59" t="s">
        <v>30</v>
      </c>
      <c r="N6" s="61" t="s">
        <v>11</v>
      </c>
      <c r="O6" s="59" t="s">
        <v>12</v>
      </c>
      <c r="P6" s="59" t="s">
        <v>13</v>
      </c>
      <c r="Q6" s="59" t="s">
        <v>14</v>
      </c>
      <c r="R6" s="59" t="s">
        <v>15</v>
      </c>
      <c r="S6" s="59" t="s">
        <v>28</v>
      </c>
    </row>
    <row r="7" spans="1:19" s="16" customFormat="1" ht="45" customHeight="1">
      <c r="A7" s="54">
        <v>1</v>
      </c>
      <c r="B7" s="73" t="s">
        <v>94</v>
      </c>
      <c r="C7" s="68">
        <v>40</v>
      </c>
      <c r="D7" s="63" t="s">
        <v>35</v>
      </c>
      <c r="E7" s="24">
        <f>D7*C7</f>
        <v>960</v>
      </c>
      <c r="F7" s="30">
        <v>13.2</v>
      </c>
      <c r="G7" s="29">
        <f t="shared" ref="G7:G16" si="0">F7/D7</f>
        <v>0.54999999999999993</v>
      </c>
      <c r="H7" s="51">
        <f t="shared" ref="H7:H16" si="1">G7*E7</f>
        <v>527.99999999999989</v>
      </c>
      <c r="I7" s="52"/>
      <c r="J7" s="53">
        <f>G7/$Q$2</f>
        <v>0.54999999999999993</v>
      </c>
      <c r="K7" s="53">
        <f t="shared" ref="K7:K16" si="2">H7/$Q$2</f>
        <v>527.99999999999989</v>
      </c>
      <c r="L7" s="53">
        <f t="shared" ref="L7:L16" si="3">J7*(1+$M$20+9%)</f>
        <v>0.60262310129637087</v>
      </c>
      <c r="M7" s="53">
        <f>L7*E7</f>
        <v>578.51817724451598</v>
      </c>
      <c r="N7" s="64">
        <v>0.86660000000000004</v>
      </c>
      <c r="O7" s="37">
        <f t="shared" ref="O7:O16" si="4">N7*E7</f>
        <v>831.93600000000004</v>
      </c>
      <c r="P7" s="37">
        <f t="shared" ref="P7:P16" si="5">N7-L7</f>
        <v>0.26397689870362917</v>
      </c>
      <c r="Q7" s="37">
        <f t="shared" ref="Q7:Q16" si="6">P7*E7</f>
        <v>253.417822755484</v>
      </c>
      <c r="R7" s="38">
        <f t="shared" ref="R7:R16" si="7">P7/N7</f>
        <v>0.30461216097810889</v>
      </c>
      <c r="S7" s="78" t="s">
        <v>95</v>
      </c>
    </row>
    <row r="8" spans="1:19" s="16" customFormat="1" ht="45" customHeight="1">
      <c r="A8" s="54">
        <v>2</v>
      </c>
      <c r="B8" s="62" t="s">
        <v>93</v>
      </c>
      <c r="C8" s="24">
        <v>40</v>
      </c>
      <c r="D8" s="63" t="s">
        <v>35</v>
      </c>
      <c r="E8" s="24">
        <f t="shared" ref="E8:E16" si="8">D8*C8</f>
        <v>960</v>
      </c>
      <c r="F8" s="30">
        <v>13.2</v>
      </c>
      <c r="G8" s="29">
        <f t="shared" si="0"/>
        <v>0.54999999999999993</v>
      </c>
      <c r="H8" s="51">
        <f t="shared" si="1"/>
        <v>527.99999999999989</v>
      </c>
      <c r="I8" s="52"/>
      <c r="J8" s="53">
        <f t="shared" ref="J8:J16" si="9">G8/$Q$2</f>
        <v>0.54999999999999993</v>
      </c>
      <c r="K8" s="53">
        <f t="shared" si="2"/>
        <v>527.99999999999989</v>
      </c>
      <c r="L8" s="53">
        <f t="shared" si="3"/>
        <v>0.60262310129637087</v>
      </c>
      <c r="M8" s="53">
        <f t="shared" ref="M8:M16" si="10">L8*E8</f>
        <v>578.51817724451598</v>
      </c>
      <c r="N8" s="64">
        <v>0.86660000000000004</v>
      </c>
      <c r="O8" s="37">
        <f t="shared" si="4"/>
        <v>831.93600000000004</v>
      </c>
      <c r="P8" s="37">
        <f t="shared" si="5"/>
        <v>0.26397689870362917</v>
      </c>
      <c r="Q8" s="37">
        <f t="shared" si="6"/>
        <v>253.417822755484</v>
      </c>
      <c r="R8" s="38">
        <f t="shared" si="7"/>
        <v>0.30461216097810889</v>
      </c>
      <c r="S8" s="78" t="s">
        <v>95</v>
      </c>
    </row>
    <row r="9" spans="1:19" s="16" customFormat="1" ht="45" customHeight="1">
      <c r="A9" s="54">
        <v>3</v>
      </c>
      <c r="B9" s="62" t="s">
        <v>96</v>
      </c>
      <c r="C9" s="24">
        <v>15</v>
      </c>
      <c r="D9" s="63" t="s">
        <v>49</v>
      </c>
      <c r="E9" s="24">
        <f t="shared" si="8"/>
        <v>180</v>
      </c>
      <c r="F9" s="30">
        <v>12.85</v>
      </c>
      <c r="G9" s="29">
        <f t="shared" si="0"/>
        <v>1.0708333333333333</v>
      </c>
      <c r="H9" s="51">
        <f t="shared" si="1"/>
        <v>192.75</v>
      </c>
      <c r="I9" s="52"/>
      <c r="J9" s="53">
        <f t="shared" si="9"/>
        <v>1.0708333333333333</v>
      </c>
      <c r="K9" s="53">
        <f t="shared" si="2"/>
        <v>192.75</v>
      </c>
      <c r="L9" s="53">
        <f t="shared" si="3"/>
        <v>1.1732889169179344</v>
      </c>
      <c r="M9" s="53">
        <f t="shared" si="10"/>
        <v>211.19200504522817</v>
      </c>
      <c r="N9" s="64">
        <v>1.75</v>
      </c>
      <c r="O9" s="37">
        <f t="shared" si="4"/>
        <v>315</v>
      </c>
      <c r="P9" s="37">
        <f t="shared" si="5"/>
        <v>0.57671108308206565</v>
      </c>
      <c r="Q9" s="37">
        <f t="shared" si="6"/>
        <v>103.80799495477181</v>
      </c>
      <c r="R9" s="38">
        <f t="shared" si="7"/>
        <v>0.32954919033260893</v>
      </c>
      <c r="S9" s="102"/>
    </row>
    <row r="10" spans="1:19" s="16" customFormat="1" ht="45" customHeight="1">
      <c r="A10" s="54">
        <v>4</v>
      </c>
      <c r="B10" s="79" t="s">
        <v>47</v>
      </c>
      <c r="C10" s="24">
        <v>240</v>
      </c>
      <c r="D10" s="63" t="s">
        <v>35</v>
      </c>
      <c r="E10" s="24">
        <f t="shared" si="8"/>
        <v>5760</v>
      </c>
      <c r="F10" s="30">
        <v>11.5</v>
      </c>
      <c r="G10" s="29">
        <f t="shared" si="0"/>
        <v>0.47916666666666669</v>
      </c>
      <c r="H10" s="51">
        <f t="shared" si="1"/>
        <v>2760</v>
      </c>
      <c r="I10" s="52"/>
      <c r="J10" s="53">
        <f t="shared" si="9"/>
        <v>0.47916666666666669</v>
      </c>
      <c r="K10" s="53">
        <f t="shared" si="2"/>
        <v>2760</v>
      </c>
      <c r="L10" s="53">
        <f t="shared" si="3"/>
        <v>0.52501255037183836</v>
      </c>
      <c r="M10" s="53">
        <f t="shared" si="10"/>
        <v>3024.0722901417889</v>
      </c>
      <c r="N10" s="64">
        <v>0.74160000000000004</v>
      </c>
      <c r="O10" s="37">
        <f t="shared" si="4"/>
        <v>4271.616</v>
      </c>
      <c r="P10" s="37">
        <f t="shared" si="5"/>
        <v>0.21658744962816168</v>
      </c>
      <c r="Q10" s="37">
        <f t="shared" si="6"/>
        <v>1247.5437098582113</v>
      </c>
      <c r="R10" s="38">
        <f t="shared" si="7"/>
        <v>0.29205427404013168</v>
      </c>
      <c r="S10" s="77" t="s">
        <v>48</v>
      </c>
    </row>
    <row r="11" spans="1:19" s="16" customFormat="1" ht="45" customHeight="1">
      <c r="A11" s="54">
        <v>5</v>
      </c>
      <c r="B11" s="62" t="s">
        <v>45</v>
      </c>
      <c r="C11" s="24">
        <v>136</v>
      </c>
      <c r="D11" s="63" t="s">
        <v>40</v>
      </c>
      <c r="E11" s="24">
        <f t="shared" si="8"/>
        <v>544</v>
      </c>
      <c r="F11" s="30">
        <v>7.6</v>
      </c>
      <c r="G11" s="29">
        <f t="shared" si="0"/>
        <v>1.9</v>
      </c>
      <c r="H11" s="51">
        <f t="shared" si="1"/>
        <v>1033.5999999999999</v>
      </c>
      <c r="I11" s="52"/>
      <c r="J11" s="53">
        <f t="shared" si="9"/>
        <v>1.9</v>
      </c>
      <c r="K11" s="53">
        <f t="shared" si="2"/>
        <v>1033.5999999999999</v>
      </c>
      <c r="L11" s="53">
        <f t="shared" si="3"/>
        <v>2.0817888953874633</v>
      </c>
      <c r="M11" s="53">
        <f t="shared" si="10"/>
        <v>1132.49315909078</v>
      </c>
      <c r="N11" s="64">
        <v>3.2</v>
      </c>
      <c r="O11" s="37">
        <f t="shared" si="4"/>
        <v>1740.8000000000002</v>
      </c>
      <c r="P11" s="37">
        <f t="shared" si="5"/>
        <v>1.1182111046125369</v>
      </c>
      <c r="Q11" s="37">
        <f t="shared" si="6"/>
        <v>608.30684090922011</v>
      </c>
      <c r="R11" s="38">
        <f t="shared" si="7"/>
        <v>0.34944097019141779</v>
      </c>
      <c r="S11" s="78" t="s">
        <v>46</v>
      </c>
    </row>
    <row r="12" spans="1:19" s="16" customFormat="1" ht="45" customHeight="1">
      <c r="A12" s="54">
        <v>6</v>
      </c>
      <c r="B12" s="76" t="s">
        <v>43</v>
      </c>
      <c r="C12" s="24">
        <v>208</v>
      </c>
      <c r="D12" s="63" t="s">
        <v>35</v>
      </c>
      <c r="E12" s="24">
        <f t="shared" si="8"/>
        <v>4992</v>
      </c>
      <c r="F12" s="30">
        <v>9.75</v>
      </c>
      <c r="G12" s="29">
        <f t="shared" si="0"/>
        <v>0.40625</v>
      </c>
      <c r="H12" s="51">
        <f t="shared" si="1"/>
        <v>2028</v>
      </c>
      <c r="I12" s="52"/>
      <c r="J12" s="53">
        <f t="shared" si="9"/>
        <v>0.40625</v>
      </c>
      <c r="K12" s="53">
        <f t="shared" si="2"/>
        <v>2028</v>
      </c>
      <c r="L12" s="53">
        <f t="shared" si="3"/>
        <v>0.44511933618481947</v>
      </c>
      <c r="M12" s="53">
        <f t="shared" si="10"/>
        <v>2222.0357262346188</v>
      </c>
      <c r="N12" s="64">
        <v>0.61660000000000004</v>
      </c>
      <c r="O12" s="37">
        <f t="shared" si="4"/>
        <v>3078.0672000000004</v>
      </c>
      <c r="P12" s="37">
        <f t="shared" si="5"/>
        <v>0.17148066381518057</v>
      </c>
      <c r="Q12" s="37">
        <f t="shared" si="6"/>
        <v>856.03147376538141</v>
      </c>
      <c r="R12" s="38">
        <f t="shared" si="7"/>
        <v>0.27810681773464246</v>
      </c>
      <c r="S12" s="77" t="s">
        <v>44</v>
      </c>
    </row>
    <row r="13" spans="1:19" s="16" customFormat="1" ht="45" customHeight="1">
      <c r="A13" s="54">
        <v>7</v>
      </c>
      <c r="B13" s="93" t="s">
        <v>83</v>
      </c>
      <c r="C13" s="24">
        <v>5</v>
      </c>
      <c r="D13" s="63" t="s">
        <v>81</v>
      </c>
      <c r="E13" s="24">
        <f t="shared" si="8"/>
        <v>270</v>
      </c>
      <c r="F13" s="30">
        <v>34.799999999999997</v>
      </c>
      <c r="G13" s="29">
        <f t="shared" si="0"/>
        <v>0.64444444444444438</v>
      </c>
      <c r="H13" s="51">
        <f t="shared" si="1"/>
        <v>173.99999999999997</v>
      </c>
      <c r="I13" s="52"/>
      <c r="J13" s="53">
        <f t="shared" si="9"/>
        <v>0.64444444444444438</v>
      </c>
      <c r="K13" s="53">
        <f t="shared" si="2"/>
        <v>173.99999999999997</v>
      </c>
      <c r="L13" s="53">
        <f t="shared" si="3"/>
        <v>0.70610383586241443</v>
      </c>
      <c r="M13" s="53">
        <f t="shared" si="10"/>
        <v>190.64803568285188</v>
      </c>
      <c r="N13" s="64">
        <v>1</v>
      </c>
      <c r="O13" s="37">
        <f t="shared" si="4"/>
        <v>270</v>
      </c>
      <c r="P13" s="37">
        <f t="shared" si="5"/>
        <v>0.29389616413758557</v>
      </c>
      <c r="Q13" s="37">
        <f t="shared" si="6"/>
        <v>79.351964317148102</v>
      </c>
      <c r="R13" s="38">
        <f t="shared" si="7"/>
        <v>0.29389616413758557</v>
      </c>
      <c r="S13" s="50"/>
    </row>
    <row r="14" spans="1:19" s="16" customFormat="1" ht="45" customHeight="1">
      <c r="A14" s="54">
        <v>8</v>
      </c>
      <c r="B14" s="62" t="s">
        <v>69</v>
      </c>
      <c r="C14" s="24">
        <v>20</v>
      </c>
      <c r="D14" s="63" t="s">
        <v>36</v>
      </c>
      <c r="E14" s="24">
        <f t="shared" si="8"/>
        <v>160</v>
      </c>
      <c r="F14" s="30">
        <v>9.5</v>
      </c>
      <c r="G14" s="29">
        <f t="shared" si="0"/>
        <v>1.1875</v>
      </c>
      <c r="H14" s="51">
        <f t="shared" si="1"/>
        <v>190</v>
      </c>
      <c r="I14" s="52"/>
      <c r="J14" s="53">
        <f t="shared" si="9"/>
        <v>1.1875</v>
      </c>
      <c r="K14" s="53">
        <f t="shared" si="2"/>
        <v>190</v>
      </c>
      <c r="L14" s="53">
        <f t="shared" si="3"/>
        <v>1.3011180596171645</v>
      </c>
      <c r="M14" s="53">
        <f t="shared" si="10"/>
        <v>208.17888953874632</v>
      </c>
      <c r="N14" s="64">
        <v>1.9375</v>
      </c>
      <c r="O14" s="37">
        <f t="shared" si="4"/>
        <v>310</v>
      </c>
      <c r="P14" s="37">
        <f t="shared" si="5"/>
        <v>0.63638194038283546</v>
      </c>
      <c r="Q14" s="37">
        <f t="shared" si="6"/>
        <v>101.82111046125368</v>
      </c>
      <c r="R14" s="38">
        <f t="shared" si="7"/>
        <v>0.32845519503630216</v>
      </c>
      <c r="S14" s="50" t="s">
        <v>70</v>
      </c>
    </row>
    <row r="15" spans="1:19" s="16" customFormat="1" ht="45" customHeight="1">
      <c r="A15" s="54">
        <v>9</v>
      </c>
      <c r="B15" s="62" t="s">
        <v>97</v>
      </c>
      <c r="C15" s="24">
        <v>10</v>
      </c>
      <c r="D15" s="63" t="s">
        <v>49</v>
      </c>
      <c r="E15" s="24">
        <f t="shared" si="8"/>
        <v>120</v>
      </c>
      <c r="F15" s="30">
        <v>19.5</v>
      </c>
      <c r="G15" s="29">
        <f t="shared" si="0"/>
        <v>1.625</v>
      </c>
      <c r="H15" s="51">
        <f t="shared" si="1"/>
        <v>195</v>
      </c>
      <c r="I15" s="52"/>
      <c r="J15" s="53">
        <f t="shared" si="9"/>
        <v>1.625</v>
      </c>
      <c r="K15" s="53">
        <f t="shared" si="2"/>
        <v>195</v>
      </c>
      <c r="L15" s="53">
        <f t="shared" si="3"/>
        <v>1.7804773447392779</v>
      </c>
      <c r="M15" s="53">
        <f t="shared" si="10"/>
        <v>213.65728136871334</v>
      </c>
      <c r="N15" s="64">
        <v>2.5</v>
      </c>
      <c r="O15" s="37">
        <f t="shared" si="4"/>
        <v>300</v>
      </c>
      <c r="P15" s="37">
        <f t="shared" si="5"/>
        <v>0.71952265526072212</v>
      </c>
      <c r="Q15" s="37">
        <f t="shared" si="6"/>
        <v>86.342718631286658</v>
      </c>
      <c r="R15" s="38">
        <f t="shared" si="7"/>
        <v>0.28780906210428886</v>
      </c>
      <c r="S15" s="50"/>
    </row>
    <row r="16" spans="1:19" s="16" customFormat="1" ht="45" customHeight="1">
      <c r="A16" s="54">
        <v>10</v>
      </c>
      <c r="B16" s="62" t="s">
        <v>98</v>
      </c>
      <c r="C16" s="24">
        <v>14</v>
      </c>
      <c r="D16" s="63" t="s">
        <v>92</v>
      </c>
      <c r="E16" s="24">
        <f t="shared" si="8"/>
        <v>1260</v>
      </c>
      <c r="F16" s="30">
        <v>84</v>
      </c>
      <c r="G16" s="29">
        <f t="shared" si="0"/>
        <v>0.93333333333333335</v>
      </c>
      <c r="H16" s="51">
        <f t="shared" si="1"/>
        <v>1176</v>
      </c>
      <c r="I16" s="52"/>
      <c r="J16" s="53">
        <f t="shared" si="9"/>
        <v>0.93333333333333335</v>
      </c>
      <c r="K16" s="53">
        <f t="shared" si="2"/>
        <v>1176</v>
      </c>
      <c r="L16" s="53">
        <f t="shared" si="3"/>
        <v>1.0226331415938417</v>
      </c>
      <c r="M16" s="53">
        <f t="shared" si="10"/>
        <v>1288.5177584082405</v>
      </c>
      <c r="N16" s="64">
        <v>1.5</v>
      </c>
      <c r="O16" s="37">
        <f t="shared" si="4"/>
        <v>1890</v>
      </c>
      <c r="P16" s="37">
        <f t="shared" si="5"/>
        <v>0.47736685840615833</v>
      </c>
      <c r="Q16" s="37">
        <f t="shared" si="6"/>
        <v>601.48224159175948</v>
      </c>
      <c r="R16" s="38">
        <f t="shared" si="7"/>
        <v>0.31824457227077224</v>
      </c>
      <c r="S16" s="50"/>
    </row>
    <row r="17" spans="1:19" s="16" customFormat="1" ht="48" customHeight="1" thickBot="1">
      <c r="A17" s="137"/>
      <c r="B17" s="138"/>
      <c r="C17" s="138"/>
      <c r="D17" s="139"/>
      <c r="E17" s="147"/>
      <c r="F17" s="147"/>
      <c r="G17" s="149" t="s">
        <v>16</v>
      </c>
      <c r="H17" s="151">
        <f>SUM(H7:H16)</f>
        <v>8805.35</v>
      </c>
      <c r="I17" s="65"/>
      <c r="J17" s="66" t="s">
        <v>17</v>
      </c>
      <c r="K17" s="67">
        <f>SUM(K7:K16)</f>
        <v>8805.35</v>
      </c>
      <c r="L17" s="124" t="s">
        <v>18</v>
      </c>
      <c r="M17" s="125"/>
      <c r="N17" s="126">
        <f>SUM(O7:O16)</f>
        <v>13839.355200000002</v>
      </c>
      <c r="O17" s="127"/>
      <c r="P17" s="128" t="s">
        <v>19</v>
      </c>
      <c r="Q17" s="129"/>
      <c r="R17" s="132">
        <f>N17-K20</f>
        <v>4191.5237000000016</v>
      </c>
      <c r="S17" s="33"/>
    </row>
    <row r="18" spans="1:19" ht="48" customHeight="1" thickBot="1">
      <c r="A18" s="140"/>
      <c r="B18" s="138"/>
      <c r="C18" s="138"/>
      <c r="D18" s="139"/>
      <c r="E18" s="148"/>
      <c r="F18" s="148"/>
      <c r="G18" s="150"/>
      <c r="H18" s="152"/>
      <c r="I18" s="7"/>
      <c r="J18" s="17" t="s">
        <v>34</v>
      </c>
      <c r="K18" s="49">
        <f>K17*0.09</f>
        <v>792.48149999999998</v>
      </c>
      <c r="L18" s="134"/>
      <c r="M18" s="134"/>
      <c r="N18" s="134"/>
      <c r="O18" s="134"/>
      <c r="P18" s="130"/>
      <c r="Q18" s="131"/>
      <c r="R18" s="133"/>
      <c r="S18" s="25"/>
    </row>
    <row r="19" spans="1:19" ht="46.5" customHeight="1" thickBot="1">
      <c r="A19" s="141"/>
      <c r="B19" s="142"/>
      <c r="C19" s="142"/>
      <c r="D19" s="143"/>
      <c r="E19" s="8"/>
      <c r="F19" s="27"/>
      <c r="G19" s="9" t="s">
        <v>20</v>
      </c>
      <c r="H19" s="32" t="s">
        <v>27</v>
      </c>
      <c r="I19" s="7"/>
      <c r="J19" s="10" t="s">
        <v>21</v>
      </c>
      <c r="K19" s="18">
        <v>50</v>
      </c>
      <c r="L19" s="134"/>
      <c r="M19" s="134"/>
      <c r="N19" s="134"/>
      <c r="O19" s="134"/>
      <c r="P19" s="135" t="s">
        <v>22</v>
      </c>
      <c r="Q19" s="136"/>
      <c r="R19" s="11">
        <f>R17/N17</f>
        <v>0.30286986925518039</v>
      </c>
      <c r="S19" s="22"/>
    </row>
    <row r="20" spans="1:19" ht="60.75" thickBot="1">
      <c r="A20" s="144"/>
      <c r="B20" s="145"/>
      <c r="C20" s="145"/>
      <c r="D20" s="146"/>
      <c r="E20" s="12"/>
      <c r="F20" s="28"/>
      <c r="G20" s="13" t="s">
        <v>23</v>
      </c>
      <c r="H20" s="26">
        <f>SUM(H17:H19)</f>
        <v>8805.35</v>
      </c>
      <c r="I20" s="7"/>
      <c r="J20" s="14" t="s">
        <v>23</v>
      </c>
      <c r="K20" s="15">
        <f>SUM(K17:K19)</f>
        <v>9647.8315000000002</v>
      </c>
      <c r="L20" s="19" t="s">
        <v>24</v>
      </c>
      <c r="M20" s="121">
        <f>K19/K17</f>
        <v>5.6783659934017388E-3</v>
      </c>
      <c r="N20" s="122"/>
      <c r="O20" s="20"/>
      <c r="P20" s="5"/>
      <c r="Q20" s="5"/>
      <c r="R20" s="5"/>
      <c r="S20" s="21"/>
    </row>
    <row r="21" spans="1:19">
      <c r="B21" s="1"/>
      <c r="C21" s="31"/>
    </row>
    <row r="22" spans="1:19">
      <c r="B22" s="1"/>
    </row>
    <row r="23" spans="1:19">
      <c r="B23" s="1"/>
    </row>
    <row r="24" spans="1:19">
      <c r="B24" s="1"/>
    </row>
    <row r="25" spans="1:19" s="104" customFormat="1">
      <c r="A25" s="104" t="s">
        <v>90</v>
      </c>
      <c r="N25" s="105"/>
      <c r="S25" s="106"/>
    </row>
    <row r="26" spans="1:19" s="123" customFormat="1" ht="15.75" customHeight="1">
      <c r="A26" s="123" t="s">
        <v>91</v>
      </c>
    </row>
    <row r="31" spans="1:19">
      <c r="C31" s="31"/>
    </row>
    <row r="32" spans="1:19">
      <c r="C32" s="31"/>
    </row>
  </sheetData>
  <mergeCells count="18">
    <mergeCell ref="A1:O1"/>
    <mergeCell ref="Q1:R1"/>
    <mergeCell ref="A2:O2"/>
    <mergeCell ref="A4:H4"/>
    <mergeCell ref="J4:S4"/>
    <mergeCell ref="M20:N20"/>
    <mergeCell ref="A26:XFD26"/>
    <mergeCell ref="L17:M17"/>
    <mergeCell ref="N17:O17"/>
    <mergeCell ref="P17:Q18"/>
    <mergeCell ref="R17:R18"/>
    <mergeCell ref="L18:O19"/>
    <mergeCell ref="P19:Q19"/>
    <mergeCell ref="A17:D20"/>
    <mergeCell ref="E17:E18"/>
    <mergeCell ref="F17:F18"/>
    <mergeCell ref="G17:G18"/>
    <mergeCell ref="H17:H18"/>
  </mergeCells>
  <pageMargins left="0.23622047244094491" right="0.23622047244094491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9"/>
  <sheetViews>
    <sheetView topLeftCell="A4" zoomScale="80" zoomScaleNormal="80" workbookViewId="0">
      <selection activeCell="B12" sqref="B12"/>
    </sheetView>
  </sheetViews>
  <sheetFormatPr defaultColWidth="14.42578125" defaultRowHeight="15.75"/>
  <cols>
    <col min="1" max="1" width="6" style="1" customWidth="1"/>
    <col min="2" max="2" width="54.5703125" style="71" customWidth="1"/>
    <col min="3" max="3" width="7.42578125" style="1" bestFit="1" customWidth="1"/>
    <col min="4" max="4" width="9.5703125" style="1" bestFit="1" customWidth="1"/>
    <col min="5" max="5" width="10.5703125" style="1" bestFit="1" customWidth="1"/>
    <col min="6" max="7" width="13.140625" style="1" bestFit="1" customWidth="1"/>
    <col min="8" max="8" width="14.5703125" style="1" customWidth="1"/>
    <col min="9" max="9" width="2.5703125" style="1" customWidth="1"/>
    <col min="10" max="10" width="13.140625" style="1" bestFit="1" customWidth="1"/>
    <col min="11" max="11" width="12.85546875" style="1" customWidth="1"/>
    <col min="12" max="12" width="12.85546875" style="1" bestFit="1" customWidth="1"/>
    <col min="13" max="13" width="12.42578125" style="1" bestFit="1" customWidth="1"/>
    <col min="14" max="14" width="13.5703125" style="16" bestFit="1" customWidth="1"/>
    <col min="15" max="15" width="11.42578125" style="1" bestFit="1" customWidth="1"/>
    <col min="16" max="16" width="12.7109375" style="1" bestFit="1" customWidth="1"/>
    <col min="17" max="17" width="12.140625" style="1" bestFit="1" customWidth="1"/>
    <col min="18" max="18" width="17.42578125" style="1" bestFit="1" customWidth="1"/>
    <col min="19" max="19" width="15.140625" style="23" customWidth="1"/>
    <col min="20" max="16384" width="14.42578125" style="1"/>
  </cols>
  <sheetData>
    <row r="1" spans="1:19" ht="32.450000000000003" customHeight="1">
      <c r="A1" s="153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5"/>
      <c r="P1" s="43" t="s">
        <v>1</v>
      </c>
      <c r="Q1" s="156">
        <v>45852</v>
      </c>
      <c r="R1" s="156"/>
      <c r="S1" s="44"/>
    </row>
    <row r="2" spans="1:19" ht="31.7" customHeight="1" thickBot="1">
      <c r="A2" s="157" t="s">
        <v>25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9"/>
      <c r="P2" s="45" t="s">
        <v>2</v>
      </c>
      <c r="Q2" s="46">
        <v>1</v>
      </c>
      <c r="R2" s="47"/>
      <c r="S2" s="48"/>
    </row>
    <row r="3" spans="1:19" ht="22.7" customHeight="1" thickBot="1">
      <c r="A3" s="2"/>
      <c r="B3" s="69" t="s">
        <v>33</v>
      </c>
      <c r="C3" s="2"/>
      <c r="D3" s="2"/>
      <c r="E3" s="3"/>
      <c r="F3" s="3"/>
      <c r="G3" s="3"/>
      <c r="H3" s="4"/>
      <c r="I3" s="5"/>
      <c r="J3" s="34"/>
      <c r="K3" s="35"/>
      <c r="L3" s="35"/>
      <c r="M3" s="35"/>
      <c r="N3" s="36"/>
      <c r="O3" s="35"/>
      <c r="P3" s="42"/>
      <c r="Q3" s="42"/>
      <c r="R3" s="42"/>
      <c r="S3" s="41"/>
    </row>
    <row r="4" spans="1:19" ht="22.7" customHeight="1" thickBot="1">
      <c r="A4" s="160" t="s">
        <v>3</v>
      </c>
      <c r="B4" s="161"/>
      <c r="C4" s="161"/>
      <c r="D4" s="161"/>
      <c r="E4" s="161"/>
      <c r="F4" s="161"/>
      <c r="G4" s="161"/>
      <c r="H4" s="162"/>
      <c r="I4" s="6"/>
      <c r="J4" s="163" t="s">
        <v>4</v>
      </c>
      <c r="K4" s="164"/>
      <c r="L4" s="164"/>
      <c r="M4" s="164"/>
      <c r="N4" s="164"/>
      <c r="O4" s="164"/>
      <c r="P4" s="164"/>
      <c r="Q4" s="164"/>
      <c r="R4" s="164"/>
      <c r="S4" s="165"/>
    </row>
    <row r="5" spans="1:19" ht="15" customHeight="1">
      <c r="A5" s="34"/>
      <c r="B5" s="70"/>
      <c r="C5" s="34"/>
      <c r="D5" s="34"/>
      <c r="E5" s="56"/>
      <c r="F5" s="56"/>
      <c r="G5" s="56"/>
      <c r="H5" s="57"/>
      <c r="I5" s="58"/>
      <c r="J5" s="39"/>
      <c r="K5" s="39"/>
      <c r="L5" s="39"/>
      <c r="M5" s="39"/>
      <c r="N5" s="40"/>
      <c r="O5" s="39"/>
      <c r="P5" s="39"/>
      <c r="Q5" s="39"/>
      <c r="R5" s="39"/>
      <c r="S5" s="41"/>
    </row>
    <row r="6" spans="1:19" ht="75">
      <c r="A6" s="55" t="s">
        <v>5</v>
      </c>
      <c r="B6" s="55" t="s">
        <v>6</v>
      </c>
      <c r="C6" s="59" t="s">
        <v>7</v>
      </c>
      <c r="D6" s="59" t="s">
        <v>26</v>
      </c>
      <c r="E6" s="59" t="s">
        <v>8</v>
      </c>
      <c r="F6" s="59" t="s">
        <v>31</v>
      </c>
      <c r="G6" s="59" t="s">
        <v>32</v>
      </c>
      <c r="H6" s="55" t="s">
        <v>9</v>
      </c>
      <c r="I6" s="60"/>
      <c r="J6" s="59" t="s">
        <v>29</v>
      </c>
      <c r="K6" s="59" t="s">
        <v>10</v>
      </c>
      <c r="L6" s="59" t="s">
        <v>89</v>
      </c>
      <c r="M6" s="59" t="s">
        <v>30</v>
      </c>
      <c r="N6" s="61" t="s">
        <v>11</v>
      </c>
      <c r="O6" s="59" t="s">
        <v>12</v>
      </c>
      <c r="P6" s="59" t="s">
        <v>13</v>
      </c>
      <c r="Q6" s="59" t="s">
        <v>14</v>
      </c>
      <c r="R6" s="59" t="s">
        <v>15</v>
      </c>
      <c r="S6" s="59" t="s">
        <v>28</v>
      </c>
    </row>
    <row r="7" spans="1:19" s="16" customFormat="1" ht="45" customHeight="1">
      <c r="A7" s="54">
        <v>1</v>
      </c>
      <c r="B7" s="73" t="s">
        <v>51</v>
      </c>
      <c r="C7" s="68">
        <v>110</v>
      </c>
      <c r="D7" s="63" t="s">
        <v>49</v>
      </c>
      <c r="E7" s="24">
        <f>D7*C7</f>
        <v>1320</v>
      </c>
      <c r="F7" s="30">
        <v>8.6999999999999993</v>
      </c>
      <c r="G7" s="29">
        <f t="shared" ref="G7:G22" si="0">F7/D7</f>
        <v>0.72499999999999998</v>
      </c>
      <c r="H7" s="51">
        <f t="shared" ref="H7:H22" si="1">G7*E7</f>
        <v>957</v>
      </c>
      <c r="I7" s="52"/>
      <c r="J7" s="53">
        <f>G7/$Q$2</f>
        <v>0.72499999999999998</v>
      </c>
      <c r="K7" s="53">
        <f t="shared" ref="K7:K22" si="2">H7/$Q$2</f>
        <v>957</v>
      </c>
      <c r="L7" s="53">
        <f t="shared" ref="L7:L22" si="3">J7*(1+$M$26+9%)</f>
        <v>0.79460697115384626</v>
      </c>
      <c r="M7" s="53">
        <f>L7*E7</f>
        <v>1048.881201923077</v>
      </c>
      <c r="N7" s="64">
        <v>1.125</v>
      </c>
      <c r="O7" s="37">
        <f t="shared" ref="O7:O22" si="4">N7*E7</f>
        <v>1485</v>
      </c>
      <c r="P7" s="37">
        <f t="shared" ref="P7:P22" si="5">N7-L7</f>
        <v>0.33039302884615374</v>
      </c>
      <c r="Q7" s="37">
        <f t="shared" ref="Q7:Q22" si="6">P7*E7</f>
        <v>436.11879807692293</v>
      </c>
      <c r="R7" s="38">
        <f t="shared" ref="R7:R22" si="7">P7/N7</f>
        <v>0.29368269230769223</v>
      </c>
      <c r="S7" s="78" t="s">
        <v>53</v>
      </c>
    </row>
    <row r="8" spans="1:19" s="16" customFormat="1" ht="45" customHeight="1">
      <c r="A8" s="80">
        <v>2</v>
      </c>
      <c r="B8" s="75" t="s">
        <v>99</v>
      </c>
      <c r="C8" s="82">
        <v>20</v>
      </c>
      <c r="D8" s="83" t="s">
        <v>49</v>
      </c>
      <c r="E8" s="82">
        <f t="shared" ref="E8:E22" si="8">D8*C8</f>
        <v>240</v>
      </c>
      <c r="F8" s="84">
        <v>30.5</v>
      </c>
      <c r="G8" s="85">
        <f t="shared" si="0"/>
        <v>2.5416666666666665</v>
      </c>
      <c r="H8" s="86">
        <f t="shared" si="1"/>
        <v>610</v>
      </c>
      <c r="I8" s="87"/>
      <c r="J8" s="88">
        <f t="shared" ref="J8:J22" si="9">G8/$Q$2</f>
        <v>2.5416666666666665</v>
      </c>
      <c r="K8" s="88">
        <f t="shared" si="2"/>
        <v>610</v>
      </c>
      <c r="L8" s="88">
        <f t="shared" si="3"/>
        <v>2.7856911057692311</v>
      </c>
      <c r="M8" s="88">
        <f t="shared" ref="M8:M22" si="10">L8*E8</f>
        <v>668.56586538461545</v>
      </c>
      <c r="N8" s="89">
        <v>3.5</v>
      </c>
      <c r="O8" s="90">
        <f t="shared" si="4"/>
        <v>840</v>
      </c>
      <c r="P8" s="90">
        <f t="shared" si="5"/>
        <v>0.71430889423076893</v>
      </c>
      <c r="Q8" s="90">
        <f t="shared" si="6"/>
        <v>171.43413461538455</v>
      </c>
      <c r="R8" s="91">
        <f t="shared" si="7"/>
        <v>0.20408825549450541</v>
      </c>
      <c r="S8" s="98"/>
    </row>
    <row r="9" spans="1:19" s="16" customFormat="1" ht="45" customHeight="1">
      <c r="A9" s="54">
        <v>3</v>
      </c>
      <c r="B9" s="62" t="s">
        <v>100</v>
      </c>
      <c r="C9" s="24">
        <v>20</v>
      </c>
      <c r="D9" s="63" t="s">
        <v>49</v>
      </c>
      <c r="E9" s="24">
        <f t="shared" si="8"/>
        <v>240</v>
      </c>
      <c r="F9" s="30">
        <v>27.2</v>
      </c>
      <c r="G9" s="29">
        <f t="shared" si="0"/>
        <v>2.2666666666666666</v>
      </c>
      <c r="H9" s="51">
        <f t="shared" si="1"/>
        <v>544</v>
      </c>
      <c r="I9" s="52"/>
      <c r="J9" s="53">
        <f t="shared" si="9"/>
        <v>2.2666666666666666</v>
      </c>
      <c r="K9" s="53">
        <f t="shared" si="2"/>
        <v>544</v>
      </c>
      <c r="L9" s="53">
        <f t="shared" si="3"/>
        <v>2.4842884615384619</v>
      </c>
      <c r="M9" s="53">
        <f t="shared" si="10"/>
        <v>596.22923076923087</v>
      </c>
      <c r="N9" s="64">
        <v>3.5</v>
      </c>
      <c r="O9" s="37">
        <f t="shared" si="4"/>
        <v>840</v>
      </c>
      <c r="P9" s="37">
        <f t="shared" si="5"/>
        <v>1.0157115384615381</v>
      </c>
      <c r="Q9" s="37">
        <f t="shared" si="6"/>
        <v>243.77076923076913</v>
      </c>
      <c r="R9" s="38">
        <f t="shared" si="7"/>
        <v>0.29020329670329659</v>
      </c>
      <c r="S9" s="102"/>
    </row>
    <row r="10" spans="1:19" s="16" customFormat="1" ht="45" customHeight="1">
      <c r="A10" s="80">
        <v>4</v>
      </c>
      <c r="B10" s="75" t="s">
        <v>78</v>
      </c>
      <c r="C10" s="82">
        <v>48</v>
      </c>
      <c r="D10" s="83" t="s">
        <v>49</v>
      </c>
      <c r="E10" s="82">
        <f t="shared" si="8"/>
        <v>576</v>
      </c>
      <c r="F10" s="84">
        <v>24</v>
      </c>
      <c r="G10" s="85">
        <f t="shared" si="0"/>
        <v>2</v>
      </c>
      <c r="H10" s="86">
        <f t="shared" si="1"/>
        <v>1152</v>
      </c>
      <c r="I10" s="87"/>
      <c r="J10" s="88">
        <f t="shared" si="9"/>
        <v>2</v>
      </c>
      <c r="K10" s="88">
        <f t="shared" si="2"/>
        <v>1152</v>
      </c>
      <c r="L10" s="88">
        <f t="shared" si="3"/>
        <v>2.192019230769231</v>
      </c>
      <c r="M10" s="88">
        <f t="shared" si="10"/>
        <v>1262.603076923077</v>
      </c>
      <c r="N10" s="89">
        <v>2.75</v>
      </c>
      <c r="O10" s="90">
        <f t="shared" si="4"/>
        <v>1584</v>
      </c>
      <c r="P10" s="90">
        <f t="shared" si="5"/>
        <v>0.557980769230769</v>
      </c>
      <c r="Q10" s="90">
        <f t="shared" si="6"/>
        <v>321.39692307692292</v>
      </c>
      <c r="R10" s="91">
        <f t="shared" si="7"/>
        <v>0.20290209790209782</v>
      </c>
      <c r="S10" s="92" t="s">
        <v>79</v>
      </c>
    </row>
    <row r="11" spans="1:19" s="16" customFormat="1" ht="45" customHeight="1">
      <c r="A11" s="80">
        <v>5</v>
      </c>
      <c r="B11" s="95" t="s">
        <v>74</v>
      </c>
      <c r="C11" s="82">
        <v>10</v>
      </c>
      <c r="D11" s="83" t="s">
        <v>35</v>
      </c>
      <c r="E11" s="82">
        <f t="shared" si="8"/>
        <v>240</v>
      </c>
      <c r="F11" s="84">
        <v>13</v>
      </c>
      <c r="G11" s="85">
        <f t="shared" si="0"/>
        <v>0.54166666666666663</v>
      </c>
      <c r="H11" s="86">
        <f t="shared" si="1"/>
        <v>130</v>
      </c>
      <c r="I11" s="87"/>
      <c r="J11" s="88">
        <f t="shared" si="9"/>
        <v>0.54166666666666663</v>
      </c>
      <c r="K11" s="88">
        <f t="shared" si="2"/>
        <v>130</v>
      </c>
      <c r="L11" s="88">
        <f t="shared" si="3"/>
        <v>0.59367187500000007</v>
      </c>
      <c r="M11" s="88">
        <f t="shared" si="10"/>
        <v>142.48125000000002</v>
      </c>
      <c r="N11" s="89">
        <v>0.66659999999999997</v>
      </c>
      <c r="O11" s="90">
        <f t="shared" si="4"/>
        <v>159.98399999999998</v>
      </c>
      <c r="P11" s="90">
        <f t="shared" si="5"/>
        <v>7.2928124999999899E-2</v>
      </c>
      <c r="Q11" s="90">
        <f t="shared" si="6"/>
        <v>17.502749999999978</v>
      </c>
      <c r="R11" s="91">
        <f t="shared" si="7"/>
        <v>0.10940312781278114</v>
      </c>
      <c r="S11" s="96" t="s">
        <v>56</v>
      </c>
    </row>
    <row r="12" spans="1:19" s="16" customFormat="1" ht="45" customHeight="1">
      <c r="A12" s="80">
        <v>6</v>
      </c>
      <c r="B12" s="95" t="s">
        <v>75</v>
      </c>
      <c r="C12" s="82">
        <v>10</v>
      </c>
      <c r="D12" s="83" t="s">
        <v>35</v>
      </c>
      <c r="E12" s="82">
        <f t="shared" si="8"/>
        <v>240</v>
      </c>
      <c r="F12" s="84">
        <v>13</v>
      </c>
      <c r="G12" s="85">
        <f t="shared" si="0"/>
        <v>0.54166666666666663</v>
      </c>
      <c r="H12" s="86">
        <f t="shared" si="1"/>
        <v>130</v>
      </c>
      <c r="I12" s="87"/>
      <c r="J12" s="88">
        <f t="shared" si="9"/>
        <v>0.54166666666666663</v>
      </c>
      <c r="K12" s="88">
        <f t="shared" si="2"/>
        <v>130</v>
      </c>
      <c r="L12" s="88">
        <f t="shared" si="3"/>
        <v>0.59367187500000007</v>
      </c>
      <c r="M12" s="88">
        <f t="shared" si="10"/>
        <v>142.48125000000002</v>
      </c>
      <c r="N12" s="89">
        <v>0.66659999999999997</v>
      </c>
      <c r="O12" s="90">
        <f t="shared" si="4"/>
        <v>159.98399999999998</v>
      </c>
      <c r="P12" s="90">
        <f t="shared" si="5"/>
        <v>7.2928124999999899E-2</v>
      </c>
      <c r="Q12" s="90">
        <f t="shared" si="6"/>
        <v>17.502749999999978</v>
      </c>
      <c r="R12" s="91">
        <f t="shared" si="7"/>
        <v>0.10940312781278114</v>
      </c>
      <c r="S12" s="96" t="s">
        <v>56</v>
      </c>
    </row>
    <row r="13" spans="1:19" s="16" customFormat="1" ht="45" customHeight="1">
      <c r="A13" s="80">
        <v>7</v>
      </c>
      <c r="B13" s="95" t="s">
        <v>54</v>
      </c>
      <c r="C13" s="82">
        <v>10</v>
      </c>
      <c r="D13" s="83" t="s">
        <v>35</v>
      </c>
      <c r="E13" s="82">
        <f t="shared" si="8"/>
        <v>240</v>
      </c>
      <c r="F13" s="84">
        <v>13</v>
      </c>
      <c r="G13" s="85">
        <f t="shared" si="0"/>
        <v>0.54166666666666663</v>
      </c>
      <c r="H13" s="86">
        <f t="shared" si="1"/>
        <v>130</v>
      </c>
      <c r="I13" s="87"/>
      <c r="J13" s="88">
        <f t="shared" si="9"/>
        <v>0.54166666666666663</v>
      </c>
      <c r="K13" s="88">
        <f t="shared" si="2"/>
        <v>130</v>
      </c>
      <c r="L13" s="88">
        <f t="shared" si="3"/>
        <v>0.59367187500000007</v>
      </c>
      <c r="M13" s="88">
        <f t="shared" si="10"/>
        <v>142.48125000000002</v>
      </c>
      <c r="N13" s="89">
        <v>0.66659999999999997</v>
      </c>
      <c r="O13" s="90">
        <f t="shared" si="4"/>
        <v>159.98399999999998</v>
      </c>
      <c r="P13" s="90">
        <f t="shared" si="5"/>
        <v>7.2928124999999899E-2</v>
      </c>
      <c r="Q13" s="90">
        <f t="shared" si="6"/>
        <v>17.502749999999978</v>
      </c>
      <c r="R13" s="91">
        <f t="shared" si="7"/>
        <v>0.10940312781278114</v>
      </c>
      <c r="S13" s="96" t="s">
        <v>56</v>
      </c>
    </row>
    <row r="14" spans="1:19" s="16" customFormat="1" ht="45" customHeight="1">
      <c r="A14" s="80">
        <v>8</v>
      </c>
      <c r="B14" s="95" t="s">
        <v>55</v>
      </c>
      <c r="C14" s="82">
        <v>10</v>
      </c>
      <c r="D14" s="83" t="s">
        <v>35</v>
      </c>
      <c r="E14" s="82">
        <f t="shared" si="8"/>
        <v>240</v>
      </c>
      <c r="F14" s="84">
        <v>13</v>
      </c>
      <c r="G14" s="85">
        <f t="shared" si="0"/>
        <v>0.54166666666666663</v>
      </c>
      <c r="H14" s="86">
        <f t="shared" si="1"/>
        <v>130</v>
      </c>
      <c r="I14" s="87"/>
      <c r="J14" s="88">
        <f t="shared" si="9"/>
        <v>0.54166666666666663</v>
      </c>
      <c r="K14" s="88">
        <f t="shared" si="2"/>
        <v>130</v>
      </c>
      <c r="L14" s="88">
        <f t="shared" si="3"/>
        <v>0.59367187500000007</v>
      </c>
      <c r="M14" s="88">
        <f t="shared" si="10"/>
        <v>142.48125000000002</v>
      </c>
      <c r="N14" s="89">
        <v>0.66659999999999997</v>
      </c>
      <c r="O14" s="90">
        <f t="shared" si="4"/>
        <v>159.98399999999998</v>
      </c>
      <c r="P14" s="90">
        <f t="shared" si="5"/>
        <v>7.2928124999999899E-2</v>
      </c>
      <c r="Q14" s="90">
        <f t="shared" si="6"/>
        <v>17.502749999999978</v>
      </c>
      <c r="R14" s="91">
        <f t="shared" si="7"/>
        <v>0.10940312781278114</v>
      </c>
      <c r="S14" s="96" t="s">
        <v>56</v>
      </c>
    </row>
    <row r="15" spans="1:19" s="16" customFormat="1" ht="45" customHeight="1">
      <c r="A15" s="80">
        <v>9</v>
      </c>
      <c r="B15" s="75" t="s">
        <v>101</v>
      </c>
      <c r="C15" s="82">
        <v>40</v>
      </c>
      <c r="D15" s="83" t="s">
        <v>37</v>
      </c>
      <c r="E15" s="82">
        <f t="shared" si="8"/>
        <v>400</v>
      </c>
      <c r="F15" s="84">
        <v>13.5</v>
      </c>
      <c r="G15" s="85">
        <f t="shared" si="0"/>
        <v>1.35</v>
      </c>
      <c r="H15" s="86">
        <f t="shared" si="1"/>
        <v>540</v>
      </c>
      <c r="I15" s="87"/>
      <c r="J15" s="88">
        <f t="shared" si="9"/>
        <v>1.35</v>
      </c>
      <c r="K15" s="88">
        <f t="shared" si="2"/>
        <v>540</v>
      </c>
      <c r="L15" s="88">
        <f t="shared" si="3"/>
        <v>1.4796129807692311</v>
      </c>
      <c r="M15" s="88">
        <f t="shared" si="10"/>
        <v>591.8451923076924</v>
      </c>
      <c r="N15" s="89">
        <v>1.95</v>
      </c>
      <c r="O15" s="90">
        <f t="shared" si="4"/>
        <v>780</v>
      </c>
      <c r="P15" s="90">
        <f t="shared" si="5"/>
        <v>0.47038701923076887</v>
      </c>
      <c r="Q15" s="90">
        <f t="shared" si="6"/>
        <v>188.15480769230754</v>
      </c>
      <c r="R15" s="91">
        <f t="shared" si="7"/>
        <v>0.24122411242603531</v>
      </c>
      <c r="S15" s="92"/>
    </row>
    <row r="16" spans="1:19" s="16" customFormat="1" ht="45" customHeight="1">
      <c r="A16" s="54">
        <v>10</v>
      </c>
      <c r="B16" s="72" t="s">
        <v>102</v>
      </c>
      <c r="C16" s="24">
        <v>12</v>
      </c>
      <c r="D16" s="63" t="s">
        <v>39</v>
      </c>
      <c r="E16" s="24">
        <f t="shared" si="8"/>
        <v>360</v>
      </c>
      <c r="F16" s="30">
        <v>35.5</v>
      </c>
      <c r="G16" s="29">
        <f t="shared" si="0"/>
        <v>1.1833333333333333</v>
      </c>
      <c r="H16" s="51">
        <f t="shared" si="1"/>
        <v>426</v>
      </c>
      <c r="I16" s="52"/>
      <c r="J16" s="53">
        <f t="shared" si="9"/>
        <v>1.1833333333333333</v>
      </c>
      <c r="K16" s="53">
        <f t="shared" si="2"/>
        <v>426</v>
      </c>
      <c r="L16" s="53">
        <f t="shared" si="3"/>
        <v>1.2969447115384616</v>
      </c>
      <c r="M16" s="53">
        <f t="shared" si="10"/>
        <v>466.90009615384616</v>
      </c>
      <c r="N16" s="64">
        <v>1.95</v>
      </c>
      <c r="O16" s="37">
        <f t="shared" si="4"/>
        <v>702</v>
      </c>
      <c r="P16" s="37">
        <f t="shared" si="5"/>
        <v>0.65305528846153837</v>
      </c>
      <c r="Q16" s="37">
        <f t="shared" si="6"/>
        <v>235.09990384615381</v>
      </c>
      <c r="R16" s="38">
        <f t="shared" si="7"/>
        <v>0.33490014792899403</v>
      </c>
      <c r="S16" s="50"/>
    </row>
    <row r="17" spans="1:19" s="16" customFormat="1" ht="45" customHeight="1">
      <c r="A17" s="54">
        <v>11</v>
      </c>
      <c r="B17" s="93" t="s">
        <v>76</v>
      </c>
      <c r="C17" s="24">
        <v>16</v>
      </c>
      <c r="D17" s="63" t="s">
        <v>50</v>
      </c>
      <c r="E17" s="24">
        <f t="shared" si="8"/>
        <v>960</v>
      </c>
      <c r="F17" s="30">
        <v>30</v>
      </c>
      <c r="G17" s="29">
        <f t="shared" si="0"/>
        <v>0.5</v>
      </c>
      <c r="H17" s="51">
        <f t="shared" si="1"/>
        <v>480</v>
      </c>
      <c r="I17" s="52"/>
      <c r="J17" s="53">
        <f t="shared" si="9"/>
        <v>0.5</v>
      </c>
      <c r="K17" s="53">
        <f t="shared" si="2"/>
        <v>480</v>
      </c>
      <c r="L17" s="53">
        <f t="shared" si="3"/>
        <v>0.54800480769230775</v>
      </c>
      <c r="M17" s="53">
        <f t="shared" si="10"/>
        <v>526.0846153846154</v>
      </c>
      <c r="N17" s="64">
        <v>0.85</v>
      </c>
      <c r="O17" s="37">
        <f t="shared" si="4"/>
        <v>816</v>
      </c>
      <c r="P17" s="37">
        <f t="shared" si="5"/>
        <v>0.30199519230769223</v>
      </c>
      <c r="Q17" s="37">
        <f t="shared" si="6"/>
        <v>289.91538461538454</v>
      </c>
      <c r="R17" s="38">
        <f t="shared" si="7"/>
        <v>0.35528846153846144</v>
      </c>
      <c r="S17" s="50"/>
    </row>
    <row r="18" spans="1:19" s="16" customFormat="1" ht="45" customHeight="1">
      <c r="A18" s="80">
        <v>12</v>
      </c>
      <c r="B18" s="107" t="s">
        <v>103</v>
      </c>
      <c r="C18" s="82">
        <v>80</v>
      </c>
      <c r="D18" s="83" t="s">
        <v>49</v>
      </c>
      <c r="E18" s="82">
        <f t="shared" si="8"/>
        <v>960</v>
      </c>
      <c r="F18" s="84">
        <v>18.5</v>
      </c>
      <c r="G18" s="85">
        <f t="shared" si="0"/>
        <v>1.5416666666666667</v>
      </c>
      <c r="H18" s="86">
        <f t="shared" si="1"/>
        <v>1480</v>
      </c>
      <c r="I18" s="87"/>
      <c r="J18" s="88">
        <f t="shared" si="9"/>
        <v>1.5416666666666667</v>
      </c>
      <c r="K18" s="88">
        <f t="shared" si="2"/>
        <v>1480</v>
      </c>
      <c r="L18" s="88">
        <f t="shared" si="3"/>
        <v>1.6896814903846156</v>
      </c>
      <c r="M18" s="88">
        <f t="shared" si="10"/>
        <v>1622.094230769231</v>
      </c>
      <c r="N18" s="89">
        <v>2.125</v>
      </c>
      <c r="O18" s="90">
        <f t="shared" si="4"/>
        <v>2040</v>
      </c>
      <c r="P18" s="90">
        <f t="shared" si="5"/>
        <v>0.43531850961538443</v>
      </c>
      <c r="Q18" s="90">
        <f t="shared" si="6"/>
        <v>417.90576923076907</v>
      </c>
      <c r="R18" s="91">
        <f t="shared" si="7"/>
        <v>0.20485576923076915</v>
      </c>
      <c r="S18" s="98" t="s">
        <v>66</v>
      </c>
    </row>
    <row r="19" spans="1:19" s="16" customFormat="1" ht="45" customHeight="1">
      <c r="A19" s="54">
        <v>13</v>
      </c>
      <c r="B19" s="108" t="s">
        <v>104</v>
      </c>
      <c r="C19" s="24">
        <v>30</v>
      </c>
      <c r="D19" s="63" t="s">
        <v>35</v>
      </c>
      <c r="E19" s="24">
        <f t="shared" si="8"/>
        <v>720</v>
      </c>
      <c r="F19" s="30">
        <v>17.2</v>
      </c>
      <c r="G19" s="29">
        <f t="shared" si="0"/>
        <v>0.71666666666666667</v>
      </c>
      <c r="H19" s="51">
        <f t="shared" si="1"/>
        <v>516</v>
      </c>
      <c r="I19" s="52"/>
      <c r="J19" s="53">
        <f t="shared" si="9"/>
        <v>0.71666666666666667</v>
      </c>
      <c r="K19" s="53">
        <f t="shared" si="2"/>
        <v>516</v>
      </c>
      <c r="L19" s="53">
        <f t="shared" si="3"/>
        <v>0.78547355769230776</v>
      </c>
      <c r="M19" s="53">
        <f t="shared" si="10"/>
        <v>565.5409615384616</v>
      </c>
      <c r="N19" s="64">
        <v>1.1583000000000001</v>
      </c>
      <c r="O19" s="37">
        <f t="shared" si="4"/>
        <v>833.97600000000011</v>
      </c>
      <c r="P19" s="37">
        <f t="shared" si="5"/>
        <v>0.37282644230769235</v>
      </c>
      <c r="Q19" s="37">
        <f t="shared" si="6"/>
        <v>268.43503846153851</v>
      </c>
      <c r="R19" s="38">
        <f t="shared" si="7"/>
        <v>0.32187381706612478</v>
      </c>
      <c r="S19" s="50" t="s">
        <v>105</v>
      </c>
    </row>
    <row r="20" spans="1:19" s="16" customFormat="1" ht="45" customHeight="1">
      <c r="A20" s="54">
        <v>14</v>
      </c>
      <c r="B20" s="62" t="s">
        <v>106</v>
      </c>
      <c r="C20" s="24">
        <v>10</v>
      </c>
      <c r="D20" s="63" t="s">
        <v>58</v>
      </c>
      <c r="E20" s="24">
        <f t="shared" si="8"/>
        <v>200</v>
      </c>
      <c r="F20" s="30">
        <v>29</v>
      </c>
      <c r="G20" s="29">
        <f t="shared" si="0"/>
        <v>1.45</v>
      </c>
      <c r="H20" s="51">
        <f t="shared" si="1"/>
        <v>290</v>
      </c>
      <c r="I20" s="52"/>
      <c r="J20" s="53">
        <f t="shared" si="9"/>
        <v>1.45</v>
      </c>
      <c r="K20" s="53">
        <f t="shared" si="2"/>
        <v>290</v>
      </c>
      <c r="L20" s="53">
        <f t="shared" si="3"/>
        <v>1.5892139423076925</v>
      </c>
      <c r="M20" s="53">
        <f t="shared" si="10"/>
        <v>317.84278846153853</v>
      </c>
      <c r="N20" s="64">
        <v>2.5</v>
      </c>
      <c r="O20" s="37">
        <f t="shared" si="4"/>
        <v>500</v>
      </c>
      <c r="P20" s="37">
        <f t="shared" si="5"/>
        <v>0.91078605769230747</v>
      </c>
      <c r="Q20" s="37">
        <f t="shared" si="6"/>
        <v>182.1572115384615</v>
      </c>
      <c r="R20" s="38">
        <f t="shared" si="7"/>
        <v>0.36431442307692297</v>
      </c>
      <c r="S20" s="50"/>
    </row>
    <row r="21" spans="1:19" s="16" customFormat="1" ht="45" customHeight="1">
      <c r="A21" s="54">
        <v>15</v>
      </c>
      <c r="B21" s="62" t="s">
        <v>77</v>
      </c>
      <c r="C21" s="24">
        <v>20</v>
      </c>
      <c r="D21" s="63" t="s">
        <v>58</v>
      </c>
      <c r="E21" s="24">
        <f t="shared" si="8"/>
        <v>400</v>
      </c>
      <c r="F21" s="30">
        <v>29</v>
      </c>
      <c r="G21" s="29">
        <f t="shared" si="0"/>
        <v>1.45</v>
      </c>
      <c r="H21" s="51">
        <f t="shared" si="1"/>
        <v>580</v>
      </c>
      <c r="I21" s="52"/>
      <c r="J21" s="53">
        <f t="shared" si="9"/>
        <v>1.45</v>
      </c>
      <c r="K21" s="53">
        <f t="shared" si="2"/>
        <v>580</v>
      </c>
      <c r="L21" s="53">
        <f t="shared" si="3"/>
        <v>1.5892139423076925</v>
      </c>
      <c r="M21" s="53">
        <f t="shared" si="10"/>
        <v>635.68557692307706</v>
      </c>
      <c r="N21" s="64">
        <v>2.5</v>
      </c>
      <c r="O21" s="37">
        <f t="shared" si="4"/>
        <v>1000</v>
      </c>
      <c r="P21" s="37">
        <f t="shared" si="5"/>
        <v>0.91078605769230747</v>
      </c>
      <c r="Q21" s="37">
        <f t="shared" si="6"/>
        <v>364.31442307692299</v>
      </c>
      <c r="R21" s="38">
        <f t="shared" si="7"/>
        <v>0.36431442307692297</v>
      </c>
      <c r="S21" s="50"/>
    </row>
    <row r="22" spans="1:19" s="16" customFormat="1" ht="45" customHeight="1">
      <c r="A22" s="54">
        <v>16</v>
      </c>
      <c r="B22" s="97" t="s">
        <v>61</v>
      </c>
      <c r="C22" s="24">
        <v>10</v>
      </c>
      <c r="D22" s="63" t="s">
        <v>39</v>
      </c>
      <c r="E22" s="24">
        <f t="shared" si="8"/>
        <v>300</v>
      </c>
      <c r="F22" s="30">
        <v>22.5</v>
      </c>
      <c r="G22" s="29">
        <f t="shared" si="0"/>
        <v>0.75</v>
      </c>
      <c r="H22" s="51">
        <f t="shared" si="1"/>
        <v>225</v>
      </c>
      <c r="I22" s="52"/>
      <c r="J22" s="53">
        <f t="shared" si="9"/>
        <v>0.75</v>
      </c>
      <c r="K22" s="53">
        <f t="shared" si="2"/>
        <v>225</v>
      </c>
      <c r="L22" s="53">
        <f t="shared" si="3"/>
        <v>0.82200721153846157</v>
      </c>
      <c r="M22" s="53">
        <f t="shared" si="10"/>
        <v>246.60216346153848</v>
      </c>
      <c r="N22" s="64">
        <v>1.25</v>
      </c>
      <c r="O22" s="37">
        <f t="shared" si="4"/>
        <v>375</v>
      </c>
      <c r="P22" s="37">
        <f t="shared" si="5"/>
        <v>0.42799278846153843</v>
      </c>
      <c r="Q22" s="37">
        <f t="shared" si="6"/>
        <v>128.39783653846152</v>
      </c>
      <c r="R22" s="38">
        <f t="shared" si="7"/>
        <v>0.34239423076923076</v>
      </c>
      <c r="S22" s="50"/>
    </row>
    <row r="23" spans="1:19" s="16" customFormat="1" ht="48" customHeight="1" thickBot="1">
      <c r="A23" s="137"/>
      <c r="B23" s="138"/>
      <c r="C23" s="138"/>
      <c r="D23" s="139"/>
      <c r="E23" s="147"/>
      <c r="F23" s="147"/>
      <c r="G23" s="149" t="s">
        <v>16</v>
      </c>
      <c r="H23" s="151">
        <f>SUM(H7:H22)</f>
        <v>8320</v>
      </c>
      <c r="I23" s="65"/>
      <c r="J23" s="66" t="s">
        <v>17</v>
      </c>
      <c r="K23" s="67">
        <f>SUM(K7:K22)</f>
        <v>8320</v>
      </c>
      <c r="L23" s="124" t="s">
        <v>18</v>
      </c>
      <c r="M23" s="125"/>
      <c r="N23" s="126">
        <f>SUM(O7:O22)</f>
        <v>12435.912000000002</v>
      </c>
      <c r="O23" s="127"/>
      <c r="P23" s="128" t="s">
        <v>19</v>
      </c>
      <c r="Q23" s="129"/>
      <c r="R23" s="132">
        <f>N23-K26</f>
        <v>3317.1120000000028</v>
      </c>
      <c r="S23" s="33"/>
    </row>
    <row r="24" spans="1:19" ht="48" customHeight="1" thickBot="1">
      <c r="A24" s="140"/>
      <c r="B24" s="138"/>
      <c r="C24" s="138"/>
      <c r="D24" s="139"/>
      <c r="E24" s="148"/>
      <c r="F24" s="148"/>
      <c r="G24" s="150"/>
      <c r="H24" s="152"/>
      <c r="I24" s="7"/>
      <c r="J24" s="17" t="s">
        <v>34</v>
      </c>
      <c r="K24" s="49">
        <f>K23*0.09</f>
        <v>748.8</v>
      </c>
      <c r="L24" s="134"/>
      <c r="M24" s="134"/>
      <c r="N24" s="134"/>
      <c r="O24" s="134"/>
      <c r="P24" s="130"/>
      <c r="Q24" s="131"/>
      <c r="R24" s="133"/>
      <c r="S24" s="25"/>
    </row>
    <row r="25" spans="1:19" ht="46.5" customHeight="1" thickBot="1">
      <c r="A25" s="141"/>
      <c r="B25" s="142"/>
      <c r="C25" s="142"/>
      <c r="D25" s="143"/>
      <c r="E25" s="8"/>
      <c r="F25" s="27"/>
      <c r="G25" s="9" t="s">
        <v>20</v>
      </c>
      <c r="H25" s="32" t="s">
        <v>27</v>
      </c>
      <c r="I25" s="7"/>
      <c r="J25" s="10" t="s">
        <v>21</v>
      </c>
      <c r="K25" s="18">
        <v>50</v>
      </c>
      <c r="L25" s="134"/>
      <c r="M25" s="134"/>
      <c r="N25" s="134"/>
      <c r="O25" s="134"/>
      <c r="P25" s="135" t="s">
        <v>22</v>
      </c>
      <c r="Q25" s="136"/>
      <c r="R25" s="11">
        <f>R23/N23</f>
        <v>0.26673652885289012</v>
      </c>
      <c r="S25" s="22"/>
    </row>
    <row r="26" spans="1:19" ht="60.75" thickBot="1">
      <c r="A26" s="144"/>
      <c r="B26" s="145"/>
      <c r="C26" s="145"/>
      <c r="D26" s="146"/>
      <c r="E26" s="12"/>
      <c r="F26" s="28"/>
      <c r="G26" s="13" t="s">
        <v>23</v>
      </c>
      <c r="H26" s="26">
        <f>SUM(H23:H25)</f>
        <v>8320</v>
      </c>
      <c r="I26" s="7"/>
      <c r="J26" s="14" t="s">
        <v>23</v>
      </c>
      <c r="K26" s="15">
        <f>SUM(K23:K25)</f>
        <v>9118.7999999999993</v>
      </c>
      <c r="L26" s="19" t="s">
        <v>24</v>
      </c>
      <c r="M26" s="121">
        <f>K25/K23</f>
        <v>6.0096153846153849E-3</v>
      </c>
      <c r="N26" s="122"/>
      <c r="O26" s="20"/>
      <c r="P26" s="5"/>
      <c r="Q26" s="5"/>
      <c r="R26" s="5"/>
      <c r="S26" s="21"/>
    </row>
    <row r="27" spans="1:19">
      <c r="B27" s="1"/>
      <c r="C27" s="31"/>
    </row>
    <row r="28" spans="1:19">
      <c r="B28" s="1"/>
      <c r="C28" s="31"/>
    </row>
    <row r="29" spans="1:19">
      <c r="B29" s="1"/>
    </row>
    <row r="30" spans="1:19">
      <c r="B30" s="1"/>
    </row>
    <row r="31" spans="1:19">
      <c r="B31" s="1"/>
    </row>
    <row r="32" spans="1:19" s="104" customFormat="1">
      <c r="A32" s="104" t="s">
        <v>90</v>
      </c>
      <c r="N32" s="105"/>
      <c r="S32" s="106"/>
    </row>
    <row r="33" spans="1:3" s="123" customFormat="1" ht="15.75" customHeight="1">
      <c r="A33" s="123" t="s">
        <v>91</v>
      </c>
    </row>
    <row r="38" spans="1:3">
      <c r="C38" s="31"/>
    </row>
    <row r="39" spans="1:3">
      <c r="C39" s="31"/>
    </row>
  </sheetData>
  <mergeCells count="18">
    <mergeCell ref="A1:O1"/>
    <mergeCell ref="Q1:R1"/>
    <mergeCell ref="A2:O2"/>
    <mergeCell ref="A4:H4"/>
    <mergeCell ref="J4:S4"/>
    <mergeCell ref="M26:N26"/>
    <mergeCell ref="A33:XFD33"/>
    <mergeCell ref="L23:M23"/>
    <mergeCell ref="N23:O23"/>
    <mergeCell ref="P23:Q24"/>
    <mergeCell ref="R23:R24"/>
    <mergeCell ref="L24:O25"/>
    <mergeCell ref="P25:Q25"/>
    <mergeCell ref="A23:D26"/>
    <mergeCell ref="E23:E24"/>
    <mergeCell ref="F23:F24"/>
    <mergeCell ref="G23:G24"/>
    <mergeCell ref="H23:H24"/>
  </mergeCells>
  <pageMargins left="0.23622047244094491" right="0.23622047244094491" top="0.74803149606299213" bottom="0.7480314960629921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8"/>
  <sheetViews>
    <sheetView topLeftCell="A4" zoomScale="80" zoomScaleNormal="80" workbookViewId="0">
      <selection activeCell="F24" sqref="F24"/>
    </sheetView>
  </sheetViews>
  <sheetFormatPr defaultColWidth="14.42578125" defaultRowHeight="15.75"/>
  <cols>
    <col min="1" max="1" width="6" style="1" customWidth="1"/>
    <col min="2" max="2" width="54.5703125" style="71" customWidth="1"/>
    <col min="3" max="3" width="7.42578125" style="1" bestFit="1" customWidth="1"/>
    <col min="4" max="4" width="9.5703125" style="1" bestFit="1" customWidth="1"/>
    <col min="5" max="5" width="10.5703125" style="1" bestFit="1" customWidth="1"/>
    <col min="6" max="7" width="13.140625" style="1" bestFit="1" customWidth="1"/>
    <col min="8" max="8" width="14.5703125" style="1" customWidth="1"/>
    <col min="9" max="9" width="2.5703125" style="1" customWidth="1"/>
    <col min="10" max="10" width="13.140625" style="1" bestFit="1" customWidth="1"/>
    <col min="11" max="11" width="12.85546875" style="1" customWidth="1"/>
    <col min="12" max="12" width="12.85546875" style="1" bestFit="1" customWidth="1"/>
    <col min="13" max="13" width="12.42578125" style="1" bestFit="1" customWidth="1"/>
    <col min="14" max="14" width="13.5703125" style="16" bestFit="1" customWidth="1"/>
    <col min="15" max="15" width="11.42578125" style="1" bestFit="1" customWidth="1"/>
    <col min="16" max="16" width="12.7109375" style="1" bestFit="1" customWidth="1"/>
    <col min="17" max="17" width="12.140625" style="1" bestFit="1" customWidth="1"/>
    <col min="18" max="18" width="17.42578125" style="1" bestFit="1" customWidth="1"/>
    <col min="19" max="19" width="15.140625" style="23" customWidth="1"/>
    <col min="20" max="16384" width="14.42578125" style="1"/>
  </cols>
  <sheetData>
    <row r="1" spans="1:19" ht="32.450000000000003" customHeight="1">
      <c r="A1" s="153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5"/>
      <c r="P1" s="43" t="s">
        <v>1</v>
      </c>
      <c r="Q1" s="156">
        <v>45853</v>
      </c>
      <c r="R1" s="156"/>
      <c r="S1" s="44"/>
    </row>
    <row r="2" spans="1:19" ht="31.7" customHeight="1" thickBot="1">
      <c r="A2" s="157" t="s">
        <v>25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9"/>
      <c r="P2" s="45" t="s">
        <v>2</v>
      </c>
      <c r="Q2" s="46">
        <v>1</v>
      </c>
      <c r="R2" s="47"/>
      <c r="S2" s="48"/>
    </row>
    <row r="3" spans="1:19" ht="22.7" customHeight="1" thickBot="1">
      <c r="A3" s="2"/>
      <c r="B3" s="69" t="s">
        <v>33</v>
      </c>
      <c r="C3" s="2"/>
      <c r="D3" s="2"/>
      <c r="E3" s="3"/>
      <c r="F3" s="3"/>
      <c r="G3" s="3"/>
      <c r="H3" s="4"/>
      <c r="I3" s="5"/>
      <c r="J3" s="34"/>
      <c r="K3" s="35"/>
      <c r="L3" s="35"/>
      <c r="M3" s="35"/>
      <c r="N3" s="36"/>
      <c r="O3" s="35"/>
      <c r="P3" s="42"/>
      <c r="Q3" s="42"/>
      <c r="R3" s="42"/>
      <c r="S3" s="41"/>
    </row>
    <row r="4" spans="1:19" ht="22.7" customHeight="1" thickBot="1">
      <c r="A4" s="160" t="s">
        <v>3</v>
      </c>
      <c r="B4" s="161"/>
      <c r="C4" s="161"/>
      <c r="D4" s="161"/>
      <c r="E4" s="161"/>
      <c r="F4" s="161"/>
      <c r="G4" s="161"/>
      <c r="H4" s="162"/>
      <c r="I4" s="6"/>
      <c r="J4" s="163" t="s">
        <v>4</v>
      </c>
      <c r="K4" s="164"/>
      <c r="L4" s="164"/>
      <c r="M4" s="164"/>
      <c r="N4" s="164"/>
      <c r="O4" s="164"/>
      <c r="P4" s="164"/>
      <c r="Q4" s="164"/>
      <c r="R4" s="164"/>
      <c r="S4" s="165"/>
    </row>
    <row r="5" spans="1:19" ht="15" customHeight="1">
      <c r="A5" s="34"/>
      <c r="B5" s="70"/>
      <c r="C5" s="34"/>
      <c r="D5" s="34"/>
      <c r="E5" s="56"/>
      <c r="F5" s="56"/>
      <c r="G5" s="56"/>
      <c r="H5" s="57"/>
      <c r="I5" s="58"/>
      <c r="J5" s="39"/>
      <c r="K5" s="39"/>
      <c r="L5" s="39"/>
      <c r="M5" s="39"/>
      <c r="N5" s="40"/>
      <c r="O5" s="39"/>
      <c r="P5" s="39"/>
      <c r="Q5" s="39"/>
      <c r="R5" s="39"/>
      <c r="S5" s="41"/>
    </row>
    <row r="6" spans="1:19" ht="75">
      <c r="A6" s="55" t="s">
        <v>5</v>
      </c>
      <c r="B6" s="55" t="s">
        <v>6</v>
      </c>
      <c r="C6" s="59" t="s">
        <v>7</v>
      </c>
      <c r="D6" s="59" t="s">
        <v>26</v>
      </c>
      <c r="E6" s="59" t="s">
        <v>8</v>
      </c>
      <c r="F6" s="59" t="s">
        <v>31</v>
      </c>
      <c r="G6" s="59" t="s">
        <v>32</v>
      </c>
      <c r="H6" s="55" t="s">
        <v>9</v>
      </c>
      <c r="I6" s="60"/>
      <c r="J6" s="59" t="s">
        <v>29</v>
      </c>
      <c r="K6" s="59" t="s">
        <v>10</v>
      </c>
      <c r="L6" s="59" t="s">
        <v>84</v>
      </c>
      <c r="M6" s="59" t="s">
        <v>30</v>
      </c>
      <c r="N6" s="61" t="s">
        <v>11</v>
      </c>
      <c r="O6" s="59" t="s">
        <v>12</v>
      </c>
      <c r="P6" s="59" t="s">
        <v>13</v>
      </c>
      <c r="Q6" s="59" t="s">
        <v>14</v>
      </c>
      <c r="R6" s="59" t="s">
        <v>15</v>
      </c>
      <c r="S6" s="59" t="s">
        <v>28</v>
      </c>
    </row>
    <row r="7" spans="1:19" s="16" customFormat="1" ht="45" customHeight="1">
      <c r="A7" s="54">
        <v>1</v>
      </c>
      <c r="B7" s="72" t="s">
        <v>52</v>
      </c>
      <c r="C7" s="24">
        <v>50</v>
      </c>
      <c r="D7" s="63" t="s">
        <v>49</v>
      </c>
      <c r="E7" s="24">
        <f>D7*C7</f>
        <v>600</v>
      </c>
      <c r="F7" s="30">
        <v>8.9</v>
      </c>
      <c r="G7" s="29">
        <f t="shared" ref="G7:G31" si="0">F7/D7</f>
        <v>0.7416666666666667</v>
      </c>
      <c r="H7" s="51">
        <f t="shared" ref="H7:H31" si="1">G7*E7</f>
        <v>445</v>
      </c>
      <c r="I7" s="52"/>
      <c r="J7" s="53">
        <f>G7/$Q$2</f>
        <v>0.7416666666666667</v>
      </c>
      <c r="K7" s="53">
        <f t="shared" ref="K7:K31" si="2">H7/$Q$2</f>
        <v>445</v>
      </c>
      <c r="L7" s="53">
        <f>J7*(1+$M$35+9%)</f>
        <v>0.81418287229603836</v>
      </c>
      <c r="M7" s="53">
        <f>L7*E7</f>
        <v>488.509723377623</v>
      </c>
      <c r="N7" s="64">
        <v>1.125</v>
      </c>
      <c r="O7" s="37">
        <f t="shared" ref="O7:O31" si="3">N7*E7</f>
        <v>675</v>
      </c>
      <c r="P7" s="37">
        <f t="shared" ref="P7:P31" si="4">N7-L7</f>
        <v>0.31081712770396164</v>
      </c>
      <c r="Q7" s="37">
        <f t="shared" ref="Q7:Q31" si="5">P7*E7</f>
        <v>186.490276622377</v>
      </c>
      <c r="R7" s="38">
        <f t="shared" ref="R7:R31" si="6">P7/N7</f>
        <v>0.27628189129241032</v>
      </c>
      <c r="S7" s="50" t="s">
        <v>53</v>
      </c>
    </row>
    <row r="8" spans="1:19" s="16" customFormat="1" ht="45" customHeight="1">
      <c r="A8" s="54">
        <v>2</v>
      </c>
      <c r="B8" s="103" t="s">
        <v>86</v>
      </c>
      <c r="C8" s="24">
        <v>55</v>
      </c>
      <c r="D8" s="63" t="s">
        <v>49</v>
      </c>
      <c r="E8" s="24">
        <f t="shared" ref="E8:E19" si="7">D8*C8</f>
        <v>660</v>
      </c>
      <c r="F8" s="30">
        <v>8.9</v>
      </c>
      <c r="G8" s="29">
        <f t="shared" ref="G8:G16" si="8">F8/D8</f>
        <v>0.7416666666666667</v>
      </c>
      <c r="H8" s="51">
        <f t="shared" ref="H8:H16" si="9">G8*E8</f>
        <v>489.5</v>
      </c>
      <c r="I8" s="52"/>
      <c r="J8" s="53">
        <f t="shared" ref="J8:J16" si="10">G8/$Q$2</f>
        <v>0.7416666666666667</v>
      </c>
      <c r="K8" s="53">
        <f t="shared" ref="K8:K16" si="11">H8/$Q$2</f>
        <v>489.5</v>
      </c>
      <c r="L8" s="53">
        <f t="shared" ref="L8:L16" si="12">J8*(1+$M$35+9%)</f>
        <v>0.81418287229603836</v>
      </c>
      <c r="M8" s="53">
        <f t="shared" ref="M8:M16" si="13">L8*E8</f>
        <v>537.3606957153853</v>
      </c>
      <c r="N8" s="64">
        <v>1.125</v>
      </c>
      <c r="O8" s="37">
        <f t="shared" ref="O8:O16" si="14">N8*E8</f>
        <v>742.5</v>
      </c>
      <c r="P8" s="37">
        <f t="shared" ref="P8:P16" si="15">N8-L8</f>
        <v>0.31081712770396164</v>
      </c>
      <c r="Q8" s="37">
        <f t="shared" ref="Q8:Q16" si="16">P8*E8</f>
        <v>205.13930428461467</v>
      </c>
      <c r="R8" s="38">
        <f t="shared" ref="R8:R16" si="17">P8/N8</f>
        <v>0.27628189129241032</v>
      </c>
      <c r="S8" s="50" t="s">
        <v>53</v>
      </c>
    </row>
    <row r="9" spans="1:19" s="16" customFormat="1" ht="45" customHeight="1">
      <c r="A9" s="54">
        <v>3</v>
      </c>
      <c r="B9" s="62" t="s">
        <v>69</v>
      </c>
      <c r="C9" s="24">
        <v>42</v>
      </c>
      <c r="D9" s="63" t="s">
        <v>36</v>
      </c>
      <c r="E9" s="24">
        <f t="shared" si="7"/>
        <v>336</v>
      </c>
      <c r="F9" s="30">
        <v>9.5</v>
      </c>
      <c r="G9" s="29">
        <f t="shared" si="8"/>
        <v>1.1875</v>
      </c>
      <c r="H9" s="51">
        <f t="shared" si="9"/>
        <v>399</v>
      </c>
      <c r="I9" s="52"/>
      <c r="J9" s="53">
        <f t="shared" si="10"/>
        <v>1.1875</v>
      </c>
      <c r="K9" s="53">
        <f t="shared" si="11"/>
        <v>399</v>
      </c>
      <c r="L9" s="53">
        <f t="shared" si="12"/>
        <v>1.3036074078897242</v>
      </c>
      <c r="M9" s="53">
        <f t="shared" si="13"/>
        <v>438.01208905094734</v>
      </c>
      <c r="N9" s="64">
        <v>1.9375</v>
      </c>
      <c r="O9" s="37">
        <f t="shared" si="14"/>
        <v>651</v>
      </c>
      <c r="P9" s="37">
        <f t="shared" si="15"/>
        <v>0.63389259211027582</v>
      </c>
      <c r="Q9" s="37">
        <f t="shared" si="16"/>
        <v>212.98791094905266</v>
      </c>
      <c r="R9" s="38">
        <f t="shared" si="17"/>
        <v>0.32717037012143269</v>
      </c>
      <c r="S9" s="50" t="s">
        <v>70</v>
      </c>
    </row>
    <row r="10" spans="1:19" s="16" customFormat="1" ht="45" customHeight="1">
      <c r="A10" s="54">
        <v>4</v>
      </c>
      <c r="B10" s="62" t="s">
        <v>108</v>
      </c>
      <c r="C10" s="24">
        <v>10</v>
      </c>
      <c r="D10" s="63" t="s">
        <v>49</v>
      </c>
      <c r="E10" s="24">
        <f t="shared" si="7"/>
        <v>120</v>
      </c>
      <c r="F10" s="30">
        <v>27.2</v>
      </c>
      <c r="G10" s="29">
        <f t="shared" si="8"/>
        <v>2.2666666666666666</v>
      </c>
      <c r="H10" s="51">
        <f t="shared" si="9"/>
        <v>272</v>
      </c>
      <c r="I10" s="52"/>
      <c r="J10" s="53">
        <f t="shared" si="10"/>
        <v>2.2666666666666666</v>
      </c>
      <c r="K10" s="53">
        <f t="shared" si="11"/>
        <v>272</v>
      </c>
      <c r="L10" s="53">
        <f t="shared" si="12"/>
        <v>2.4882892276912632</v>
      </c>
      <c r="M10" s="53">
        <f t="shared" si="13"/>
        <v>298.59470732295159</v>
      </c>
      <c r="N10" s="64">
        <v>3.5</v>
      </c>
      <c r="O10" s="37">
        <f t="shared" si="14"/>
        <v>420</v>
      </c>
      <c r="P10" s="37">
        <f t="shared" si="15"/>
        <v>1.0117107723087368</v>
      </c>
      <c r="Q10" s="37">
        <f t="shared" si="16"/>
        <v>121.40529267704842</v>
      </c>
      <c r="R10" s="38">
        <f t="shared" si="17"/>
        <v>0.2890602206596391</v>
      </c>
      <c r="S10" s="78"/>
    </row>
    <row r="11" spans="1:19" s="16" customFormat="1" ht="45" customHeight="1">
      <c r="A11" s="54">
        <v>5</v>
      </c>
      <c r="B11" s="62" t="s">
        <v>109</v>
      </c>
      <c r="C11" s="24">
        <v>10</v>
      </c>
      <c r="D11" s="63" t="s">
        <v>49</v>
      </c>
      <c r="E11" s="24">
        <f t="shared" si="7"/>
        <v>120</v>
      </c>
      <c r="F11" s="30">
        <v>27.2</v>
      </c>
      <c r="G11" s="29">
        <f t="shared" si="8"/>
        <v>2.2666666666666666</v>
      </c>
      <c r="H11" s="51">
        <f t="shared" si="9"/>
        <v>272</v>
      </c>
      <c r="I11" s="52"/>
      <c r="J11" s="53">
        <f t="shared" si="10"/>
        <v>2.2666666666666666</v>
      </c>
      <c r="K11" s="53">
        <f t="shared" si="11"/>
        <v>272</v>
      </c>
      <c r="L11" s="53">
        <f t="shared" si="12"/>
        <v>2.4882892276912632</v>
      </c>
      <c r="M11" s="53">
        <f t="shared" si="13"/>
        <v>298.59470732295159</v>
      </c>
      <c r="N11" s="64">
        <v>3.5</v>
      </c>
      <c r="O11" s="37">
        <f t="shared" si="14"/>
        <v>420</v>
      </c>
      <c r="P11" s="37">
        <f t="shared" si="15"/>
        <v>1.0117107723087368</v>
      </c>
      <c r="Q11" s="37">
        <f t="shared" si="16"/>
        <v>121.40529267704842</v>
      </c>
      <c r="R11" s="38">
        <f t="shared" si="17"/>
        <v>0.2890602206596391</v>
      </c>
      <c r="S11" s="78"/>
    </row>
    <row r="12" spans="1:19" s="16" customFormat="1" ht="45" customHeight="1">
      <c r="A12" s="80">
        <v>6</v>
      </c>
      <c r="B12" s="100" t="s">
        <v>110</v>
      </c>
      <c r="C12" s="82">
        <v>10</v>
      </c>
      <c r="D12" s="83" t="s">
        <v>36</v>
      </c>
      <c r="E12" s="82">
        <f t="shared" si="7"/>
        <v>80</v>
      </c>
      <c r="F12" s="84">
        <v>8.5</v>
      </c>
      <c r="G12" s="85">
        <f t="shared" si="8"/>
        <v>1.0625</v>
      </c>
      <c r="H12" s="86">
        <f t="shared" si="9"/>
        <v>85</v>
      </c>
      <c r="I12" s="87"/>
      <c r="J12" s="88">
        <f t="shared" si="10"/>
        <v>1.0625</v>
      </c>
      <c r="K12" s="88">
        <f t="shared" si="11"/>
        <v>85</v>
      </c>
      <c r="L12" s="88">
        <f t="shared" si="12"/>
        <v>1.1663855754802797</v>
      </c>
      <c r="M12" s="88">
        <f t="shared" si="13"/>
        <v>93.310846038422369</v>
      </c>
      <c r="N12" s="89">
        <v>1.5</v>
      </c>
      <c r="O12" s="90">
        <f t="shared" si="14"/>
        <v>120</v>
      </c>
      <c r="P12" s="90">
        <f t="shared" si="15"/>
        <v>0.33361442451972034</v>
      </c>
      <c r="Q12" s="90">
        <f t="shared" si="16"/>
        <v>26.689153961577627</v>
      </c>
      <c r="R12" s="91">
        <f t="shared" si="17"/>
        <v>0.22240961634648024</v>
      </c>
      <c r="S12" s="98"/>
    </row>
    <row r="13" spans="1:19" s="16" customFormat="1" ht="45" customHeight="1">
      <c r="A13" s="80">
        <v>7</v>
      </c>
      <c r="B13" s="100" t="s">
        <v>111</v>
      </c>
      <c r="C13" s="82">
        <v>30</v>
      </c>
      <c r="D13" s="83" t="s">
        <v>36</v>
      </c>
      <c r="E13" s="82">
        <f t="shared" si="7"/>
        <v>240</v>
      </c>
      <c r="F13" s="84">
        <v>8.5</v>
      </c>
      <c r="G13" s="85">
        <f t="shared" si="8"/>
        <v>1.0625</v>
      </c>
      <c r="H13" s="86">
        <f t="shared" si="9"/>
        <v>255</v>
      </c>
      <c r="I13" s="87"/>
      <c r="J13" s="88">
        <f t="shared" si="10"/>
        <v>1.0625</v>
      </c>
      <c r="K13" s="88">
        <f t="shared" si="11"/>
        <v>255</v>
      </c>
      <c r="L13" s="88">
        <f t="shared" si="12"/>
        <v>1.1663855754802797</v>
      </c>
      <c r="M13" s="88">
        <f t="shared" si="13"/>
        <v>279.93253811526711</v>
      </c>
      <c r="N13" s="89">
        <v>1.5</v>
      </c>
      <c r="O13" s="90">
        <f t="shared" si="14"/>
        <v>360</v>
      </c>
      <c r="P13" s="90">
        <f t="shared" si="15"/>
        <v>0.33361442451972034</v>
      </c>
      <c r="Q13" s="90">
        <f t="shared" si="16"/>
        <v>80.067461884732879</v>
      </c>
      <c r="R13" s="91">
        <f t="shared" si="17"/>
        <v>0.22240961634648024</v>
      </c>
      <c r="S13" s="98"/>
    </row>
    <row r="14" spans="1:19" s="16" customFormat="1" ht="45" customHeight="1">
      <c r="A14" s="80">
        <v>8</v>
      </c>
      <c r="B14" s="100" t="s">
        <v>112</v>
      </c>
      <c r="C14" s="82">
        <v>20</v>
      </c>
      <c r="D14" s="83" t="s">
        <v>36</v>
      </c>
      <c r="E14" s="82">
        <f t="shared" si="7"/>
        <v>160</v>
      </c>
      <c r="F14" s="84">
        <v>8.5</v>
      </c>
      <c r="G14" s="85">
        <f t="shared" si="8"/>
        <v>1.0625</v>
      </c>
      <c r="H14" s="86">
        <f t="shared" si="9"/>
        <v>170</v>
      </c>
      <c r="I14" s="87"/>
      <c r="J14" s="88">
        <f t="shared" si="10"/>
        <v>1.0625</v>
      </c>
      <c r="K14" s="88">
        <f t="shared" si="11"/>
        <v>170</v>
      </c>
      <c r="L14" s="88">
        <f t="shared" si="12"/>
        <v>1.1663855754802797</v>
      </c>
      <c r="M14" s="88">
        <f t="shared" si="13"/>
        <v>186.62169207684474</v>
      </c>
      <c r="N14" s="89">
        <v>1.5</v>
      </c>
      <c r="O14" s="90">
        <f t="shared" si="14"/>
        <v>240</v>
      </c>
      <c r="P14" s="90">
        <f t="shared" si="15"/>
        <v>0.33361442451972034</v>
      </c>
      <c r="Q14" s="90">
        <f t="shared" si="16"/>
        <v>53.378307923155255</v>
      </c>
      <c r="R14" s="91">
        <f t="shared" si="17"/>
        <v>0.22240961634648024</v>
      </c>
      <c r="S14" s="98"/>
    </row>
    <row r="15" spans="1:19" s="16" customFormat="1" ht="45" customHeight="1">
      <c r="A15" s="54">
        <v>9</v>
      </c>
      <c r="B15" s="93" t="s">
        <v>82</v>
      </c>
      <c r="C15" s="24">
        <v>10</v>
      </c>
      <c r="D15" s="63" t="s">
        <v>38</v>
      </c>
      <c r="E15" s="24">
        <f t="shared" si="7"/>
        <v>500</v>
      </c>
      <c r="F15" s="30">
        <v>39</v>
      </c>
      <c r="G15" s="29">
        <f t="shared" si="8"/>
        <v>0.78</v>
      </c>
      <c r="H15" s="51">
        <f t="shared" si="9"/>
        <v>390</v>
      </c>
      <c r="I15" s="52"/>
      <c r="J15" s="53">
        <f t="shared" si="10"/>
        <v>0.78</v>
      </c>
      <c r="K15" s="53">
        <f t="shared" si="11"/>
        <v>390</v>
      </c>
      <c r="L15" s="53">
        <f t="shared" si="12"/>
        <v>0.8562642342349347</v>
      </c>
      <c r="M15" s="53">
        <f t="shared" si="13"/>
        <v>428.13211711746737</v>
      </c>
      <c r="N15" s="64">
        <v>1.25</v>
      </c>
      <c r="O15" s="37">
        <f t="shared" si="14"/>
        <v>625</v>
      </c>
      <c r="P15" s="37">
        <f t="shared" si="15"/>
        <v>0.3937357657650653</v>
      </c>
      <c r="Q15" s="37">
        <f t="shared" si="16"/>
        <v>196.86788288253265</v>
      </c>
      <c r="R15" s="38">
        <f t="shared" si="17"/>
        <v>0.31498861261205224</v>
      </c>
      <c r="S15" s="78"/>
    </row>
    <row r="16" spans="1:19" s="16" customFormat="1" ht="45" customHeight="1">
      <c r="A16" s="54">
        <v>10</v>
      </c>
      <c r="B16" s="62" t="s">
        <v>113</v>
      </c>
      <c r="C16" s="24">
        <v>5</v>
      </c>
      <c r="D16" s="63" t="s">
        <v>49</v>
      </c>
      <c r="E16" s="24">
        <f t="shared" si="7"/>
        <v>60</v>
      </c>
      <c r="F16" s="30">
        <v>34.5</v>
      </c>
      <c r="G16" s="29">
        <f t="shared" si="8"/>
        <v>2.875</v>
      </c>
      <c r="H16" s="51">
        <f t="shared" si="9"/>
        <v>172.5</v>
      </c>
      <c r="I16" s="52"/>
      <c r="J16" s="53">
        <f t="shared" si="10"/>
        <v>2.875</v>
      </c>
      <c r="K16" s="53">
        <f t="shared" si="11"/>
        <v>172.5</v>
      </c>
      <c r="L16" s="53">
        <f t="shared" si="12"/>
        <v>3.1561021454172273</v>
      </c>
      <c r="M16" s="53">
        <f t="shared" si="13"/>
        <v>189.36612872503363</v>
      </c>
      <c r="N16" s="64">
        <v>4.95</v>
      </c>
      <c r="O16" s="37">
        <f t="shared" si="14"/>
        <v>297</v>
      </c>
      <c r="P16" s="37">
        <f t="shared" si="15"/>
        <v>1.7938978545827728</v>
      </c>
      <c r="Q16" s="37">
        <f t="shared" si="16"/>
        <v>107.63387127496637</v>
      </c>
      <c r="R16" s="38">
        <f t="shared" si="17"/>
        <v>0.36240360698641877</v>
      </c>
      <c r="S16" s="78"/>
    </row>
    <row r="17" spans="1:19" s="16" customFormat="1" ht="45" customHeight="1">
      <c r="A17" s="54">
        <v>11</v>
      </c>
      <c r="B17" s="62" t="s">
        <v>73</v>
      </c>
      <c r="C17" s="24">
        <v>2</v>
      </c>
      <c r="D17" s="63" t="s">
        <v>49</v>
      </c>
      <c r="E17" s="24">
        <f t="shared" si="7"/>
        <v>24</v>
      </c>
      <c r="F17" s="30">
        <v>34.5</v>
      </c>
      <c r="G17" s="29">
        <f t="shared" si="0"/>
        <v>2.875</v>
      </c>
      <c r="H17" s="51">
        <f t="shared" si="1"/>
        <v>69</v>
      </c>
      <c r="I17" s="52"/>
      <c r="J17" s="53">
        <f t="shared" ref="J17:J31" si="18">G17/$Q$2</f>
        <v>2.875</v>
      </c>
      <c r="K17" s="53">
        <f t="shared" si="2"/>
        <v>69</v>
      </c>
      <c r="L17" s="53">
        <f t="shared" ref="L17:L31" si="19">J17*(1+$M$35+9%)</f>
        <v>3.1561021454172273</v>
      </c>
      <c r="M17" s="53">
        <f t="shared" ref="M17:M31" si="20">L17*E17</f>
        <v>75.746451490013456</v>
      </c>
      <c r="N17" s="64">
        <v>4.95</v>
      </c>
      <c r="O17" s="37">
        <f t="shared" si="3"/>
        <v>118.80000000000001</v>
      </c>
      <c r="P17" s="37">
        <f t="shared" si="4"/>
        <v>1.7938978545827728</v>
      </c>
      <c r="Q17" s="37">
        <f t="shared" si="5"/>
        <v>43.053548509986548</v>
      </c>
      <c r="R17" s="38">
        <f t="shared" si="6"/>
        <v>0.36240360698641877</v>
      </c>
      <c r="S17" s="102"/>
    </row>
    <row r="18" spans="1:19" s="16" customFormat="1" ht="45" customHeight="1">
      <c r="A18" s="54">
        <v>12</v>
      </c>
      <c r="B18" s="72" t="s">
        <v>42</v>
      </c>
      <c r="C18" s="24">
        <v>20</v>
      </c>
      <c r="D18" s="63" t="s">
        <v>39</v>
      </c>
      <c r="E18" s="24">
        <f t="shared" si="7"/>
        <v>600</v>
      </c>
      <c r="F18" s="30">
        <v>16.2</v>
      </c>
      <c r="G18" s="29">
        <f t="shared" si="0"/>
        <v>0.53999999999999992</v>
      </c>
      <c r="H18" s="51">
        <f t="shared" si="1"/>
        <v>323.99999999999994</v>
      </c>
      <c r="I18" s="52"/>
      <c r="J18" s="53">
        <f t="shared" si="18"/>
        <v>0.53999999999999992</v>
      </c>
      <c r="K18" s="53">
        <f t="shared" si="2"/>
        <v>323.99999999999994</v>
      </c>
      <c r="L18" s="53">
        <f t="shared" si="19"/>
        <v>0.59279831600880084</v>
      </c>
      <c r="M18" s="53">
        <f t="shared" si="20"/>
        <v>355.67898960528049</v>
      </c>
      <c r="N18" s="64">
        <v>1</v>
      </c>
      <c r="O18" s="37">
        <f t="shared" si="3"/>
        <v>600</v>
      </c>
      <c r="P18" s="37">
        <f t="shared" si="4"/>
        <v>0.40720168399119916</v>
      </c>
      <c r="Q18" s="37">
        <f t="shared" si="5"/>
        <v>244.32101039471951</v>
      </c>
      <c r="R18" s="38">
        <f t="shared" si="6"/>
        <v>0.40720168399119916</v>
      </c>
      <c r="S18" s="102"/>
    </row>
    <row r="19" spans="1:19" s="16" customFormat="1" ht="45" customHeight="1">
      <c r="A19" s="54">
        <v>13</v>
      </c>
      <c r="B19" s="72" t="s">
        <v>41</v>
      </c>
      <c r="C19" s="24">
        <v>30</v>
      </c>
      <c r="D19" s="63" t="s">
        <v>39</v>
      </c>
      <c r="E19" s="24">
        <f t="shared" si="7"/>
        <v>900</v>
      </c>
      <c r="F19" s="30">
        <v>16.2</v>
      </c>
      <c r="G19" s="29">
        <f t="shared" si="0"/>
        <v>0.53999999999999992</v>
      </c>
      <c r="H19" s="51">
        <f t="shared" si="1"/>
        <v>485.99999999999994</v>
      </c>
      <c r="I19" s="52"/>
      <c r="J19" s="53">
        <f t="shared" si="18"/>
        <v>0.53999999999999992</v>
      </c>
      <c r="K19" s="53">
        <f t="shared" si="2"/>
        <v>485.99999999999994</v>
      </c>
      <c r="L19" s="53">
        <f t="shared" si="19"/>
        <v>0.59279831600880084</v>
      </c>
      <c r="M19" s="53">
        <f t="shared" si="20"/>
        <v>533.51848440792071</v>
      </c>
      <c r="N19" s="64">
        <v>1</v>
      </c>
      <c r="O19" s="37">
        <f t="shared" si="3"/>
        <v>900</v>
      </c>
      <c r="P19" s="37">
        <f t="shared" si="4"/>
        <v>0.40720168399119916</v>
      </c>
      <c r="Q19" s="37">
        <f t="shared" si="5"/>
        <v>366.48151559207923</v>
      </c>
      <c r="R19" s="38">
        <f t="shared" si="6"/>
        <v>0.40720168399119916</v>
      </c>
      <c r="S19" s="50"/>
    </row>
    <row r="20" spans="1:19" s="16" customFormat="1" ht="45" customHeight="1">
      <c r="A20" s="54">
        <v>14</v>
      </c>
      <c r="B20" s="93" t="s">
        <v>114</v>
      </c>
      <c r="C20" s="24">
        <v>5</v>
      </c>
      <c r="D20" s="63" t="s">
        <v>81</v>
      </c>
      <c r="E20" s="24">
        <f t="shared" ref="E20:E31" si="21">D20*C20</f>
        <v>270</v>
      </c>
      <c r="F20" s="30">
        <v>34.799999999999997</v>
      </c>
      <c r="G20" s="29">
        <f t="shared" si="0"/>
        <v>0.64444444444444438</v>
      </c>
      <c r="H20" s="51">
        <f t="shared" si="1"/>
        <v>173.99999999999997</v>
      </c>
      <c r="I20" s="52"/>
      <c r="J20" s="53">
        <f t="shared" si="18"/>
        <v>0.64444444444444438</v>
      </c>
      <c r="K20" s="53">
        <f t="shared" si="2"/>
        <v>173.99999999999997</v>
      </c>
      <c r="L20" s="53">
        <f t="shared" si="19"/>
        <v>0.7074547804220257</v>
      </c>
      <c r="M20" s="53">
        <f t="shared" si="20"/>
        <v>191.01279071394694</v>
      </c>
      <c r="N20" s="64">
        <v>1</v>
      </c>
      <c r="O20" s="37">
        <f t="shared" si="3"/>
        <v>270</v>
      </c>
      <c r="P20" s="37">
        <f t="shared" si="4"/>
        <v>0.2925452195779743</v>
      </c>
      <c r="Q20" s="37">
        <f t="shared" si="5"/>
        <v>78.987209286053059</v>
      </c>
      <c r="R20" s="38">
        <f t="shared" si="6"/>
        <v>0.2925452195779743</v>
      </c>
      <c r="S20" s="109"/>
    </row>
    <row r="21" spans="1:19" s="16" customFormat="1" ht="45" customHeight="1">
      <c r="A21" s="54">
        <v>15</v>
      </c>
      <c r="B21" s="93" t="s">
        <v>83</v>
      </c>
      <c r="C21" s="24">
        <v>10</v>
      </c>
      <c r="D21" s="63" t="s">
        <v>81</v>
      </c>
      <c r="E21" s="24">
        <f t="shared" si="21"/>
        <v>540</v>
      </c>
      <c r="F21" s="30">
        <v>34.799999999999997</v>
      </c>
      <c r="G21" s="29">
        <f t="shared" si="0"/>
        <v>0.64444444444444438</v>
      </c>
      <c r="H21" s="51">
        <f t="shared" si="1"/>
        <v>347.99999999999994</v>
      </c>
      <c r="I21" s="52"/>
      <c r="J21" s="53">
        <f t="shared" si="18"/>
        <v>0.64444444444444438</v>
      </c>
      <c r="K21" s="53">
        <f t="shared" si="2"/>
        <v>347.99999999999994</v>
      </c>
      <c r="L21" s="53">
        <f t="shared" si="19"/>
        <v>0.7074547804220257</v>
      </c>
      <c r="M21" s="53">
        <f t="shared" si="20"/>
        <v>382.02558142789388</v>
      </c>
      <c r="N21" s="64">
        <v>1</v>
      </c>
      <c r="O21" s="37">
        <f t="shared" si="3"/>
        <v>540</v>
      </c>
      <c r="P21" s="37">
        <f t="shared" si="4"/>
        <v>0.2925452195779743</v>
      </c>
      <c r="Q21" s="37">
        <f t="shared" si="5"/>
        <v>157.97441857210612</v>
      </c>
      <c r="R21" s="38">
        <f t="shared" si="6"/>
        <v>0.2925452195779743</v>
      </c>
      <c r="S21" s="109"/>
    </row>
    <row r="22" spans="1:19" s="16" customFormat="1" ht="45" customHeight="1">
      <c r="A22" s="80">
        <v>16</v>
      </c>
      <c r="B22" s="110" t="s">
        <v>115</v>
      </c>
      <c r="C22" s="82">
        <v>21</v>
      </c>
      <c r="D22" s="83" t="s">
        <v>36</v>
      </c>
      <c r="E22" s="82">
        <f t="shared" si="21"/>
        <v>168</v>
      </c>
      <c r="F22" s="84">
        <v>15</v>
      </c>
      <c r="G22" s="85">
        <f t="shared" si="0"/>
        <v>1.875</v>
      </c>
      <c r="H22" s="86">
        <f t="shared" si="1"/>
        <v>315</v>
      </c>
      <c r="I22" s="87"/>
      <c r="J22" s="88">
        <f t="shared" si="18"/>
        <v>1.875</v>
      </c>
      <c r="K22" s="88">
        <f t="shared" si="2"/>
        <v>315</v>
      </c>
      <c r="L22" s="88">
        <f t="shared" si="19"/>
        <v>2.0583274861416698</v>
      </c>
      <c r="M22" s="88">
        <f t="shared" si="20"/>
        <v>345.79901767180053</v>
      </c>
      <c r="N22" s="89">
        <v>2.5</v>
      </c>
      <c r="O22" s="90">
        <f t="shared" si="3"/>
        <v>420</v>
      </c>
      <c r="P22" s="90">
        <f t="shared" si="4"/>
        <v>0.44167251385833017</v>
      </c>
      <c r="Q22" s="90">
        <f t="shared" si="5"/>
        <v>74.200982328199473</v>
      </c>
      <c r="R22" s="91">
        <f t="shared" si="6"/>
        <v>0.17666900554333206</v>
      </c>
      <c r="S22" s="96"/>
    </row>
    <row r="23" spans="1:19" s="16" customFormat="1" ht="45" customHeight="1">
      <c r="A23" s="80">
        <v>17</v>
      </c>
      <c r="B23" s="95" t="s">
        <v>116</v>
      </c>
      <c r="C23" s="82">
        <v>15</v>
      </c>
      <c r="D23" s="83" t="s">
        <v>36</v>
      </c>
      <c r="E23" s="82">
        <f t="shared" si="21"/>
        <v>120</v>
      </c>
      <c r="F23" s="84">
        <v>15</v>
      </c>
      <c r="G23" s="85">
        <f t="shared" si="0"/>
        <v>1.875</v>
      </c>
      <c r="H23" s="86">
        <f t="shared" si="1"/>
        <v>225</v>
      </c>
      <c r="I23" s="87"/>
      <c r="J23" s="88">
        <f t="shared" si="18"/>
        <v>1.875</v>
      </c>
      <c r="K23" s="88">
        <f t="shared" si="2"/>
        <v>225</v>
      </c>
      <c r="L23" s="88">
        <f t="shared" si="19"/>
        <v>2.0583274861416698</v>
      </c>
      <c r="M23" s="88">
        <f t="shared" si="20"/>
        <v>246.99929833700037</v>
      </c>
      <c r="N23" s="89">
        <v>2.5</v>
      </c>
      <c r="O23" s="90">
        <f t="shared" si="3"/>
        <v>300</v>
      </c>
      <c r="P23" s="90">
        <f t="shared" si="4"/>
        <v>0.44167251385833017</v>
      </c>
      <c r="Q23" s="90">
        <f t="shared" si="5"/>
        <v>53.000701662999617</v>
      </c>
      <c r="R23" s="91">
        <f t="shared" si="6"/>
        <v>0.17666900554333206</v>
      </c>
      <c r="S23" s="96"/>
    </row>
    <row r="24" spans="1:19" s="16" customFormat="1" ht="45" customHeight="1">
      <c r="A24" s="80">
        <v>18</v>
      </c>
      <c r="B24" s="75" t="s">
        <v>117</v>
      </c>
      <c r="C24" s="82">
        <v>15</v>
      </c>
      <c r="D24" s="83" t="s">
        <v>36</v>
      </c>
      <c r="E24" s="82">
        <f t="shared" si="21"/>
        <v>120</v>
      </c>
      <c r="F24" s="84">
        <v>11.5</v>
      </c>
      <c r="G24" s="85">
        <f t="shared" si="0"/>
        <v>1.4375</v>
      </c>
      <c r="H24" s="86">
        <f t="shared" si="1"/>
        <v>172.5</v>
      </c>
      <c r="I24" s="87"/>
      <c r="J24" s="88">
        <f t="shared" si="18"/>
        <v>1.4375</v>
      </c>
      <c r="K24" s="88">
        <f t="shared" si="2"/>
        <v>172.5</v>
      </c>
      <c r="L24" s="88">
        <f t="shared" si="19"/>
        <v>1.5780510727086137</v>
      </c>
      <c r="M24" s="88">
        <f t="shared" si="20"/>
        <v>189.36612872503363</v>
      </c>
      <c r="N24" s="89">
        <v>1.95</v>
      </c>
      <c r="O24" s="90">
        <f t="shared" si="3"/>
        <v>234</v>
      </c>
      <c r="P24" s="90">
        <f t="shared" si="4"/>
        <v>0.37194892729138629</v>
      </c>
      <c r="Q24" s="90">
        <f t="shared" si="5"/>
        <v>44.633871274966353</v>
      </c>
      <c r="R24" s="91">
        <f t="shared" si="6"/>
        <v>0.19074303963660835</v>
      </c>
      <c r="S24" s="92"/>
    </row>
    <row r="25" spans="1:19" s="16" customFormat="1" ht="45" customHeight="1">
      <c r="A25" s="80">
        <v>19</v>
      </c>
      <c r="B25" s="100" t="s">
        <v>118</v>
      </c>
      <c r="C25" s="82">
        <v>15</v>
      </c>
      <c r="D25" s="83" t="s">
        <v>37</v>
      </c>
      <c r="E25" s="82">
        <f t="shared" si="21"/>
        <v>150</v>
      </c>
      <c r="F25" s="84">
        <v>13.5</v>
      </c>
      <c r="G25" s="85">
        <f t="shared" si="0"/>
        <v>1.35</v>
      </c>
      <c r="H25" s="86">
        <f t="shared" si="1"/>
        <v>202.5</v>
      </c>
      <c r="I25" s="87"/>
      <c r="J25" s="88">
        <f t="shared" si="18"/>
        <v>1.35</v>
      </c>
      <c r="K25" s="88">
        <f t="shared" si="2"/>
        <v>202.5</v>
      </c>
      <c r="L25" s="88">
        <f t="shared" si="19"/>
        <v>1.4819957900220024</v>
      </c>
      <c r="M25" s="88">
        <f t="shared" si="20"/>
        <v>222.29936850330037</v>
      </c>
      <c r="N25" s="89">
        <v>1.95</v>
      </c>
      <c r="O25" s="90">
        <f t="shared" si="3"/>
        <v>292.5</v>
      </c>
      <c r="P25" s="90">
        <f t="shared" si="4"/>
        <v>0.46800420997799752</v>
      </c>
      <c r="Q25" s="90">
        <f t="shared" si="5"/>
        <v>70.200631496699629</v>
      </c>
      <c r="R25" s="91">
        <f t="shared" si="6"/>
        <v>0.24000215896307567</v>
      </c>
      <c r="S25" s="92"/>
    </row>
    <row r="26" spans="1:19" s="16" customFormat="1" ht="45" customHeight="1">
      <c r="A26" s="54">
        <v>20</v>
      </c>
      <c r="B26" s="93" t="s">
        <v>119</v>
      </c>
      <c r="C26" s="24">
        <v>10</v>
      </c>
      <c r="D26" s="63" t="s">
        <v>49</v>
      </c>
      <c r="E26" s="24">
        <f t="shared" si="21"/>
        <v>120</v>
      </c>
      <c r="F26" s="30">
        <v>18.850000000000001</v>
      </c>
      <c r="G26" s="29">
        <f t="shared" si="0"/>
        <v>1.5708333333333335</v>
      </c>
      <c r="H26" s="51">
        <f t="shared" si="1"/>
        <v>188.50000000000003</v>
      </c>
      <c r="I26" s="52"/>
      <c r="J26" s="53">
        <f t="shared" si="18"/>
        <v>1.5708333333333335</v>
      </c>
      <c r="K26" s="53">
        <f t="shared" si="2"/>
        <v>188.50000000000003</v>
      </c>
      <c r="L26" s="53">
        <f t="shared" si="19"/>
        <v>1.7244210272786882</v>
      </c>
      <c r="M26" s="53">
        <f t="shared" si="20"/>
        <v>206.93052327344259</v>
      </c>
      <c r="N26" s="64">
        <v>2.5</v>
      </c>
      <c r="O26" s="37">
        <f t="shared" si="3"/>
        <v>300</v>
      </c>
      <c r="P26" s="37">
        <f t="shared" si="4"/>
        <v>0.77557897272131182</v>
      </c>
      <c r="Q26" s="37">
        <f t="shared" si="5"/>
        <v>93.069476726557411</v>
      </c>
      <c r="R26" s="38">
        <f t="shared" si="6"/>
        <v>0.31023158908852472</v>
      </c>
      <c r="S26" s="50"/>
    </row>
    <row r="27" spans="1:19" s="16" customFormat="1" ht="45" customHeight="1">
      <c r="A27" s="54">
        <v>21</v>
      </c>
      <c r="B27" s="74" t="s">
        <v>120</v>
      </c>
      <c r="C27" s="24">
        <v>12</v>
      </c>
      <c r="D27" s="63" t="s">
        <v>107</v>
      </c>
      <c r="E27" s="24">
        <f t="shared" si="21"/>
        <v>72</v>
      </c>
      <c r="F27" s="30">
        <v>26</v>
      </c>
      <c r="G27" s="29">
        <f t="shared" si="0"/>
        <v>4.333333333333333</v>
      </c>
      <c r="H27" s="51">
        <f t="shared" si="1"/>
        <v>312</v>
      </c>
      <c r="I27" s="52"/>
      <c r="J27" s="53">
        <f t="shared" si="18"/>
        <v>4.333333333333333</v>
      </c>
      <c r="K27" s="53">
        <f t="shared" si="2"/>
        <v>312</v>
      </c>
      <c r="L27" s="53">
        <f t="shared" si="19"/>
        <v>4.7570235235274145</v>
      </c>
      <c r="M27" s="53">
        <f t="shared" si="20"/>
        <v>342.50569369397385</v>
      </c>
      <c r="N27" s="64">
        <v>6.95</v>
      </c>
      <c r="O27" s="37">
        <f t="shared" si="3"/>
        <v>500.40000000000003</v>
      </c>
      <c r="P27" s="37">
        <f t="shared" si="4"/>
        <v>2.1929764764725856</v>
      </c>
      <c r="Q27" s="37">
        <f t="shared" si="5"/>
        <v>157.89430630602618</v>
      </c>
      <c r="R27" s="38">
        <f t="shared" si="6"/>
        <v>0.31553618366512021</v>
      </c>
      <c r="S27" s="102"/>
    </row>
    <row r="28" spans="1:19" s="16" customFormat="1" ht="45" customHeight="1">
      <c r="A28" s="54">
        <v>22</v>
      </c>
      <c r="B28" s="79" t="s">
        <v>121</v>
      </c>
      <c r="C28" s="24">
        <v>10</v>
      </c>
      <c r="D28" s="63" t="s">
        <v>49</v>
      </c>
      <c r="E28" s="24">
        <f t="shared" si="21"/>
        <v>120</v>
      </c>
      <c r="F28" s="30">
        <v>20.5</v>
      </c>
      <c r="G28" s="29">
        <f t="shared" si="0"/>
        <v>1.7083333333333333</v>
      </c>
      <c r="H28" s="51">
        <f t="shared" si="1"/>
        <v>205</v>
      </c>
      <c r="I28" s="52"/>
      <c r="J28" s="53">
        <f t="shared" si="18"/>
        <v>1.7083333333333333</v>
      </c>
      <c r="K28" s="53">
        <f t="shared" si="2"/>
        <v>205</v>
      </c>
      <c r="L28" s="53">
        <f t="shared" si="19"/>
        <v>1.8753650429290769</v>
      </c>
      <c r="M28" s="53">
        <f t="shared" si="20"/>
        <v>225.04380515148924</v>
      </c>
      <c r="N28" s="64">
        <v>2.75</v>
      </c>
      <c r="O28" s="37">
        <f t="shared" si="3"/>
        <v>330</v>
      </c>
      <c r="P28" s="37">
        <f t="shared" si="4"/>
        <v>0.87463495707092309</v>
      </c>
      <c r="Q28" s="37">
        <f t="shared" si="5"/>
        <v>104.95619484851078</v>
      </c>
      <c r="R28" s="38">
        <f t="shared" si="6"/>
        <v>0.3180490752985175</v>
      </c>
      <c r="S28" s="50"/>
    </row>
    <row r="29" spans="1:19" s="16" customFormat="1" ht="45" customHeight="1">
      <c r="A29" s="54">
        <v>23</v>
      </c>
      <c r="B29" s="62" t="s">
        <v>122</v>
      </c>
      <c r="C29" s="24">
        <v>9</v>
      </c>
      <c r="D29" s="63" t="s">
        <v>49</v>
      </c>
      <c r="E29" s="24">
        <f t="shared" si="21"/>
        <v>108</v>
      </c>
      <c r="F29" s="30">
        <v>18.850000000000001</v>
      </c>
      <c r="G29" s="29">
        <f t="shared" si="0"/>
        <v>1.5708333333333335</v>
      </c>
      <c r="H29" s="51">
        <f t="shared" si="1"/>
        <v>169.65000000000003</v>
      </c>
      <c r="I29" s="52"/>
      <c r="J29" s="53">
        <f t="shared" si="18"/>
        <v>1.5708333333333335</v>
      </c>
      <c r="K29" s="53">
        <f t="shared" si="2"/>
        <v>169.65000000000003</v>
      </c>
      <c r="L29" s="53">
        <f t="shared" si="19"/>
        <v>1.7244210272786882</v>
      </c>
      <c r="M29" s="53">
        <f t="shared" si="20"/>
        <v>186.23747094609831</v>
      </c>
      <c r="N29" s="64">
        <v>2.5</v>
      </c>
      <c r="O29" s="37">
        <f t="shared" si="3"/>
        <v>270</v>
      </c>
      <c r="P29" s="37">
        <f t="shared" si="4"/>
        <v>0.77557897272131182</v>
      </c>
      <c r="Q29" s="37">
        <f t="shared" si="5"/>
        <v>83.762529053901673</v>
      </c>
      <c r="R29" s="38">
        <f t="shared" si="6"/>
        <v>0.31023158908852472</v>
      </c>
      <c r="S29" s="50"/>
    </row>
    <row r="30" spans="1:19" s="16" customFormat="1" ht="45" customHeight="1">
      <c r="A30" s="54">
        <v>24</v>
      </c>
      <c r="B30" s="62" t="s">
        <v>123</v>
      </c>
      <c r="C30" s="24">
        <v>5</v>
      </c>
      <c r="D30" s="63" t="s">
        <v>58</v>
      </c>
      <c r="E30" s="24">
        <f t="shared" si="21"/>
        <v>100</v>
      </c>
      <c r="F30" s="30">
        <v>29</v>
      </c>
      <c r="G30" s="29">
        <f t="shared" si="0"/>
        <v>1.45</v>
      </c>
      <c r="H30" s="51">
        <f t="shared" si="1"/>
        <v>145</v>
      </c>
      <c r="I30" s="52"/>
      <c r="J30" s="53">
        <f t="shared" si="18"/>
        <v>1.45</v>
      </c>
      <c r="K30" s="53">
        <f t="shared" si="2"/>
        <v>145</v>
      </c>
      <c r="L30" s="53">
        <f t="shared" si="19"/>
        <v>1.5917732559495581</v>
      </c>
      <c r="M30" s="53">
        <f t="shared" si="20"/>
        <v>159.17732559495582</v>
      </c>
      <c r="N30" s="64">
        <v>2.5</v>
      </c>
      <c r="O30" s="37">
        <f t="shared" si="3"/>
        <v>250</v>
      </c>
      <c r="P30" s="37">
        <f t="shared" si="4"/>
        <v>0.9082267440504419</v>
      </c>
      <c r="Q30" s="37">
        <f t="shared" si="5"/>
        <v>90.822674405044197</v>
      </c>
      <c r="R30" s="38">
        <f t="shared" si="6"/>
        <v>0.36329069762017674</v>
      </c>
      <c r="S30" s="50"/>
    </row>
    <row r="31" spans="1:19" s="16" customFormat="1" ht="45" customHeight="1">
      <c r="A31" s="54">
        <v>25</v>
      </c>
      <c r="B31" s="97" t="s">
        <v>124</v>
      </c>
      <c r="C31" s="24">
        <v>5</v>
      </c>
      <c r="D31" s="63" t="s">
        <v>58</v>
      </c>
      <c r="E31" s="24">
        <f t="shared" si="21"/>
        <v>100</v>
      </c>
      <c r="F31" s="30">
        <v>29</v>
      </c>
      <c r="G31" s="29">
        <f t="shared" si="0"/>
        <v>1.45</v>
      </c>
      <c r="H31" s="51">
        <f t="shared" si="1"/>
        <v>145</v>
      </c>
      <c r="I31" s="52"/>
      <c r="J31" s="53">
        <f t="shared" si="18"/>
        <v>1.45</v>
      </c>
      <c r="K31" s="53">
        <f t="shared" si="2"/>
        <v>145</v>
      </c>
      <c r="L31" s="53">
        <f t="shared" si="19"/>
        <v>1.5917732559495581</v>
      </c>
      <c r="M31" s="53">
        <f t="shared" si="20"/>
        <v>159.17732559495582</v>
      </c>
      <c r="N31" s="64">
        <v>2.5</v>
      </c>
      <c r="O31" s="37">
        <f t="shared" si="3"/>
        <v>250</v>
      </c>
      <c r="P31" s="37">
        <f t="shared" si="4"/>
        <v>0.9082267440504419</v>
      </c>
      <c r="Q31" s="37">
        <f t="shared" si="5"/>
        <v>90.822674405044197</v>
      </c>
      <c r="R31" s="38">
        <f t="shared" si="6"/>
        <v>0.36329069762017674</v>
      </c>
      <c r="S31" s="50"/>
    </row>
    <row r="32" spans="1:19" s="16" customFormat="1" ht="48" customHeight="1" thickBot="1">
      <c r="A32" s="137"/>
      <c r="B32" s="138"/>
      <c r="C32" s="138"/>
      <c r="D32" s="139"/>
      <c r="E32" s="147"/>
      <c r="F32" s="147"/>
      <c r="G32" s="149" t="s">
        <v>16</v>
      </c>
      <c r="H32" s="151">
        <f>SUM(H7:H31)</f>
        <v>6431.15</v>
      </c>
      <c r="I32" s="65"/>
      <c r="J32" s="66" t="s">
        <v>17</v>
      </c>
      <c r="K32" s="67">
        <f>SUM(K7:K31)</f>
        <v>6431.15</v>
      </c>
      <c r="L32" s="124" t="s">
        <v>18</v>
      </c>
      <c r="M32" s="125"/>
      <c r="N32" s="126">
        <f>SUM(O7:O31)</f>
        <v>10126.199999999999</v>
      </c>
      <c r="O32" s="127"/>
      <c r="P32" s="128" t="s">
        <v>19</v>
      </c>
      <c r="Q32" s="129"/>
      <c r="R32" s="132">
        <f>N32-K35</f>
        <v>3066.2464999999993</v>
      </c>
      <c r="S32" s="33"/>
    </row>
    <row r="33" spans="1:19" ht="48" customHeight="1" thickBot="1">
      <c r="A33" s="140"/>
      <c r="B33" s="138"/>
      <c r="C33" s="138"/>
      <c r="D33" s="139"/>
      <c r="E33" s="148"/>
      <c r="F33" s="148"/>
      <c r="G33" s="150"/>
      <c r="H33" s="152"/>
      <c r="I33" s="7"/>
      <c r="J33" s="17" t="s">
        <v>34</v>
      </c>
      <c r="K33" s="49">
        <f>K32*0.09</f>
        <v>578.80349999999999</v>
      </c>
      <c r="L33" s="134"/>
      <c r="M33" s="134"/>
      <c r="N33" s="134"/>
      <c r="O33" s="134"/>
      <c r="P33" s="130"/>
      <c r="Q33" s="131"/>
      <c r="R33" s="133"/>
      <c r="S33" s="25"/>
    </row>
    <row r="34" spans="1:19" ht="46.5" customHeight="1" thickBot="1">
      <c r="A34" s="141"/>
      <c r="B34" s="142"/>
      <c r="C34" s="142"/>
      <c r="D34" s="143"/>
      <c r="E34" s="8"/>
      <c r="F34" s="27"/>
      <c r="G34" s="9" t="s">
        <v>20</v>
      </c>
      <c r="H34" s="32" t="s">
        <v>27</v>
      </c>
      <c r="I34" s="7"/>
      <c r="J34" s="10" t="s">
        <v>21</v>
      </c>
      <c r="K34" s="18">
        <v>50</v>
      </c>
      <c r="L34" s="134"/>
      <c r="M34" s="134"/>
      <c r="N34" s="134"/>
      <c r="O34" s="134"/>
      <c r="P34" s="135" t="s">
        <v>22</v>
      </c>
      <c r="Q34" s="136"/>
      <c r="R34" s="11">
        <f>R32/N32</f>
        <v>0.30280327269854435</v>
      </c>
      <c r="S34" s="22"/>
    </row>
    <row r="35" spans="1:19" ht="60.75" thickBot="1">
      <c r="A35" s="144"/>
      <c r="B35" s="145"/>
      <c r="C35" s="145"/>
      <c r="D35" s="146"/>
      <c r="E35" s="12"/>
      <c r="F35" s="28"/>
      <c r="G35" s="13" t="s">
        <v>23</v>
      </c>
      <c r="H35" s="26">
        <f>SUM(H32:H34)</f>
        <v>6431.15</v>
      </c>
      <c r="I35" s="7"/>
      <c r="J35" s="14" t="s">
        <v>23</v>
      </c>
      <c r="K35" s="15">
        <f>SUM(K32:K34)</f>
        <v>7059.9534999999996</v>
      </c>
      <c r="L35" s="19" t="s">
        <v>24</v>
      </c>
      <c r="M35" s="121">
        <f>K34/K32</f>
        <v>7.7746592755572495E-3</v>
      </c>
      <c r="N35" s="122"/>
      <c r="O35" s="20"/>
      <c r="P35" s="5"/>
      <c r="Q35" s="5"/>
      <c r="R35" s="5"/>
      <c r="S35" s="21"/>
    </row>
    <row r="36" spans="1:19">
      <c r="B36" s="1"/>
      <c r="C36" s="31"/>
    </row>
    <row r="37" spans="1:19">
      <c r="B37" s="1"/>
      <c r="C37" s="31"/>
    </row>
    <row r="38" spans="1:19">
      <c r="B38" s="1"/>
    </row>
    <row r="39" spans="1:19">
      <c r="B39" s="1"/>
    </row>
    <row r="40" spans="1:19">
      <c r="B40" s="1"/>
    </row>
    <row r="41" spans="1:19" s="104" customFormat="1">
      <c r="A41" s="104" t="s">
        <v>90</v>
      </c>
      <c r="N41" s="105"/>
      <c r="S41" s="106"/>
    </row>
    <row r="42" spans="1:19" s="123" customFormat="1" ht="15.75" customHeight="1">
      <c r="A42" s="123" t="s">
        <v>91</v>
      </c>
    </row>
    <row r="47" spans="1:19">
      <c r="C47" s="31"/>
    </row>
    <row r="48" spans="1:19">
      <c r="C48" s="31"/>
    </row>
  </sheetData>
  <mergeCells count="18">
    <mergeCell ref="A1:O1"/>
    <mergeCell ref="Q1:R1"/>
    <mergeCell ref="A2:O2"/>
    <mergeCell ref="A4:H4"/>
    <mergeCell ref="J4:S4"/>
    <mergeCell ref="M35:N35"/>
    <mergeCell ref="A42:XFD42"/>
    <mergeCell ref="L32:M32"/>
    <mergeCell ref="N32:O32"/>
    <mergeCell ref="P32:Q33"/>
    <mergeCell ref="R32:R33"/>
    <mergeCell ref="L33:O34"/>
    <mergeCell ref="P34:Q34"/>
    <mergeCell ref="A32:D35"/>
    <mergeCell ref="E32:E33"/>
    <mergeCell ref="F32:F33"/>
    <mergeCell ref="G32:G33"/>
    <mergeCell ref="H32:H33"/>
  </mergeCells>
  <pageMargins left="0.23622047244094491" right="0.23622047244094491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27"/>
  <sheetViews>
    <sheetView zoomScale="80" zoomScaleNormal="80" workbookViewId="0">
      <selection activeCell="A11" sqref="A11:D14"/>
    </sheetView>
  </sheetViews>
  <sheetFormatPr defaultColWidth="14.42578125" defaultRowHeight="15.75"/>
  <cols>
    <col min="1" max="1" width="6" style="1" customWidth="1"/>
    <col min="2" max="2" width="54.5703125" style="71" customWidth="1"/>
    <col min="3" max="3" width="7.42578125" style="1" bestFit="1" customWidth="1"/>
    <col min="4" max="4" width="9.5703125" style="1" bestFit="1" customWidth="1"/>
    <col min="5" max="5" width="10.5703125" style="1" bestFit="1" customWidth="1"/>
    <col min="6" max="7" width="13.140625" style="1" bestFit="1" customWidth="1"/>
    <col min="8" max="8" width="14.5703125" style="1" customWidth="1"/>
    <col min="9" max="9" width="2.5703125" style="1" customWidth="1"/>
    <col min="10" max="10" width="13.140625" style="1" bestFit="1" customWidth="1"/>
    <col min="11" max="11" width="12.85546875" style="1" customWidth="1"/>
    <col min="12" max="12" width="12.85546875" style="1" bestFit="1" customWidth="1"/>
    <col min="13" max="13" width="12.42578125" style="1" bestFit="1" customWidth="1"/>
    <col min="14" max="14" width="13.5703125" style="16" bestFit="1" customWidth="1"/>
    <col min="15" max="15" width="11.42578125" style="1" bestFit="1" customWidth="1"/>
    <col min="16" max="16" width="12.7109375" style="1" bestFit="1" customWidth="1"/>
    <col min="17" max="17" width="12.140625" style="1" bestFit="1" customWidth="1"/>
    <col min="18" max="18" width="17.42578125" style="1" bestFit="1" customWidth="1"/>
    <col min="19" max="19" width="15.140625" style="23" customWidth="1"/>
    <col min="20" max="16384" width="14.42578125" style="1"/>
  </cols>
  <sheetData>
    <row r="1" spans="1:19" ht="32.450000000000003" customHeight="1">
      <c r="A1" s="153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5"/>
      <c r="P1" s="43" t="s">
        <v>1</v>
      </c>
      <c r="Q1" s="156">
        <v>45854</v>
      </c>
      <c r="R1" s="156"/>
      <c r="S1" s="44"/>
    </row>
    <row r="2" spans="1:19" ht="31.7" customHeight="1" thickBot="1">
      <c r="A2" s="157" t="s">
        <v>25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9"/>
      <c r="P2" s="45" t="s">
        <v>2</v>
      </c>
      <c r="Q2" s="46">
        <v>1</v>
      </c>
      <c r="R2" s="47"/>
      <c r="S2" s="48"/>
    </row>
    <row r="3" spans="1:19" ht="22.7" customHeight="1" thickBot="1">
      <c r="A3" s="2"/>
      <c r="B3" s="69" t="s">
        <v>33</v>
      </c>
      <c r="C3" s="2"/>
      <c r="D3" s="2"/>
      <c r="E3" s="3"/>
      <c r="F3" s="3"/>
      <c r="G3" s="3"/>
      <c r="H3" s="4"/>
      <c r="I3" s="5"/>
      <c r="J3" s="34"/>
      <c r="K3" s="35"/>
      <c r="L3" s="35"/>
      <c r="M3" s="35"/>
      <c r="N3" s="36"/>
      <c r="O3" s="35"/>
      <c r="P3" s="42"/>
      <c r="Q3" s="42"/>
      <c r="R3" s="42"/>
      <c r="S3" s="41"/>
    </row>
    <row r="4" spans="1:19" ht="22.7" customHeight="1" thickBot="1">
      <c r="A4" s="160" t="s">
        <v>3</v>
      </c>
      <c r="B4" s="161"/>
      <c r="C4" s="161"/>
      <c r="D4" s="161"/>
      <c r="E4" s="161"/>
      <c r="F4" s="161"/>
      <c r="G4" s="161"/>
      <c r="H4" s="162"/>
      <c r="I4" s="6"/>
      <c r="J4" s="163" t="s">
        <v>4</v>
      </c>
      <c r="K4" s="164"/>
      <c r="L4" s="164"/>
      <c r="M4" s="164"/>
      <c r="N4" s="164"/>
      <c r="O4" s="164"/>
      <c r="P4" s="164"/>
      <c r="Q4" s="164"/>
      <c r="R4" s="164"/>
      <c r="S4" s="165"/>
    </row>
    <row r="5" spans="1:19" ht="15" customHeight="1">
      <c r="A5" s="34"/>
      <c r="B5" s="70"/>
      <c r="C5" s="34"/>
      <c r="D5" s="34"/>
      <c r="E5" s="56"/>
      <c r="F5" s="56"/>
      <c r="G5" s="56"/>
      <c r="H5" s="57"/>
      <c r="I5" s="58"/>
      <c r="J5" s="39"/>
      <c r="K5" s="39"/>
      <c r="L5" s="39"/>
      <c r="M5" s="39"/>
      <c r="N5" s="40"/>
      <c r="O5" s="39"/>
      <c r="P5" s="39"/>
      <c r="Q5" s="39"/>
      <c r="R5" s="39"/>
      <c r="S5" s="41"/>
    </row>
    <row r="6" spans="1:19" ht="75">
      <c r="A6" s="55" t="s">
        <v>5</v>
      </c>
      <c r="B6" s="55" t="s">
        <v>6</v>
      </c>
      <c r="C6" s="59" t="s">
        <v>7</v>
      </c>
      <c r="D6" s="59" t="s">
        <v>26</v>
      </c>
      <c r="E6" s="59" t="s">
        <v>8</v>
      </c>
      <c r="F6" s="59" t="s">
        <v>31</v>
      </c>
      <c r="G6" s="59" t="s">
        <v>32</v>
      </c>
      <c r="H6" s="55" t="s">
        <v>9</v>
      </c>
      <c r="I6" s="60"/>
      <c r="J6" s="59" t="s">
        <v>29</v>
      </c>
      <c r="K6" s="59" t="s">
        <v>10</v>
      </c>
      <c r="L6" s="59" t="s">
        <v>84</v>
      </c>
      <c r="M6" s="59" t="s">
        <v>30</v>
      </c>
      <c r="N6" s="61" t="s">
        <v>11</v>
      </c>
      <c r="O6" s="59" t="s">
        <v>12</v>
      </c>
      <c r="P6" s="59" t="s">
        <v>13</v>
      </c>
      <c r="Q6" s="59" t="s">
        <v>14</v>
      </c>
      <c r="R6" s="59" t="s">
        <v>15</v>
      </c>
      <c r="S6" s="59" t="s">
        <v>28</v>
      </c>
    </row>
    <row r="7" spans="1:19" s="16" customFormat="1" ht="45" customHeight="1">
      <c r="A7" s="54">
        <v>1</v>
      </c>
      <c r="B7" s="72" t="s">
        <v>125</v>
      </c>
      <c r="C7" s="24">
        <v>60</v>
      </c>
      <c r="D7" s="63" t="s">
        <v>107</v>
      </c>
      <c r="E7" s="24">
        <f>D7*C7</f>
        <v>360</v>
      </c>
      <c r="F7" s="30">
        <v>40.799999999999997</v>
      </c>
      <c r="G7" s="29">
        <f t="shared" ref="G7:G10" si="0">F7/D7</f>
        <v>6.8</v>
      </c>
      <c r="H7" s="51">
        <f t="shared" ref="H7:H10" si="1">G7*E7</f>
        <v>2448</v>
      </c>
      <c r="I7" s="52"/>
      <c r="J7" s="53">
        <f>G7/$Q$2</f>
        <v>6.8</v>
      </c>
      <c r="K7" s="53">
        <f t="shared" ref="K7:K10" si="2">H7/$Q$2</f>
        <v>2448</v>
      </c>
      <c r="L7" s="53">
        <f>J7*(1+$M$14+9%)</f>
        <v>7.4495375375375383</v>
      </c>
      <c r="M7" s="53">
        <f>L7*E7</f>
        <v>2681.8335135135139</v>
      </c>
      <c r="N7" s="64">
        <v>9.9499999999999993</v>
      </c>
      <c r="O7" s="37">
        <f t="shared" ref="O7:O10" si="3">N7*E7</f>
        <v>3581.9999999999995</v>
      </c>
      <c r="P7" s="37">
        <f t="shared" ref="P7:P10" si="4">N7-L7</f>
        <v>2.500462462462461</v>
      </c>
      <c r="Q7" s="37">
        <f t="shared" ref="Q7:Q10" si="5">P7*E7</f>
        <v>900.16648648648595</v>
      </c>
      <c r="R7" s="38">
        <f t="shared" ref="R7:R10" si="6">P7/N7</f>
        <v>0.2513027600464785</v>
      </c>
      <c r="S7" s="50"/>
    </row>
    <row r="8" spans="1:19" s="16" customFormat="1" ht="45" customHeight="1">
      <c r="A8" s="54">
        <v>2</v>
      </c>
      <c r="B8" s="103" t="s">
        <v>126</v>
      </c>
      <c r="C8" s="24">
        <v>60</v>
      </c>
      <c r="D8" s="63" t="s">
        <v>107</v>
      </c>
      <c r="E8" s="24">
        <f t="shared" ref="E8:E10" si="7">D8*C8</f>
        <v>360</v>
      </c>
      <c r="F8" s="30">
        <v>40.799999999999997</v>
      </c>
      <c r="G8" s="29">
        <f t="shared" si="0"/>
        <v>6.8</v>
      </c>
      <c r="H8" s="51">
        <f t="shared" si="1"/>
        <v>2448</v>
      </c>
      <c r="I8" s="52"/>
      <c r="J8" s="53">
        <f t="shared" ref="J8:J10" si="8">G8/$Q$2</f>
        <v>6.8</v>
      </c>
      <c r="K8" s="53">
        <f t="shared" si="2"/>
        <v>2448</v>
      </c>
      <c r="L8" s="53">
        <f>J8*(1+$M$14+9%)</f>
        <v>7.4495375375375383</v>
      </c>
      <c r="M8" s="53">
        <f t="shared" ref="M8:M10" si="9">L8*E8</f>
        <v>2681.8335135135139</v>
      </c>
      <c r="N8" s="64">
        <v>9.9499999999999993</v>
      </c>
      <c r="O8" s="37">
        <f t="shared" si="3"/>
        <v>3581.9999999999995</v>
      </c>
      <c r="P8" s="37">
        <f t="shared" si="4"/>
        <v>2.500462462462461</v>
      </c>
      <c r="Q8" s="37">
        <f t="shared" si="5"/>
        <v>900.16648648648595</v>
      </c>
      <c r="R8" s="38">
        <f t="shared" si="6"/>
        <v>0.2513027600464785</v>
      </c>
      <c r="S8" s="50"/>
    </row>
    <row r="9" spans="1:19" s="16" customFormat="1" ht="45" customHeight="1">
      <c r="A9" s="54">
        <v>3</v>
      </c>
      <c r="B9" s="62" t="s">
        <v>127</v>
      </c>
      <c r="C9" s="24">
        <v>62</v>
      </c>
      <c r="D9" s="63" t="s">
        <v>107</v>
      </c>
      <c r="E9" s="24">
        <f t="shared" si="7"/>
        <v>372</v>
      </c>
      <c r="F9" s="30">
        <v>40.799999999999997</v>
      </c>
      <c r="G9" s="29">
        <f t="shared" si="0"/>
        <v>6.8</v>
      </c>
      <c r="H9" s="51">
        <f t="shared" si="1"/>
        <v>2529.6</v>
      </c>
      <c r="I9" s="52"/>
      <c r="J9" s="53">
        <f t="shared" si="8"/>
        <v>6.8</v>
      </c>
      <c r="K9" s="53">
        <f t="shared" si="2"/>
        <v>2529.6</v>
      </c>
      <c r="L9" s="53">
        <f>J9*(1+$M$14+9%)</f>
        <v>7.4495375375375383</v>
      </c>
      <c r="M9" s="53">
        <f t="shared" si="9"/>
        <v>2771.2279639639642</v>
      </c>
      <c r="N9" s="64">
        <v>9.9499999999999993</v>
      </c>
      <c r="O9" s="37">
        <f t="shared" si="3"/>
        <v>3701.3999999999996</v>
      </c>
      <c r="P9" s="37">
        <f t="shared" si="4"/>
        <v>2.500462462462461</v>
      </c>
      <c r="Q9" s="37">
        <f t="shared" si="5"/>
        <v>930.17203603603548</v>
      </c>
      <c r="R9" s="38">
        <f t="shared" si="6"/>
        <v>0.2513027600464785</v>
      </c>
      <c r="S9" s="50"/>
    </row>
    <row r="10" spans="1:19" s="16" customFormat="1" ht="45" customHeight="1">
      <c r="A10" s="54">
        <v>4</v>
      </c>
      <c r="B10" s="62" t="s">
        <v>128</v>
      </c>
      <c r="C10" s="24">
        <v>40</v>
      </c>
      <c r="D10" s="63" t="s">
        <v>107</v>
      </c>
      <c r="E10" s="24">
        <f t="shared" si="7"/>
        <v>240</v>
      </c>
      <c r="F10" s="30">
        <v>40.799999999999997</v>
      </c>
      <c r="G10" s="29">
        <f t="shared" si="0"/>
        <v>6.8</v>
      </c>
      <c r="H10" s="51">
        <f t="shared" si="1"/>
        <v>1632</v>
      </c>
      <c r="I10" s="52"/>
      <c r="J10" s="53">
        <f t="shared" si="8"/>
        <v>6.8</v>
      </c>
      <c r="K10" s="53">
        <f t="shared" si="2"/>
        <v>1632</v>
      </c>
      <c r="L10" s="53">
        <f>J10*(1+$M$14+9%)</f>
        <v>7.4495375375375383</v>
      </c>
      <c r="M10" s="53">
        <f t="shared" si="9"/>
        <v>1787.8890090090092</v>
      </c>
      <c r="N10" s="64">
        <v>9.9499999999999993</v>
      </c>
      <c r="O10" s="37">
        <f t="shared" si="3"/>
        <v>2388</v>
      </c>
      <c r="P10" s="37">
        <f t="shared" si="4"/>
        <v>2.500462462462461</v>
      </c>
      <c r="Q10" s="37">
        <f t="shared" si="5"/>
        <v>600.11099099099067</v>
      </c>
      <c r="R10" s="38">
        <f t="shared" si="6"/>
        <v>0.2513027600464785</v>
      </c>
      <c r="S10" s="78"/>
    </row>
    <row r="11" spans="1:19" s="16" customFormat="1" ht="48" customHeight="1" thickBot="1">
      <c r="A11" s="137"/>
      <c r="B11" s="138"/>
      <c r="C11" s="138"/>
      <c r="D11" s="139"/>
      <c r="E11" s="147"/>
      <c r="F11" s="147"/>
      <c r="G11" s="149" t="s">
        <v>16</v>
      </c>
      <c r="H11" s="151">
        <f>SUM(H7:H10)</f>
        <v>9057.6</v>
      </c>
      <c r="I11" s="65"/>
      <c r="J11" s="66" t="s">
        <v>17</v>
      </c>
      <c r="K11" s="67">
        <f>SUM(K7:K10)</f>
        <v>9057.6</v>
      </c>
      <c r="L11" s="124" t="s">
        <v>18</v>
      </c>
      <c r="M11" s="125"/>
      <c r="N11" s="126">
        <f>SUM(O7:O10)</f>
        <v>13253.399999999998</v>
      </c>
      <c r="O11" s="127"/>
      <c r="P11" s="128" t="s">
        <v>19</v>
      </c>
      <c r="Q11" s="129"/>
      <c r="R11" s="132">
        <f>N11-K14</f>
        <v>3330.6159999999982</v>
      </c>
      <c r="S11" s="33"/>
    </row>
    <row r="12" spans="1:19" ht="48" customHeight="1" thickBot="1">
      <c r="A12" s="140"/>
      <c r="B12" s="138"/>
      <c r="C12" s="138"/>
      <c r="D12" s="139"/>
      <c r="E12" s="148"/>
      <c r="F12" s="148"/>
      <c r="G12" s="150"/>
      <c r="H12" s="152"/>
      <c r="I12" s="7"/>
      <c r="J12" s="17" t="s">
        <v>34</v>
      </c>
      <c r="K12" s="49">
        <f>K11*0.09</f>
        <v>815.18399999999997</v>
      </c>
      <c r="L12" s="134"/>
      <c r="M12" s="134"/>
      <c r="N12" s="134"/>
      <c r="O12" s="134"/>
      <c r="P12" s="130"/>
      <c r="Q12" s="131"/>
      <c r="R12" s="133"/>
      <c r="S12" s="25"/>
    </row>
    <row r="13" spans="1:19" ht="46.5" customHeight="1" thickBot="1">
      <c r="A13" s="141"/>
      <c r="B13" s="142"/>
      <c r="C13" s="142"/>
      <c r="D13" s="143"/>
      <c r="E13" s="8"/>
      <c r="F13" s="27"/>
      <c r="G13" s="9" t="s">
        <v>20</v>
      </c>
      <c r="H13" s="32" t="s">
        <v>27</v>
      </c>
      <c r="I13" s="7"/>
      <c r="J13" s="10" t="s">
        <v>21</v>
      </c>
      <c r="K13" s="18">
        <v>50</v>
      </c>
      <c r="L13" s="134"/>
      <c r="M13" s="134"/>
      <c r="N13" s="134"/>
      <c r="O13" s="134"/>
      <c r="P13" s="135" t="s">
        <v>22</v>
      </c>
      <c r="Q13" s="136"/>
      <c r="R13" s="11">
        <f>R11/N11</f>
        <v>0.25130276004647856</v>
      </c>
      <c r="S13" s="22"/>
    </row>
    <row r="14" spans="1:19" ht="60.75" thickBot="1">
      <c r="A14" s="144"/>
      <c r="B14" s="145"/>
      <c r="C14" s="145"/>
      <c r="D14" s="146"/>
      <c r="E14" s="12"/>
      <c r="F14" s="28"/>
      <c r="G14" s="13" t="s">
        <v>23</v>
      </c>
      <c r="H14" s="26">
        <f>SUM(H11:H13)</f>
        <v>9057.6</v>
      </c>
      <c r="I14" s="7"/>
      <c r="J14" s="14" t="s">
        <v>23</v>
      </c>
      <c r="K14" s="15">
        <f>SUM(K11:K13)</f>
        <v>9922.7839999999997</v>
      </c>
      <c r="L14" s="19" t="s">
        <v>24</v>
      </c>
      <c r="M14" s="121">
        <f>K13/K11</f>
        <v>5.5202261084614027E-3</v>
      </c>
      <c r="N14" s="122"/>
      <c r="O14" s="20"/>
      <c r="P14" s="5"/>
      <c r="Q14" s="5"/>
      <c r="R14" s="5"/>
      <c r="S14" s="21"/>
    </row>
    <row r="15" spans="1:19">
      <c r="B15" s="1"/>
      <c r="C15" s="31"/>
    </row>
    <row r="16" spans="1:19">
      <c r="B16" s="1"/>
      <c r="C16" s="31"/>
    </row>
    <row r="17" spans="1:19">
      <c r="B17" s="1"/>
    </row>
    <row r="18" spans="1:19">
      <c r="B18" s="1"/>
    </row>
    <row r="19" spans="1:19">
      <c r="B19" s="1"/>
    </row>
    <row r="20" spans="1:19" s="104" customFormat="1">
      <c r="A20" s="104" t="s">
        <v>90</v>
      </c>
      <c r="N20" s="105"/>
      <c r="S20" s="106"/>
    </row>
    <row r="21" spans="1:19" s="123" customFormat="1" ht="15.75" customHeight="1">
      <c r="A21" s="123" t="s">
        <v>91</v>
      </c>
    </row>
    <row r="26" spans="1:19">
      <c r="C26" s="31"/>
    </row>
    <row r="27" spans="1:19">
      <c r="C27" s="31"/>
    </row>
  </sheetData>
  <mergeCells count="18">
    <mergeCell ref="A1:O1"/>
    <mergeCell ref="Q1:R1"/>
    <mergeCell ref="A2:O2"/>
    <mergeCell ref="A4:H4"/>
    <mergeCell ref="J4:S4"/>
    <mergeCell ref="M14:N14"/>
    <mergeCell ref="A21:XFD21"/>
    <mergeCell ref="L11:M11"/>
    <mergeCell ref="N11:O11"/>
    <mergeCell ref="P11:Q12"/>
    <mergeCell ref="R11:R12"/>
    <mergeCell ref="L12:O13"/>
    <mergeCell ref="P13:Q13"/>
    <mergeCell ref="A11:D14"/>
    <mergeCell ref="E11:E12"/>
    <mergeCell ref="F11:F12"/>
    <mergeCell ref="G11:G12"/>
    <mergeCell ref="H11:H12"/>
  </mergeCells>
  <pageMargins left="0.23622047244094491" right="0.23622047244094491" top="0.74803149606299213" bottom="0.74803149606299213" header="0.31496062992125984" footer="0.31496062992125984"/>
  <pageSetup paperSize="9" scale="5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25"/>
  <sheetViews>
    <sheetView zoomScale="80" zoomScaleNormal="80" workbookViewId="0">
      <selection activeCell="M26" sqref="M26"/>
    </sheetView>
  </sheetViews>
  <sheetFormatPr defaultColWidth="14.42578125" defaultRowHeight="15.75"/>
  <cols>
    <col min="1" max="1" width="6" style="1" customWidth="1"/>
    <col min="2" max="2" width="54.5703125" style="71" customWidth="1"/>
    <col min="3" max="3" width="7.42578125" style="1" bestFit="1" customWidth="1"/>
    <col min="4" max="4" width="9.5703125" style="1" bestFit="1" customWidth="1"/>
    <col min="5" max="5" width="10.5703125" style="1" bestFit="1" customWidth="1"/>
    <col min="6" max="7" width="13.140625" style="1" bestFit="1" customWidth="1"/>
    <col min="8" max="8" width="14.5703125" style="1" customWidth="1"/>
    <col min="9" max="9" width="2.5703125" style="1" customWidth="1"/>
    <col min="10" max="10" width="13.140625" style="1" bestFit="1" customWidth="1"/>
    <col min="11" max="11" width="12.85546875" style="1" customWidth="1"/>
    <col min="12" max="12" width="12.85546875" style="1" bestFit="1" customWidth="1"/>
    <col min="13" max="13" width="12.42578125" style="1" bestFit="1" customWidth="1"/>
    <col min="14" max="14" width="13.5703125" style="16" bestFit="1" customWidth="1"/>
    <col min="15" max="15" width="11.42578125" style="1" bestFit="1" customWidth="1"/>
    <col min="16" max="16" width="12.7109375" style="1" bestFit="1" customWidth="1"/>
    <col min="17" max="17" width="12.140625" style="1" bestFit="1" customWidth="1"/>
    <col min="18" max="18" width="17.42578125" style="1" bestFit="1" customWidth="1"/>
    <col min="19" max="19" width="15.140625" style="23" customWidth="1"/>
    <col min="20" max="16384" width="14.42578125" style="1"/>
  </cols>
  <sheetData>
    <row r="1" spans="1:19" ht="32.450000000000003" customHeight="1">
      <c r="A1" s="153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5"/>
      <c r="P1" s="43" t="s">
        <v>1</v>
      </c>
      <c r="Q1" s="156">
        <v>45854</v>
      </c>
      <c r="R1" s="156"/>
      <c r="S1" s="44"/>
    </row>
    <row r="2" spans="1:19" ht="31.7" customHeight="1" thickBot="1">
      <c r="A2" s="157" t="s">
        <v>25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9"/>
      <c r="P2" s="45" t="s">
        <v>2</v>
      </c>
      <c r="Q2" s="46">
        <v>1</v>
      </c>
      <c r="R2" s="47"/>
      <c r="S2" s="48"/>
    </row>
    <row r="3" spans="1:19" ht="22.7" customHeight="1" thickBot="1">
      <c r="A3" s="2"/>
      <c r="B3" s="69" t="s">
        <v>33</v>
      </c>
      <c r="C3" s="2"/>
      <c r="D3" s="2"/>
      <c r="E3" s="3"/>
      <c r="F3" s="3"/>
      <c r="G3" s="3"/>
      <c r="H3" s="4"/>
      <c r="I3" s="5"/>
      <c r="J3" s="34"/>
      <c r="K3" s="35"/>
      <c r="L3" s="35"/>
      <c r="M3" s="35"/>
      <c r="N3" s="36"/>
      <c r="O3" s="35"/>
      <c r="P3" s="42"/>
      <c r="Q3" s="42"/>
      <c r="R3" s="42"/>
      <c r="S3" s="41"/>
    </row>
    <row r="4" spans="1:19" ht="22.7" customHeight="1" thickBot="1">
      <c r="A4" s="160" t="s">
        <v>3</v>
      </c>
      <c r="B4" s="161"/>
      <c r="C4" s="161"/>
      <c r="D4" s="161"/>
      <c r="E4" s="161"/>
      <c r="F4" s="161"/>
      <c r="G4" s="161"/>
      <c r="H4" s="162"/>
      <c r="I4" s="6"/>
      <c r="J4" s="163" t="s">
        <v>4</v>
      </c>
      <c r="K4" s="164"/>
      <c r="L4" s="164"/>
      <c r="M4" s="164"/>
      <c r="N4" s="164"/>
      <c r="O4" s="164"/>
      <c r="P4" s="164"/>
      <c r="Q4" s="164"/>
      <c r="R4" s="164"/>
      <c r="S4" s="165"/>
    </row>
    <row r="5" spans="1:19" ht="15" customHeight="1">
      <c r="A5" s="34"/>
      <c r="B5" s="70"/>
      <c r="C5" s="34"/>
      <c r="D5" s="34"/>
      <c r="E5" s="56"/>
      <c r="F5" s="56"/>
      <c r="G5" s="56"/>
      <c r="H5" s="57"/>
      <c r="I5" s="58"/>
      <c r="J5" s="39"/>
      <c r="K5" s="39"/>
      <c r="L5" s="39"/>
      <c r="M5" s="39"/>
      <c r="N5" s="40"/>
      <c r="O5" s="39"/>
      <c r="P5" s="39"/>
      <c r="Q5" s="39"/>
      <c r="R5" s="39"/>
      <c r="S5" s="41"/>
    </row>
    <row r="6" spans="1:19" ht="75">
      <c r="A6" s="55" t="s">
        <v>5</v>
      </c>
      <c r="B6" s="55" t="s">
        <v>6</v>
      </c>
      <c r="C6" s="59" t="s">
        <v>7</v>
      </c>
      <c r="D6" s="59" t="s">
        <v>26</v>
      </c>
      <c r="E6" s="59" t="s">
        <v>8</v>
      </c>
      <c r="F6" s="59" t="s">
        <v>31</v>
      </c>
      <c r="G6" s="59" t="s">
        <v>32</v>
      </c>
      <c r="H6" s="55" t="s">
        <v>9</v>
      </c>
      <c r="I6" s="60"/>
      <c r="J6" s="59" t="s">
        <v>29</v>
      </c>
      <c r="K6" s="59" t="s">
        <v>10</v>
      </c>
      <c r="L6" s="59" t="s">
        <v>131</v>
      </c>
      <c r="M6" s="59" t="s">
        <v>30</v>
      </c>
      <c r="N6" s="61" t="s">
        <v>11</v>
      </c>
      <c r="O6" s="59" t="s">
        <v>12</v>
      </c>
      <c r="P6" s="59" t="s">
        <v>13</v>
      </c>
      <c r="Q6" s="59" t="s">
        <v>14</v>
      </c>
      <c r="R6" s="59" t="s">
        <v>15</v>
      </c>
      <c r="S6" s="59" t="s">
        <v>28</v>
      </c>
    </row>
    <row r="7" spans="1:19" s="16" customFormat="1" ht="45" customHeight="1">
      <c r="A7" s="54">
        <v>1</v>
      </c>
      <c r="B7" s="72" t="s">
        <v>129</v>
      </c>
      <c r="C7" s="24">
        <v>63</v>
      </c>
      <c r="D7" s="63" t="s">
        <v>35</v>
      </c>
      <c r="E7" s="24">
        <f>D7*C7</f>
        <v>1512</v>
      </c>
      <c r="F7" s="30">
        <v>7.9</v>
      </c>
      <c r="G7" s="29">
        <f t="shared" ref="G7:G8" si="0">F7/D7</f>
        <v>0.32916666666666666</v>
      </c>
      <c r="H7" s="51">
        <f t="shared" ref="H7:H8" si="1">G7*E7</f>
        <v>497.7</v>
      </c>
      <c r="I7" s="52"/>
      <c r="J7" s="53">
        <f>G7/$Q$2</f>
        <v>0.32916666666666666</v>
      </c>
      <c r="K7" s="53">
        <f t="shared" ref="K7:K8" si="2">H7/$Q$2</f>
        <v>497.7</v>
      </c>
      <c r="L7" s="53">
        <f>J7*(1+$M$12+9%)</f>
        <v>0.36755682261987183</v>
      </c>
      <c r="M7" s="53">
        <f>L7*E7</f>
        <v>555.74591580124616</v>
      </c>
      <c r="N7" s="64">
        <v>0.6583</v>
      </c>
      <c r="O7" s="37">
        <f t="shared" ref="O7:O8" si="3">N7*E7</f>
        <v>995.34960000000001</v>
      </c>
      <c r="P7" s="37">
        <f t="shared" ref="P7:P8" si="4">N7-L7</f>
        <v>0.29074317738012817</v>
      </c>
      <c r="Q7" s="37">
        <f t="shared" ref="Q7:Q8" si="5">P7*E7</f>
        <v>439.6036841987538</v>
      </c>
      <c r="R7" s="38">
        <f t="shared" ref="R7:R8" si="6">P7/N7</f>
        <v>0.44165756855556459</v>
      </c>
      <c r="S7" s="102" t="s">
        <v>130</v>
      </c>
    </row>
    <row r="8" spans="1:19" s="16" customFormat="1" ht="45" customHeight="1">
      <c r="A8" s="54">
        <v>2</v>
      </c>
      <c r="B8" s="79" t="s">
        <v>47</v>
      </c>
      <c r="C8" s="24">
        <v>120</v>
      </c>
      <c r="D8" s="63" t="s">
        <v>35</v>
      </c>
      <c r="E8" s="24">
        <f t="shared" ref="E8" si="7">D8*C8</f>
        <v>2880</v>
      </c>
      <c r="F8" s="30">
        <v>11.5</v>
      </c>
      <c r="G8" s="29">
        <f t="shared" si="0"/>
        <v>0.47916666666666669</v>
      </c>
      <c r="H8" s="51">
        <f t="shared" si="1"/>
        <v>1380</v>
      </c>
      <c r="I8" s="52"/>
      <c r="J8" s="53">
        <f t="shared" ref="J8" si="8">G8/$Q$2</f>
        <v>0.47916666666666669</v>
      </c>
      <c r="K8" s="53">
        <f t="shared" si="2"/>
        <v>1380</v>
      </c>
      <c r="L8" s="53">
        <f>J8*(1+$M$12+9%)</f>
        <v>0.53505107090234516</v>
      </c>
      <c r="M8" s="53">
        <f t="shared" ref="M8" si="9">L8*E8</f>
        <v>1540.9470841987541</v>
      </c>
      <c r="N8" s="64">
        <v>0.74160000000000004</v>
      </c>
      <c r="O8" s="37">
        <f t="shared" si="3"/>
        <v>2135.808</v>
      </c>
      <c r="P8" s="37">
        <f t="shared" si="4"/>
        <v>0.20654892909765488</v>
      </c>
      <c r="Q8" s="37">
        <f t="shared" si="5"/>
        <v>594.86091580124605</v>
      </c>
      <c r="R8" s="38">
        <f t="shared" si="6"/>
        <v>0.27851797343265217</v>
      </c>
      <c r="S8" s="77" t="s">
        <v>48</v>
      </c>
    </row>
    <row r="9" spans="1:19" s="16" customFormat="1" ht="48" customHeight="1" thickBot="1">
      <c r="A9" s="137"/>
      <c r="B9" s="138"/>
      <c r="C9" s="138"/>
      <c r="D9" s="139"/>
      <c r="E9" s="147"/>
      <c r="F9" s="147"/>
      <c r="G9" s="149" t="s">
        <v>16</v>
      </c>
      <c r="H9" s="151">
        <f>SUM(H7:H8)</f>
        <v>1877.7</v>
      </c>
      <c r="I9" s="65"/>
      <c r="J9" s="66" t="s">
        <v>17</v>
      </c>
      <c r="K9" s="67">
        <f>SUM(K7:K8)</f>
        <v>1877.7</v>
      </c>
      <c r="L9" s="124" t="s">
        <v>18</v>
      </c>
      <c r="M9" s="125"/>
      <c r="N9" s="126">
        <f>SUM(O7:O8)</f>
        <v>3131.1576</v>
      </c>
      <c r="O9" s="127"/>
      <c r="P9" s="128" t="s">
        <v>19</v>
      </c>
      <c r="Q9" s="129"/>
      <c r="R9" s="132">
        <f>N9-K12</f>
        <v>1034.4645999999998</v>
      </c>
      <c r="S9" s="33"/>
    </row>
    <row r="10" spans="1:19" ht="48" customHeight="1" thickBot="1">
      <c r="A10" s="140"/>
      <c r="B10" s="138"/>
      <c r="C10" s="138"/>
      <c r="D10" s="139"/>
      <c r="E10" s="148"/>
      <c r="F10" s="148"/>
      <c r="G10" s="150"/>
      <c r="H10" s="152"/>
      <c r="I10" s="7"/>
      <c r="J10" s="17" t="s">
        <v>34</v>
      </c>
      <c r="K10" s="49">
        <f>K9*0.09</f>
        <v>168.99299999999999</v>
      </c>
      <c r="L10" s="134"/>
      <c r="M10" s="134"/>
      <c r="N10" s="134"/>
      <c r="O10" s="134"/>
      <c r="P10" s="130"/>
      <c r="Q10" s="131"/>
      <c r="R10" s="133"/>
      <c r="S10" s="25"/>
    </row>
    <row r="11" spans="1:19" ht="46.5" customHeight="1" thickBot="1">
      <c r="A11" s="141"/>
      <c r="B11" s="142"/>
      <c r="C11" s="142"/>
      <c r="D11" s="143"/>
      <c r="E11" s="8"/>
      <c r="F11" s="27"/>
      <c r="G11" s="9" t="s">
        <v>20</v>
      </c>
      <c r="H11" s="32" t="s">
        <v>27</v>
      </c>
      <c r="I11" s="7"/>
      <c r="J11" s="10" t="s">
        <v>21</v>
      </c>
      <c r="K11" s="18">
        <v>50</v>
      </c>
      <c r="L11" s="134"/>
      <c r="M11" s="134"/>
      <c r="N11" s="134"/>
      <c r="O11" s="134"/>
      <c r="P11" s="135" t="s">
        <v>22</v>
      </c>
      <c r="Q11" s="136"/>
      <c r="R11" s="11">
        <f>R9/N9</f>
        <v>0.33037768523692318</v>
      </c>
      <c r="S11" s="22"/>
    </row>
    <row r="12" spans="1:19" ht="60.75" thickBot="1">
      <c r="A12" s="144"/>
      <c r="B12" s="145"/>
      <c r="C12" s="145"/>
      <c r="D12" s="146"/>
      <c r="E12" s="12"/>
      <c r="F12" s="28"/>
      <c r="G12" s="13" t="s">
        <v>23</v>
      </c>
      <c r="H12" s="26">
        <f>SUM(H9:H11)</f>
        <v>1877.7</v>
      </c>
      <c r="I12" s="7"/>
      <c r="J12" s="14" t="s">
        <v>23</v>
      </c>
      <c r="K12" s="15">
        <f>SUM(K9:K11)</f>
        <v>2096.6930000000002</v>
      </c>
      <c r="L12" s="19" t="s">
        <v>24</v>
      </c>
      <c r="M12" s="121">
        <f>K11/K9</f>
        <v>2.6628321883154924E-2</v>
      </c>
      <c r="N12" s="122"/>
      <c r="O12" s="20"/>
      <c r="P12" s="5"/>
      <c r="Q12" s="5"/>
      <c r="R12" s="5"/>
      <c r="S12" s="21"/>
    </row>
    <row r="13" spans="1:19">
      <c r="B13" s="1"/>
      <c r="C13" s="31"/>
    </row>
    <row r="14" spans="1:19">
      <c r="B14" s="1"/>
      <c r="C14" s="31"/>
    </row>
    <row r="15" spans="1:19">
      <c r="B15" s="1"/>
    </row>
    <row r="16" spans="1:19">
      <c r="B16" s="1"/>
    </row>
    <row r="17" spans="1:19">
      <c r="B17" s="1"/>
    </row>
    <row r="18" spans="1:19" s="104" customFormat="1">
      <c r="A18" s="104" t="s">
        <v>90</v>
      </c>
      <c r="N18" s="105"/>
      <c r="S18" s="106"/>
    </row>
    <row r="19" spans="1:19" s="123" customFormat="1" ht="15.75" customHeight="1">
      <c r="A19" s="123" t="s">
        <v>91</v>
      </c>
    </row>
    <row r="24" spans="1:19">
      <c r="C24" s="31"/>
    </row>
    <row r="25" spans="1:19">
      <c r="C25" s="31"/>
    </row>
  </sheetData>
  <mergeCells count="18">
    <mergeCell ref="A1:O1"/>
    <mergeCell ref="Q1:R1"/>
    <mergeCell ref="A2:O2"/>
    <mergeCell ref="A4:H4"/>
    <mergeCell ref="J4:S4"/>
    <mergeCell ref="M12:N12"/>
    <mergeCell ref="A19:XFD19"/>
    <mergeCell ref="L9:M9"/>
    <mergeCell ref="N9:O9"/>
    <mergeCell ref="P9:Q10"/>
    <mergeCell ref="R9:R10"/>
    <mergeCell ref="L10:O11"/>
    <mergeCell ref="P11:Q11"/>
    <mergeCell ref="A9:D12"/>
    <mergeCell ref="E9:E10"/>
    <mergeCell ref="F9:F10"/>
    <mergeCell ref="G9:G10"/>
    <mergeCell ref="H9:H10"/>
  </mergeCells>
  <pageMargins left="0.23622047244094491" right="0.23622047244094491" top="0.74803149606299213" bottom="0.74803149606299213" header="0.31496062992125984" footer="0.31496062992125984"/>
  <pageSetup paperSize="9" scale="5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80" zoomScaleNormal="80" workbookViewId="0">
      <selection activeCell="Q1" sqref="Q1:R1"/>
    </sheetView>
  </sheetViews>
  <sheetFormatPr defaultColWidth="14.42578125" defaultRowHeight="15.75"/>
  <cols>
    <col min="1" max="1" width="6" style="1" customWidth="1"/>
    <col min="2" max="2" width="54.5703125" style="71" customWidth="1"/>
    <col min="3" max="3" width="7.42578125" style="1" bestFit="1" customWidth="1"/>
    <col min="4" max="4" width="9.5703125" style="1" bestFit="1" customWidth="1"/>
    <col min="5" max="5" width="10.5703125" style="1" bestFit="1" customWidth="1"/>
    <col min="6" max="7" width="13.140625" style="1" bestFit="1" customWidth="1"/>
    <col min="8" max="8" width="14.5703125" style="1" customWidth="1"/>
    <col min="9" max="9" width="2.5703125" style="1" customWidth="1"/>
    <col min="10" max="10" width="13.140625" style="1" bestFit="1" customWidth="1"/>
    <col min="11" max="11" width="12.85546875" style="1" customWidth="1"/>
    <col min="12" max="12" width="12.85546875" style="1" bestFit="1" customWidth="1"/>
    <col min="13" max="13" width="12.42578125" style="1" bestFit="1" customWidth="1"/>
    <col min="14" max="14" width="13.5703125" style="16" bestFit="1" customWidth="1"/>
    <col min="15" max="15" width="11.42578125" style="1" bestFit="1" customWidth="1"/>
    <col min="16" max="16" width="12.7109375" style="1" bestFit="1" customWidth="1"/>
    <col min="17" max="17" width="12.140625" style="1" bestFit="1" customWidth="1"/>
    <col min="18" max="18" width="17.42578125" style="1" bestFit="1" customWidth="1"/>
    <col min="19" max="19" width="15.140625" style="23" customWidth="1"/>
    <col min="20" max="16384" width="14.42578125" style="1"/>
  </cols>
  <sheetData>
    <row r="1" spans="1:19" ht="32.450000000000003" customHeight="1">
      <c r="A1" s="153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5"/>
      <c r="P1" s="43" t="s">
        <v>1</v>
      </c>
      <c r="Q1" s="156">
        <v>45855</v>
      </c>
      <c r="R1" s="156"/>
      <c r="S1" s="44"/>
    </row>
    <row r="2" spans="1:19" ht="31.7" customHeight="1" thickBot="1">
      <c r="A2" s="157" t="s">
        <v>25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9"/>
      <c r="P2" s="45" t="s">
        <v>2</v>
      </c>
      <c r="Q2" s="46">
        <v>1</v>
      </c>
      <c r="R2" s="47"/>
      <c r="S2" s="48"/>
    </row>
    <row r="3" spans="1:19" ht="22.7" customHeight="1" thickBot="1">
      <c r="A3" s="2"/>
      <c r="B3" s="69" t="s">
        <v>33</v>
      </c>
      <c r="C3" s="2"/>
      <c r="D3" s="2"/>
      <c r="E3" s="3"/>
      <c r="F3" s="3"/>
      <c r="G3" s="3"/>
      <c r="H3" s="4"/>
      <c r="I3" s="5"/>
      <c r="J3" s="34"/>
      <c r="K3" s="35"/>
      <c r="L3" s="35"/>
      <c r="M3" s="35"/>
      <c r="N3" s="36"/>
      <c r="O3" s="35"/>
      <c r="P3" s="42"/>
      <c r="Q3" s="42"/>
      <c r="R3" s="42"/>
      <c r="S3" s="41"/>
    </row>
    <row r="4" spans="1:19" ht="22.7" customHeight="1" thickBot="1">
      <c r="A4" s="160" t="s">
        <v>3</v>
      </c>
      <c r="B4" s="161"/>
      <c r="C4" s="161"/>
      <c r="D4" s="161"/>
      <c r="E4" s="161"/>
      <c r="F4" s="161"/>
      <c r="G4" s="161"/>
      <c r="H4" s="162"/>
      <c r="I4" s="6"/>
      <c r="J4" s="163" t="s">
        <v>4</v>
      </c>
      <c r="K4" s="164"/>
      <c r="L4" s="164"/>
      <c r="M4" s="164"/>
      <c r="N4" s="164"/>
      <c r="O4" s="164"/>
      <c r="P4" s="164"/>
      <c r="Q4" s="164"/>
      <c r="R4" s="164"/>
      <c r="S4" s="165"/>
    </row>
    <row r="5" spans="1:19" ht="15" customHeight="1">
      <c r="A5" s="34"/>
      <c r="B5" s="70"/>
      <c r="C5" s="34"/>
      <c r="D5" s="34"/>
      <c r="E5" s="56"/>
      <c r="F5" s="56"/>
      <c r="G5" s="56"/>
      <c r="H5" s="57"/>
      <c r="I5" s="58"/>
      <c r="J5" s="39"/>
      <c r="K5" s="39"/>
      <c r="L5" s="39"/>
      <c r="M5" s="39"/>
      <c r="N5" s="40"/>
      <c r="O5" s="39"/>
      <c r="P5" s="39"/>
      <c r="Q5" s="39"/>
      <c r="R5" s="39"/>
      <c r="S5" s="41"/>
    </row>
    <row r="6" spans="1:19" ht="75">
      <c r="A6" s="55" t="s">
        <v>5</v>
      </c>
      <c r="B6" s="55" t="s">
        <v>6</v>
      </c>
      <c r="C6" s="59" t="s">
        <v>7</v>
      </c>
      <c r="D6" s="59" t="s">
        <v>26</v>
      </c>
      <c r="E6" s="59" t="s">
        <v>8</v>
      </c>
      <c r="F6" s="59" t="s">
        <v>31</v>
      </c>
      <c r="G6" s="59" t="s">
        <v>32</v>
      </c>
      <c r="H6" s="55" t="s">
        <v>9</v>
      </c>
      <c r="I6" s="60"/>
      <c r="J6" s="59" t="s">
        <v>29</v>
      </c>
      <c r="K6" s="59" t="s">
        <v>10</v>
      </c>
      <c r="L6" s="59" t="s">
        <v>132</v>
      </c>
      <c r="M6" s="59" t="s">
        <v>30</v>
      </c>
      <c r="N6" s="61" t="s">
        <v>11</v>
      </c>
      <c r="O6" s="59" t="s">
        <v>12</v>
      </c>
      <c r="P6" s="59" t="s">
        <v>13</v>
      </c>
      <c r="Q6" s="59" t="s">
        <v>14</v>
      </c>
      <c r="R6" s="59" t="s">
        <v>15</v>
      </c>
      <c r="S6" s="59" t="s">
        <v>28</v>
      </c>
    </row>
    <row r="7" spans="1:19" s="16" customFormat="1" ht="45" customHeight="1">
      <c r="A7" s="80">
        <v>1</v>
      </c>
      <c r="B7" s="101" t="s">
        <v>87</v>
      </c>
      <c r="C7" s="82">
        <v>20</v>
      </c>
      <c r="D7" s="83" t="s">
        <v>80</v>
      </c>
      <c r="E7" s="82">
        <f>D7*C7</f>
        <v>960</v>
      </c>
      <c r="F7" s="84">
        <v>19.899999999999999</v>
      </c>
      <c r="G7" s="85">
        <f t="shared" ref="G7:G21" si="0">F7/D7</f>
        <v>0.4145833333333333</v>
      </c>
      <c r="H7" s="86">
        <f t="shared" ref="H7:H21" si="1">G7*E7</f>
        <v>398</v>
      </c>
      <c r="I7" s="87"/>
      <c r="J7" s="88">
        <f>G7/$Q$2</f>
        <v>0.4145833333333333</v>
      </c>
      <c r="K7" s="88">
        <f t="shared" ref="K7:K21" si="2">H7/$Q$2</f>
        <v>398</v>
      </c>
      <c r="L7" s="88">
        <f>J7*(1+$M$25+9%)</f>
        <v>0.45385196871756156</v>
      </c>
      <c r="M7" s="88">
        <f>L7*E7</f>
        <v>435.6978899688591</v>
      </c>
      <c r="N7" s="89">
        <v>0.6</v>
      </c>
      <c r="O7" s="90">
        <f t="shared" ref="O7:O21" si="3">N7*E7</f>
        <v>576</v>
      </c>
      <c r="P7" s="90">
        <f t="shared" ref="P7:P21" si="4">N7-L7</f>
        <v>0.14614803128243842</v>
      </c>
      <c r="Q7" s="90">
        <f t="shared" ref="Q7:Q21" si="5">P7*E7</f>
        <v>140.30211003114087</v>
      </c>
      <c r="R7" s="91">
        <f t="shared" ref="R7:R21" si="6">P7/N7</f>
        <v>0.24358005213739736</v>
      </c>
      <c r="S7" s="92"/>
    </row>
    <row r="8" spans="1:19" s="16" customFormat="1" ht="45" customHeight="1">
      <c r="A8" s="54">
        <v>2</v>
      </c>
      <c r="B8" s="103" t="s">
        <v>133</v>
      </c>
      <c r="C8" s="24">
        <v>30</v>
      </c>
      <c r="D8" s="63" t="s">
        <v>35</v>
      </c>
      <c r="E8" s="24">
        <f t="shared" ref="E8:E21" si="7">D8*C8</f>
        <v>720</v>
      </c>
      <c r="F8" s="30">
        <v>34.5</v>
      </c>
      <c r="G8" s="29">
        <f t="shared" si="0"/>
        <v>1.4375</v>
      </c>
      <c r="H8" s="51">
        <f t="shared" si="1"/>
        <v>1035</v>
      </c>
      <c r="I8" s="52"/>
      <c r="J8" s="53">
        <f t="shared" ref="J8:J21" si="8">G8/$Q$2</f>
        <v>1.4375</v>
      </c>
      <c r="K8" s="53">
        <f t="shared" si="2"/>
        <v>1035</v>
      </c>
      <c r="L8" s="53">
        <f t="shared" ref="L8:L21" si="9">J8*(1+$M$25+9%)</f>
        <v>1.5736575799754648</v>
      </c>
      <c r="M8" s="53">
        <f t="shared" ref="M8:M21" si="10">L8*E8</f>
        <v>1133.0334575823347</v>
      </c>
      <c r="N8" s="64">
        <v>2.25</v>
      </c>
      <c r="O8" s="37">
        <f t="shared" si="3"/>
        <v>1620</v>
      </c>
      <c r="P8" s="37">
        <f t="shared" si="4"/>
        <v>0.67634242002453515</v>
      </c>
      <c r="Q8" s="37">
        <f t="shared" si="5"/>
        <v>486.96654241766532</v>
      </c>
      <c r="R8" s="38">
        <f t="shared" si="6"/>
        <v>0.30059663112201562</v>
      </c>
      <c r="S8" s="50"/>
    </row>
    <row r="9" spans="1:19" s="16" customFormat="1" ht="45" customHeight="1">
      <c r="A9" s="80">
        <v>3</v>
      </c>
      <c r="B9" s="75" t="s">
        <v>134</v>
      </c>
      <c r="C9" s="82">
        <v>40</v>
      </c>
      <c r="D9" s="83" t="s">
        <v>107</v>
      </c>
      <c r="E9" s="82">
        <f t="shared" si="7"/>
        <v>240</v>
      </c>
      <c r="F9" s="84">
        <v>20.5</v>
      </c>
      <c r="G9" s="85">
        <f t="shared" si="0"/>
        <v>3.4166666666666665</v>
      </c>
      <c r="H9" s="86">
        <f t="shared" si="1"/>
        <v>820</v>
      </c>
      <c r="I9" s="87"/>
      <c r="J9" s="88">
        <f t="shared" si="8"/>
        <v>3.4166666666666665</v>
      </c>
      <c r="K9" s="88">
        <f t="shared" si="2"/>
        <v>820</v>
      </c>
      <c r="L9" s="88">
        <f t="shared" si="9"/>
        <v>3.7402875813909597</v>
      </c>
      <c r="M9" s="88">
        <f t="shared" si="10"/>
        <v>897.66901953383035</v>
      </c>
      <c r="N9" s="89">
        <v>4.95</v>
      </c>
      <c r="O9" s="90">
        <f t="shared" si="3"/>
        <v>1188</v>
      </c>
      <c r="P9" s="90">
        <f t="shared" si="4"/>
        <v>1.2097124186090404</v>
      </c>
      <c r="Q9" s="90">
        <f t="shared" si="5"/>
        <v>290.33098046616971</v>
      </c>
      <c r="R9" s="91">
        <f t="shared" si="6"/>
        <v>0.24438634719374552</v>
      </c>
      <c r="S9" s="92"/>
    </row>
    <row r="10" spans="1:19" s="16" customFormat="1" ht="45" customHeight="1">
      <c r="A10" s="80">
        <v>4</v>
      </c>
      <c r="B10" s="75" t="s">
        <v>135</v>
      </c>
      <c r="C10" s="82">
        <v>7</v>
      </c>
      <c r="D10" s="83" t="s">
        <v>49</v>
      </c>
      <c r="E10" s="82">
        <f t="shared" si="7"/>
        <v>84</v>
      </c>
      <c r="F10" s="84">
        <v>21</v>
      </c>
      <c r="G10" s="85">
        <f t="shared" si="0"/>
        <v>1.75</v>
      </c>
      <c r="H10" s="86">
        <f t="shared" si="1"/>
        <v>147</v>
      </c>
      <c r="I10" s="87"/>
      <c r="J10" s="88">
        <f t="shared" si="8"/>
        <v>1.75</v>
      </c>
      <c r="K10" s="88">
        <f t="shared" si="2"/>
        <v>147</v>
      </c>
      <c r="L10" s="88">
        <f t="shared" si="9"/>
        <v>1.9157570538831745</v>
      </c>
      <c r="M10" s="88">
        <f t="shared" si="10"/>
        <v>160.92359252618667</v>
      </c>
      <c r="N10" s="89">
        <v>2.25</v>
      </c>
      <c r="O10" s="90">
        <f t="shared" si="3"/>
        <v>189</v>
      </c>
      <c r="P10" s="90">
        <f t="shared" si="4"/>
        <v>0.33424294611682548</v>
      </c>
      <c r="Q10" s="90">
        <f t="shared" si="5"/>
        <v>28.07640747381334</v>
      </c>
      <c r="R10" s="91">
        <f t="shared" si="6"/>
        <v>0.14855242049636688</v>
      </c>
      <c r="S10" s="98"/>
    </row>
    <row r="11" spans="1:19" s="16" customFormat="1" ht="45" customHeight="1">
      <c r="A11" s="54">
        <v>5</v>
      </c>
      <c r="B11" s="93" t="s">
        <v>88</v>
      </c>
      <c r="C11" s="24">
        <v>30</v>
      </c>
      <c r="D11" s="63" t="s">
        <v>39</v>
      </c>
      <c r="E11" s="24">
        <f t="shared" si="7"/>
        <v>900</v>
      </c>
      <c r="F11" s="30">
        <v>19.7</v>
      </c>
      <c r="G11" s="29">
        <f t="shared" si="0"/>
        <v>0.65666666666666662</v>
      </c>
      <c r="H11" s="51">
        <f t="shared" si="1"/>
        <v>591</v>
      </c>
      <c r="I11" s="52"/>
      <c r="J11" s="53">
        <f t="shared" si="8"/>
        <v>0.65666666666666662</v>
      </c>
      <c r="K11" s="53">
        <f t="shared" si="2"/>
        <v>591</v>
      </c>
      <c r="L11" s="53">
        <f t="shared" si="9"/>
        <v>0.71886502783806738</v>
      </c>
      <c r="M11" s="53">
        <f t="shared" si="10"/>
        <v>646.97852505426067</v>
      </c>
      <c r="N11" s="64">
        <v>1</v>
      </c>
      <c r="O11" s="37">
        <f t="shared" si="3"/>
        <v>900</v>
      </c>
      <c r="P11" s="37">
        <f t="shared" si="4"/>
        <v>0.28113497216193262</v>
      </c>
      <c r="Q11" s="37">
        <f t="shared" si="5"/>
        <v>253.02147494573936</v>
      </c>
      <c r="R11" s="38">
        <f t="shared" si="6"/>
        <v>0.28113497216193262</v>
      </c>
      <c r="S11" s="102"/>
    </row>
    <row r="12" spans="1:19" s="16" customFormat="1" ht="45" customHeight="1">
      <c r="A12" s="54">
        <v>6</v>
      </c>
      <c r="B12" s="62" t="s">
        <v>71</v>
      </c>
      <c r="C12" s="24">
        <v>10</v>
      </c>
      <c r="D12" s="63" t="s">
        <v>49</v>
      </c>
      <c r="E12" s="24">
        <f t="shared" si="7"/>
        <v>120</v>
      </c>
      <c r="F12" s="30">
        <v>19.5</v>
      </c>
      <c r="G12" s="29">
        <f t="shared" si="0"/>
        <v>1.625</v>
      </c>
      <c r="H12" s="51">
        <f t="shared" si="1"/>
        <v>195</v>
      </c>
      <c r="I12" s="52"/>
      <c r="J12" s="53">
        <f t="shared" si="8"/>
        <v>1.625</v>
      </c>
      <c r="K12" s="53">
        <f t="shared" si="2"/>
        <v>195</v>
      </c>
      <c r="L12" s="53">
        <f t="shared" si="9"/>
        <v>1.7789172643200908</v>
      </c>
      <c r="M12" s="53">
        <f t="shared" si="10"/>
        <v>213.47007171841091</v>
      </c>
      <c r="N12" s="64">
        <v>2.5</v>
      </c>
      <c r="O12" s="37">
        <f t="shared" si="3"/>
        <v>300</v>
      </c>
      <c r="P12" s="37">
        <f t="shared" si="4"/>
        <v>0.72108273567990921</v>
      </c>
      <c r="Q12" s="37">
        <f t="shared" si="5"/>
        <v>86.529928281589108</v>
      </c>
      <c r="R12" s="38">
        <f t="shared" si="6"/>
        <v>0.28843309427196367</v>
      </c>
      <c r="S12" s="102"/>
    </row>
    <row r="13" spans="1:19" s="16" customFormat="1" ht="45" customHeight="1">
      <c r="A13" s="54">
        <v>7</v>
      </c>
      <c r="B13" s="97" t="s">
        <v>60</v>
      </c>
      <c r="C13" s="24">
        <v>20</v>
      </c>
      <c r="D13" s="63" t="s">
        <v>57</v>
      </c>
      <c r="E13" s="24">
        <f t="shared" si="7"/>
        <v>720</v>
      </c>
      <c r="F13" s="30">
        <v>31</v>
      </c>
      <c r="G13" s="29">
        <f t="shared" si="0"/>
        <v>0.86111111111111116</v>
      </c>
      <c r="H13" s="51">
        <f t="shared" si="1"/>
        <v>620</v>
      </c>
      <c r="I13" s="52"/>
      <c r="J13" s="53">
        <f t="shared" si="8"/>
        <v>0.86111111111111116</v>
      </c>
      <c r="K13" s="53">
        <f t="shared" si="2"/>
        <v>620</v>
      </c>
      <c r="L13" s="53">
        <f t="shared" si="9"/>
        <v>0.94267410587902245</v>
      </c>
      <c r="M13" s="53">
        <f t="shared" si="10"/>
        <v>678.72535623289616</v>
      </c>
      <c r="N13" s="64">
        <v>1.4</v>
      </c>
      <c r="O13" s="37">
        <f t="shared" si="3"/>
        <v>1007.9999999999999</v>
      </c>
      <c r="P13" s="37">
        <f t="shared" si="4"/>
        <v>0.45732589412097746</v>
      </c>
      <c r="Q13" s="37">
        <f t="shared" si="5"/>
        <v>329.27464376710378</v>
      </c>
      <c r="R13" s="38">
        <f t="shared" si="6"/>
        <v>0.32666135294355536</v>
      </c>
      <c r="S13" s="50" t="s">
        <v>162</v>
      </c>
    </row>
    <row r="14" spans="1:19" s="16" customFormat="1" ht="45" customHeight="1">
      <c r="A14" s="54">
        <v>8</v>
      </c>
      <c r="B14" s="94" t="s">
        <v>136</v>
      </c>
      <c r="C14" s="24">
        <v>20</v>
      </c>
      <c r="D14" s="63" t="s">
        <v>57</v>
      </c>
      <c r="E14" s="24">
        <f t="shared" si="7"/>
        <v>720</v>
      </c>
      <c r="F14" s="30">
        <v>44</v>
      </c>
      <c r="G14" s="29">
        <f t="shared" si="0"/>
        <v>1.2222222222222223</v>
      </c>
      <c r="H14" s="51">
        <f t="shared" si="1"/>
        <v>880.00000000000011</v>
      </c>
      <c r="I14" s="52"/>
      <c r="J14" s="53">
        <f t="shared" si="8"/>
        <v>1.2222222222222223</v>
      </c>
      <c r="K14" s="53">
        <f t="shared" si="2"/>
        <v>880.00000000000011</v>
      </c>
      <c r="L14" s="53">
        <f t="shared" si="9"/>
        <v>1.3379890535057093</v>
      </c>
      <c r="M14" s="53">
        <f t="shared" si="10"/>
        <v>963.35211852411067</v>
      </c>
      <c r="N14" s="64">
        <v>1.95</v>
      </c>
      <c r="O14" s="37">
        <f t="shared" si="3"/>
        <v>1404</v>
      </c>
      <c r="P14" s="37">
        <f t="shared" si="4"/>
        <v>0.61201094649429066</v>
      </c>
      <c r="Q14" s="37">
        <f t="shared" si="5"/>
        <v>440.64788147588928</v>
      </c>
      <c r="R14" s="38">
        <f t="shared" si="6"/>
        <v>0.31385176743296955</v>
      </c>
      <c r="S14" s="102"/>
    </row>
    <row r="15" spans="1:19" s="16" customFormat="1" ht="45" customHeight="1">
      <c r="A15" s="54">
        <v>9</v>
      </c>
      <c r="B15" s="93" t="s">
        <v>137</v>
      </c>
      <c r="C15" s="24">
        <v>20</v>
      </c>
      <c r="D15" s="63" t="s">
        <v>57</v>
      </c>
      <c r="E15" s="24">
        <f t="shared" si="7"/>
        <v>720</v>
      </c>
      <c r="F15" s="30">
        <v>44</v>
      </c>
      <c r="G15" s="29">
        <f t="shared" si="0"/>
        <v>1.2222222222222223</v>
      </c>
      <c r="H15" s="51">
        <f t="shared" si="1"/>
        <v>880.00000000000011</v>
      </c>
      <c r="I15" s="52"/>
      <c r="J15" s="53">
        <f t="shared" si="8"/>
        <v>1.2222222222222223</v>
      </c>
      <c r="K15" s="53">
        <f t="shared" si="2"/>
        <v>880.00000000000011</v>
      </c>
      <c r="L15" s="53">
        <f t="shared" si="9"/>
        <v>1.3379890535057093</v>
      </c>
      <c r="M15" s="53">
        <f t="shared" si="10"/>
        <v>963.35211852411067</v>
      </c>
      <c r="N15" s="64">
        <v>1.95</v>
      </c>
      <c r="O15" s="37">
        <f t="shared" si="3"/>
        <v>1404</v>
      </c>
      <c r="P15" s="37">
        <f t="shared" si="4"/>
        <v>0.61201094649429066</v>
      </c>
      <c r="Q15" s="37">
        <f t="shared" si="5"/>
        <v>440.64788147588928</v>
      </c>
      <c r="R15" s="38">
        <f t="shared" si="6"/>
        <v>0.31385176743296955</v>
      </c>
      <c r="S15" s="102"/>
    </row>
    <row r="16" spans="1:19" s="16" customFormat="1" ht="45" customHeight="1">
      <c r="A16" s="54">
        <v>10</v>
      </c>
      <c r="B16" s="74" t="s">
        <v>59</v>
      </c>
      <c r="C16" s="24">
        <v>10</v>
      </c>
      <c r="D16" s="63" t="s">
        <v>57</v>
      </c>
      <c r="E16" s="24">
        <f t="shared" si="7"/>
        <v>360</v>
      </c>
      <c r="F16" s="30">
        <v>31</v>
      </c>
      <c r="G16" s="29">
        <f t="shared" si="0"/>
        <v>0.86111111111111116</v>
      </c>
      <c r="H16" s="51">
        <f t="shared" si="1"/>
        <v>310</v>
      </c>
      <c r="I16" s="52"/>
      <c r="J16" s="53">
        <f t="shared" si="8"/>
        <v>0.86111111111111116</v>
      </c>
      <c r="K16" s="53">
        <f t="shared" si="2"/>
        <v>310</v>
      </c>
      <c r="L16" s="53">
        <f t="shared" si="9"/>
        <v>0.94267410587902245</v>
      </c>
      <c r="M16" s="53">
        <f t="shared" si="10"/>
        <v>339.36267811644808</v>
      </c>
      <c r="N16" s="64">
        <v>1.4</v>
      </c>
      <c r="O16" s="37">
        <f t="shared" si="3"/>
        <v>503.99999999999994</v>
      </c>
      <c r="P16" s="37">
        <f t="shared" si="4"/>
        <v>0.45732589412097746</v>
      </c>
      <c r="Q16" s="37">
        <f t="shared" si="5"/>
        <v>164.63732188355189</v>
      </c>
      <c r="R16" s="38">
        <f t="shared" si="6"/>
        <v>0.32666135294355536</v>
      </c>
      <c r="S16" s="50" t="s">
        <v>163</v>
      </c>
    </row>
    <row r="17" spans="1:19" s="16" customFormat="1" ht="45" customHeight="1">
      <c r="A17" s="54">
        <v>11</v>
      </c>
      <c r="B17" s="76" t="s">
        <v>43</v>
      </c>
      <c r="C17" s="24">
        <v>312</v>
      </c>
      <c r="D17" s="63" t="s">
        <v>35</v>
      </c>
      <c r="E17" s="24">
        <f>D17*C17</f>
        <v>7488</v>
      </c>
      <c r="F17" s="30">
        <v>9.75</v>
      </c>
      <c r="G17" s="29">
        <f>F17/D17</f>
        <v>0.40625</v>
      </c>
      <c r="H17" s="51">
        <f>G17*E17</f>
        <v>3042</v>
      </c>
      <c r="I17" s="52"/>
      <c r="J17" s="53">
        <f>G17/$Q$2</f>
        <v>0.40625</v>
      </c>
      <c r="K17" s="53">
        <f>H17/$Q$2</f>
        <v>3042</v>
      </c>
      <c r="L17" s="53">
        <f t="shared" si="9"/>
        <v>0.4447293160800227</v>
      </c>
      <c r="M17" s="53">
        <f t="shared" si="10"/>
        <v>3330.1331188072099</v>
      </c>
      <c r="N17" s="64">
        <v>0.61660000000000004</v>
      </c>
      <c r="O17" s="37">
        <f>N17*E17</f>
        <v>4617.1008000000002</v>
      </c>
      <c r="P17" s="37">
        <f>N17-L17</f>
        <v>0.17187068391997734</v>
      </c>
      <c r="Q17" s="37">
        <f>P17*E17</f>
        <v>1286.9676811927902</v>
      </c>
      <c r="R17" s="38">
        <f>P17/N17</f>
        <v>0.27873935115143905</v>
      </c>
      <c r="S17" s="77" t="s">
        <v>44</v>
      </c>
    </row>
    <row r="18" spans="1:19" s="16" customFormat="1" ht="45" customHeight="1">
      <c r="A18" s="54">
        <v>12</v>
      </c>
      <c r="B18" s="62" t="s">
        <v>85</v>
      </c>
      <c r="C18" s="24">
        <v>50</v>
      </c>
      <c r="D18" s="63" t="s">
        <v>40</v>
      </c>
      <c r="E18" s="24">
        <f t="shared" si="7"/>
        <v>200</v>
      </c>
      <c r="F18" s="30">
        <v>7.6</v>
      </c>
      <c r="G18" s="29">
        <f t="shared" si="0"/>
        <v>1.9</v>
      </c>
      <c r="H18" s="51">
        <f t="shared" si="1"/>
        <v>380</v>
      </c>
      <c r="I18" s="52"/>
      <c r="J18" s="53">
        <f t="shared" si="8"/>
        <v>1.9</v>
      </c>
      <c r="K18" s="53">
        <f t="shared" si="2"/>
        <v>380</v>
      </c>
      <c r="L18" s="53">
        <f t="shared" si="9"/>
        <v>2.0799648013588752</v>
      </c>
      <c r="M18" s="53">
        <f t="shared" si="10"/>
        <v>415.99296027177502</v>
      </c>
      <c r="N18" s="64">
        <v>3.2</v>
      </c>
      <c r="O18" s="37">
        <f t="shared" si="3"/>
        <v>640</v>
      </c>
      <c r="P18" s="37">
        <f t="shared" si="4"/>
        <v>1.120035198641125</v>
      </c>
      <c r="Q18" s="37">
        <f t="shared" si="5"/>
        <v>224.00703972822501</v>
      </c>
      <c r="R18" s="38">
        <f t="shared" si="6"/>
        <v>0.35001099957535153</v>
      </c>
      <c r="S18" s="78" t="s">
        <v>46</v>
      </c>
    </row>
    <row r="19" spans="1:19" s="113" customFormat="1" ht="45" customHeight="1">
      <c r="A19" s="54">
        <v>13</v>
      </c>
      <c r="B19" s="114" t="s">
        <v>138</v>
      </c>
      <c r="C19" s="111">
        <v>30</v>
      </c>
      <c r="D19" s="111">
        <v>4</v>
      </c>
      <c r="E19" s="24">
        <f t="shared" si="7"/>
        <v>120</v>
      </c>
      <c r="F19" s="115">
        <v>7.6</v>
      </c>
      <c r="G19" s="29">
        <f t="shared" ref="G19" si="11">F19/D19</f>
        <v>1.9</v>
      </c>
      <c r="H19" s="51">
        <f t="shared" ref="H19" si="12">G19*E19</f>
        <v>228</v>
      </c>
      <c r="I19" s="111"/>
      <c r="J19" s="53">
        <f t="shared" ref="J19" si="13">G19/$Q$2</f>
        <v>1.9</v>
      </c>
      <c r="K19" s="53">
        <f t="shared" ref="K19" si="14">H19/$Q$2</f>
        <v>228</v>
      </c>
      <c r="L19" s="53">
        <f t="shared" si="9"/>
        <v>2.0799648013588752</v>
      </c>
      <c r="M19" s="53">
        <f t="shared" si="10"/>
        <v>249.59577616306501</v>
      </c>
      <c r="N19" s="64">
        <v>3.2</v>
      </c>
      <c r="O19" s="115">
        <f t="shared" si="3"/>
        <v>384</v>
      </c>
      <c r="P19" s="115">
        <f t="shared" si="4"/>
        <v>1.120035198641125</v>
      </c>
      <c r="Q19" s="115">
        <f t="shared" si="5"/>
        <v>134.40422383693499</v>
      </c>
      <c r="R19" s="38">
        <f>P19/N19</f>
        <v>0.35001099957535153</v>
      </c>
      <c r="S19" s="78" t="s">
        <v>46</v>
      </c>
    </row>
    <row r="20" spans="1:19" s="16" customFormat="1" ht="45" customHeight="1">
      <c r="A20" s="54">
        <v>14</v>
      </c>
      <c r="B20" s="73" t="s">
        <v>140</v>
      </c>
      <c r="C20" s="24">
        <v>30</v>
      </c>
      <c r="D20" s="63" t="s">
        <v>35</v>
      </c>
      <c r="E20" s="24">
        <f t="shared" si="7"/>
        <v>720</v>
      </c>
      <c r="F20" s="30">
        <v>17.2</v>
      </c>
      <c r="G20" s="29">
        <f t="shared" si="0"/>
        <v>0.71666666666666667</v>
      </c>
      <c r="H20" s="51">
        <f t="shared" si="1"/>
        <v>516</v>
      </c>
      <c r="I20" s="52"/>
      <c r="J20" s="53">
        <f t="shared" si="8"/>
        <v>0.71666666666666667</v>
      </c>
      <c r="K20" s="53">
        <f t="shared" si="2"/>
        <v>516</v>
      </c>
      <c r="L20" s="53">
        <f t="shared" si="9"/>
        <v>0.78454812682834774</v>
      </c>
      <c r="M20" s="53">
        <f t="shared" si="10"/>
        <v>564.87465131641034</v>
      </c>
      <c r="N20" s="64">
        <v>1.1583000000000001</v>
      </c>
      <c r="O20" s="37">
        <f t="shared" si="3"/>
        <v>833.97600000000011</v>
      </c>
      <c r="P20" s="37">
        <f t="shared" si="4"/>
        <v>0.37375187317165237</v>
      </c>
      <c r="Q20" s="37">
        <f t="shared" si="5"/>
        <v>269.10134868358972</v>
      </c>
      <c r="R20" s="38">
        <f t="shared" si="6"/>
        <v>0.32267277317763304</v>
      </c>
      <c r="S20" s="99" t="s">
        <v>164</v>
      </c>
    </row>
    <row r="21" spans="1:19" s="16" customFormat="1" ht="45" customHeight="1">
      <c r="A21" s="80">
        <v>15</v>
      </c>
      <c r="B21" s="101" t="s">
        <v>139</v>
      </c>
      <c r="C21" s="82">
        <v>30</v>
      </c>
      <c r="D21" s="83" t="s">
        <v>49</v>
      </c>
      <c r="E21" s="82">
        <f t="shared" si="7"/>
        <v>360</v>
      </c>
      <c r="F21" s="84">
        <v>18.5</v>
      </c>
      <c r="G21" s="85">
        <f t="shared" si="0"/>
        <v>1.5416666666666667</v>
      </c>
      <c r="H21" s="86">
        <f t="shared" si="1"/>
        <v>555</v>
      </c>
      <c r="I21" s="87"/>
      <c r="J21" s="88">
        <f t="shared" si="8"/>
        <v>1.5416666666666667</v>
      </c>
      <c r="K21" s="88">
        <f t="shared" si="2"/>
        <v>555</v>
      </c>
      <c r="L21" s="88">
        <f t="shared" si="9"/>
        <v>1.6876907379447015</v>
      </c>
      <c r="M21" s="88">
        <f t="shared" si="10"/>
        <v>607.56866566009251</v>
      </c>
      <c r="N21" s="89">
        <v>2.125</v>
      </c>
      <c r="O21" s="90">
        <f t="shared" si="3"/>
        <v>765</v>
      </c>
      <c r="P21" s="90">
        <f t="shared" si="4"/>
        <v>0.43730926205529852</v>
      </c>
      <c r="Q21" s="90">
        <f t="shared" si="5"/>
        <v>157.43133433990747</v>
      </c>
      <c r="R21" s="91">
        <f t="shared" si="6"/>
        <v>0.20579259390837579</v>
      </c>
      <c r="S21" s="116" t="s">
        <v>66</v>
      </c>
    </row>
    <row r="22" spans="1:19" s="16" customFormat="1" ht="48" customHeight="1" thickBot="1">
      <c r="A22" s="137"/>
      <c r="B22" s="138"/>
      <c r="C22" s="138"/>
      <c r="D22" s="139"/>
      <c r="E22" s="147"/>
      <c r="F22" s="147"/>
      <c r="G22" s="149" t="s">
        <v>16</v>
      </c>
      <c r="H22" s="151">
        <f>SUM(H7:H21)</f>
        <v>10597</v>
      </c>
      <c r="I22" s="65"/>
      <c r="J22" s="66" t="s">
        <v>17</v>
      </c>
      <c r="K22" s="67">
        <f>SUM(K7:K21)</f>
        <v>10597</v>
      </c>
      <c r="L22" s="124" t="s">
        <v>18</v>
      </c>
      <c r="M22" s="125"/>
      <c r="N22" s="126">
        <f>SUM(O7:O21)</f>
        <v>16333.076800000001</v>
      </c>
      <c r="O22" s="127"/>
      <c r="P22" s="128" t="s">
        <v>19</v>
      </c>
      <c r="Q22" s="129"/>
      <c r="R22" s="132">
        <f>N22-K25</f>
        <v>4732.3468000000012</v>
      </c>
      <c r="S22" s="33"/>
    </row>
    <row r="23" spans="1:19" ht="48" customHeight="1" thickBot="1">
      <c r="A23" s="140"/>
      <c r="B23" s="138"/>
      <c r="C23" s="138"/>
      <c r="D23" s="139"/>
      <c r="E23" s="148"/>
      <c r="F23" s="148"/>
      <c r="G23" s="150"/>
      <c r="H23" s="152"/>
      <c r="I23" s="7"/>
      <c r="J23" s="17" t="s">
        <v>34</v>
      </c>
      <c r="K23" s="49">
        <f>K22*0.09</f>
        <v>953.73</v>
      </c>
      <c r="L23" s="134"/>
      <c r="M23" s="134"/>
      <c r="N23" s="134"/>
      <c r="O23" s="134"/>
      <c r="P23" s="130"/>
      <c r="Q23" s="131"/>
      <c r="R23" s="133"/>
      <c r="S23" s="25"/>
    </row>
    <row r="24" spans="1:19" ht="46.5" customHeight="1" thickBot="1">
      <c r="A24" s="141"/>
      <c r="B24" s="142"/>
      <c r="C24" s="142"/>
      <c r="D24" s="143"/>
      <c r="E24" s="8"/>
      <c r="F24" s="27"/>
      <c r="G24" s="9" t="s">
        <v>20</v>
      </c>
      <c r="H24" s="32" t="s">
        <v>27</v>
      </c>
      <c r="I24" s="7"/>
      <c r="J24" s="10" t="s">
        <v>21</v>
      </c>
      <c r="K24" s="18">
        <v>50</v>
      </c>
      <c r="L24" s="134"/>
      <c r="M24" s="134"/>
      <c r="N24" s="134"/>
      <c r="O24" s="134"/>
      <c r="P24" s="135" t="s">
        <v>22</v>
      </c>
      <c r="Q24" s="136"/>
      <c r="R24" s="11">
        <f>R22/N22</f>
        <v>0.28974006906035005</v>
      </c>
      <c r="S24" s="22"/>
    </row>
    <row r="25" spans="1:19" ht="60.75" thickBot="1">
      <c r="A25" s="144"/>
      <c r="B25" s="145"/>
      <c r="C25" s="145"/>
      <c r="D25" s="146"/>
      <c r="E25" s="12"/>
      <c r="F25" s="28"/>
      <c r="G25" s="13" t="s">
        <v>23</v>
      </c>
      <c r="H25" s="26">
        <f>SUM(H22:H24)</f>
        <v>10597</v>
      </c>
      <c r="I25" s="7"/>
      <c r="J25" s="14" t="s">
        <v>23</v>
      </c>
      <c r="K25" s="15">
        <f>SUM(K22:K24)</f>
        <v>11600.73</v>
      </c>
      <c r="L25" s="19" t="s">
        <v>24</v>
      </c>
      <c r="M25" s="121">
        <f>K24/K22</f>
        <v>4.7183165046711332E-3</v>
      </c>
      <c r="N25" s="122"/>
      <c r="O25" s="20"/>
      <c r="P25" s="5"/>
      <c r="Q25" s="5"/>
      <c r="R25" s="5"/>
      <c r="S25" s="21"/>
    </row>
    <row r="26" spans="1:19">
      <c r="B26" s="1"/>
      <c r="C26" s="31"/>
    </row>
    <row r="27" spans="1:19">
      <c r="B27" s="1"/>
      <c r="C27" s="31"/>
    </row>
    <row r="28" spans="1:19">
      <c r="B28" s="1"/>
    </row>
    <row r="29" spans="1:19">
      <c r="B29" s="1"/>
    </row>
    <row r="30" spans="1:19">
      <c r="B30" s="1"/>
    </row>
    <row r="31" spans="1:19" s="104" customFormat="1">
      <c r="A31" s="104" t="s">
        <v>90</v>
      </c>
      <c r="N31" s="105"/>
      <c r="S31" s="106"/>
    </row>
    <row r="32" spans="1:19" s="123" customFormat="1" ht="15.75" customHeight="1">
      <c r="A32" s="123" t="s">
        <v>91</v>
      </c>
    </row>
    <row r="37" spans="3:3">
      <c r="C37" s="31"/>
    </row>
    <row r="38" spans="3:3">
      <c r="C38" s="31"/>
    </row>
  </sheetData>
  <mergeCells count="18">
    <mergeCell ref="M25:N25"/>
    <mergeCell ref="A32:XFD32"/>
    <mergeCell ref="L22:M22"/>
    <mergeCell ref="N22:O22"/>
    <mergeCell ref="P22:Q23"/>
    <mergeCell ref="R22:R23"/>
    <mergeCell ref="L23:O24"/>
    <mergeCell ref="P24:Q24"/>
    <mergeCell ref="A22:D25"/>
    <mergeCell ref="E22:E23"/>
    <mergeCell ref="F22:F23"/>
    <mergeCell ref="G22:G23"/>
    <mergeCell ref="H22:H23"/>
    <mergeCell ref="A1:O1"/>
    <mergeCell ref="Q1:R1"/>
    <mergeCell ref="A2:O2"/>
    <mergeCell ref="A4:H4"/>
    <mergeCell ref="J4:S4"/>
  </mergeCells>
  <pageMargins left="0.23622047244094491" right="0.23622047244094491" top="0.74803149606299213" bottom="0.74803149606299213" header="0.31496062992125984" footer="0.31496062992125984"/>
  <pageSetup paperSize="9" scale="5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50"/>
  <sheetViews>
    <sheetView topLeftCell="A7" zoomScale="80" zoomScaleNormal="80" workbookViewId="0">
      <selection activeCell="V9" sqref="V9"/>
    </sheetView>
  </sheetViews>
  <sheetFormatPr defaultColWidth="14.42578125" defaultRowHeight="15.75"/>
  <cols>
    <col min="1" max="1" width="6" style="1" customWidth="1"/>
    <col min="2" max="2" width="54.5703125" style="71" customWidth="1"/>
    <col min="3" max="3" width="7.42578125" style="1" bestFit="1" customWidth="1"/>
    <col min="4" max="4" width="9.5703125" style="1" bestFit="1" customWidth="1"/>
    <col min="5" max="5" width="10.5703125" style="1" bestFit="1" customWidth="1"/>
    <col min="6" max="7" width="13.140625" style="1" bestFit="1" customWidth="1"/>
    <col min="8" max="8" width="14.5703125" style="1" customWidth="1"/>
    <col min="9" max="9" width="2.5703125" style="1" customWidth="1"/>
    <col min="10" max="10" width="13.140625" style="1" bestFit="1" customWidth="1"/>
    <col min="11" max="11" width="12.85546875" style="1" customWidth="1"/>
    <col min="12" max="12" width="12.85546875" style="1" bestFit="1" customWidth="1"/>
    <col min="13" max="13" width="12.42578125" style="1" bestFit="1" customWidth="1"/>
    <col min="14" max="14" width="13.5703125" style="16" bestFit="1" customWidth="1"/>
    <col min="15" max="15" width="11.42578125" style="1" bestFit="1" customWidth="1"/>
    <col min="16" max="16" width="12.7109375" style="1" bestFit="1" customWidth="1"/>
    <col min="17" max="17" width="12.140625" style="1" bestFit="1" customWidth="1"/>
    <col min="18" max="18" width="17.42578125" style="1" bestFit="1" customWidth="1"/>
    <col min="19" max="19" width="15.140625" style="23" customWidth="1"/>
    <col min="20" max="16384" width="14.42578125" style="1"/>
  </cols>
  <sheetData>
    <row r="1" spans="1:19" ht="32.450000000000003" customHeight="1">
      <c r="A1" s="153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5"/>
      <c r="P1" s="43" t="s">
        <v>1</v>
      </c>
      <c r="Q1" s="156">
        <v>45856</v>
      </c>
      <c r="R1" s="156"/>
      <c r="S1" s="44"/>
    </row>
    <row r="2" spans="1:19" ht="31.7" customHeight="1" thickBot="1">
      <c r="A2" s="157" t="s">
        <v>25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9"/>
      <c r="P2" s="45" t="s">
        <v>2</v>
      </c>
      <c r="Q2" s="46">
        <v>1</v>
      </c>
      <c r="R2" s="47"/>
      <c r="S2" s="48"/>
    </row>
    <row r="3" spans="1:19" ht="22.7" customHeight="1" thickBot="1">
      <c r="A3" s="2"/>
      <c r="B3" s="69" t="s">
        <v>33</v>
      </c>
      <c r="C3" s="2"/>
      <c r="D3" s="2"/>
      <c r="E3" s="3"/>
      <c r="F3" s="3"/>
      <c r="G3" s="3"/>
      <c r="H3" s="4"/>
      <c r="I3" s="5"/>
      <c r="J3" s="34"/>
      <c r="K3" s="35"/>
      <c r="L3" s="35"/>
      <c r="M3" s="35"/>
      <c r="N3" s="36"/>
      <c r="O3" s="35"/>
      <c r="P3" s="42"/>
      <c r="Q3" s="42"/>
      <c r="R3" s="42"/>
      <c r="S3" s="41"/>
    </row>
    <row r="4" spans="1:19" ht="22.7" customHeight="1" thickBot="1">
      <c r="A4" s="160" t="s">
        <v>3</v>
      </c>
      <c r="B4" s="161"/>
      <c r="C4" s="161"/>
      <c r="D4" s="161"/>
      <c r="E4" s="161"/>
      <c r="F4" s="161"/>
      <c r="G4" s="161"/>
      <c r="H4" s="162"/>
      <c r="I4" s="6"/>
      <c r="J4" s="163" t="s">
        <v>4</v>
      </c>
      <c r="K4" s="164"/>
      <c r="L4" s="164"/>
      <c r="M4" s="164"/>
      <c r="N4" s="164"/>
      <c r="O4" s="164"/>
      <c r="P4" s="164"/>
      <c r="Q4" s="164"/>
      <c r="R4" s="164"/>
      <c r="S4" s="165"/>
    </row>
    <row r="5" spans="1:19" ht="15" customHeight="1">
      <c r="A5" s="34"/>
      <c r="B5" s="70"/>
      <c r="C5" s="34"/>
      <c r="D5" s="34"/>
      <c r="E5" s="56"/>
      <c r="F5" s="56"/>
      <c r="G5" s="56"/>
      <c r="H5" s="57"/>
      <c r="I5" s="58"/>
      <c r="J5" s="39"/>
      <c r="K5" s="39"/>
      <c r="L5" s="39"/>
      <c r="M5" s="39"/>
      <c r="N5" s="40"/>
      <c r="O5" s="39"/>
      <c r="P5" s="39"/>
      <c r="Q5" s="39"/>
      <c r="R5" s="39"/>
      <c r="S5" s="41"/>
    </row>
    <row r="6" spans="1:19" ht="75">
      <c r="A6" s="55" t="s">
        <v>5</v>
      </c>
      <c r="B6" s="55" t="s">
        <v>6</v>
      </c>
      <c r="C6" s="59" t="s">
        <v>7</v>
      </c>
      <c r="D6" s="59" t="s">
        <v>26</v>
      </c>
      <c r="E6" s="59" t="s">
        <v>8</v>
      </c>
      <c r="F6" s="59" t="s">
        <v>31</v>
      </c>
      <c r="G6" s="59" t="s">
        <v>32</v>
      </c>
      <c r="H6" s="55" t="s">
        <v>9</v>
      </c>
      <c r="I6" s="60"/>
      <c r="J6" s="59" t="s">
        <v>29</v>
      </c>
      <c r="K6" s="59" t="s">
        <v>10</v>
      </c>
      <c r="L6" s="59" t="s">
        <v>161</v>
      </c>
      <c r="M6" s="59" t="s">
        <v>30</v>
      </c>
      <c r="N6" s="61" t="s">
        <v>11</v>
      </c>
      <c r="O6" s="59" t="s">
        <v>12</v>
      </c>
      <c r="P6" s="59" t="s">
        <v>13</v>
      </c>
      <c r="Q6" s="59" t="s">
        <v>14</v>
      </c>
      <c r="R6" s="59" t="s">
        <v>15</v>
      </c>
      <c r="S6" s="59" t="s">
        <v>28</v>
      </c>
    </row>
    <row r="7" spans="1:19" s="16" customFormat="1" ht="45" customHeight="1">
      <c r="A7" s="54">
        <v>1</v>
      </c>
      <c r="B7" s="72" t="s">
        <v>141</v>
      </c>
      <c r="C7" s="24">
        <v>110</v>
      </c>
      <c r="D7" s="63" t="s">
        <v>49</v>
      </c>
      <c r="E7" s="24">
        <f>D7*C7</f>
        <v>1320</v>
      </c>
      <c r="F7" s="30">
        <v>8.6999999999999993</v>
      </c>
      <c r="G7" s="29">
        <f t="shared" ref="G7:G33" si="0">F7/D7</f>
        <v>0.72499999999999998</v>
      </c>
      <c r="H7" s="51">
        <f t="shared" ref="H7:H33" si="1">G7*E7</f>
        <v>957</v>
      </c>
      <c r="I7" s="52"/>
      <c r="J7" s="53">
        <f>G7/$Q$2</f>
        <v>0.72499999999999998</v>
      </c>
      <c r="K7" s="53">
        <f t="shared" ref="K7:K33" si="2">H7/$Q$2</f>
        <v>957</v>
      </c>
      <c r="L7" s="53">
        <f>J7*(1+$M$37+9%)</f>
        <v>0.79309124309284007</v>
      </c>
      <c r="M7" s="53">
        <f>L7*E7</f>
        <v>1046.8804408825488</v>
      </c>
      <c r="N7" s="64">
        <v>1.125</v>
      </c>
      <c r="O7" s="37">
        <f t="shared" ref="O7:O33" si="3">N7*E7</f>
        <v>1485</v>
      </c>
      <c r="P7" s="37">
        <f t="shared" ref="P7:P33" si="4">N7-L7</f>
        <v>0.33190875690715993</v>
      </c>
      <c r="Q7" s="37">
        <f t="shared" ref="Q7:Q33" si="5">P7*E7</f>
        <v>438.1195591174511</v>
      </c>
      <c r="R7" s="38">
        <f t="shared" ref="R7:R33" si="6">P7/N7</f>
        <v>0.29503000613969771</v>
      </c>
      <c r="S7" s="50" t="s">
        <v>53</v>
      </c>
    </row>
    <row r="8" spans="1:19" s="16" customFormat="1" ht="45" customHeight="1">
      <c r="A8" s="54">
        <v>2</v>
      </c>
      <c r="B8" s="73" t="s">
        <v>67</v>
      </c>
      <c r="C8" s="24">
        <v>104</v>
      </c>
      <c r="D8" s="63" t="s">
        <v>35</v>
      </c>
      <c r="E8" s="24">
        <f t="shared" ref="E8:E33" si="7">D8*C8</f>
        <v>2496</v>
      </c>
      <c r="F8" s="30">
        <v>7.5</v>
      </c>
      <c r="G8" s="29">
        <f t="shared" si="0"/>
        <v>0.3125</v>
      </c>
      <c r="H8" s="51">
        <f t="shared" si="1"/>
        <v>780</v>
      </c>
      <c r="I8" s="52"/>
      <c r="J8" s="53">
        <f t="shared" ref="J8:J25" si="8">G8/$Q$2</f>
        <v>0.3125</v>
      </c>
      <c r="K8" s="53">
        <f t="shared" ref="K8:K25" si="9">H8/$Q$2</f>
        <v>780</v>
      </c>
      <c r="L8" s="53">
        <f t="shared" ref="L8:L25" si="10">J8*(1+$M$37+9%)</f>
        <v>0.34184967374691388</v>
      </c>
      <c r="M8" s="53">
        <f t="shared" ref="M8:M25" si="11">L8*E8</f>
        <v>853.25678567229704</v>
      </c>
      <c r="N8" s="64">
        <v>0.5333</v>
      </c>
      <c r="O8" s="37">
        <f t="shared" si="3"/>
        <v>1331.1168</v>
      </c>
      <c r="P8" s="37">
        <f t="shared" si="4"/>
        <v>0.19145032625308611</v>
      </c>
      <c r="Q8" s="37">
        <f t="shared" si="5"/>
        <v>477.86001432770291</v>
      </c>
      <c r="R8" s="38">
        <f t="shared" si="6"/>
        <v>0.35899179871195597</v>
      </c>
      <c r="S8" s="50" t="s">
        <v>68</v>
      </c>
    </row>
    <row r="9" spans="1:19" s="16" customFormat="1" ht="45" customHeight="1">
      <c r="A9" s="54">
        <v>3</v>
      </c>
      <c r="B9" s="73" t="s">
        <v>94</v>
      </c>
      <c r="C9" s="24">
        <v>30</v>
      </c>
      <c r="D9" s="63" t="s">
        <v>35</v>
      </c>
      <c r="E9" s="24">
        <f t="shared" si="7"/>
        <v>720</v>
      </c>
      <c r="F9" s="30">
        <v>13.2</v>
      </c>
      <c r="G9" s="29">
        <f t="shared" si="0"/>
        <v>0.54999999999999993</v>
      </c>
      <c r="H9" s="51">
        <f t="shared" si="1"/>
        <v>395.99999999999994</v>
      </c>
      <c r="I9" s="52"/>
      <c r="J9" s="53">
        <f t="shared" si="8"/>
        <v>0.54999999999999993</v>
      </c>
      <c r="K9" s="53">
        <f t="shared" si="9"/>
        <v>395.99999999999994</v>
      </c>
      <c r="L9" s="53">
        <f t="shared" si="10"/>
        <v>0.60165542579456832</v>
      </c>
      <c r="M9" s="53">
        <f t="shared" si="11"/>
        <v>433.19190657208918</v>
      </c>
      <c r="N9" s="64">
        <v>0.86660000000000004</v>
      </c>
      <c r="O9" s="37">
        <f t="shared" si="3"/>
        <v>623.952</v>
      </c>
      <c r="P9" s="37">
        <f t="shared" si="4"/>
        <v>0.26494457420543172</v>
      </c>
      <c r="Q9" s="37">
        <f t="shared" si="5"/>
        <v>190.76009342791085</v>
      </c>
      <c r="R9" s="38">
        <f t="shared" si="6"/>
        <v>0.30572879552900034</v>
      </c>
      <c r="S9" s="78" t="s">
        <v>95</v>
      </c>
    </row>
    <row r="10" spans="1:19" s="16" customFormat="1" ht="45" customHeight="1">
      <c r="A10" s="54">
        <v>4</v>
      </c>
      <c r="B10" s="62" t="s">
        <v>142</v>
      </c>
      <c r="C10" s="24">
        <v>30</v>
      </c>
      <c r="D10" s="63" t="s">
        <v>35</v>
      </c>
      <c r="E10" s="24">
        <f t="shared" si="7"/>
        <v>720</v>
      </c>
      <c r="F10" s="30">
        <v>13.2</v>
      </c>
      <c r="G10" s="29">
        <f t="shared" si="0"/>
        <v>0.54999999999999993</v>
      </c>
      <c r="H10" s="51">
        <f t="shared" si="1"/>
        <v>395.99999999999994</v>
      </c>
      <c r="I10" s="52"/>
      <c r="J10" s="53">
        <f t="shared" si="8"/>
        <v>0.54999999999999993</v>
      </c>
      <c r="K10" s="53">
        <f t="shared" si="9"/>
        <v>395.99999999999994</v>
      </c>
      <c r="L10" s="53">
        <f t="shared" si="10"/>
        <v>0.60165542579456832</v>
      </c>
      <c r="M10" s="53">
        <f t="shared" si="11"/>
        <v>433.19190657208918</v>
      </c>
      <c r="N10" s="64">
        <v>0.86660000000000004</v>
      </c>
      <c r="O10" s="37">
        <f t="shared" si="3"/>
        <v>623.952</v>
      </c>
      <c r="P10" s="37">
        <f t="shared" si="4"/>
        <v>0.26494457420543172</v>
      </c>
      <c r="Q10" s="37">
        <f t="shared" si="5"/>
        <v>190.76009342791085</v>
      </c>
      <c r="R10" s="38">
        <f t="shared" si="6"/>
        <v>0.30572879552900034</v>
      </c>
      <c r="S10" s="78" t="s">
        <v>95</v>
      </c>
    </row>
    <row r="11" spans="1:19" s="16" customFormat="1" ht="45" customHeight="1">
      <c r="A11" s="54">
        <v>5</v>
      </c>
      <c r="B11" s="72" t="s">
        <v>143</v>
      </c>
      <c r="C11" s="24">
        <v>40</v>
      </c>
      <c r="D11" s="63" t="s">
        <v>49</v>
      </c>
      <c r="E11" s="24">
        <f t="shared" si="7"/>
        <v>480</v>
      </c>
      <c r="F11" s="30">
        <v>12.4</v>
      </c>
      <c r="G11" s="29">
        <f t="shared" si="0"/>
        <v>1.0333333333333334</v>
      </c>
      <c r="H11" s="51">
        <f t="shared" si="1"/>
        <v>496.00000000000006</v>
      </c>
      <c r="I11" s="52"/>
      <c r="J11" s="53">
        <f t="shared" si="8"/>
        <v>1.0333333333333334</v>
      </c>
      <c r="K11" s="53">
        <f t="shared" si="9"/>
        <v>496.00000000000006</v>
      </c>
      <c r="L11" s="53">
        <f t="shared" si="10"/>
        <v>1.1303829211897953</v>
      </c>
      <c r="M11" s="53">
        <f t="shared" si="11"/>
        <v>542.58380217110175</v>
      </c>
      <c r="N11" s="64">
        <v>1.75</v>
      </c>
      <c r="O11" s="37">
        <f t="shared" si="3"/>
        <v>840</v>
      </c>
      <c r="P11" s="37">
        <f t="shared" si="4"/>
        <v>0.61961707881020467</v>
      </c>
      <c r="Q11" s="37">
        <f t="shared" si="5"/>
        <v>297.41619782889825</v>
      </c>
      <c r="R11" s="38">
        <f t="shared" si="6"/>
        <v>0.35406690217725983</v>
      </c>
      <c r="S11" s="102"/>
    </row>
    <row r="12" spans="1:19" s="16" customFormat="1" ht="45" customHeight="1">
      <c r="A12" s="54">
        <v>6</v>
      </c>
      <c r="B12" s="73" t="s">
        <v>144</v>
      </c>
      <c r="C12" s="24">
        <v>30</v>
      </c>
      <c r="D12" s="63" t="s">
        <v>35</v>
      </c>
      <c r="E12" s="24">
        <f t="shared" si="7"/>
        <v>720</v>
      </c>
      <c r="F12" s="30">
        <v>13.2</v>
      </c>
      <c r="G12" s="29">
        <f t="shared" si="0"/>
        <v>0.54999999999999993</v>
      </c>
      <c r="H12" s="51">
        <f t="shared" si="1"/>
        <v>395.99999999999994</v>
      </c>
      <c r="I12" s="52"/>
      <c r="J12" s="53">
        <f t="shared" si="8"/>
        <v>0.54999999999999993</v>
      </c>
      <c r="K12" s="53">
        <f t="shared" si="9"/>
        <v>395.99999999999994</v>
      </c>
      <c r="L12" s="53">
        <f t="shared" si="10"/>
        <v>0.60165542579456832</v>
      </c>
      <c r="M12" s="53">
        <f t="shared" si="11"/>
        <v>433.19190657208918</v>
      </c>
      <c r="N12" s="64">
        <v>0.86660000000000004</v>
      </c>
      <c r="O12" s="37">
        <f t="shared" si="3"/>
        <v>623.952</v>
      </c>
      <c r="P12" s="37">
        <f t="shared" si="4"/>
        <v>0.26494457420543172</v>
      </c>
      <c r="Q12" s="37">
        <f t="shared" si="5"/>
        <v>190.76009342791085</v>
      </c>
      <c r="R12" s="38">
        <f t="shared" si="6"/>
        <v>0.30572879552900034</v>
      </c>
      <c r="S12" s="78" t="s">
        <v>95</v>
      </c>
    </row>
    <row r="13" spans="1:19" s="16" customFormat="1" ht="45" customHeight="1">
      <c r="A13" s="54">
        <v>7</v>
      </c>
      <c r="B13" s="73" t="s">
        <v>145</v>
      </c>
      <c r="C13" s="24">
        <v>30</v>
      </c>
      <c r="D13" s="63" t="s">
        <v>35</v>
      </c>
      <c r="E13" s="24">
        <f t="shared" si="7"/>
        <v>720</v>
      </c>
      <c r="F13" s="30">
        <v>13.2</v>
      </c>
      <c r="G13" s="29">
        <f t="shared" si="0"/>
        <v>0.54999999999999993</v>
      </c>
      <c r="H13" s="51">
        <f t="shared" si="1"/>
        <v>395.99999999999994</v>
      </c>
      <c r="I13" s="52"/>
      <c r="J13" s="53">
        <f t="shared" si="8"/>
        <v>0.54999999999999993</v>
      </c>
      <c r="K13" s="53">
        <f t="shared" si="9"/>
        <v>395.99999999999994</v>
      </c>
      <c r="L13" s="53">
        <f t="shared" si="10"/>
        <v>0.60165542579456832</v>
      </c>
      <c r="M13" s="53">
        <f t="shared" si="11"/>
        <v>433.19190657208918</v>
      </c>
      <c r="N13" s="64">
        <v>0.86660000000000004</v>
      </c>
      <c r="O13" s="37">
        <f t="shared" si="3"/>
        <v>623.952</v>
      </c>
      <c r="P13" s="37">
        <f t="shared" si="4"/>
        <v>0.26494457420543172</v>
      </c>
      <c r="Q13" s="37">
        <f t="shared" si="5"/>
        <v>190.76009342791085</v>
      </c>
      <c r="R13" s="38">
        <f t="shared" si="6"/>
        <v>0.30572879552900034</v>
      </c>
      <c r="S13" s="78" t="s">
        <v>95</v>
      </c>
    </row>
    <row r="14" spans="1:19" s="16" customFormat="1" ht="45" customHeight="1">
      <c r="A14" s="54">
        <v>8</v>
      </c>
      <c r="B14" s="72" t="s">
        <v>146</v>
      </c>
      <c r="C14" s="24">
        <v>30</v>
      </c>
      <c r="D14" s="63" t="s">
        <v>81</v>
      </c>
      <c r="E14" s="24">
        <f t="shared" si="7"/>
        <v>1620</v>
      </c>
      <c r="F14" s="30">
        <v>34.799999999999997</v>
      </c>
      <c r="G14" s="29">
        <f t="shared" si="0"/>
        <v>0.64444444444444438</v>
      </c>
      <c r="H14" s="51">
        <f t="shared" si="1"/>
        <v>1044</v>
      </c>
      <c r="I14" s="52"/>
      <c r="J14" s="53">
        <f t="shared" si="8"/>
        <v>0.64444444444444438</v>
      </c>
      <c r="K14" s="53">
        <f t="shared" si="9"/>
        <v>1044</v>
      </c>
      <c r="L14" s="53">
        <f t="shared" si="10"/>
        <v>0.70496999386030224</v>
      </c>
      <c r="M14" s="53">
        <f t="shared" si="11"/>
        <v>1142.0513900536896</v>
      </c>
      <c r="N14" s="64">
        <v>1</v>
      </c>
      <c r="O14" s="37">
        <f t="shared" si="3"/>
        <v>1620</v>
      </c>
      <c r="P14" s="37">
        <f t="shared" si="4"/>
        <v>0.29503000613969776</v>
      </c>
      <c r="Q14" s="37">
        <f t="shared" si="5"/>
        <v>477.9486099463104</v>
      </c>
      <c r="R14" s="38">
        <f t="shared" si="6"/>
        <v>0.29503000613969776</v>
      </c>
      <c r="S14" s="102"/>
    </row>
    <row r="15" spans="1:19" s="16" customFormat="1" ht="45" customHeight="1">
      <c r="A15" s="80">
        <v>9</v>
      </c>
      <c r="B15" s="75" t="s">
        <v>147</v>
      </c>
      <c r="C15" s="82">
        <v>63</v>
      </c>
      <c r="D15" s="83" t="s">
        <v>37</v>
      </c>
      <c r="E15" s="82">
        <f t="shared" si="7"/>
        <v>630</v>
      </c>
      <c r="F15" s="84">
        <v>13.5</v>
      </c>
      <c r="G15" s="85">
        <f t="shared" si="0"/>
        <v>1.35</v>
      </c>
      <c r="H15" s="86">
        <f t="shared" si="1"/>
        <v>850.5</v>
      </c>
      <c r="I15" s="87"/>
      <c r="J15" s="88">
        <f t="shared" si="8"/>
        <v>1.35</v>
      </c>
      <c r="K15" s="88">
        <f t="shared" si="9"/>
        <v>850.5</v>
      </c>
      <c r="L15" s="88">
        <f t="shared" si="10"/>
        <v>1.4767905905866681</v>
      </c>
      <c r="M15" s="88">
        <f t="shared" si="11"/>
        <v>930.37807206960088</v>
      </c>
      <c r="N15" s="89">
        <v>1.95</v>
      </c>
      <c r="O15" s="90">
        <f t="shared" si="3"/>
        <v>1228.5</v>
      </c>
      <c r="P15" s="90">
        <f t="shared" si="4"/>
        <v>0.47320940941333189</v>
      </c>
      <c r="Q15" s="90">
        <f t="shared" si="5"/>
        <v>298.12192793039907</v>
      </c>
      <c r="R15" s="91">
        <f t="shared" si="6"/>
        <v>0.24267149200683688</v>
      </c>
      <c r="S15" s="98"/>
    </row>
    <row r="16" spans="1:19" s="16" customFormat="1" ht="45" customHeight="1">
      <c r="A16" s="54">
        <v>10</v>
      </c>
      <c r="B16" s="97" t="s">
        <v>62</v>
      </c>
      <c r="C16" s="24">
        <v>10</v>
      </c>
      <c r="D16" s="63" t="s">
        <v>58</v>
      </c>
      <c r="E16" s="24">
        <f t="shared" si="7"/>
        <v>200</v>
      </c>
      <c r="F16" s="30">
        <v>12.5</v>
      </c>
      <c r="G16" s="29">
        <f t="shared" si="0"/>
        <v>0.625</v>
      </c>
      <c r="H16" s="51">
        <f t="shared" si="1"/>
        <v>125</v>
      </c>
      <c r="I16" s="52"/>
      <c r="J16" s="53">
        <f t="shared" si="8"/>
        <v>0.625</v>
      </c>
      <c r="K16" s="53">
        <f t="shared" si="9"/>
        <v>125</v>
      </c>
      <c r="L16" s="53">
        <f t="shared" si="10"/>
        <v>0.68369934749382777</v>
      </c>
      <c r="M16" s="53">
        <f t="shared" si="11"/>
        <v>136.73986949876556</v>
      </c>
      <c r="N16" s="64">
        <v>1</v>
      </c>
      <c r="O16" s="37">
        <f t="shared" si="3"/>
        <v>200</v>
      </c>
      <c r="P16" s="37">
        <f t="shared" si="4"/>
        <v>0.31630065250617223</v>
      </c>
      <c r="Q16" s="37">
        <f t="shared" si="5"/>
        <v>63.260130501234443</v>
      </c>
      <c r="R16" s="38">
        <f t="shared" si="6"/>
        <v>0.31630065250617223</v>
      </c>
      <c r="S16" s="102"/>
    </row>
    <row r="17" spans="1:19" s="16" customFormat="1" ht="45" customHeight="1">
      <c r="A17" s="54">
        <v>11</v>
      </c>
      <c r="B17" s="97" t="s">
        <v>63</v>
      </c>
      <c r="C17" s="24">
        <v>10</v>
      </c>
      <c r="D17" s="63" t="s">
        <v>58</v>
      </c>
      <c r="E17" s="24">
        <f t="shared" si="7"/>
        <v>200</v>
      </c>
      <c r="F17" s="30">
        <v>12.5</v>
      </c>
      <c r="G17" s="29">
        <f t="shared" si="0"/>
        <v>0.625</v>
      </c>
      <c r="H17" s="51">
        <f t="shared" si="1"/>
        <v>125</v>
      </c>
      <c r="I17" s="52"/>
      <c r="J17" s="53">
        <f t="shared" si="8"/>
        <v>0.625</v>
      </c>
      <c r="K17" s="53">
        <f t="shared" si="9"/>
        <v>125</v>
      </c>
      <c r="L17" s="53">
        <f t="shared" si="10"/>
        <v>0.68369934749382777</v>
      </c>
      <c r="M17" s="53">
        <f t="shared" si="11"/>
        <v>136.73986949876556</v>
      </c>
      <c r="N17" s="64">
        <v>1</v>
      </c>
      <c r="O17" s="37">
        <f t="shared" si="3"/>
        <v>200</v>
      </c>
      <c r="P17" s="37">
        <f t="shared" si="4"/>
        <v>0.31630065250617223</v>
      </c>
      <c r="Q17" s="37">
        <f t="shared" si="5"/>
        <v>63.260130501234443</v>
      </c>
      <c r="R17" s="38">
        <f t="shared" si="6"/>
        <v>0.31630065250617223</v>
      </c>
      <c r="S17" s="102"/>
    </row>
    <row r="18" spans="1:19" s="16" customFormat="1" ht="45" customHeight="1">
      <c r="A18" s="54">
        <v>12</v>
      </c>
      <c r="B18" s="62" t="s">
        <v>65</v>
      </c>
      <c r="C18" s="24">
        <v>10</v>
      </c>
      <c r="D18" s="63" t="s">
        <v>58</v>
      </c>
      <c r="E18" s="24">
        <f t="shared" si="7"/>
        <v>200</v>
      </c>
      <c r="F18" s="30">
        <v>12.5</v>
      </c>
      <c r="G18" s="29">
        <f t="shared" si="0"/>
        <v>0.625</v>
      </c>
      <c r="H18" s="51">
        <f t="shared" si="1"/>
        <v>125</v>
      </c>
      <c r="I18" s="52"/>
      <c r="J18" s="53">
        <f t="shared" si="8"/>
        <v>0.625</v>
      </c>
      <c r="K18" s="53">
        <f t="shared" si="9"/>
        <v>125</v>
      </c>
      <c r="L18" s="53">
        <f t="shared" si="10"/>
        <v>0.68369934749382777</v>
      </c>
      <c r="M18" s="53">
        <f t="shared" si="11"/>
        <v>136.73986949876556</v>
      </c>
      <c r="N18" s="64">
        <v>1</v>
      </c>
      <c r="O18" s="37">
        <f t="shared" si="3"/>
        <v>200</v>
      </c>
      <c r="P18" s="37">
        <f t="shared" si="4"/>
        <v>0.31630065250617223</v>
      </c>
      <c r="Q18" s="37">
        <f t="shared" si="5"/>
        <v>63.260130501234443</v>
      </c>
      <c r="R18" s="38">
        <f t="shared" si="6"/>
        <v>0.31630065250617223</v>
      </c>
      <c r="S18" s="102"/>
    </row>
    <row r="19" spans="1:19" s="16" customFormat="1" ht="45" customHeight="1">
      <c r="A19" s="54">
        <v>13</v>
      </c>
      <c r="B19" s="97" t="s">
        <v>64</v>
      </c>
      <c r="C19" s="24">
        <v>10</v>
      </c>
      <c r="D19" s="63" t="s">
        <v>58</v>
      </c>
      <c r="E19" s="24">
        <f t="shared" si="7"/>
        <v>200</v>
      </c>
      <c r="F19" s="30">
        <v>12.5</v>
      </c>
      <c r="G19" s="29">
        <f t="shared" si="0"/>
        <v>0.625</v>
      </c>
      <c r="H19" s="51">
        <f t="shared" si="1"/>
        <v>125</v>
      </c>
      <c r="I19" s="52"/>
      <c r="J19" s="53">
        <f t="shared" si="8"/>
        <v>0.625</v>
      </c>
      <c r="K19" s="53">
        <f t="shared" si="9"/>
        <v>125</v>
      </c>
      <c r="L19" s="53">
        <f t="shared" si="10"/>
        <v>0.68369934749382777</v>
      </c>
      <c r="M19" s="53">
        <f t="shared" si="11"/>
        <v>136.73986949876556</v>
      </c>
      <c r="N19" s="64">
        <v>1</v>
      </c>
      <c r="O19" s="37">
        <f t="shared" si="3"/>
        <v>200</v>
      </c>
      <c r="P19" s="37">
        <f t="shared" si="4"/>
        <v>0.31630065250617223</v>
      </c>
      <c r="Q19" s="37">
        <f t="shared" si="5"/>
        <v>63.260130501234443</v>
      </c>
      <c r="R19" s="38">
        <f t="shared" si="6"/>
        <v>0.31630065250617223</v>
      </c>
      <c r="S19" s="102"/>
    </row>
    <row r="20" spans="1:19" s="16" customFormat="1" ht="45" customHeight="1">
      <c r="A20" s="80">
        <v>14</v>
      </c>
      <c r="B20" s="110" t="s">
        <v>148</v>
      </c>
      <c r="C20" s="82">
        <v>3</v>
      </c>
      <c r="D20" s="83" t="s">
        <v>49</v>
      </c>
      <c r="E20" s="82">
        <f t="shared" si="7"/>
        <v>36</v>
      </c>
      <c r="F20" s="84">
        <v>21</v>
      </c>
      <c r="G20" s="85">
        <f t="shared" si="0"/>
        <v>1.75</v>
      </c>
      <c r="H20" s="86">
        <f t="shared" si="1"/>
        <v>63</v>
      </c>
      <c r="I20" s="87"/>
      <c r="J20" s="88">
        <f t="shared" si="8"/>
        <v>1.75</v>
      </c>
      <c r="K20" s="88">
        <f t="shared" si="9"/>
        <v>63</v>
      </c>
      <c r="L20" s="88">
        <f t="shared" si="10"/>
        <v>1.9143581729827175</v>
      </c>
      <c r="M20" s="88">
        <f t="shared" si="11"/>
        <v>68.916894227377824</v>
      </c>
      <c r="N20" s="89">
        <v>2.25</v>
      </c>
      <c r="O20" s="90">
        <f t="shared" si="3"/>
        <v>81</v>
      </c>
      <c r="P20" s="90">
        <f t="shared" si="4"/>
        <v>0.33564182701728251</v>
      </c>
      <c r="Q20" s="90">
        <f t="shared" si="5"/>
        <v>12.08310577262217</v>
      </c>
      <c r="R20" s="91">
        <f t="shared" si="6"/>
        <v>0.14917414534101445</v>
      </c>
      <c r="S20" s="98"/>
    </row>
    <row r="21" spans="1:19" s="16" customFormat="1" ht="45" customHeight="1">
      <c r="A21" s="54">
        <v>21</v>
      </c>
      <c r="B21" s="79" t="s">
        <v>47</v>
      </c>
      <c r="C21" s="24">
        <v>120</v>
      </c>
      <c r="D21" s="63" t="s">
        <v>35</v>
      </c>
      <c r="E21" s="24">
        <f t="shared" si="7"/>
        <v>2880</v>
      </c>
      <c r="F21" s="30">
        <v>11.5</v>
      </c>
      <c r="G21" s="29">
        <f t="shared" si="0"/>
        <v>0.47916666666666669</v>
      </c>
      <c r="H21" s="51">
        <f t="shared" si="1"/>
        <v>1380</v>
      </c>
      <c r="I21" s="52"/>
      <c r="J21" s="53">
        <f t="shared" si="8"/>
        <v>0.47916666666666669</v>
      </c>
      <c r="K21" s="53">
        <f t="shared" si="9"/>
        <v>1380</v>
      </c>
      <c r="L21" s="53">
        <f t="shared" si="10"/>
        <v>0.52416949974526794</v>
      </c>
      <c r="M21" s="53">
        <f t="shared" si="11"/>
        <v>1509.6081592663718</v>
      </c>
      <c r="N21" s="64">
        <v>0.74160000000000004</v>
      </c>
      <c r="O21" s="37">
        <f t="shared" si="3"/>
        <v>2135.808</v>
      </c>
      <c r="P21" s="37">
        <f t="shared" si="4"/>
        <v>0.2174305002547321</v>
      </c>
      <c r="Q21" s="37">
        <f t="shared" si="5"/>
        <v>626.19984073362843</v>
      </c>
      <c r="R21" s="38">
        <f t="shared" si="6"/>
        <v>0.2931910736983982</v>
      </c>
      <c r="S21" s="77" t="s">
        <v>48</v>
      </c>
    </row>
    <row r="22" spans="1:19" s="16" customFormat="1" ht="45" customHeight="1">
      <c r="A22" s="80">
        <v>16</v>
      </c>
      <c r="B22" s="75" t="s">
        <v>149</v>
      </c>
      <c r="C22" s="82">
        <v>20</v>
      </c>
      <c r="D22" s="83" t="s">
        <v>40</v>
      </c>
      <c r="E22" s="82">
        <f t="shared" si="7"/>
        <v>80</v>
      </c>
      <c r="F22" s="84">
        <v>24</v>
      </c>
      <c r="G22" s="85">
        <f t="shared" si="0"/>
        <v>6</v>
      </c>
      <c r="H22" s="86">
        <f t="shared" si="1"/>
        <v>480</v>
      </c>
      <c r="I22" s="87"/>
      <c r="J22" s="88">
        <f t="shared" si="8"/>
        <v>6</v>
      </c>
      <c r="K22" s="88">
        <f t="shared" si="9"/>
        <v>480</v>
      </c>
      <c r="L22" s="88">
        <f t="shared" si="10"/>
        <v>6.5635137359407461</v>
      </c>
      <c r="M22" s="88">
        <f t="shared" si="11"/>
        <v>525.08109887525973</v>
      </c>
      <c r="N22" s="89">
        <v>8.5</v>
      </c>
      <c r="O22" s="90">
        <f t="shared" si="3"/>
        <v>680</v>
      </c>
      <c r="P22" s="90">
        <f t="shared" si="4"/>
        <v>1.9364862640592539</v>
      </c>
      <c r="Q22" s="90">
        <f t="shared" si="5"/>
        <v>154.91890112474033</v>
      </c>
      <c r="R22" s="91">
        <f t="shared" si="6"/>
        <v>0.22782191341873576</v>
      </c>
      <c r="S22" s="98"/>
    </row>
    <row r="23" spans="1:19" s="16" customFormat="1" ht="45" customHeight="1">
      <c r="A23" s="80">
        <v>17</v>
      </c>
      <c r="B23" s="81" t="s">
        <v>150</v>
      </c>
      <c r="C23" s="82">
        <v>20</v>
      </c>
      <c r="D23" s="83" t="s">
        <v>40</v>
      </c>
      <c r="E23" s="82">
        <f t="shared" si="7"/>
        <v>80</v>
      </c>
      <c r="F23" s="84">
        <v>24</v>
      </c>
      <c r="G23" s="85">
        <f t="shared" si="0"/>
        <v>6</v>
      </c>
      <c r="H23" s="86">
        <f t="shared" si="1"/>
        <v>480</v>
      </c>
      <c r="I23" s="87"/>
      <c r="J23" s="88">
        <f t="shared" si="8"/>
        <v>6</v>
      </c>
      <c r="K23" s="88">
        <f t="shared" si="9"/>
        <v>480</v>
      </c>
      <c r="L23" s="88">
        <f t="shared" si="10"/>
        <v>6.5635137359407461</v>
      </c>
      <c r="M23" s="88">
        <f t="shared" si="11"/>
        <v>525.08109887525973</v>
      </c>
      <c r="N23" s="89">
        <v>8.5</v>
      </c>
      <c r="O23" s="90">
        <f t="shared" si="3"/>
        <v>680</v>
      </c>
      <c r="P23" s="90">
        <f t="shared" si="4"/>
        <v>1.9364862640592539</v>
      </c>
      <c r="Q23" s="90">
        <f t="shared" si="5"/>
        <v>154.91890112474033</v>
      </c>
      <c r="R23" s="91">
        <f t="shared" si="6"/>
        <v>0.22782191341873576</v>
      </c>
      <c r="S23" s="92"/>
    </row>
    <row r="24" spans="1:19" s="16" customFormat="1" ht="45" customHeight="1">
      <c r="A24" s="80">
        <v>18</v>
      </c>
      <c r="B24" s="110" t="s">
        <v>151</v>
      </c>
      <c r="C24" s="82">
        <v>20</v>
      </c>
      <c r="D24" s="83" t="s">
        <v>40</v>
      </c>
      <c r="E24" s="82">
        <f t="shared" si="7"/>
        <v>80</v>
      </c>
      <c r="F24" s="84">
        <v>24</v>
      </c>
      <c r="G24" s="85">
        <f t="shared" si="0"/>
        <v>6</v>
      </c>
      <c r="H24" s="86">
        <f t="shared" si="1"/>
        <v>480</v>
      </c>
      <c r="I24" s="87"/>
      <c r="J24" s="88">
        <f t="shared" si="8"/>
        <v>6</v>
      </c>
      <c r="K24" s="88">
        <f t="shared" si="9"/>
        <v>480</v>
      </c>
      <c r="L24" s="88">
        <f t="shared" si="10"/>
        <v>6.5635137359407461</v>
      </c>
      <c r="M24" s="88">
        <f t="shared" si="11"/>
        <v>525.08109887525973</v>
      </c>
      <c r="N24" s="89">
        <v>8.5</v>
      </c>
      <c r="O24" s="90">
        <f t="shared" si="3"/>
        <v>680</v>
      </c>
      <c r="P24" s="90">
        <f t="shared" si="4"/>
        <v>1.9364862640592539</v>
      </c>
      <c r="Q24" s="90">
        <f t="shared" si="5"/>
        <v>154.91890112474033</v>
      </c>
      <c r="R24" s="91">
        <f t="shared" si="6"/>
        <v>0.22782191341873576</v>
      </c>
      <c r="S24" s="98"/>
    </row>
    <row r="25" spans="1:19" s="16" customFormat="1" ht="45" customHeight="1">
      <c r="A25" s="80">
        <v>19</v>
      </c>
      <c r="B25" s="101" t="s">
        <v>152</v>
      </c>
      <c r="C25" s="82">
        <v>30</v>
      </c>
      <c r="D25" s="83" t="s">
        <v>40</v>
      </c>
      <c r="E25" s="82">
        <f t="shared" si="7"/>
        <v>120</v>
      </c>
      <c r="F25" s="84">
        <v>24.5</v>
      </c>
      <c r="G25" s="85">
        <f t="shared" si="0"/>
        <v>6.125</v>
      </c>
      <c r="H25" s="86">
        <f t="shared" si="1"/>
        <v>735</v>
      </c>
      <c r="I25" s="87"/>
      <c r="J25" s="88">
        <f t="shared" si="8"/>
        <v>6.125</v>
      </c>
      <c r="K25" s="88">
        <f t="shared" si="9"/>
        <v>735</v>
      </c>
      <c r="L25" s="88">
        <f t="shared" si="10"/>
        <v>6.7002536054395119</v>
      </c>
      <c r="M25" s="88">
        <f t="shared" si="11"/>
        <v>804.03043265274141</v>
      </c>
      <c r="N25" s="89">
        <v>8.5</v>
      </c>
      <c r="O25" s="90">
        <f t="shared" si="3"/>
        <v>1020</v>
      </c>
      <c r="P25" s="90">
        <f t="shared" si="4"/>
        <v>1.7997463945604881</v>
      </c>
      <c r="Q25" s="90">
        <f t="shared" si="5"/>
        <v>215.96956734725859</v>
      </c>
      <c r="R25" s="91">
        <f t="shared" si="6"/>
        <v>0.21173486994829271</v>
      </c>
      <c r="S25" s="98"/>
    </row>
    <row r="26" spans="1:19" s="16" customFormat="1" ht="45" customHeight="1">
      <c r="A26" s="54">
        <v>20</v>
      </c>
      <c r="B26" s="119" t="s">
        <v>153</v>
      </c>
      <c r="C26" s="24">
        <v>20</v>
      </c>
      <c r="D26" s="63" t="s">
        <v>49</v>
      </c>
      <c r="E26" s="24">
        <f t="shared" si="7"/>
        <v>240</v>
      </c>
      <c r="F26" s="30">
        <v>34.5</v>
      </c>
      <c r="G26" s="29">
        <f t="shared" si="0"/>
        <v>2.875</v>
      </c>
      <c r="H26" s="51">
        <f t="shared" si="1"/>
        <v>690</v>
      </c>
      <c r="I26" s="52"/>
      <c r="J26" s="53">
        <f t="shared" ref="J26:J33" si="12">G26/$Q$2</f>
        <v>2.875</v>
      </c>
      <c r="K26" s="53">
        <f t="shared" si="2"/>
        <v>690</v>
      </c>
      <c r="L26" s="53">
        <f t="shared" ref="L26:L33" si="13">J26*(1+$M$37+9%)</f>
        <v>3.1450169984716076</v>
      </c>
      <c r="M26" s="53">
        <f t="shared" ref="M26:M33" si="14">L26*E26</f>
        <v>754.80407963318589</v>
      </c>
      <c r="N26" s="64">
        <v>4.95</v>
      </c>
      <c r="O26" s="37">
        <f t="shared" si="3"/>
        <v>1188</v>
      </c>
      <c r="P26" s="37">
        <f t="shared" si="4"/>
        <v>1.8049830015283925</v>
      </c>
      <c r="Q26" s="37">
        <f t="shared" si="5"/>
        <v>433.19592036681422</v>
      </c>
      <c r="R26" s="38">
        <f t="shared" si="6"/>
        <v>0.36464303061179648</v>
      </c>
      <c r="S26" s="50"/>
    </row>
    <row r="27" spans="1:19" s="16" customFormat="1" ht="45" customHeight="1">
      <c r="A27" s="54">
        <v>21</v>
      </c>
      <c r="B27" s="76" t="s">
        <v>154</v>
      </c>
      <c r="C27" s="24">
        <v>40</v>
      </c>
      <c r="D27" s="63" t="s">
        <v>49</v>
      </c>
      <c r="E27" s="24">
        <f>D27*C27</f>
        <v>480</v>
      </c>
      <c r="F27" s="30">
        <v>34.5</v>
      </c>
      <c r="G27" s="29">
        <f>F27/D27</f>
        <v>2.875</v>
      </c>
      <c r="H27" s="51">
        <f>G27*E27</f>
        <v>1380</v>
      </c>
      <c r="I27" s="52"/>
      <c r="J27" s="53">
        <f>G27/$Q$2</f>
        <v>2.875</v>
      </c>
      <c r="K27" s="53">
        <f>H27/$Q$2</f>
        <v>1380</v>
      </c>
      <c r="L27" s="53">
        <f t="shared" si="13"/>
        <v>3.1450169984716076</v>
      </c>
      <c r="M27" s="53">
        <f t="shared" si="14"/>
        <v>1509.6081592663718</v>
      </c>
      <c r="N27" s="64">
        <v>4.95</v>
      </c>
      <c r="O27" s="37">
        <f>N27*E27</f>
        <v>2376</v>
      </c>
      <c r="P27" s="37">
        <f>N27-L27</f>
        <v>1.8049830015283925</v>
      </c>
      <c r="Q27" s="37">
        <f>P27*E27</f>
        <v>866.39184073362844</v>
      </c>
      <c r="R27" s="38">
        <f>P27/N27</f>
        <v>0.36464303061179648</v>
      </c>
      <c r="S27" s="77"/>
    </row>
    <row r="28" spans="1:19" s="16" customFormat="1" ht="45" customHeight="1">
      <c r="A28" s="54">
        <v>22</v>
      </c>
      <c r="B28" s="62" t="s">
        <v>155</v>
      </c>
      <c r="C28" s="24">
        <v>9</v>
      </c>
      <c r="D28" s="63" t="s">
        <v>49</v>
      </c>
      <c r="E28" s="24">
        <f t="shared" si="7"/>
        <v>108</v>
      </c>
      <c r="F28" s="30">
        <v>20</v>
      </c>
      <c r="G28" s="29">
        <f t="shared" si="0"/>
        <v>1.6666666666666667</v>
      </c>
      <c r="H28" s="51">
        <f t="shared" si="1"/>
        <v>180</v>
      </c>
      <c r="I28" s="52"/>
      <c r="J28" s="53">
        <f t="shared" si="12"/>
        <v>1.6666666666666667</v>
      </c>
      <c r="K28" s="53">
        <f t="shared" si="2"/>
        <v>180</v>
      </c>
      <c r="L28" s="53">
        <f t="shared" si="13"/>
        <v>1.8231982599835406</v>
      </c>
      <c r="M28" s="53">
        <f t="shared" si="14"/>
        <v>196.90541207822238</v>
      </c>
      <c r="N28" s="64">
        <v>2.95</v>
      </c>
      <c r="O28" s="37">
        <f t="shared" si="3"/>
        <v>318.60000000000002</v>
      </c>
      <c r="P28" s="37">
        <f t="shared" si="4"/>
        <v>1.1268017400164596</v>
      </c>
      <c r="Q28" s="37">
        <f t="shared" si="5"/>
        <v>121.69458792177764</v>
      </c>
      <c r="R28" s="38">
        <f t="shared" si="6"/>
        <v>0.38196669153100321</v>
      </c>
      <c r="S28" s="102"/>
    </row>
    <row r="29" spans="1:19" s="16" customFormat="1" ht="45" customHeight="1">
      <c r="A29" s="54">
        <v>23</v>
      </c>
      <c r="B29" s="62" t="s">
        <v>156</v>
      </c>
      <c r="C29" s="24">
        <v>7</v>
      </c>
      <c r="D29" s="63" t="s">
        <v>49</v>
      </c>
      <c r="E29" s="24">
        <f t="shared" si="7"/>
        <v>84</v>
      </c>
      <c r="F29" s="30">
        <v>20</v>
      </c>
      <c r="G29" s="29">
        <f t="shared" si="0"/>
        <v>1.6666666666666667</v>
      </c>
      <c r="H29" s="51">
        <f t="shared" si="1"/>
        <v>140</v>
      </c>
      <c r="I29" s="52"/>
      <c r="J29" s="53">
        <f t="shared" si="12"/>
        <v>1.6666666666666667</v>
      </c>
      <c r="K29" s="53">
        <f t="shared" si="2"/>
        <v>140</v>
      </c>
      <c r="L29" s="53">
        <f t="shared" si="13"/>
        <v>1.8231982599835406</v>
      </c>
      <c r="M29" s="53">
        <f t="shared" si="14"/>
        <v>153.14865383861741</v>
      </c>
      <c r="N29" s="64">
        <v>2.95</v>
      </c>
      <c r="O29" s="37">
        <f t="shared" ref="O29:O30" si="15">N29*E29</f>
        <v>247.8</v>
      </c>
      <c r="P29" s="37">
        <f t="shared" ref="P29:P30" si="16">N29-L29</f>
        <v>1.1268017400164596</v>
      </c>
      <c r="Q29" s="37">
        <f t="shared" ref="Q29:Q30" si="17">P29*E29</f>
        <v>94.651346161382605</v>
      </c>
      <c r="R29" s="38">
        <f t="shared" ref="R29:R30" si="18">P29/N29</f>
        <v>0.38196669153100321</v>
      </c>
      <c r="S29" s="102"/>
    </row>
    <row r="30" spans="1:19" s="16" customFormat="1" ht="45" customHeight="1">
      <c r="A30" s="54">
        <v>24</v>
      </c>
      <c r="B30" s="62" t="s">
        <v>157</v>
      </c>
      <c r="C30" s="24">
        <v>3</v>
      </c>
      <c r="D30" s="63" t="s">
        <v>49</v>
      </c>
      <c r="E30" s="24">
        <f t="shared" si="7"/>
        <v>36</v>
      </c>
      <c r="F30" s="30">
        <v>20</v>
      </c>
      <c r="G30" s="29">
        <f t="shared" si="0"/>
        <v>1.6666666666666667</v>
      </c>
      <c r="H30" s="51">
        <f t="shared" si="1"/>
        <v>60</v>
      </c>
      <c r="I30" s="52"/>
      <c r="J30" s="53">
        <f t="shared" si="12"/>
        <v>1.6666666666666667</v>
      </c>
      <c r="K30" s="53">
        <f t="shared" si="2"/>
        <v>60</v>
      </c>
      <c r="L30" s="53">
        <f t="shared" si="13"/>
        <v>1.8231982599835406</v>
      </c>
      <c r="M30" s="53">
        <f t="shared" si="14"/>
        <v>65.635137359407466</v>
      </c>
      <c r="N30" s="64">
        <v>2.95</v>
      </c>
      <c r="O30" s="37">
        <f t="shared" si="15"/>
        <v>106.2</v>
      </c>
      <c r="P30" s="37">
        <f t="shared" si="16"/>
        <v>1.1268017400164596</v>
      </c>
      <c r="Q30" s="37">
        <f t="shared" si="17"/>
        <v>40.564862640592544</v>
      </c>
      <c r="R30" s="38">
        <f t="shared" si="18"/>
        <v>0.38196669153100321</v>
      </c>
      <c r="S30" s="102"/>
    </row>
    <row r="31" spans="1:19" s="117" customFormat="1" ht="45" customHeight="1">
      <c r="A31" s="54">
        <v>25</v>
      </c>
      <c r="B31" s="114" t="s">
        <v>158</v>
      </c>
      <c r="C31" s="112">
        <v>3</v>
      </c>
      <c r="D31" s="112">
        <v>12</v>
      </c>
      <c r="E31" s="24">
        <f t="shared" si="7"/>
        <v>36</v>
      </c>
      <c r="F31" s="30">
        <v>20</v>
      </c>
      <c r="G31" s="29">
        <f t="shared" si="0"/>
        <v>1.6666666666666667</v>
      </c>
      <c r="H31" s="51">
        <f t="shared" si="1"/>
        <v>60</v>
      </c>
      <c r="I31" s="112"/>
      <c r="J31" s="53">
        <f t="shared" si="12"/>
        <v>1.6666666666666667</v>
      </c>
      <c r="K31" s="53">
        <f t="shared" si="2"/>
        <v>60</v>
      </c>
      <c r="L31" s="53">
        <f t="shared" si="13"/>
        <v>1.8231982599835406</v>
      </c>
      <c r="M31" s="53">
        <f t="shared" si="14"/>
        <v>65.635137359407466</v>
      </c>
      <c r="N31" s="64">
        <v>2.95</v>
      </c>
      <c r="O31" s="30">
        <f t="shared" si="3"/>
        <v>106.2</v>
      </c>
      <c r="P31" s="30">
        <f t="shared" si="4"/>
        <v>1.1268017400164596</v>
      </c>
      <c r="Q31" s="30">
        <f t="shared" si="5"/>
        <v>40.564862640592544</v>
      </c>
      <c r="R31" s="38">
        <f>P31/N31</f>
        <v>0.38196669153100321</v>
      </c>
      <c r="S31" s="102"/>
    </row>
    <row r="32" spans="1:19" s="16" customFormat="1" ht="45" customHeight="1">
      <c r="A32" s="54">
        <v>26</v>
      </c>
      <c r="B32" s="73" t="s">
        <v>159</v>
      </c>
      <c r="C32" s="24">
        <v>1</v>
      </c>
      <c r="D32" s="63" t="s">
        <v>49</v>
      </c>
      <c r="E32" s="24">
        <f t="shared" si="7"/>
        <v>12</v>
      </c>
      <c r="F32" s="30">
        <v>20</v>
      </c>
      <c r="G32" s="29">
        <f t="shared" si="0"/>
        <v>1.6666666666666667</v>
      </c>
      <c r="H32" s="51">
        <f t="shared" si="1"/>
        <v>20</v>
      </c>
      <c r="I32" s="52"/>
      <c r="J32" s="53">
        <f t="shared" si="12"/>
        <v>1.6666666666666667</v>
      </c>
      <c r="K32" s="53">
        <f t="shared" si="2"/>
        <v>20</v>
      </c>
      <c r="L32" s="53">
        <f t="shared" si="13"/>
        <v>1.8231982599835406</v>
      </c>
      <c r="M32" s="53">
        <f t="shared" si="14"/>
        <v>21.878379119802489</v>
      </c>
      <c r="N32" s="64">
        <v>2.95</v>
      </c>
      <c r="O32" s="37">
        <f t="shared" si="3"/>
        <v>35.400000000000006</v>
      </c>
      <c r="P32" s="37">
        <f t="shared" si="4"/>
        <v>1.1268017400164596</v>
      </c>
      <c r="Q32" s="37">
        <f t="shared" si="5"/>
        <v>13.521620880197515</v>
      </c>
      <c r="R32" s="38">
        <f t="shared" si="6"/>
        <v>0.38196669153100321</v>
      </c>
      <c r="S32" s="77"/>
    </row>
    <row r="33" spans="1:19" s="16" customFormat="1" ht="45" customHeight="1">
      <c r="A33" s="80">
        <v>27</v>
      </c>
      <c r="B33" s="120" t="s">
        <v>160</v>
      </c>
      <c r="C33" s="82">
        <v>19</v>
      </c>
      <c r="D33" s="83" t="s">
        <v>107</v>
      </c>
      <c r="E33" s="82">
        <f t="shared" si="7"/>
        <v>114</v>
      </c>
      <c r="F33" s="84">
        <v>21</v>
      </c>
      <c r="G33" s="85">
        <f t="shared" si="0"/>
        <v>3.5</v>
      </c>
      <c r="H33" s="86">
        <f t="shared" si="1"/>
        <v>399</v>
      </c>
      <c r="I33" s="87"/>
      <c r="J33" s="88">
        <f t="shared" si="12"/>
        <v>3.5</v>
      </c>
      <c r="K33" s="88">
        <f t="shared" si="2"/>
        <v>399</v>
      </c>
      <c r="L33" s="88">
        <f t="shared" si="13"/>
        <v>3.828716345965435</v>
      </c>
      <c r="M33" s="88">
        <f t="shared" si="14"/>
        <v>436.47366344005957</v>
      </c>
      <c r="N33" s="89">
        <v>4.5</v>
      </c>
      <c r="O33" s="90">
        <f t="shared" si="3"/>
        <v>513</v>
      </c>
      <c r="P33" s="90">
        <f t="shared" si="4"/>
        <v>0.67128365403456502</v>
      </c>
      <c r="Q33" s="90">
        <f t="shared" si="5"/>
        <v>76.526336559940418</v>
      </c>
      <c r="R33" s="91">
        <f t="shared" si="6"/>
        <v>0.14917414534101445</v>
      </c>
      <c r="S33" s="116"/>
    </row>
    <row r="34" spans="1:19" s="16" customFormat="1" ht="48" customHeight="1" thickBot="1">
      <c r="A34" s="137"/>
      <c r="B34" s="138"/>
      <c r="C34" s="138"/>
      <c r="D34" s="139"/>
      <c r="E34" s="147"/>
      <c r="F34" s="147"/>
      <c r="G34" s="149" t="s">
        <v>16</v>
      </c>
      <c r="H34" s="151">
        <f>SUM(H7:H33)</f>
        <v>12758.5</v>
      </c>
      <c r="I34" s="65"/>
      <c r="J34" s="66" t="s">
        <v>17</v>
      </c>
      <c r="K34" s="67">
        <f>SUM(K7:K33)</f>
        <v>12758.5</v>
      </c>
      <c r="L34" s="124" t="s">
        <v>18</v>
      </c>
      <c r="M34" s="125"/>
      <c r="N34" s="126">
        <f>SUM(O7:O33)</f>
        <v>19968.432800000002</v>
      </c>
      <c r="O34" s="127"/>
      <c r="P34" s="128" t="s">
        <v>19</v>
      </c>
      <c r="Q34" s="129"/>
      <c r="R34" s="132">
        <f>N34-K37</f>
        <v>6011.6678000000029</v>
      </c>
      <c r="S34" s="33"/>
    </row>
    <row r="35" spans="1:19" ht="48" customHeight="1" thickBot="1">
      <c r="A35" s="140"/>
      <c r="B35" s="138"/>
      <c r="C35" s="138"/>
      <c r="D35" s="139"/>
      <c r="E35" s="148"/>
      <c r="F35" s="148"/>
      <c r="G35" s="150"/>
      <c r="H35" s="152"/>
      <c r="I35" s="7"/>
      <c r="J35" s="17" t="s">
        <v>34</v>
      </c>
      <c r="K35" s="49">
        <f>K34*0.09</f>
        <v>1148.2649999999999</v>
      </c>
      <c r="L35" s="134"/>
      <c r="M35" s="134"/>
      <c r="N35" s="134"/>
      <c r="O35" s="134"/>
      <c r="P35" s="130"/>
      <c r="Q35" s="131"/>
      <c r="R35" s="133"/>
      <c r="S35" s="25"/>
    </row>
    <row r="36" spans="1:19" ht="46.5" customHeight="1" thickBot="1">
      <c r="A36" s="141"/>
      <c r="B36" s="142"/>
      <c r="C36" s="142"/>
      <c r="D36" s="143"/>
      <c r="E36" s="8"/>
      <c r="F36" s="27"/>
      <c r="G36" s="9" t="s">
        <v>20</v>
      </c>
      <c r="H36" s="32" t="s">
        <v>27</v>
      </c>
      <c r="I36" s="7"/>
      <c r="J36" s="10" t="s">
        <v>21</v>
      </c>
      <c r="K36" s="18">
        <v>50</v>
      </c>
      <c r="L36" s="134"/>
      <c r="M36" s="134"/>
      <c r="N36" s="134"/>
      <c r="O36" s="134"/>
      <c r="P36" s="135" t="s">
        <v>22</v>
      </c>
      <c r="Q36" s="136"/>
      <c r="R36" s="11">
        <f>R34/N34</f>
        <v>0.30105856880265547</v>
      </c>
      <c r="S36" s="22"/>
    </row>
    <row r="37" spans="1:19" ht="60.75" thickBot="1">
      <c r="A37" s="144"/>
      <c r="B37" s="145"/>
      <c r="C37" s="145"/>
      <c r="D37" s="146"/>
      <c r="E37" s="12"/>
      <c r="F37" s="28"/>
      <c r="G37" s="13" t="s">
        <v>23</v>
      </c>
      <c r="H37" s="26">
        <f>SUM(H34:H36)</f>
        <v>12758.5</v>
      </c>
      <c r="I37" s="7"/>
      <c r="J37" s="14" t="s">
        <v>23</v>
      </c>
      <c r="K37" s="15">
        <f>SUM(K34:K36)</f>
        <v>13956.764999999999</v>
      </c>
      <c r="L37" s="19" t="s">
        <v>24</v>
      </c>
      <c r="M37" s="121">
        <f>K36/K34</f>
        <v>3.9189559901242309E-3</v>
      </c>
      <c r="N37" s="122"/>
      <c r="O37" s="20"/>
      <c r="P37" s="5"/>
      <c r="Q37" s="5"/>
      <c r="R37" s="5"/>
      <c r="S37" s="21"/>
    </row>
    <row r="38" spans="1:19">
      <c r="B38" s="1"/>
      <c r="C38" s="118"/>
    </row>
    <row r="39" spans="1:19">
      <c r="B39" s="1"/>
      <c r="C39" s="31"/>
    </row>
    <row r="40" spans="1:19">
      <c r="B40" s="1"/>
    </row>
    <row r="41" spans="1:19">
      <c r="B41" s="1"/>
    </row>
    <row r="42" spans="1:19">
      <c r="B42" s="1"/>
    </row>
    <row r="43" spans="1:19" s="104" customFormat="1">
      <c r="A43" s="104" t="s">
        <v>90</v>
      </c>
      <c r="N43" s="105"/>
      <c r="S43" s="106"/>
    </row>
    <row r="44" spans="1:19" s="123" customFormat="1" ht="15.75" customHeight="1">
      <c r="A44" s="123" t="s">
        <v>91</v>
      </c>
    </row>
    <row r="49" spans="3:3">
      <c r="C49" s="31"/>
    </row>
    <row r="50" spans="3:3">
      <c r="C50" s="31"/>
    </row>
  </sheetData>
  <autoFilter ref="A6:S37" xr:uid="{00000000-0009-0000-0000-000006000000}"/>
  <mergeCells count="18">
    <mergeCell ref="M37:N37"/>
    <mergeCell ref="A44:XFD44"/>
    <mergeCell ref="L34:M34"/>
    <mergeCell ref="N34:O34"/>
    <mergeCell ref="P34:Q35"/>
    <mergeCell ref="R34:R35"/>
    <mergeCell ref="L35:O36"/>
    <mergeCell ref="P36:Q36"/>
    <mergeCell ref="A34:D37"/>
    <mergeCell ref="E34:E35"/>
    <mergeCell ref="F34:F35"/>
    <mergeCell ref="G34:G35"/>
    <mergeCell ref="H34:H35"/>
    <mergeCell ref="A1:O1"/>
    <mergeCell ref="Q1:R1"/>
    <mergeCell ref="A2:O2"/>
    <mergeCell ref="A4:H4"/>
    <mergeCell ref="J4:S4"/>
  </mergeCells>
  <pageMargins left="0.23622047244094491" right="0.23622047244094491" top="0.74803149606299213" bottom="0.74803149606299213" header="0.31496062992125984" footer="0.31496062992125984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TIN2507-109</vt:lpstr>
      <vt:lpstr>TIN2507-136</vt:lpstr>
      <vt:lpstr>TIN2507-153</vt:lpstr>
      <vt:lpstr>TIN2507-158</vt:lpstr>
      <vt:lpstr>TIN2507-162</vt:lpstr>
      <vt:lpstr>TIN2507-172</vt:lpstr>
      <vt:lpstr>TIN2507-178</vt:lpstr>
      <vt:lpstr>'TIN2507-109'!Print_Titles</vt:lpstr>
      <vt:lpstr>'TIN2507-136'!Print_Titles</vt:lpstr>
      <vt:lpstr>'TIN2507-153'!Print_Titles</vt:lpstr>
      <vt:lpstr>'TIN2507-158'!Print_Titles</vt:lpstr>
      <vt:lpstr>'TIN2507-162'!Print_Titles</vt:lpstr>
      <vt:lpstr>'TIN2507-172'!Print_Titles</vt:lpstr>
      <vt:lpstr>'TIN2507-178'!Print_Titles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</dc:creator>
  <cp:lastModifiedBy>banpreet.saluja@gmail.com</cp:lastModifiedBy>
  <cp:lastPrinted>2025-07-22T10:44:32Z</cp:lastPrinted>
  <dcterms:created xsi:type="dcterms:W3CDTF">2023-12-14T08:09:44Z</dcterms:created>
  <dcterms:modified xsi:type="dcterms:W3CDTF">2025-07-24T01:50:53Z</dcterms:modified>
</cp:coreProperties>
</file>