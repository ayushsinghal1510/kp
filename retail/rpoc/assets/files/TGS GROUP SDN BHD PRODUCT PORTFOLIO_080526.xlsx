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OneDrive\Desktop\GRAB &amp; FOOD PANDA\"/>
    </mc:Choice>
  </mc:AlternateContent>
  <xr:revisionPtr revIDLastSave="0" documentId="8_{85AF45B8-C69D-4BFD-86C5-FB92F713BD63}" xr6:coauthVersionLast="47" xr6:coauthVersionMax="47" xr10:uidLastSave="{00000000-0000-0000-0000-000000000000}"/>
  <bookViews>
    <workbookView xWindow="-120" yWindow="-120" windowWidth="20730" windowHeight="11160" activeTab="1" xr2:uid="{74296BC9-603C-A84B-BEC2-5B94F47A70E9}"/>
  </bookViews>
  <sheets>
    <sheet name="MASTERFILE" sheetId="17" r:id="rId1"/>
    <sheet name="GRAB PANDAMART CAL" sheetId="18" r:id="rId2"/>
    <sheet name="PRICE CHANGE" sheetId="20" r:id="rId3"/>
  </sheets>
  <definedNames>
    <definedName name="_xlnm._FilterDatabase" localSheetId="1" hidden="1">'GRAB PANDAMART CAL'!$A$6:$AC$174</definedName>
    <definedName name="_xlnm._FilterDatabase" localSheetId="0" hidden="1">MASTERFILE!$A$6:$BB$189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8" i="17" l="1"/>
  <c r="BI9" i="17"/>
  <c r="BI10" i="17"/>
  <c r="BI11" i="17"/>
  <c r="BI12" i="17"/>
  <c r="BI13" i="17"/>
  <c r="BI14" i="17"/>
  <c r="BI15" i="17"/>
  <c r="BI16" i="17"/>
  <c r="BI17" i="17"/>
  <c r="BI18" i="17"/>
  <c r="BI19" i="17"/>
  <c r="BI20" i="17"/>
  <c r="BI21" i="17"/>
  <c r="BI22" i="17"/>
  <c r="BI23" i="17"/>
  <c r="BI24" i="17"/>
  <c r="BI25" i="17"/>
  <c r="BI26" i="17"/>
  <c r="BI27" i="17"/>
  <c r="BI28" i="17"/>
  <c r="BI29" i="17"/>
  <c r="BI30" i="17"/>
  <c r="BI31" i="17"/>
  <c r="BI32" i="17"/>
  <c r="BI33" i="17"/>
  <c r="BI34" i="17"/>
  <c r="BI35" i="17"/>
  <c r="BI36" i="17"/>
  <c r="BI37" i="17"/>
  <c r="BI38" i="17"/>
  <c r="BI39" i="17"/>
  <c r="BI40" i="17"/>
  <c r="BI41" i="17"/>
  <c r="BI42" i="17"/>
  <c r="BI43" i="17"/>
  <c r="BI44" i="17"/>
  <c r="BI45" i="17"/>
  <c r="BI46" i="17"/>
  <c r="BI47" i="17"/>
  <c r="BI48" i="17"/>
  <c r="BI49" i="17"/>
  <c r="BI50" i="17"/>
  <c r="BI51" i="17"/>
  <c r="BI52" i="17"/>
  <c r="BI53" i="17"/>
  <c r="BI54" i="17"/>
  <c r="BI55" i="17"/>
  <c r="BI56" i="17"/>
  <c r="BI57" i="17"/>
  <c r="BI58" i="17"/>
  <c r="BI59" i="17"/>
  <c r="BI60" i="17"/>
  <c r="BI61" i="17"/>
  <c r="BI62" i="17"/>
  <c r="BI63" i="17"/>
  <c r="BI64" i="17"/>
  <c r="BI65" i="17"/>
  <c r="BI66" i="17"/>
  <c r="BI67" i="17"/>
  <c r="BI68" i="17"/>
  <c r="BI69" i="17"/>
  <c r="BI70" i="17"/>
  <c r="BI71" i="17"/>
  <c r="BI72" i="17"/>
  <c r="BI73" i="17"/>
  <c r="BI74" i="17"/>
  <c r="BI75" i="17"/>
  <c r="BI76" i="17"/>
  <c r="BI77" i="17"/>
  <c r="BI78" i="17"/>
  <c r="BI79" i="17"/>
  <c r="BI80" i="17"/>
  <c r="BI81" i="17"/>
  <c r="BI82" i="17"/>
  <c r="BI83" i="17"/>
  <c r="BI84" i="17"/>
  <c r="BI85" i="17"/>
  <c r="BI86" i="17"/>
  <c r="BI87" i="17"/>
  <c r="BI88" i="17"/>
  <c r="BI89" i="17"/>
  <c r="BI90" i="17"/>
  <c r="BI91" i="17"/>
  <c r="BI92" i="17"/>
  <c r="BI93" i="17"/>
  <c r="BI94" i="17"/>
  <c r="BI95" i="17"/>
  <c r="BI96" i="17"/>
  <c r="BI97" i="17"/>
  <c r="BI98" i="17"/>
  <c r="BI99" i="17"/>
  <c r="BI100" i="17"/>
  <c r="BI101" i="17"/>
  <c r="BI102" i="17"/>
  <c r="BI103" i="17"/>
  <c r="BI104" i="17"/>
  <c r="BI105" i="17"/>
  <c r="BI106" i="17"/>
  <c r="BI107" i="17"/>
  <c r="BI108" i="17"/>
  <c r="BI109" i="17"/>
  <c r="BI110" i="17"/>
  <c r="BI111" i="17"/>
  <c r="BI112" i="17"/>
  <c r="BI113" i="17"/>
  <c r="BI114" i="17"/>
  <c r="BI115" i="17"/>
  <c r="BI116" i="17"/>
  <c r="BI117" i="17"/>
  <c r="BI118" i="17"/>
  <c r="BI119" i="17"/>
  <c r="BI120" i="17"/>
  <c r="BI121" i="17"/>
  <c r="BI122" i="17"/>
  <c r="BI123" i="17"/>
  <c r="BI124" i="17"/>
  <c r="BI125" i="17"/>
  <c r="BI126" i="17"/>
  <c r="BI127" i="17"/>
  <c r="BI128" i="17"/>
  <c r="BI129" i="17"/>
  <c r="BI130" i="17"/>
  <c r="BI131" i="17"/>
  <c r="BI132" i="17"/>
  <c r="BI133" i="17"/>
  <c r="BI134" i="17"/>
  <c r="BI135" i="17"/>
  <c r="BI136" i="17"/>
  <c r="BI137" i="17"/>
  <c r="BI138" i="17"/>
  <c r="BI139" i="17"/>
  <c r="BI140" i="17"/>
  <c r="BI141" i="17"/>
  <c r="BI142" i="17"/>
  <c r="BI143" i="17"/>
  <c r="BI144" i="17"/>
  <c r="BI145" i="17"/>
  <c r="BI146" i="17"/>
  <c r="BI147" i="17"/>
  <c r="BI148" i="17"/>
  <c r="BI149" i="17"/>
  <c r="BI150" i="17"/>
  <c r="BI151" i="17"/>
  <c r="BI152" i="17"/>
  <c r="BI153" i="17"/>
  <c r="BI154" i="17"/>
  <c r="BI155" i="17"/>
  <c r="BI156" i="17"/>
  <c r="BI157" i="17"/>
  <c r="BI158" i="17"/>
  <c r="BI159" i="17"/>
  <c r="BI160" i="17"/>
  <c r="BI161" i="17"/>
  <c r="BI162" i="17"/>
  <c r="BI163" i="17"/>
  <c r="BI164" i="17"/>
  <c r="BI165" i="17"/>
  <c r="BI166" i="17"/>
  <c r="BI167" i="17"/>
  <c r="BI168" i="17"/>
  <c r="BI169" i="17"/>
  <c r="BI170" i="17"/>
  <c r="BI171" i="17"/>
  <c r="BI172" i="17"/>
  <c r="BI173" i="17"/>
  <c r="BI174" i="17"/>
  <c r="BI175" i="17"/>
  <c r="BI176" i="17"/>
  <c r="BI177" i="17"/>
  <c r="BI178" i="17"/>
  <c r="BI179" i="17"/>
  <c r="BI180" i="17"/>
  <c r="BI181" i="17"/>
  <c r="BI182" i="17"/>
  <c r="BI183" i="17"/>
  <c r="BI184" i="17"/>
  <c r="BI185" i="17"/>
  <c r="BI7" i="17"/>
  <c r="BG8" i="17"/>
  <c r="BG9" i="17"/>
  <c r="BG10" i="17"/>
  <c r="BG11" i="17"/>
  <c r="BG12" i="17"/>
  <c r="BG13" i="17"/>
  <c r="BG14" i="17"/>
  <c r="BG15" i="17"/>
  <c r="BG16" i="17"/>
  <c r="BG17" i="17"/>
  <c r="BG18" i="17"/>
  <c r="BG19" i="17"/>
  <c r="BG20" i="17"/>
  <c r="BG21" i="17"/>
  <c r="BG22" i="17"/>
  <c r="BG23" i="17"/>
  <c r="BG24" i="17"/>
  <c r="BG25" i="17"/>
  <c r="BG26" i="17"/>
  <c r="BG27" i="17"/>
  <c r="BG28" i="17"/>
  <c r="BG29" i="17"/>
  <c r="BG30" i="17"/>
  <c r="BG31" i="17"/>
  <c r="BG32" i="17"/>
  <c r="BG33" i="17"/>
  <c r="BG34" i="17"/>
  <c r="BG35" i="17"/>
  <c r="BG36" i="17"/>
  <c r="BG37" i="17"/>
  <c r="BG38" i="17"/>
  <c r="BG39" i="17"/>
  <c r="BG40" i="17"/>
  <c r="BG41" i="17"/>
  <c r="BG42" i="17"/>
  <c r="BG43" i="17"/>
  <c r="BG44" i="17"/>
  <c r="BG45" i="17"/>
  <c r="BG46" i="17"/>
  <c r="BG47" i="17"/>
  <c r="BG48" i="17"/>
  <c r="BG49" i="17"/>
  <c r="BG50" i="17"/>
  <c r="BG51" i="17"/>
  <c r="BG52" i="17"/>
  <c r="BG53" i="17"/>
  <c r="BG54" i="17"/>
  <c r="BG55" i="17"/>
  <c r="BG56" i="17"/>
  <c r="BG57" i="17"/>
  <c r="BG58" i="17"/>
  <c r="BG59" i="17"/>
  <c r="BG60" i="17"/>
  <c r="BG61" i="17"/>
  <c r="BG62" i="17"/>
  <c r="BG63" i="17"/>
  <c r="BG64" i="17"/>
  <c r="BG65" i="17"/>
  <c r="BG66" i="17"/>
  <c r="BG67" i="17"/>
  <c r="BG68" i="17"/>
  <c r="BG69" i="17"/>
  <c r="BG70" i="17"/>
  <c r="BG71" i="17"/>
  <c r="BG72" i="17"/>
  <c r="BG73" i="17"/>
  <c r="BG74" i="17"/>
  <c r="BG75" i="17"/>
  <c r="BG76" i="17"/>
  <c r="BG77" i="17"/>
  <c r="BG78" i="17"/>
  <c r="BG79" i="17"/>
  <c r="BG80" i="17"/>
  <c r="BG81" i="17"/>
  <c r="BG82" i="17"/>
  <c r="BG83" i="17"/>
  <c r="BG84" i="17"/>
  <c r="BG85" i="17"/>
  <c r="BG86" i="17"/>
  <c r="BG87" i="17"/>
  <c r="BG88" i="17"/>
  <c r="BG89" i="17"/>
  <c r="BG90" i="17"/>
  <c r="BG91" i="17"/>
  <c r="BG92" i="17"/>
  <c r="BG93" i="17"/>
  <c r="BG94" i="17"/>
  <c r="BG95" i="17"/>
  <c r="BG96" i="17"/>
  <c r="BG97" i="17"/>
  <c r="BG98" i="17"/>
  <c r="BG99" i="17"/>
  <c r="BG100" i="17"/>
  <c r="BG101" i="17"/>
  <c r="BG102" i="17"/>
  <c r="BG103" i="17"/>
  <c r="BG104" i="17"/>
  <c r="BG105" i="17"/>
  <c r="BG106" i="17"/>
  <c r="BG107" i="17"/>
  <c r="BG108" i="17"/>
  <c r="BG109" i="17"/>
  <c r="BG110" i="17"/>
  <c r="BG111" i="17"/>
  <c r="BG112" i="17"/>
  <c r="BG113" i="17"/>
  <c r="BG114" i="17"/>
  <c r="BG115" i="17"/>
  <c r="BG116" i="17"/>
  <c r="BG117" i="17"/>
  <c r="BG118" i="17"/>
  <c r="BG119" i="17"/>
  <c r="BG120" i="17"/>
  <c r="BG121" i="17"/>
  <c r="BG122" i="17"/>
  <c r="BG123" i="17"/>
  <c r="BG124" i="17"/>
  <c r="BG125" i="17"/>
  <c r="BG126" i="17"/>
  <c r="BG127" i="17"/>
  <c r="BG128" i="17"/>
  <c r="BG129" i="17"/>
  <c r="BG130" i="17"/>
  <c r="BG131" i="17"/>
  <c r="BG132" i="17"/>
  <c r="BG133" i="17"/>
  <c r="BG134" i="17"/>
  <c r="BG135" i="17"/>
  <c r="BG136" i="17"/>
  <c r="BG137" i="17"/>
  <c r="BG138" i="17"/>
  <c r="BG139" i="17"/>
  <c r="BG140" i="17"/>
  <c r="BG141" i="17"/>
  <c r="BG142" i="17"/>
  <c r="BG143" i="17"/>
  <c r="BG144" i="17"/>
  <c r="BG145" i="17"/>
  <c r="BG146" i="17"/>
  <c r="BG147" i="17"/>
  <c r="BG148" i="17"/>
  <c r="BG149" i="17"/>
  <c r="BG150" i="17"/>
  <c r="BG151" i="17"/>
  <c r="BG152" i="17"/>
  <c r="BG153" i="17"/>
  <c r="BG154" i="17"/>
  <c r="BG155" i="17"/>
  <c r="BG156" i="17"/>
  <c r="BG157" i="17"/>
  <c r="BG158" i="17"/>
  <c r="BG159" i="17"/>
  <c r="BG160" i="17"/>
  <c r="BG161" i="17"/>
  <c r="BG162" i="17"/>
  <c r="BG163" i="17"/>
  <c r="BG164" i="17"/>
  <c r="BG165" i="17"/>
  <c r="BG166" i="17"/>
  <c r="BG167" i="17"/>
  <c r="BG168" i="17"/>
  <c r="BG169" i="17"/>
  <c r="BG170" i="17"/>
  <c r="BG171" i="17"/>
  <c r="BG172" i="17"/>
  <c r="BG173" i="17"/>
  <c r="BG174" i="17"/>
  <c r="BG175" i="17"/>
  <c r="BG176" i="17"/>
  <c r="BG177" i="17"/>
  <c r="BG178" i="17"/>
  <c r="BG179" i="17"/>
  <c r="BG180" i="17"/>
  <c r="BG181" i="17"/>
  <c r="BG182" i="17"/>
  <c r="BG183" i="17"/>
  <c r="BG184" i="17"/>
  <c r="BG185" i="17"/>
  <c r="BG7" i="17"/>
  <c r="BF7" i="17"/>
  <c r="BH8" i="17"/>
  <c r="BH9" i="17"/>
  <c r="BH10" i="17"/>
  <c r="BH11" i="17"/>
  <c r="BH12" i="17"/>
  <c r="BH13" i="17"/>
  <c r="BH14" i="17"/>
  <c r="BH15" i="17"/>
  <c r="BH16" i="17"/>
  <c r="BH17" i="17"/>
  <c r="BH18" i="17"/>
  <c r="BH19" i="17"/>
  <c r="BH20" i="17"/>
  <c r="BH21" i="17"/>
  <c r="BH22" i="17"/>
  <c r="BH23" i="17"/>
  <c r="BH24" i="17"/>
  <c r="BH25" i="17"/>
  <c r="BH26" i="17"/>
  <c r="BH27" i="17"/>
  <c r="BH28" i="17"/>
  <c r="BH29" i="17"/>
  <c r="BH30" i="17"/>
  <c r="BH31" i="17"/>
  <c r="BH32" i="17"/>
  <c r="BH33" i="17"/>
  <c r="BH34" i="17"/>
  <c r="BH35" i="17"/>
  <c r="BH36" i="17"/>
  <c r="BH37" i="17"/>
  <c r="BH38" i="17"/>
  <c r="BH39" i="17"/>
  <c r="BH40" i="17"/>
  <c r="BH41" i="17"/>
  <c r="BH42" i="17"/>
  <c r="BH43" i="17"/>
  <c r="BH44" i="17"/>
  <c r="BH45" i="17"/>
  <c r="BH46" i="17"/>
  <c r="BH47" i="17"/>
  <c r="BH48" i="17"/>
  <c r="BH49" i="17"/>
  <c r="BH50" i="17"/>
  <c r="BH51" i="17"/>
  <c r="BH52" i="17"/>
  <c r="BH53" i="17"/>
  <c r="BH54" i="17"/>
  <c r="BH55" i="17"/>
  <c r="BH56" i="17"/>
  <c r="BH57" i="17"/>
  <c r="BH58" i="17"/>
  <c r="BH59" i="17"/>
  <c r="BH60" i="17"/>
  <c r="BH61" i="17"/>
  <c r="BH62" i="17"/>
  <c r="BH63" i="17"/>
  <c r="BH64" i="17"/>
  <c r="BH65" i="17"/>
  <c r="BH66" i="17"/>
  <c r="BH67" i="17"/>
  <c r="BH68" i="17"/>
  <c r="BH69" i="17"/>
  <c r="BH70" i="17"/>
  <c r="BH71" i="17"/>
  <c r="BH72" i="17"/>
  <c r="BH73" i="17"/>
  <c r="BH74" i="17"/>
  <c r="BH75" i="17"/>
  <c r="BH76" i="17"/>
  <c r="BH77" i="17"/>
  <c r="BH78" i="17"/>
  <c r="BH79" i="17"/>
  <c r="BH80" i="17"/>
  <c r="BH81" i="17"/>
  <c r="BH82" i="17"/>
  <c r="BH83" i="17"/>
  <c r="BH84" i="17"/>
  <c r="BH85" i="17"/>
  <c r="BH86" i="17"/>
  <c r="BH87" i="17"/>
  <c r="BH88" i="17"/>
  <c r="BH89" i="17"/>
  <c r="BH90" i="17"/>
  <c r="BH91" i="17"/>
  <c r="BH92" i="17"/>
  <c r="BH93" i="17"/>
  <c r="BH94" i="17"/>
  <c r="BH95" i="17"/>
  <c r="BH96" i="17"/>
  <c r="BH97" i="17"/>
  <c r="BH98" i="17"/>
  <c r="BH99" i="17"/>
  <c r="BH100" i="17"/>
  <c r="BH101" i="17"/>
  <c r="BH102" i="17"/>
  <c r="BH103" i="17"/>
  <c r="BH104" i="17"/>
  <c r="BH105" i="17"/>
  <c r="BH106" i="17"/>
  <c r="BH107" i="17"/>
  <c r="BH108" i="17"/>
  <c r="BH109" i="17"/>
  <c r="BH110" i="17"/>
  <c r="BH111" i="17"/>
  <c r="BH112" i="17"/>
  <c r="BH113" i="17"/>
  <c r="BH114" i="17"/>
  <c r="BH115" i="17"/>
  <c r="BH116" i="17"/>
  <c r="BH117" i="17"/>
  <c r="BH118" i="17"/>
  <c r="BH119" i="17"/>
  <c r="BH120" i="17"/>
  <c r="BH121" i="17"/>
  <c r="BH122" i="17"/>
  <c r="BH123" i="17"/>
  <c r="BH124" i="17"/>
  <c r="BH125" i="17"/>
  <c r="BH126" i="17"/>
  <c r="BH127" i="17"/>
  <c r="BH128" i="17"/>
  <c r="BH129" i="17"/>
  <c r="BH130" i="17"/>
  <c r="BH131" i="17"/>
  <c r="BH132" i="17"/>
  <c r="BH133" i="17"/>
  <c r="BH134" i="17"/>
  <c r="BH135" i="17"/>
  <c r="BH136" i="17"/>
  <c r="BH137" i="17"/>
  <c r="BH138" i="17"/>
  <c r="BH139" i="17"/>
  <c r="BH140" i="17"/>
  <c r="BH141" i="17"/>
  <c r="BH142" i="17"/>
  <c r="BH143" i="17"/>
  <c r="BH144" i="17"/>
  <c r="BH145" i="17"/>
  <c r="BH146" i="17"/>
  <c r="BH147" i="17"/>
  <c r="BH148" i="17"/>
  <c r="BH149" i="17"/>
  <c r="BH150" i="17"/>
  <c r="BH151" i="17"/>
  <c r="BH152" i="17"/>
  <c r="BH153" i="17"/>
  <c r="BH154" i="17"/>
  <c r="BH155" i="17"/>
  <c r="BH156" i="17"/>
  <c r="BH157" i="17"/>
  <c r="BH158" i="17"/>
  <c r="BH159" i="17"/>
  <c r="BH160" i="17"/>
  <c r="BH161" i="17"/>
  <c r="BH162" i="17"/>
  <c r="BH163" i="17"/>
  <c r="BH164" i="17"/>
  <c r="BH165" i="17"/>
  <c r="BH166" i="17"/>
  <c r="BH167" i="17"/>
  <c r="BH168" i="17"/>
  <c r="BH169" i="17"/>
  <c r="BH170" i="17"/>
  <c r="BH171" i="17"/>
  <c r="BH172" i="17"/>
  <c r="BH173" i="17"/>
  <c r="BH174" i="17"/>
  <c r="BH175" i="17"/>
  <c r="BH176" i="17"/>
  <c r="BH177" i="17"/>
  <c r="BH178" i="17"/>
  <c r="BH179" i="17"/>
  <c r="BH180" i="17"/>
  <c r="BH181" i="17"/>
  <c r="BH182" i="17"/>
  <c r="BH183" i="17"/>
  <c r="BH184" i="17"/>
  <c r="BH185" i="17"/>
  <c r="BH7" i="17"/>
  <c r="BE8" i="17"/>
  <c r="BE9" i="17"/>
  <c r="BE10" i="17"/>
  <c r="BE11" i="17"/>
  <c r="BE12" i="17"/>
  <c r="BE13" i="17"/>
  <c r="BE14" i="17"/>
  <c r="BE15" i="17"/>
  <c r="BE16" i="17"/>
  <c r="BE17" i="17"/>
  <c r="BE18" i="17"/>
  <c r="BE19" i="17"/>
  <c r="BE20" i="17"/>
  <c r="BE21" i="17"/>
  <c r="BE22" i="17"/>
  <c r="BE23" i="17"/>
  <c r="BE24" i="17"/>
  <c r="BE25" i="17"/>
  <c r="BE26" i="17"/>
  <c r="BE27" i="17"/>
  <c r="BE28" i="17"/>
  <c r="BE29" i="17"/>
  <c r="BE30" i="17"/>
  <c r="BE31" i="17"/>
  <c r="BE32" i="17"/>
  <c r="BE33" i="17"/>
  <c r="BE34" i="17"/>
  <c r="BE35" i="17"/>
  <c r="BE36" i="17"/>
  <c r="BE37" i="17"/>
  <c r="BE38" i="17"/>
  <c r="BE39" i="17"/>
  <c r="BE40" i="17"/>
  <c r="BE41" i="17"/>
  <c r="BE42" i="17"/>
  <c r="BE43" i="17"/>
  <c r="BE44" i="17"/>
  <c r="BE45" i="17"/>
  <c r="BE46" i="17"/>
  <c r="BE47" i="17"/>
  <c r="BE48" i="17"/>
  <c r="BE49" i="17"/>
  <c r="BE50" i="17"/>
  <c r="BE51" i="17"/>
  <c r="BE52" i="17"/>
  <c r="BE53" i="17"/>
  <c r="BE54" i="17"/>
  <c r="BE55" i="17"/>
  <c r="BE56" i="17"/>
  <c r="BE57" i="17"/>
  <c r="BE58" i="17"/>
  <c r="BE59" i="17"/>
  <c r="BE60" i="17"/>
  <c r="BE61" i="17"/>
  <c r="BE62" i="17"/>
  <c r="BE63" i="17"/>
  <c r="BE64" i="17"/>
  <c r="BE65" i="17"/>
  <c r="BE66" i="17"/>
  <c r="BE67" i="17"/>
  <c r="BE68" i="17"/>
  <c r="BE69" i="17"/>
  <c r="BE70" i="17"/>
  <c r="BE71" i="17"/>
  <c r="BE72" i="17"/>
  <c r="BE73" i="17"/>
  <c r="BE74" i="17"/>
  <c r="BE75" i="17"/>
  <c r="BE76" i="17"/>
  <c r="BE77" i="17"/>
  <c r="BE78" i="17"/>
  <c r="BE79" i="17"/>
  <c r="BE80" i="17"/>
  <c r="BE81" i="17"/>
  <c r="BE82" i="17"/>
  <c r="BE83" i="17"/>
  <c r="BE84" i="17"/>
  <c r="BE85" i="17"/>
  <c r="BE86" i="17"/>
  <c r="BE87" i="17"/>
  <c r="BE88" i="17"/>
  <c r="BE89" i="17"/>
  <c r="BE90" i="17"/>
  <c r="BE91" i="17"/>
  <c r="BE92" i="17"/>
  <c r="BE93" i="17"/>
  <c r="BE94" i="17"/>
  <c r="BE95" i="17"/>
  <c r="BE96" i="17"/>
  <c r="BE97" i="17"/>
  <c r="BE98" i="17"/>
  <c r="BE99" i="17"/>
  <c r="BE100" i="17"/>
  <c r="BE101" i="17"/>
  <c r="BE102" i="17"/>
  <c r="BE103" i="17"/>
  <c r="BE104" i="17"/>
  <c r="BE105" i="17"/>
  <c r="BE106" i="17"/>
  <c r="BE107" i="17"/>
  <c r="BE108" i="17"/>
  <c r="BE109" i="17"/>
  <c r="BE110" i="17"/>
  <c r="BE111" i="17"/>
  <c r="BE112" i="17"/>
  <c r="BE113" i="17"/>
  <c r="BE114" i="17"/>
  <c r="BE115" i="17"/>
  <c r="BE116" i="17"/>
  <c r="BE117" i="17"/>
  <c r="BE118" i="17"/>
  <c r="BE119" i="17"/>
  <c r="BE120" i="17"/>
  <c r="BE121" i="17"/>
  <c r="BE122" i="17"/>
  <c r="BE123" i="17"/>
  <c r="BE124" i="17"/>
  <c r="BE125" i="17"/>
  <c r="BE126" i="17"/>
  <c r="BE127" i="17"/>
  <c r="BE128" i="17"/>
  <c r="BE129" i="17"/>
  <c r="BE130" i="17"/>
  <c r="BE131" i="17"/>
  <c r="BE132" i="17"/>
  <c r="BE133" i="17"/>
  <c r="BE134" i="17"/>
  <c r="BE135" i="17"/>
  <c r="BE136" i="17"/>
  <c r="BE137" i="17"/>
  <c r="BE138" i="17"/>
  <c r="BE139" i="17"/>
  <c r="BE140" i="17"/>
  <c r="BE141" i="17"/>
  <c r="BE142" i="17"/>
  <c r="BE143" i="17"/>
  <c r="BE144" i="17"/>
  <c r="BE145" i="17"/>
  <c r="BE146" i="17"/>
  <c r="BE147" i="17"/>
  <c r="BE148" i="17"/>
  <c r="BE149" i="17"/>
  <c r="BE150" i="17"/>
  <c r="BE151" i="17"/>
  <c r="BE152" i="17"/>
  <c r="BE153" i="17"/>
  <c r="BE154" i="17"/>
  <c r="BE155" i="17"/>
  <c r="BE156" i="17"/>
  <c r="BE157" i="17"/>
  <c r="BE158" i="17"/>
  <c r="BE159" i="17"/>
  <c r="BE160" i="17"/>
  <c r="BE161" i="17"/>
  <c r="BE162" i="17"/>
  <c r="BE163" i="17"/>
  <c r="BE164" i="17"/>
  <c r="BE165" i="17"/>
  <c r="BE166" i="17"/>
  <c r="BE167" i="17"/>
  <c r="BE168" i="17"/>
  <c r="BE169" i="17"/>
  <c r="BE170" i="17"/>
  <c r="BE171" i="17"/>
  <c r="BE172" i="17"/>
  <c r="BE173" i="17"/>
  <c r="BE174" i="17"/>
  <c r="BE175" i="17"/>
  <c r="BE176" i="17"/>
  <c r="BE177" i="17"/>
  <c r="BE178" i="17"/>
  <c r="BE179" i="17"/>
  <c r="BE180" i="17"/>
  <c r="BE181" i="17"/>
  <c r="BE182" i="17"/>
  <c r="BE183" i="17"/>
  <c r="BE184" i="17"/>
  <c r="BE185" i="17"/>
  <c r="BE7" i="17"/>
  <c r="BC185" i="20"/>
  <c r="BE185" i="20" s="1"/>
  <c r="AP185" i="20"/>
  <c r="E185" i="20"/>
  <c r="AX185" i="20" s="1"/>
  <c r="BC184" i="20"/>
  <c r="BE184" i="20" s="1"/>
  <c r="AP184" i="20"/>
  <c r="E184" i="20"/>
  <c r="AX184" i="20" s="1"/>
  <c r="BC183" i="20"/>
  <c r="BE183" i="20" s="1"/>
  <c r="AP183" i="20"/>
  <c r="E183" i="20"/>
  <c r="AX183" i="20" s="1"/>
  <c r="BC182" i="20"/>
  <c r="BE182" i="20" s="1"/>
  <c r="AP182" i="20"/>
  <c r="E182" i="20"/>
  <c r="AX182" i="20" s="1"/>
  <c r="BC181" i="20"/>
  <c r="BE181" i="20" s="1"/>
  <c r="AP181" i="20"/>
  <c r="E181" i="20"/>
  <c r="AX181" i="20" s="1"/>
  <c r="BC180" i="20"/>
  <c r="BE180" i="20" s="1"/>
  <c r="AP180" i="20"/>
  <c r="E180" i="20"/>
  <c r="AX180" i="20" s="1"/>
  <c r="BC179" i="20"/>
  <c r="BE179" i="20" s="1"/>
  <c r="AP179" i="20"/>
  <c r="E179" i="20"/>
  <c r="AX179" i="20" s="1"/>
  <c r="BC178" i="20"/>
  <c r="BE178" i="20" s="1"/>
  <c r="AP178" i="20"/>
  <c r="E178" i="20"/>
  <c r="AX178" i="20" s="1"/>
  <c r="BC177" i="20"/>
  <c r="BE177" i="20" s="1"/>
  <c r="AP177" i="20"/>
  <c r="E177" i="20"/>
  <c r="AX177" i="20" s="1"/>
  <c r="BC176" i="20"/>
  <c r="BE176" i="20" s="1"/>
  <c r="AP176" i="20"/>
  <c r="E176" i="20"/>
  <c r="AX176" i="20" s="1"/>
  <c r="BC175" i="20"/>
  <c r="BE175" i="20" s="1"/>
  <c r="AP175" i="20"/>
  <c r="E175" i="20"/>
  <c r="AX175" i="20" s="1"/>
  <c r="BC174" i="20"/>
  <c r="BE174" i="20" s="1"/>
  <c r="AP174" i="20"/>
  <c r="E174" i="20"/>
  <c r="AX174" i="20" s="1"/>
  <c r="BC173" i="20"/>
  <c r="BE173" i="20" s="1"/>
  <c r="AP173" i="20"/>
  <c r="E173" i="20"/>
  <c r="AX173" i="20" s="1"/>
  <c r="BC172" i="20"/>
  <c r="BE172" i="20" s="1"/>
  <c r="AP172" i="20"/>
  <c r="E172" i="20"/>
  <c r="AX172" i="20" s="1"/>
  <c r="BC171" i="20"/>
  <c r="BE171" i="20" s="1"/>
  <c r="AP171" i="20"/>
  <c r="E171" i="20"/>
  <c r="AX171" i="20" s="1"/>
  <c r="BC170" i="20"/>
  <c r="BE170" i="20" s="1"/>
  <c r="AP170" i="20"/>
  <c r="E170" i="20"/>
  <c r="AX170" i="20" s="1"/>
  <c r="BC169" i="20"/>
  <c r="BE169" i="20" s="1"/>
  <c r="AP169" i="20"/>
  <c r="E169" i="20"/>
  <c r="AX169" i="20" s="1"/>
  <c r="BC168" i="20"/>
  <c r="BE168" i="20" s="1"/>
  <c r="AP168" i="20"/>
  <c r="E168" i="20"/>
  <c r="AX168" i="20" s="1"/>
  <c r="BC167" i="20"/>
  <c r="BE167" i="20" s="1"/>
  <c r="AP167" i="20"/>
  <c r="E167" i="20"/>
  <c r="AX167" i="20" s="1"/>
  <c r="BC166" i="20"/>
  <c r="BE166" i="20" s="1"/>
  <c r="AP166" i="20"/>
  <c r="E166" i="20"/>
  <c r="AX166" i="20" s="1"/>
  <c r="BC165" i="20"/>
  <c r="BE165" i="20" s="1"/>
  <c r="AP165" i="20"/>
  <c r="E165" i="20"/>
  <c r="AX165" i="20" s="1"/>
  <c r="BC164" i="20"/>
  <c r="BE164" i="20" s="1"/>
  <c r="AP164" i="20"/>
  <c r="E164" i="20"/>
  <c r="AX164" i="20" s="1"/>
  <c r="BC163" i="20"/>
  <c r="BE163" i="20" s="1"/>
  <c r="AP163" i="20"/>
  <c r="E163" i="20"/>
  <c r="AX163" i="20" s="1"/>
  <c r="BC162" i="20"/>
  <c r="BE162" i="20" s="1"/>
  <c r="AP162" i="20"/>
  <c r="E162" i="20"/>
  <c r="AX162" i="20" s="1"/>
  <c r="BC161" i="20"/>
  <c r="BE161" i="20" s="1"/>
  <c r="AP161" i="20"/>
  <c r="E161" i="20"/>
  <c r="AX161" i="20" s="1"/>
  <c r="BC160" i="20"/>
  <c r="BE160" i="20" s="1"/>
  <c r="AP160" i="20"/>
  <c r="E160" i="20"/>
  <c r="AX160" i="20" s="1"/>
  <c r="BC159" i="20"/>
  <c r="BE159" i="20" s="1"/>
  <c r="AP159" i="20"/>
  <c r="E159" i="20"/>
  <c r="AX159" i="20" s="1"/>
  <c r="BC158" i="20"/>
  <c r="BE158" i="20" s="1"/>
  <c r="AP158" i="20"/>
  <c r="E158" i="20"/>
  <c r="AX158" i="20" s="1"/>
  <c r="BC157" i="20"/>
  <c r="BE157" i="20" s="1"/>
  <c r="AP157" i="20"/>
  <c r="E157" i="20"/>
  <c r="AX157" i="20" s="1"/>
  <c r="BC156" i="20"/>
  <c r="BE156" i="20" s="1"/>
  <c r="AP156" i="20"/>
  <c r="E156" i="20"/>
  <c r="AX156" i="20" s="1"/>
  <c r="BC155" i="20"/>
  <c r="BE155" i="20" s="1"/>
  <c r="AP155" i="20"/>
  <c r="E155" i="20"/>
  <c r="AX155" i="20" s="1"/>
  <c r="BC154" i="20"/>
  <c r="BE154" i="20" s="1"/>
  <c r="AP154" i="20"/>
  <c r="E154" i="20"/>
  <c r="AX154" i="20" s="1"/>
  <c r="BC153" i="20"/>
  <c r="BE153" i="20" s="1"/>
  <c r="AP153" i="20"/>
  <c r="E153" i="20"/>
  <c r="AX153" i="20" s="1"/>
  <c r="BC152" i="20"/>
  <c r="BE152" i="20" s="1"/>
  <c r="AP152" i="20"/>
  <c r="E152" i="20"/>
  <c r="AX152" i="20" s="1"/>
  <c r="BC151" i="20"/>
  <c r="BE151" i="20" s="1"/>
  <c r="AP151" i="20"/>
  <c r="E151" i="20"/>
  <c r="AX151" i="20" s="1"/>
  <c r="BC150" i="20"/>
  <c r="BE150" i="20" s="1"/>
  <c r="AP150" i="20"/>
  <c r="E150" i="20"/>
  <c r="AX150" i="20" s="1"/>
  <c r="BC149" i="20"/>
  <c r="BE149" i="20" s="1"/>
  <c r="AP149" i="20"/>
  <c r="E149" i="20"/>
  <c r="AX149" i="20" s="1"/>
  <c r="BC148" i="20"/>
  <c r="BE148" i="20" s="1"/>
  <c r="AP148" i="20"/>
  <c r="E148" i="20"/>
  <c r="AX148" i="20" s="1"/>
  <c r="BC147" i="20"/>
  <c r="BE147" i="20" s="1"/>
  <c r="AP147" i="20"/>
  <c r="E147" i="20"/>
  <c r="AX147" i="20" s="1"/>
  <c r="BC146" i="20"/>
  <c r="BE146" i="20" s="1"/>
  <c r="AP146" i="20"/>
  <c r="E146" i="20"/>
  <c r="AX146" i="20" s="1"/>
  <c r="BC145" i="20"/>
  <c r="BE145" i="20" s="1"/>
  <c r="AP145" i="20"/>
  <c r="E145" i="20"/>
  <c r="AX145" i="20" s="1"/>
  <c r="BC144" i="20"/>
  <c r="BE144" i="20" s="1"/>
  <c r="AP144" i="20"/>
  <c r="E144" i="20"/>
  <c r="AX144" i="20" s="1"/>
  <c r="BC143" i="20"/>
  <c r="BE143" i="20" s="1"/>
  <c r="AP143" i="20"/>
  <c r="E143" i="20"/>
  <c r="AX143" i="20" s="1"/>
  <c r="BC142" i="20"/>
  <c r="BE142" i="20" s="1"/>
  <c r="AP142" i="20"/>
  <c r="E142" i="20"/>
  <c r="AX142" i="20" s="1"/>
  <c r="BC141" i="20"/>
  <c r="BE141" i="20" s="1"/>
  <c r="AP141" i="20"/>
  <c r="E141" i="20"/>
  <c r="AX141" i="20" s="1"/>
  <c r="BC140" i="20"/>
  <c r="BE140" i="20" s="1"/>
  <c r="AP140" i="20"/>
  <c r="E140" i="20"/>
  <c r="AX140" i="20" s="1"/>
  <c r="BC139" i="20"/>
  <c r="BE139" i="20" s="1"/>
  <c r="AP139" i="20"/>
  <c r="E139" i="20"/>
  <c r="AX139" i="20" s="1"/>
  <c r="BC138" i="20"/>
  <c r="BE138" i="20" s="1"/>
  <c r="AP138" i="20"/>
  <c r="E138" i="20"/>
  <c r="AX138" i="20" s="1"/>
  <c r="BC137" i="20"/>
  <c r="BE137" i="20" s="1"/>
  <c r="AP137" i="20"/>
  <c r="E137" i="20"/>
  <c r="AX137" i="20" s="1"/>
  <c r="BC136" i="20"/>
  <c r="BE136" i="20" s="1"/>
  <c r="AP136" i="20"/>
  <c r="E136" i="20"/>
  <c r="AX136" i="20" s="1"/>
  <c r="BC135" i="20"/>
  <c r="BE135" i="20" s="1"/>
  <c r="AP135" i="20"/>
  <c r="E135" i="20"/>
  <c r="AX135" i="20" s="1"/>
  <c r="BC134" i="20"/>
  <c r="BE134" i="20" s="1"/>
  <c r="AP134" i="20"/>
  <c r="E134" i="20"/>
  <c r="AX134" i="20" s="1"/>
  <c r="BC133" i="20"/>
  <c r="BE133" i="20" s="1"/>
  <c r="AP133" i="20"/>
  <c r="E133" i="20"/>
  <c r="BC132" i="20"/>
  <c r="BE132" i="20" s="1"/>
  <c r="AP132" i="20"/>
  <c r="E132" i="20"/>
  <c r="BC131" i="20"/>
  <c r="BE131" i="20" s="1"/>
  <c r="AP131" i="20"/>
  <c r="E131" i="20"/>
  <c r="AX131" i="20" s="1"/>
  <c r="BC130" i="20"/>
  <c r="BE130" i="20" s="1"/>
  <c r="AP130" i="20"/>
  <c r="E130" i="20"/>
  <c r="AX130" i="20" s="1"/>
  <c r="BC129" i="20"/>
  <c r="BE129" i="20" s="1"/>
  <c r="AP129" i="20"/>
  <c r="E129" i="20"/>
  <c r="AX129" i="20" s="1"/>
  <c r="BC128" i="20"/>
  <c r="BE128" i="20" s="1"/>
  <c r="AP128" i="20"/>
  <c r="E128" i="20"/>
  <c r="AX128" i="20" s="1"/>
  <c r="BC127" i="20"/>
  <c r="BE127" i="20" s="1"/>
  <c r="AP127" i="20"/>
  <c r="E127" i="20"/>
  <c r="AX127" i="20" s="1"/>
  <c r="BC126" i="20"/>
  <c r="BE126" i="20" s="1"/>
  <c r="AP126" i="20"/>
  <c r="E126" i="20"/>
  <c r="AX126" i="20" s="1"/>
  <c r="BC125" i="20"/>
  <c r="BE125" i="20" s="1"/>
  <c r="AP125" i="20"/>
  <c r="E125" i="20"/>
  <c r="AX125" i="20" s="1"/>
  <c r="BC124" i="20"/>
  <c r="BE124" i="20" s="1"/>
  <c r="AP124" i="20"/>
  <c r="E124" i="20"/>
  <c r="AX124" i="20" s="1"/>
  <c r="BC123" i="20"/>
  <c r="BE123" i="20" s="1"/>
  <c r="AP123" i="20"/>
  <c r="E123" i="20"/>
  <c r="AX123" i="20" s="1"/>
  <c r="BC122" i="20"/>
  <c r="BE122" i="20" s="1"/>
  <c r="AP122" i="20"/>
  <c r="E122" i="20"/>
  <c r="AX122" i="20" s="1"/>
  <c r="BC121" i="20"/>
  <c r="BE121" i="20" s="1"/>
  <c r="AP121" i="20"/>
  <c r="E121" i="20"/>
  <c r="AX121" i="20" s="1"/>
  <c r="BC120" i="20"/>
  <c r="BE120" i="20" s="1"/>
  <c r="AP120" i="20"/>
  <c r="E120" i="20"/>
  <c r="AX120" i="20" s="1"/>
  <c r="BC119" i="20"/>
  <c r="BE119" i="20" s="1"/>
  <c r="AP119" i="20"/>
  <c r="E119" i="20"/>
  <c r="AX119" i="20" s="1"/>
  <c r="BC118" i="20"/>
  <c r="BE118" i="20" s="1"/>
  <c r="AP118" i="20"/>
  <c r="E118" i="20"/>
  <c r="AX118" i="20" s="1"/>
  <c r="BC117" i="20"/>
  <c r="BE117" i="20" s="1"/>
  <c r="AP117" i="20"/>
  <c r="E117" i="20"/>
  <c r="AX117" i="20" s="1"/>
  <c r="BC116" i="20"/>
  <c r="BE116" i="20" s="1"/>
  <c r="AP116" i="20"/>
  <c r="E116" i="20"/>
  <c r="AX116" i="20" s="1"/>
  <c r="BC115" i="20"/>
  <c r="BE115" i="20" s="1"/>
  <c r="AP115" i="20"/>
  <c r="E115" i="20"/>
  <c r="AX115" i="20" s="1"/>
  <c r="BC114" i="20"/>
  <c r="BE114" i="20" s="1"/>
  <c r="AP114" i="20"/>
  <c r="E114" i="20"/>
  <c r="AX114" i="20" s="1"/>
  <c r="BC113" i="20"/>
  <c r="BE113" i="20" s="1"/>
  <c r="AP113" i="20"/>
  <c r="E113" i="20"/>
  <c r="AX113" i="20" s="1"/>
  <c r="BC112" i="20"/>
  <c r="BE112" i="20" s="1"/>
  <c r="AP112" i="20"/>
  <c r="E112" i="20"/>
  <c r="AX112" i="20" s="1"/>
  <c r="BC111" i="20"/>
  <c r="BE111" i="20" s="1"/>
  <c r="AP111" i="20"/>
  <c r="E111" i="20"/>
  <c r="AX111" i="20" s="1"/>
  <c r="BC110" i="20"/>
  <c r="BE110" i="20" s="1"/>
  <c r="AP110" i="20"/>
  <c r="E110" i="20"/>
  <c r="AX110" i="20" s="1"/>
  <c r="BC109" i="20"/>
  <c r="BE109" i="20" s="1"/>
  <c r="AP109" i="20"/>
  <c r="E109" i="20"/>
  <c r="AX109" i="20" s="1"/>
  <c r="BC108" i="20"/>
  <c r="BE108" i="20" s="1"/>
  <c r="AP108" i="20"/>
  <c r="E108" i="20"/>
  <c r="AX108" i="20" s="1"/>
  <c r="BC107" i="20"/>
  <c r="BE107" i="20" s="1"/>
  <c r="AP107" i="20"/>
  <c r="E107" i="20"/>
  <c r="AX107" i="20" s="1"/>
  <c r="BC106" i="20"/>
  <c r="BE106" i="20" s="1"/>
  <c r="AP106" i="20"/>
  <c r="E106" i="20"/>
  <c r="AX106" i="20" s="1"/>
  <c r="BC105" i="20"/>
  <c r="BE105" i="20" s="1"/>
  <c r="AP105" i="20"/>
  <c r="E105" i="20"/>
  <c r="AX105" i="20" s="1"/>
  <c r="BC104" i="20"/>
  <c r="BE104" i="20" s="1"/>
  <c r="AP104" i="20"/>
  <c r="E104" i="20"/>
  <c r="BC103" i="20"/>
  <c r="BE103" i="20" s="1"/>
  <c r="AP103" i="20"/>
  <c r="E103" i="20"/>
  <c r="AX103" i="20" s="1"/>
  <c r="BC102" i="20"/>
  <c r="BE102" i="20" s="1"/>
  <c r="AP102" i="20"/>
  <c r="E102" i="20"/>
  <c r="AX102" i="20" s="1"/>
  <c r="BC101" i="20"/>
  <c r="BE101" i="20" s="1"/>
  <c r="AP101" i="20"/>
  <c r="E101" i="20"/>
  <c r="AX101" i="20" s="1"/>
  <c r="BC100" i="20"/>
  <c r="BE100" i="20" s="1"/>
  <c r="AP100" i="20"/>
  <c r="E100" i="20"/>
  <c r="AX100" i="20" s="1"/>
  <c r="BC99" i="20"/>
  <c r="BE99" i="20" s="1"/>
  <c r="AP99" i="20"/>
  <c r="E99" i="20"/>
  <c r="AX99" i="20" s="1"/>
  <c r="BC98" i="20"/>
  <c r="BE98" i="20" s="1"/>
  <c r="AP98" i="20"/>
  <c r="E98" i="20"/>
  <c r="AX98" i="20" s="1"/>
  <c r="BC97" i="20"/>
  <c r="BE97" i="20" s="1"/>
  <c r="AP97" i="20"/>
  <c r="E97" i="20"/>
  <c r="AX97" i="20" s="1"/>
  <c r="BC96" i="20"/>
  <c r="BE96" i="20" s="1"/>
  <c r="AP96" i="20"/>
  <c r="E96" i="20"/>
  <c r="AX96" i="20" s="1"/>
  <c r="BC95" i="20"/>
  <c r="BE95" i="20" s="1"/>
  <c r="AP95" i="20"/>
  <c r="E95" i="20"/>
  <c r="AX95" i="20" s="1"/>
  <c r="BC94" i="20"/>
  <c r="BE94" i="20" s="1"/>
  <c r="AP94" i="20"/>
  <c r="E94" i="20"/>
  <c r="AX94" i="20" s="1"/>
  <c r="BC93" i="20"/>
  <c r="BE93" i="20" s="1"/>
  <c r="AP93" i="20"/>
  <c r="E93" i="20"/>
  <c r="AX93" i="20" s="1"/>
  <c r="BC92" i="20"/>
  <c r="BE92" i="20" s="1"/>
  <c r="AP92" i="20"/>
  <c r="E92" i="20"/>
  <c r="AX92" i="20" s="1"/>
  <c r="BC91" i="20"/>
  <c r="BE91" i="20" s="1"/>
  <c r="AP91" i="20"/>
  <c r="E91" i="20"/>
  <c r="AX91" i="20" s="1"/>
  <c r="BC90" i="20"/>
  <c r="BE90" i="20" s="1"/>
  <c r="AP90" i="20"/>
  <c r="E90" i="20"/>
  <c r="AX90" i="20" s="1"/>
  <c r="BC89" i="20"/>
  <c r="BE89" i="20" s="1"/>
  <c r="AP89" i="20"/>
  <c r="E89" i="20"/>
  <c r="AX89" i="20" s="1"/>
  <c r="BC88" i="20"/>
  <c r="BE88" i="20" s="1"/>
  <c r="AP88" i="20"/>
  <c r="E88" i="20"/>
  <c r="AX88" i="20" s="1"/>
  <c r="BC87" i="20"/>
  <c r="BE87" i="20" s="1"/>
  <c r="AP87" i="20"/>
  <c r="E87" i="20"/>
  <c r="AX87" i="20" s="1"/>
  <c r="BC86" i="20"/>
  <c r="BE86" i="20" s="1"/>
  <c r="AP86" i="20"/>
  <c r="E86" i="20"/>
  <c r="AX86" i="20" s="1"/>
  <c r="BC85" i="20"/>
  <c r="BE85" i="20" s="1"/>
  <c r="AP85" i="20"/>
  <c r="E85" i="20"/>
  <c r="AX85" i="20" s="1"/>
  <c r="BC84" i="20"/>
  <c r="BE84" i="20" s="1"/>
  <c r="AP84" i="20"/>
  <c r="E84" i="20"/>
  <c r="AX84" i="20" s="1"/>
  <c r="BC83" i="20"/>
  <c r="BE83" i="20" s="1"/>
  <c r="AP83" i="20"/>
  <c r="E83" i="20"/>
  <c r="AX83" i="20" s="1"/>
  <c r="BC82" i="20"/>
  <c r="BE82" i="20" s="1"/>
  <c r="AP82" i="20"/>
  <c r="E82" i="20"/>
  <c r="AX82" i="20" s="1"/>
  <c r="BC81" i="20"/>
  <c r="BE81" i="20" s="1"/>
  <c r="AP81" i="20"/>
  <c r="E81" i="20"/>
  <c r="AX81" i="20" s="1"/>
  <c r="BC80" i="20"/>
  <c r="BE80" i="20" s="1"/>
  <c r="AP80" i="20"/>
  <c r="E80" i="20"/>
  <c r="AX80" i="20" s="1"/>
  <c r="BC79" i="20"/>
  <c r="BE79" i="20" s="1"/>
  <c r="AP79" i="20"/>
  <c r="E79" i="20"/>
  <c r="AX79" i="20" s="1"/>
  <c r="BC78" i="20"/>
  <c r="BE78" i="20" s="1"/>
  <c r="AP78" i="20"/>
  <c r="E78" i="20"/>
  <c r="AX78" i="20" s="1"/>
  <c r="BC77" i="20"/>
  <c r="BE77" i="20" s="1"/>
  <c r="AP77" i="20"/>
  <c r="E77" i="20"/>
  <c r="AX77" i="20" s="1"/>
  <c r="BC76" i="20"/>
  <c r="BE76" i="20" s="1"/>
  <c r="AP76" i="20"/>
  <c r="E76" i="20"/>
  <c r="AX76" i="20" s="1"/>
  <c r="BC75" i="20"/>
  <c r="BE75" i="20" s="1"/>
  <c r="AP75" i="20"/>
  <c r="E75" i="20"/>
  <c r="AX75" i="20" s="1"/>
  <c r="BC74" i="20"/>
  <c r="BE74" i="20" s="1"/>
  <c r="AP74" i="20"/>
  <c r="E74" i="20"/>
  <c r="AX74" i="20" s="1"/>
  <c r="BC73" i="20"/>
  <c r="BE73" i="20" s="1"/>
  <c r="AX73" i="20"/>
  <c r="AP73" i="20"/>
  <c r="BC72" i="20"/>
  <c r="BE72" i="20" s="1"/>
  <c r="AX72" i="20"/>
  <c r="AP72" i="20"/>
  <c r="BC71" i="20"/>
  <c r="BE71" i="20" s="1"/>
  <c r="AP71" i="20"/>
  <c r="E71" i="20"/>
  <c r="AX71" i="20" s="1"/>
  <c r="BC70" i="20"/>
  <c r="BE70" i="20" s="1"/>
  <c r="AP70" i="20"/>
  <c r="E70" i="20"/>
  <c r="AX70" i="20" s="1"/>
  <c r="BC69" i="20"/>
  <c r="BE69" i="20" s="1"/>
  <c r="AP69" i="20"/>
  <c r="E69" i="20"/>
  <c r="AX69" i="20" s="1"/>
  <c r="BC68" i="20"/>
  <c r="BE68" i="20" s="1"/>
  <c r="AP68" i="20"/>
  <c r="E68" i="20"/>
  <c r="AX68" i="20" s="1"/>
  <c r="BC67" i="20"/>
  <c r="BE67" i="20" s="1"/>
  <c r="AP67" i="20"/>
  <c r="E67" i="20"/>
  <c r="AX67" i="20" s="1"/>
  <c r="BC66" i="20"/>
  <c r="BE66" i="20" s="1"/>
  <c r="AP66" i="20"/>
  <c r="E66" i="20"/>
  <c r="AX66" i="20" s="1"/>
  <c r="BC65" i="20"/>
  <c r="BE65" i="20" s="1"/>
  <c r="AP65" i="20"/>
  <c r="E65" i="20"/>
  <c r="AX65" i="20" s="1"/>
  <c r="BC64" i="20"/>
  <c r="BE64" i="20" s="1"/>
  <c r="AP64" i="20"/>
  <c r="E64" i="20"/>
  <c r="AX64" i="20" s="1"/>
  <c r="BC63" i="20"/>
  <c r="BE63" i="20" s="1"/>
  <c r="AS63" i="20"/>
  <c r="AP63" i="20"/>
  <c r="AQ63" i="20" s="1"/>
  <c r="AT63" i="20" s="1"/>
  <c r="E63" i="20"/>
  <c r="AX63" i="20" s="1"/>
  <c r="BC62" i="20"/>
  <c r="BE62" i="20" s="1"/>
  <c r="AP62" i="20"/>
  <c r="E62" i="20"/>
  <c r="AX62" i="20" s="1"/>
  <c r="BC61" i="20"/>
  <c r="BE61" i="20" s="1"/>
  <c r="AP61" i="20"/>
  <c r="E61" i="20"/>
  <c r="AX61" i="20" s="1"/>
  <c r="BC60" i="20"/>
  <c r="BE60" i="20" s="1"/>
  <c r="AP60" i="20"/>
  <c r="E60" i="20"/>
  <c r="AX60" i="20" s="1"/>
  <c r="BC59" i="20"/>
  <c r="BE59" i="20" s="1"/>
  <c r="AP59" i="20"/>
  <c r="E59" i="20"/>
  <c r="AX59" i="20" s="1"/>
  <c r="BC58" i="20"/>
  <c r="BE58" i="20" s="1"/>
  <c r="AP58" i="20"/>
  <c r="E58" i="20"/>
  <c r="AX58" i="20" s="1"/>
  <c r="BC57" i="20"/>
  <c r="BE57" i="20" s="1"/>
  <c r="AP57" i="20"/>
  <c r="E57" i="20"/>
  <c r="AX57" i="20" s="1"/>
  <c r="BC56" i="20"/>
  <c r="BE56" i="20" s="1"/>
  <c r="AP56" i="20"/>
  <c r="E56" i="20"/>
  <c r="AX56" i="20" s="1"/>
  <c r="BC55" i="20"/>
  <c r="BE55" i="20" s="1"/>
  <c r="AP55" i="20"/>
  <c r="E55" i="20"/>
  <c r="AX55" i="20" s="1"/>
  <c r="BC54" i="20"/>
  <c r="BE54" i="20" s="1"/>
  <c r="AP54" i="20"/>
  <c r="E54" i="20"/>
  <c r="AX54" i="20" s="1"/>
  <c r="BC53" i="20"/>
  <c r="BE53" i="20" s="1"/>
  <c r="AP53" i="20"/>
  <c r="E53" i="20"/>
  <c r="AX53" i="20" s="1"/>
  <c r="BC52" i="20"/>
  <c r="BE52" i="20" s="1"/>
  <c r="AP52" i="20"/>
  <c r="E52" i="20"/>
  <c r="AX52" i="20" s="1"/>
  <c r="BC51" i="20"/>
  <c r="BE51" i="20" s="1"/>
  <c r="AP51" i="20"/>
  <c r="E51" i="20"/>
  <c r="AX51" i="20" s="1"/>
  <c r="BC50" i="20"/>
  <c r="BE50" i="20" s="1"/>
  <c r="AP50" i="20"/>
  <c r="E50" i="20"/>
  <c r="AX50" i="20" s="1"/>
  <c r="BC49" i="20"/>
  <c r="BE49" i="20" s="1"/>
  <c r="AP49" i="20"/>
  <c r="E49" i="20"/>
  <c r="AX49" i="20" s="1"/>
  <c r="BC48" i="20"/>
  <c r="BE48" i="20" s="1"/>
  <c r="AP48" i="20"/>
  <c r="E48" i="20"/>
  <c r="AX48" i="20" s="1"/>
  <c r="BC47" i="20"/>
  <c r="BE47" i="20" s="1"/>
  <c r="AP47" i="20"/>
  <c r="E47" i="20"/>
  <c r="AX47" i="20" s="1"/>
  <c r="BC46" i="20"/>
  <c r="BE46" i="20" s="1"/>
  <c r="AP46" i="20"/>
  <c r="E46" i="20"/>
  <c r="AX46" i="20" s="1"/>
  <c r="BC45" i="20"/>
  <c r="BE45" i="20" s="1"/>
  <c r="AP45" i="20"/>
  <c r="E45" i="20"/>
  <c r="AX45" i="20" s="1"/>
  <c r="BC44" i="20"/>
  <c r="BE44" i="20" s="1"/>
  <c r="AP44" i="20"/>
  <c r="E44" i="20"/>
  <c r="AX44" i="20" s="1"/>
  <c r="BC43" i="20"/>
  <c r="BE43" i="20" s="1"/>
  <c r="AP43" i="20"/>
  <c r="E43" i="20"/>
  <c r="AX43" i="20" s="1"/>
  <c r="BC42" i="20"/>
  <c r="BE42" i="20" s="1"/>
  <c r="AP42" i="20"/>
  <c r="E42" i="20"/>
  <c r="AX42" i="20" s="1"/>
  <c r="BC41" i="20"/>
  <c r="BE41" i="20" s="1"/>
  <c r="AP41" i="20"/>
  <c r="E41" i="20"/>
  <c r="AX41" i="20" s="1"/>
  <c r="BC40" i="20"/>
  <c r="BE40" i="20" s="1"/>
  <c r="AP40" i="20"/>
  <c r="E40" i="20"/>
  <c r="AX40" i="20" s="1"/>
  <c r="BC39" i="20"/>
  <c r="BE39" i="20" s="1"/>
  <c r="AP39" i="20"/>
  <c r="E39" i="20"/>
  <c r="AX39" i="20" s="1"/>
  <c r="BC38" i="20"/>
  <c r="BE38" i="20" s="1"/>
  <c r="AP38" i="20"/>
  <c r="E38" i="20"/>
  <c r="AX38" i="20" s="1"/>
  <c r="BC37" i="20"/>
  <c r="BE37" i="20" s="1"/>
  <c r="AP37" i="20"/>
  <c r="E37" i="20"/>
  <c r="AX37" i="20" s="1"/>
  <c r="BC36" i="20"/>
  <c r="BE36" i="20" s="1"/>
  <c r="AP36" i="20"/>
  <c r="E36" i="20"/>
  <c r="AX36" i="20" s="1"/>
  <c r="BC35" i="20"/>
  <c r="BE35" i="20" s="1"/>
  <c r="AP35" i="20"/>
  <c r="E35" i="20"/>
  <c r="AX35" i="20" s="1"/>
  <c r="BC34" i="20"/>
  <c r="BE34" i="20" s="1"/>
  <c r="AP34" i="20"/>
  <c r="E34" i="20"/>
  <c r="AX34" i="20" s="1"/>
  <c r="BC33" i="20"/>
  <c r="BE33" i="20" s="1"/>
  <c r="AP33" i="20"/>
  <c r="E33" i="20"/>
  <c r="AX33" i="20" s="1"/>
  <c r="BC32" i="20"/>
  <c r="BE32" i="20" s="1"/>
  <c r="AP32" i="20"/>
  <c r="E32" i="20"/>
  <c r="AX32" i="20" s="1"/>
  <c r="BC31" i="20"/>
  <c r="BE31" i="20" s="1"/>
  <c r="AP31" i="20"/>
  <c r="E31" i="20"/>
  <c r="AX31" i="20" s="1"/>
  <c r="BC30" i="20"/>
  <c r="BE30" i="20" s="1"/>
  <c r="AP30" i="20"/>
  <c r="E30" i="20"/>
  <c r="AX30" i="20" s="1"/>
  <c r="BC29" i="20"/>
  <c r="BE29" i="20" s="1"/>
  <c r="AP29" i="20"/>
  <c r="E29" i="20"/>
  <c r="AX29" i="20" s="1"/>
  <c r="BC28" i="20"/>
  <c r="BE28" i="20" s="1"/>
  <c r="AP28" i="20"/>
  <c r="E28" i="20"/>
  <c r="AX28" i="20" s="1"/>
  <c r="BC27" i="20"/>
  <c r="BE27" i="20" s="1"/>
  <c r="AP27" i="20"/>
  <c r="E27" i="20"/>
  <c r="AX27" i="20" s="1"/>
  <c r="BC26" i="20"/>
  <c r="BE26" i="20" s="1"/>
  <c r="AP26" i="20"/>
  <c r="E26" i="20"/>
  <c r="AX26" i="20" s="1"/>
  <c r="BC25" i="20"/>
  <c r="BE25" i="20" s="1"/>
  <c r="AP25" i="20"/>
  <c r="E25" i="20"/>
  <c r="AX25" i="20" s="1"/>
  <c r="BC24" i="20"/>
  <c r="BE24" i="20" s="1"/>
  <c r="AP24" i="20"/>
  <c r="E24" i="20"/>
  <c r="AX24" i="20" s="1"/>
  <c r="BC23" i="20"/>
  <c r="BE23" i="20" s="1"/>
  <c r="AP23" i="20"/>
  <c r="E23" i="20"/>
  <c r="AX23" i="20" s="1"/>
  <c r="BC22" i="20"/>
  <c r="BE22" i="20" s="1"/>
  <c r="AX22" i="20"/>
  <c r="AP22" i="20"/>
  <c r="E22" i="20"/>
  <c r="BC21" i="20"/>
  <c r="BE21" i="20" s="1"/>
  <c r="AP21" i="20"/>
  <c r="E21" i="20"/>
  <c r="AX21" i="20" s="1"/>
  <c r="AP20" i="20"/>
  <c r="E20" i="20"/>
  <c r="AP19" i="20"/>
  <c r="E19" i="20"/>
  <c r="AP18" i="20"/>
  <c r="E18" i="20"/>
  <c r="AP17" i="20"/>
  <c r="E17" i="20"/>
  <c r="AP16" i="20"/>
  <c r="E16" i="20"/>
  <c r="AP15" i="20"/>
  <c r="E15" i="20"/>
  <c r="AP14" i="20"/>
  <c r="E14" i="20"/>
  <c r="AP13" i="20"/>
  <c r="E13" i="20"/>
  <c r="BC12" i="20"/>
  <c r="BE12" i="20" s="1"/>
  <c r="AP12" i="20"/>
  <c r="E12" i="20"/>
  <c r="BC11" i="20"/>
  <c r="BE11" i="20" s="1"/>
  <c r="AP11" i="20"/>
  <c r="E11" i="20"/>
  <c r="AX11" i="20" s="1"/>
  <c r="BC10" i="20"/>
  <c r="BE10" i="20" s="1"/>
  <c r="AP10" i="20"/>
  <c r="E10" i="20"/>
  <c r="AX10" i="20" s="1"/>
  <c r="BC9" i="20"/>
  <c r="BE9" i="20" s="1"/>
  <c r="AX9" i="20"/>
  <c r="AP9" i="20"/>
  <c r="BC8" i="20"/>
  <c r="BE8" i="20" s="1"/>
  <c r="AP8" i="20"/>
  <c r="E8" i="20"/>
  <c r="AX8" i="20" s="1"/>
  <c r="BC7" i="20"/>
  <c r="BE7" i="20" s="1"/>
  <c r="AP7" i="20"/>
  <c r="E7" i="20"/>
  <c r="AX7" i="20" s="1"/>
  <c r="AA8" i="18"/>
  <c r="AB8" i="18" s="1"/>
  <c r="AA9" i="18"/>
  <c r="AB9" i="18"/>
  <c r="AA10" i="18"/>
  <c r="AB10" i="18"/>
  <c r="AA11" i="18"/>
  <c r="AB11" i="18"/>
  <c r="AA12" i="18"/>
  <c r="AB12" i="18"/>
  <c r="AA13" i="18"/>
  <c r="AB13" i="18" s="1"/>
  <c r="AA14" i="18"/>
  <c r="AB14" i="18" s="1"/>
  <c r="AA15" i="18"/>
  <c r="AB15" i="18" s="1"/>
  <c r="AA16" i="18"/>
  <c r="AB16" i="18"/>
  <c r="AA17" i="18"/>
  <c r="AB17" i="18" s="1"/>
  <c r="AA18" i="18"/>
  <c r="AB18" i="18"/>
  <c r="AA19" i="18"/>
  <c r="AB19" i="18"/>
  <c r="AA20" i="18"/>
  <c r="AB20" i="18"/>
  <c r="AA21" i="18"/>
  <c r="AB21" i="18" s="1"/>
  <c r="AA22" i="18"/>
  <c r="AB22" i="18"/>
  <c r="AA23" i="18"/>
  <c r="AB23" i="18"/>
  <c r="AA24" i="18"/>
  <c r="AB24" i="18"/>
  <c r="AA25" i="18"/>
  <c r="AB25" i="18"/>
  <c r="AA26" i="18"/>
  <c r="AB26" i="18"/>
  <c r="AA27" i="18"/>
  <c r="AB27" i="18" s="1"/>
  <c r="AA28" i="18"/>
  <c r="AB28" i="18" s="1"/>
  <c r="AA29" i="18"/>
  <c r="AB29" i="18"/>
  <c r="AA30" i="18"/>
  <c r="AB30" i="18" s="1"/>
  <c r="AA31" i="18"/>
  <c r="AB31" i="18" s="1"/>
  <c r="AA32" i="18"/>
  <c r="AB32" i="18" s="1"/>
  <c r="AA33" i="18"/>
  <c r="AB33" i="18" s="1"/>
  <c r="AA34" i="18"/>
  <c r="AB34" i="18" s="1"/>
  <c r="AA35" i="18"/>
  <c r="AB35" i="18" s="1"/>
  <c r="AA36" i="18"/>
  <c r="AB36" i="18" s="1"/>
  <c r="AA37" i="18"/>
  <c r="AB37" i="18" s="1"/>
  <c r="AA38" i="18"/>
  <c r="AB38" i="18" s="1"/>
  <c r="AA39" i="18"/>
  <c r="AB39" i="18" s="1"/>
  <c r="AA40" i="18"/>
  <c r="AB40" i="18" s="1"/>
  <c r="AA41" i="18"/>
  <c r="AB41" i="18" s="1"/>
  <c r="AA42" i="18"/>
  <c r="AB42" i="18" s="1"/>
  <c r="AA43" i="18"/>
  <c r="AB43" i="18"/>
  <c r="AA44" i="18"/>
  <c r="AB44" i="18" s="1"/>
  <c r="AA45" i="18"/>
  <c r="AB45" i="18" s="1"/>
  <c r="AA46" i="18"/>
  <c r="AB46" i="18" s="1"/>
  <c r="AA47" i="18"/>
  <c r="AB47" i="18" s="1"/>
  <c r="AA48" i="18"/>
  <c r="AB48" i="18" s="1"/>
  <c r="AA49" i="18"/>
  <c r="AB49" i="18" s="1"/>
  <c r="AA50" i="18"/>
  <c r="AB50" i="18" s="1"/>
  <c r="AA51" i="18"/>
  <c r="AB51" i="18" s="1"/>
  <c r="AA52" i="18"/>
  <c r="AB52" i="18" s="1"/>
  <c r="AA53" i="18"/>
  <c r="AB53" i="18" s="1"/>
  <c r="AA54" i="18"/>
  <c r="AB54" i="18" s="1"/>
  <c r="AA55" i="18"/>
  <c r="AB55" i="18" s="1"/>
  <c r="AA56" i="18"/>
  <c r="AB56" i="18" s="1"/>
  <c r="AA57" i="18"/>
  <c r="AB57" i="18"/>
  <c r="AA58" i="18"/>
  <c r="AB58" i="18" s="1"/>
  <c r="AA59" i="18"/>
  <c r="AB59" i="18" s="1"/>
  <c r="AA60" i="18"/>
  <c r="AB60" i="18" s="1"/>
  <c r="AA61" i="18"/>
  <c r="AB61" i="18" s="1"/>
  <c r="AA62" i="18"/>
  <c r="AB62" i="18" s="1"/>
  <c r="AA63" i="18"/>
  <c r="AB63" i="18" s="1"/>
  <c r="AA64" i="18"/>
  <c r="AB64" i="18" s="1"/>
  <c r="AA65" i="18"/>
  <c r="AB65" i="18" s="1"/>
  <c r="AA66" i="18"/>
  <c r="AB66" i="18" s="1"/>
  <c r="AA67" i="18"/>
  <c r="AB67" i="18" s="1"/>
  <c r="AA68" i="18"/>
  <c r="AB68" i="18" s="1"/>
  <c r="AA69" i="18"/>
  <c r="AB69" i="18" s="1"/>
  <c r="AA70" i="18"/>
  <c r="AB70" i="18" s="1"/>
  <c r="AA71" i="18"/>
  <c r="AB71" i="18" s="1"/>
  <c r="AA72" i="18"/>
  <c r="AB72" i="18" s="1"/>
  <c r="AA73" i="18"/>
  <c r="AB73" i="18" s="1"/>
  <c r="AA74" i="18"/>
  <c r="AB74" i="18" s="1"/>
  <c r="AA75" i="18"/>
  <c r="AB75" i="18" s="1"/>
  <c r="AA76" i="18"/>
  <c r="AB76" i="18" s="1"/>
  <c r="AA77" i="18"/>
  <c r="AB77" i="18" s="1"/>
  <c r="AA78" i="18"/>
  <c r="AB78" i="18" s="1"/>
  <c r="AA79" i="18"/>
  <c r="AB79" i="18" s="1"/>
  <c r="AA80" i="18"/>
  <c r="AB80" i="18" s="1"/>
  <c r="AA81" i="18"/>
  <c r="AB81" i="18" s="1"/>
  <c r="AA82" i="18"/>
  <c r="AB82" i="18" s="1"/>
  <c r="AA83" i="18"/>
  <c r="AB83" i="18" s="1"/>
  <c r="AA84" i="18"/>
  <c r="AB84" i="18" s="1"/>
  <c r="AA85" i="18"/>
  <c r="AB85" i="18" s="1"/>
  <c r="AA86" i="18"/>
  <c r="AB86" i="18" s="1"/>
  <c r="AA87" i="18"/>
  <c r="AB87" i="18" s="1"/>
  <c r="AA88" i="18"/>
  <c r="AB88" i="18" s="1"/>
  <c r="AA89" i="18"/>
  <c r="AB89" i="18" s="1"/>
  <c r="AA90" i="18"/>
  <c r="AB90" i="18" s="1"/>
  <c r="AA91" i="18"/>
  <c r="AB91" i="18" s="1"/>
  <c r="AA92" i="18"/>
  <c r="AB92" i="18" s="1"/>
  <c r="AA93" i="18"/>
  <c r="AB93" i="18" s="1"/>
  <c r="AA94" i="18"/>
  <c r="AB94" i="18" s="1"/>
  <c r="AA95" i="18"/>
  <c r="AB95" i="18" s="1"/>
  <c r="AA96" i="18"/>
  <c r="AB96" i="18" s="1"/>
  <c r="AA97" i="18"/>
  <c r="AB97" i="18" s="1"/>
  <c r="AA98" i="18"/>
  <c r="AB98" i="18" s="1"/>
  <c r="AA99" i="18"/>
  <c r="AB99" i="18" s="1"/>
  <c r="AA100" i="18"/>
  <c r="AB100" i="18" s="1"/>
  <c r="AA101" i="18"/>
  <c r="AB101" i="18" s="1"/>
  <c r="AA102" i="18"/>
  <c r="AB102" i="18" s="1"/>
  <c r="AA103" i="18"/>
  <c r="AB103" i="18" s="1"/>
  <c r="AA104" i="18"/>
  <c r="AB104" i="18" s="1"/>
  <c r="AA105" i="18"/>
  <c r="AB105" i="18" s="1"/>
  <c r="AA106" i="18"/>
  <c r="AB106" i="18" s="1"/>
  <c r="AA107" i="18"/>
  <c r="AB107" i="18" s="1"/>
  <c r="AA108" i="18"/>
  <c r="AB108" i="18" s="1"/>
  <c r="AA109" i="18"/>
  <c r="AB109" i="18" s="1"/>
  <c r="AA110" i="18"/>
  <c r="AB110" i="18" s="1"/>
  <c r="AA111" i="18"/>
  <c r="AB111" i="18"/>
  <c r="AA112" i="18"/>
  <c r="AB112" i="18"/>
  <c r="AA113" i="18"/>
  <c r="AB113" i="18"/>
  <c r="AA114" i="18"/>
  <c r="AB114" i="18"/>
  <c r="AA115" i="18"/>
  <c r="AB115" i="18"/>
  <c r="AA116" i="18"/>
  <c r="AB116" i="18"/>
  <c r="AA117" i="18"/>
  <c r="AB117" i="18"/>
  <c r="AA118" i="18"/>
  <c r="AB118" i="18"/>
  <c r="AA119" i="18"/>
  <c r="AB119" i="18"/>
  <c r="AA120" i="18"/>
  <c r="AB120" i="18"/>
  <c r="AA121" i="18"/>
  <c r="AB121" i="18"/>
  <c r="AA122" i="18"/>
  <c r="AB122" i="18"/>
  <c r="AA123" i="18"/>
  <c r="AB123" i="18"/>
  <c r="AA124" i="18"/>
  <c r="AB124" i="18"/>
  <c r="AA125" i="18"/>
  <c r="AB125" i="18"/>
  <c r="AA126" i="18"/>
  <c r="AB126" i="18"/>
  <c r="AA127" i="18"/>
  <c r="AB127" i="18"/>
  <c r="AA128" i="18"/>
  <c r="AB128" i="18"/>
  <c r="AA129" i="18"/>
  <c r="AB129" i="18"/>
  <c r="AA130" i="18"/>
  <c r="AB130" i="18"/>
  <c r="AA131" i="18"/>
  <c r="AB131" i="18"/>
  <c r="AA132" i="18"/>
  <c r="AB132" i="18"/>
  <c r="AA133" i="18"/>
  <c r="AB133" i="18"/>
  <c r="AA134" i="18"/>
  <c r="AB134" i="18"/>
  <c r="AA135" i="18"/>
  <c r="AB135" i="18"/>
  <c r="AA136" i="18"/>
  <c r="AB136" i="18"/>
  <c r="AA137" i="18"/>
  <c r="AB137" i="18"/>
  <c r="AA138" i="18"/>
  <c r="AB138" i="18"/>
  <c r="AA139" i="18"/>
  <c r="AB139" i="18"/>
  <c r="AA140" i="18"/>
  <c r="AB140" i="18"/>
  <c r="AA141" i="18"/>
  <c r="AB141" i="18"/>
  <c r="AA142" i="18"/>
  <c r="AB142" i="18"/>
  <c r="AA143" i="18"/>
  <c r="AB143" i="18"/>
  <c r="AA144" i="18"/>
  <c r="AB144" i="18"/>
  <c r="AA145" i="18"/>
  <c r="AB145" i="18"/>
  <c r="AA146" i="18"/>
  <c r="AB146" i="18"/>
  <c r="AA147" i="18"/>
  <c r="AB147" i="18"/>
  <c r="AA148" i="18"/>
  <c r="AB148" i="18"/>
  <c r="AA149" i="18"/>
  <c r="AB149" i="18"/>
  <c r="AA150" i="18"/>
  <c r="AB150" i="18"/>
  <c r="AA151" i="18"/>
  <c r="AB151" i="18"/>
  <c r="AA152" i="18"/>
  <c r="AB152" i="18"/>
  <c r="AA153" i="18"/>
  <c r="AB153" i="18"/>
  <c r="AA154" i="18"/>
  <c r="AB154" i="18"/>
  <c r="AA155" i="18"/>
  <c r="AB155" i="18"/>
  <c r="AA156" i="18"/>
  <c r="AB156" i="18"/>
  <c r="AA157" i="18"/>
  <c r="AB157" i="18"/>
  <c r="AA158" i="18"/>
  <c r="AB158" i="18"/>
  <c r="AA159" i="18"/>
  <c r="AB159" i="18"/>
  <c r="AA160" i="18"/>
  <c r="AB160" i="18"/>
  <c r="AA161" i="18"/>
  <c r="AB161" i="18"/>
  <c r="AA162" i="18"/>
  <c r="AB162" i="18"/>
  <c r="AA163" i="18"/>
  <c r="AB163" i="18"/>
  <c r="AA164" i="18"/>
  <c r="AB164" i="18" s="1"/>
  <c r="AA165" i="18"/>
  <c r="AB165" i="18" s="1"/>
  <c r="AA166" i="18"/>
  <c r="AB166" i="18" s="1"/>
  <c r="AA167" i="18"/>
  <c r="AB167" i="18" s="1"/>
  <c r="AA168" i="18"/>
  <c r="AB168" i="18" s="1"/>
  <c r="AA169" i="18"/>
  <c r="AB169" i="18" s="1"/>
  <c r="AA170" i="18"/>
  <c r="AB170" i="18" s="1"/>
  <c r="AA7" i="18"/>
  <c r="V8" i="18"/>
  <c r="Z8" i="18"/>
  <c r="Z9" i="18"/>
  <c r="Z10" i="18"/>
  <c r="Z11" i="18"/>
  <c r="Z12" i="18"/>
  <c r="Z13" i="18"/>
  <c r="Z14" i="18"/>
  <c r="Z15" i="18"/>
  <c r="Z16" i="18"/>
  <c r="Z17" i="18"/>
  <c r="Z18" i="18"/>
  <c r="Z19" i="18"/>
  <c r="Z20" i="18"/>
  <c r="Z21" i="18"/>
  <c r="Z22" i="18"/>
  <c r="Z23" i="18"/>
  <c r="Z24" i="18"/>
  <c r="Z25" i="18"/>
  <c r="Z26" i="18"/>
  <c r="Z27" i="18"/>
  <c r="Z28" i="18"/>
  <c r="Z29" i="18"/>
  <c r="Z30" i="18"/>
  <c r="Z31" i="18"/>
  <c r="Z32" i="18"/>
  <c r="Z33" i="18"/>
  <c r="Z34" i="18"/>
  <c r="Z35" i="18"/>
  <c r="Z36" i="18"/>
  <c r="Z37" i="18"/>
  <c r="Z38" i="18"/>
  <c r="Z39" i="18"/>
  <c r="Z40" i="18"/>
  <c r="Z41" i="18"/>
  <c r="Z42" i="18"/>
  <c r="Z43" i="18"/>
  <c r="Z44" i="18"/>
  <c r="Z45" i="18"/>
  <c r="Z46" i="18"/>
  <c r="Z47" i="18"/>
  <c r="Z48" i="18"/>
  <c r="Z49" i="18"/>
  <c r="Z50" i="18"/>
  <c r="Z51" i="18"/>
  <c r="Z52" i="18"/>
  <c r="Z53" i="18"/>
  <c r="Z54" i="18"/>
  <c r="Z55" i="18"/>
  <c r="Z56" i="18"/>
  <c r="Z57" i="18"/>
  <c r="Z58" i="18"/>
  <c r="Z59" i="18"/>
  <c r="Z60" i="18"/>
  <c r="Z61" i="18"/>
  <c r="Z62" i="18"/>
  <c r="Z63" i="18"/>
  <c r="Z64" i="18"/>
  <c r="Z65" i="18"/>
  <c r="Z66" i="18"/>
  <c r="Z67" i="18"/>
  <c r="Z68" i="18"/>
  <c r="Z69" i="18"/>
  <c r="Z70" i="18"/>
  <c r="Z71" i="18"/>
  <c r="Z72" i="18"/>
  <c r="Z73" i="18"/>
  <c r="Z74" i="18"/>
  <c r="Z75" i="18"/>
  <c r="Z76" i="18"/>
  <c r="Z77" i="18"/>
  <c r="Z78" i="18"/>
  <c r="Z79" i="18"/>
  <c r="Z80" i="18"/>
  <c r="Z81" i="18"/>
  <c r="Z82" i="18"/>
  <c r="Z83" i="18"/>
  <c r="Z84" i="18"/>
  <c r="Z85" i="18"/>
  <c r="Z86" i="18"/>
  <c r="Z87" i="18"/>
  <c r="Z88" i="18"/>
  <c r="Z89" i="18"/>
  <c r="Z90" i="18"/>
  <c r="Z91" i="18"/>
  <c r="Z92" i="18"/>
  <c r="Z93" i="18"/>
  <c r="Z94" i="18"/>
  <c r="Z95" i="18"/>
  <c r="Z96" i="18"/>
  <c r="Z97" i="18"/>
  <c r="Z98" i="18"/>
  <c r="Z99" i="18"/>
  <c r="Z100" i="18"/>
  <c r="Z101" i="18"/>
  <c r="Z102" i="18"/>
  <c r="Z103" i="18"/>
  <c r="Z104" i="18"/>
  <c r="Z105" i="18"/>
  <c r="Z106" i="18"/>
  <c r="Z107" i="18"/>
  <c r="Z108" i="18"/>
  <c r="Z109" i="18"/>
  <c r="Z110" i="18"/>
  <c r="Z111" i="18"/>
  <c r="Z112" i="18"/>
  <c r="Z113" i="18"/>
  <c r="Z114" i="18"/>
  <c r="Z115" i="18"/>
  <c r="Z116" i="18"/>
  <c r="Z117" i="18"/>
  <c r="Z118" i="18"/>
  <c r="Z119" i="18"/>
  <c r="Z120" i="18"/>
  <c r="Z121" i="18"/>
  <c r="Z122" i="18"/>
  <c r="Z123" i="18"/>
  <c r="Z124" i="18"/>
  <c r="Z125" i="18"/>
  <c r="Z126" i="18"/>
  <c r="Z127" i="18"/>
  <c r="Z128" i="18"/>
  <c r="Z129" i="18"/>
  <c r="Z130" i="18"/>
  <c r="Z131" i="18"/>
  <c r="Z132" i="18"/>
  <c r="Z133" i="18"/>
  <c r="Z134" i="18"/>
  <c r="Z135" i="18"/>
  <c r="Z136" i="18"/>
  <c r="Z137" i="18"/>
  <c r="Z138" i="18"/>
  <c r="Z139" i="18"/>
  <c r="Z140" i="18"/>
  <c r="Z141" i="18"/>
  <c r="Z142" i="18"/>
  <c r="Z143" i="18"/>
  <c r="Z144" i="18"/>
  <c r="Z145" i="18"/>
  <c r="Z146" i="18"/>
  <c r="Z147" i="18"/>
  <c r="Z148" i="18"/>
  <c r="Z149" i="18"/>
  <c r="Z150" i="18"/>
  <c r="Z151" i="18"/>
  <c r="Z152" i="18"/>
  <c r="Z153" i="18"/>
  <c r="Z154" i="18"/>
  <c r="Z155" i="18"/>
  <c r="Z156" i="18"/>
  <c r="Z157" i="18"/>
  <c r="Z158" i="18"/>
  <c r="Z159" i="18"/>
  <c r="Z160" i="18"/>
  <c r="Z161" i="18"/>
  <c r="Z162" i="18"/>
  <c r="Z163" i="18"/>
  <c r="Z164" i="18"/>
  <c r="Z165" i="18"/>
  <c r="Z166" i="18"/>
  <c r="Z167" i="18"/>
  <c r="Z168" i="18"/>
  <c r="Z169" i="18"/>
  <c r="Z170" i="18"/>
  <c r="Z7" i="18"/>
  <c r="X8" i="18"/>
  <c r="X9" i="18"/>
  <c r="X10" i="18"/>
  <c r="X11" i="18"/>
  <c r="X12" i="18"/>
  <c r="X13" i="18"/>
  <c r="X14" i="18"/>
  <c r="X15" i="18"/>
  <c r="X16" i="18"/>
  <c r="X17" i="18"/>
  <c r="X18" i="18"/>
  <c r="X19" i="18"/>
  <c r="X20" i="18"/>
  <c r="X21" i="18"/>
  <c r="X22" i="18"/>
  <c r="X23" i="18"/>
  <c r="X24" i="18"/>
  <c r="X25" i="18"/>
  <c r="X26" i="18"/>
  <c r="X27" i="18"/>
  <c r="X28" i="18"/>
  <c r="X29" i="18"/>
  <c r="X30" i="18"/>
  <c r="X31" i="18"/>
  <c r="X32" i="18"/>
  <c r="X33" i="18"/>
  <c r="X34" i="18"/>
  <c r="X35" i="18"/>
  <c r="X36" i="18"/>
  <c r="X37" i="18"/>
  <c r="X38" i="18"/>
  <c r="X39" i="18"/>
  <c r="X40" i="18"/>
  <c r="X41" i="18"/>
  <c r="X42" i="18"/>
  <c r="X43" i="18"/>
  <c r="X44" i="18"/>
  <c r="X45" i="18"/>
  <c r="X46" i="18"/>
  <c r="X47" i="18"/>
  <c r="X48" i="18"/>
  <c r="X49" i="18"/>
  <c r="X50" i="18"/>
  <c r="X51" i="18"/>
  <c r="X52" i="18"/>
  <c r="X53" i="18"/>
  <c r="X54" i="18"/>
  <c r="X55" i="18"/>
  <c r="X56" i="18"/>
  <c r="X57" i="18"/>
  <c r="X58" i="18"/>
  <c r="X59" i="18"/>
  <c r="X60" i="18"/>
  <c r="X61" i="18"/>
  <c r="X62" i="18"/>
  <c r="X63" i="18"/>
  <c r="X64" i="18"/>
  <c r="X65" i="18"/>
  <c r="X66" i="18"/>
  <c r="X67" i="18"/>
  <c r="X68" i="18"/>
  <c r="X69" i="18"/>
  <c r="X70" i="18"/>
  <c r="X71" i="18"/>
  <c r="X72" i="18"/>
  <c r="X73" i="18"/>
  <c r="X74" i="18"/>
  <c r="X75" i="18"/>
  <c r="X76" i="18"/>
  <c r="X77" i="18"/>
  <c r="X78" i="18"/>
  <c r="X79" i="18"/>
  <c r="X80" i="18"/>
  <c r="X81" i="18"/>
  <c r="X82" i="18"/>
  <c r="X83" i="18"/>
  <c r="X84" i="18"/>
  <c r="X85" i="18"/>
  <c r="X86" i="18"/>
  <c r="X87" i="18"/>
  <c r="X88" i="18"/>
  <c r="X89" i="18"/>
  <c r="X90" i="18"/>
  <c r="X91" i="18"/>
  <c r="X92" i="18"/>
  <c r="X93" i="18"/>
  <c r="X94" i="18"/>
  <c r="X95" i="18"/>
  <c r="X96" i="18"/>
  <c r="X97" i="18"/>
  <c r="X98" i="18"/>
  <c r="X99" i="18"/>
  <c r="X100" i="18"/>
  <c r="X101" i="18"/>
  <c r="X102" i="18"/>
  <c r="X103" i="18"/>
  <c r="X104" i="18"/>
  <c r="X105" i="18"/>
  <c r="X106" i="18"/>
  <c r="X107" i="18"/>
  <c r="X108" i="18"/>
  <c r="X109" i="18"/>
  <c r="X110" i="18"/>
  <c r="X111" i="18"/>
  <c r="X112" i="18"/>
  <c r="X113" i="18"/>
  <c r="X114" i="18"/>
  <c r="X115" i="18"/>
  <c r="X116" i="18"/>
  <c r="X117" i="18"/>
  <c r="X118" i="18"/>
  <c r="X119" i="18"/>
  <c r="X120" i="18"/>
  <c r="X121" i="18"/>
  <c r="X122" i="18"/>
  <c r="X123" i="18"/>
  <c r="X124" i="18"/>
  <c r="X125" i="18"/>
  <c r="X126" i="18"/>
  <c r="X127" i="18"/>
  <c r="X128" i="18"/>
  <c r="X129" i="18"/>
  <c r="X130" i="18"/>
  <c r="X131" i="18"/>
  <c r="X132" i="18"/>
  <c r="X133" i="18"/>
  <c r="X134" i="18"/>
  <c r="X135" i="18"/>
  <c r="X136" i="18"/>
  <c r="X137" i="18"/>
  <c r="X138" i="18"/>
  <c r="X139" i="18"/>
  <c r="X140" i="18"/>
  <c r="X141" i="18"/>
  <c r="X142" i="18"/>
  <c r="X143" i="18"/>
  <c r="X144" i="18"/>
  <c r="X145" i="18"/>
  <c r="X146" i="18"/>
  <c r="X147" i="18"/>
  <c r="X148" i="18"/>
  <c r="X149" i="18"/>
  <c r="X150" i="18"/>
  <c r="X151" i="18"/>
  <c r="X152" i="18"/>
  <c r="X153" i="18"/>
  <c r="X154" i="18"/>
  <c r="X155" i="18"/>
  <c r="X156" i="18"/>
  <c r="X157" i="18"/>
  <c r="X158" i="18"/>
  <c r="X159" i="18"/>
  <c r="X160" i="18"/>
  <c r="X161" i="18"/>
  <c r="X162" i="18"/>
  <c r="X163" i="18"/>
  <c r="X164" i="18"/>
  <c r="X165" i="18"/>
  <c r="X166" i="18"/>
  <c r="X167" i="18"/>
  <c r="X168" i="18"/>
  <c r="X169" i="18"/>
  <c r="X170" i="18"/>
  <c r="X7" i="18"/>
  <c r="W8" i="18"/>
  <c r="W9" i="18"/>
  <c r="W10" i="18"/>
  <c r="W11" i="18"/>
  <c r="W12" i="18"/>
  <c r="W13" i="18"/>
  <c r="W14" i="18"/>
  <c r="W15" i="18"/>
  <c r="W16" i="18"/>
  <c r="W17" i="18"/>
  <c r="W18" i="18"/>
  <c r="W19" i="18"/>
  <c r="W20" i="18"/>
  <c r="W21" i="18"/>
  <c r="W22" i="18"/>
  <c r="W23" i="18"/>
  <c r="W24" i="18"/>
  <c r="W25" i="18"/>
  <c r="W26" i="18"/>
  <c r="W27" i="18"/>
  <c r="W28" i="18"/>
  <c r="W29" i="18"/>
  <c r="W30" i="18"/>
  <c r="W31" i="18"/>
  <c r="W32" i="18"/>
  <c r="W33" i="18"/>
  <c r="W34" i="18"/>
  <c r="W35" i="18"/>
  <c r="W36" i="18"/>
  <c r="W37" i="18"/>
  <c r="W38" i="18"/>
  <c r="W39" i="18"/>
  <c r="W40" i="18"/>
  <c r="W41" i="18"/>
  <c r="W42" i="18"/>
  <c r="W43" i="18"/>
  <c r="W44" i="18"/>
  <c r="W45" i="18"/>
  <c r="W46" i="18"/>
  <c r="W47" i="18"/>
  <c r="W48" i="18"/>
  <c r="W49" i="18"/>
  <c r="W50" i="18"/>
  <c r="W51" i="18"/>
  <c r="W52" i="18"/>
  <c r="W53" i="18"/>
  <c r="W54" i="18"/>
  <c r="W55" i="18"/>
  <c r="W56" i="18"/>
  <c r="W57" i="18"/>
  <c r="W58" i="18"/>
  <c r="W59" i="18"/>
  <c r="W60" i="18"/>
  <c r="W61" i="18"/>
  <c r="W62" i="18"/>
  <c r="W63" i="18"/>
  <c r="W64" i="18"/>
  <c r="W65" i="18"/>
  <c r="W66" i="18"/>
  <c r="W67" i="18"/>
  <c r="W68" i="18"/>
  <c r="W69" i="18"/>
  <c r="W70" i="18"/>
  <c r="W71" i="18"/>
  <c r="W72" i="18"/>
  <c r="W73" i="18"/>
  <c r="W74" i="18"/>
  <c r="W75" i="18"/>
  <c r="W76" i="18"/>
  <c r="W77" i="18"/>
  <c r="W78" i="18"/>
  <c r="W79" i="18"/>
  <c r="W80" i="18"/>
  <c r="W81" i="18"/>
  <c r="W82" i="18"/>
  <c r="W83" i="18"/>
  <c r="W84" i="18"/>
  <c r="W85" i="18"/>
  <c r="W86" i="18"/>
  <c r="W87" i="18"/>
  <c r="W88" i="18"/>
  <c r="W89" i="18"/>
  <c r="W90" i="18"/>
  <c r="W91" i="18"/>
  <c r="W92" i="18"/>
  <c r="W93" i="18"/>
  <c r="W94" i="18"/>
  <c r="W95" i="18"/>
  <c r="W96" i="18"/>
  <c r="W97" i="18"/>
  <c r="W98" i="18"/>
  <c r="W99" i="18"/>
  <c r="W100" i="18"/>
  <c r="W101" i="18"/>
  <c r="W102" i="18"/>
  <c r="W103" i="18"/>
  <c r="W104" i="18"/>
  <c r="W105" i="18"/>
  <c r="W106" i="18"/>
  <c r="W107" i="18"/>
  <c r="W108" i="18"/>
  <c r="W109" i="18"/>
  <c r="W110" i="18"/>
  <c r="W111" i="18"/>
  <c r="W112" i="18"/>
  <c r="W113" i="18"/>
  <c r="W114" i="18"/>
  <c r="W115" i="18"/>
  <c r="W116" i="18"/>
  <c r="W117" i="18"/>
  <c r="W118" i="18"/>
  <c r="W119" i="18"/>
  <c r="W120" i="18"/>
  <c r="W121" i="18"/>
  <c r="W122" i="18"/>
  <c r="W123" i="18"/>
  <c r="W124" i="18"/>
  <c r="W125" i="18"/>
  <c r="W126" i="18"/>
  <c r="W127" i="18"/>
  <c r="W128" i="18"/>
  <c r="W129" i="18"/>
  <c r="W130" i="18"/>
  <c r="W131" i="18"/>
  <c r="W132" i="18"/>
  <c r="W133" i="18"/>
  <c r="W134" i="18"/>
  <c r="W135" i="18"/>
  <c r="W136" i="18"/>
  <c r="W137" i="18"/>
  <c r="W138" i="18"/>
  <c r="W139" i="18"/>
  <c r="W140" i="18"/>
  <c r="W141" i="18"/>
  <c r="W142" i="18"/>
  <c r="W143" i="18"/>
  <c r="W144" i="18"/>
  <c r="W145" i="18"/>
  <c r="W146" i="18"/>
  <c r="W147" i="18"/>
  <c r="W148" i="18"/>
  <c r="W149" i="18"/>
  <c r="W150" i="18"/>
  <c r="W151" i="18"/>
  <c r="W152" i="18"/>
  <c r="W153" i="18"/>
  <c r="W154" i="18"/>
  <c r="W155" i="18"/>
  <c r="W156" i="18"/>
  <c r="W157" i="18"/>
  <c r="W158" i="18"/>
  <c r="W159" i="18"/>
  <c r="W160" i="18"/>
  <c r="W161" i="18"/>
  <c r="W162" i="18"/>
  <c r="W163" i="18"/>
  <c r="W164" i="18"/>
  <c r="W165" i="18"/>
  <c r="W166" i="18"/>
  <c r="W167" i="18"/>
  <c r="W168" i="18"/>
  <c r="W169" i="18"/>
  <c r="W170" i="18"/>
  <c r="W7" i="18"/>
  <c r="Y7" i="18"/>
  <c r="Y8" i="18"/>
  <c r="Y9" i="18"/>
  <c r="Y10" i="18"/>
  <c r="Y11" i="18"/>
  <c r="Y12" i="18"/>
  <c r="Y13" i="18"/>
  <c r="Y14" i="18"/>
  <c r="Y15" i="18"/>
  <c r="Y16" i="18"/>
  <c r="Y17" i="18"/>
  <c r="Y18" i="18"/>
  <c r="Y19" i="18"/>
  <c r="Y20" i="18"/>
  <c r="Y21" i="18"/>
  <c r="Y22" i="18"/>
  <c r="Y23" i="18"/>
  <c r="Y24" i="18"/>
  <c r="Y25" i="18"/>
  <c r="Y26" i="18"/>
  <c r="Y27" i="18"/>
  <c r="Y28" i="18"/>
  <c r="Y29" i="18"/>
  <c r="Y30" i="18"/>
  <c r="Y31" i="18"/>
  <c r="Y32" i="18"/>
  <c r="Y33" i="18"/>
  <c r="Y34" i="18"/>
  <c r="Y35" i="18"/>
  <c r="Y36" i="18"/>
  <c r="Y37" i="18"/>
  <c r="Y38" i="18"/>
  <c r="Y39" i="18"/>
  <c r="Y40" i="18"/>
  <c r="Y41" i="18"/>
  <c r="Y42" i="18"/>
  <c r="Y43" i="18"/>
  <c r="Y44" i="18"/>
  <c r="Y45" i="18"/>
  <c r="Y46" i="18"/>
  <c r="Y47" i="18"/>
  <c r="Y48" i="18"/>
  <c r="Y49" i="18"/>
  <c r="Y50" i="18"/>
  <c r="Y51" i="18"/>
  <c r="Y52" i="18"/>
  <c r="Y53" i="18"/>
  <c r="Y54" i="18"/>
  <c r="Y55" i="18"/>
  <c r="Y56" i="18"/>
  <c r="Y57" i="18"/>
  <c r="Y58" i="18"/>
  <c r="Y59" i="18"/>
  <c r="Y60" i="18"/>
  <c r="Y61" i="18"/>
  <c r="Y62" i="18"/>
  <c r="Y63" i="18"/>
  <c r="Y64" i="18"/>
  <c r="Y65" i="18"/>
  <c r="Y66" i="18"/>
  <c r="Y67" i="18"/>
  <c r="Y68" i="18"/>
  <c r="Y69" i="18"/>
  <c r="Y70" i="18"/>
  <c r="Y71" i="18"/>
  <c r="Y72" i="18"/>
  <c r="Y73" i="18"/>
  <c r="Y74" i="18"/>
  <c r="Y75" i="18"/>
  <c r="Y76" i="18"/>
  <c r="Y77" i="18"/>
  <c r="Y78" i="18"/>
  <c r="Y79" i="18"/>
  <c r="Y80" i="18"/>
  <c r="Y81" i="18"/>
  <c r="Y82" i="18"/>
  <c r="Y83" i="18"/>
  <c r="Y84" i="18"/>
  <c r="Y85" i="18"/>
  <c r="Y86" i="18"/>
  <c r="Y87" i="18"/>
  <c r="Y88" i="18"/>
  <c r="Y89" i="18"/>
  <c r="Y90" i="18"/>
  <c r="Y91" i="18"/>
  <c r="Y92" i="18"/>
  <c r="Y93" i="18"/>
  <c r="Y94" i="18"/>
  <c r="Y95" i="18"/>
  <c r="Y96" i="18"/>
  <c r="Y97" i="18"/>
  <c r="Y98" i="18"/>
  <c r="Y99" i="18"/>
  <c r="Y100" i="18"/>
  <c r="Y101" i="18"/>
  <c r="Y102" i="18"/>
  <c r="Y103" i="18"/>
  <c r="Y104" i="18"/>
  <c r="Y105" i="18"/>
  <c r="Y106" i="18"/>
  <c r="Y107" i="18"/>
  <c r="Y108" i="18"/>
  <c r="Y109" i="18"/>
  <c r="Y110" i="18"/>
  <c r="Y111" i="18"/>
  <c r="Y112" i="18"/>
  <c r="Y113" i="18"/>
  <c r="Y114" i="18"/>
  <c r="Y115" i="18"/>
  <c r="Y116" i="18"/>
  <c r="Y117" i="18"/>
  <c r="Y118" i="18"/>
  <c r="Y119" i="18"/>
  <c r="Y120" i="18"/>
  <c r="Y121" i="18"/>
  <c r="Y122" i="18"/>
  <c r="Y123" i="18"/>
  <c r="Y124" i="18"/>
  <c r="Y125" i="18"/>
  <c r="Y126" i="18"/>
  <c r="Y127" i="18"/>
  <c r="Y128" i="18"/>
  <c r="Y129" i="18"/>
  <c r="Y130" i="18"/>
  <c r="Y131" i="18"/>
  <c r="Y132" i="18"/>
  <c r="Y133" i="18"/>
  <c r="Y134" i="18"/>
  <c r="Y135" i="18"/>
  <c r="Y136" i="18"/>
  <c r="Y137" i="18"/>
  <c r="Y138" i="18"/>
  <c r="Y139" i="18"/>
  <c r="Y140" i="18"/>
  <c r="Y141" i="18"/>
  <c r="Y142" i="18"/>
  <c r="Y143" i="18"/>
  <c r="Y144" i="18"/>
  <c r="Y145" i="18"/>
  <c r="Y146" i="18"/>
  <c r="Y147" i="18"/>
  <c r="Y148" i="18"/>
  <c r="Y149" i="18"/>
  <c r="Y150" i="18"/>
  <c r="Y151" i="18"/>
  <c r="Y152" i="18"/>
  <c r="Y153" i="18"/>
  <c r="Y154" i="18"/>
  <c r="Y155" i="18"/>
  <c r="Y156" i="18"/>
  <c r="Y157" i="18"/>
  <c r="Y158" i="18"/>
  <c r="Y159" i="18"/>
  <c r="Y160" i="18"/>
  <c r="Y161" i="18"/>
  <c r="Y162" i="18"/>
  <c r="Y163" i="18"/>
  <c r="Y164" i="18"/>
  <c r="Y165" i="18"/>
  <c r="Y166" i="18"/>
  <c r="Y167" i="18"/>
  <c r="Y168" i="18"/>
  <c r="Y169" i="18"/>
  <c r="Y170" i="18"/>
  <c r="V9" i="18"/>
  <c r="V10" i="18"/>
  <c r="V11" i="18"/>
  <c r="V12" i="18"/>
  <c r="V13" i="18"/>
  <c r="V14" i="18"/>
  <c r="V15" i="18"/>
  <c r="V16" i="18"/>
  <c r="V17" i="18"/>
  <c r="V18" i="18"/>
  <c r="V19" i="18"/>
  <c r="V20" i="18"/>
  <c r="V21" i="18"/>
  <c r="V22" i="18"/>
  <c r="V23" i="18"/>
  <c r="V24" i="18"/>
  <c r="V25" i="18"/>
  <c r="V26" i="18"/>
  <c r="V27" i="18"/>
  <c r="V28" i="18"/>
  <c r="V29" i="18"/>
  <c r="V30" i="18"/>
  <c r="V31" i="18"/>
  <c r="V32" i="18"/>
  <c r="V33" i="18"/>
  <c r="V34" i="18"/>
  <c r="V35" i="18"/>
  <c r="V36" i="18"/>
  <c r="V37" i="18"/>
  <c r="V38" i="18"/>
  <c r="V39" i="18"/>
  <c r="V40" i="18"/>
  <c r="V41" i="18"/>
  <c r="V42" i="18"/>
  <c r="V43" i="18"/>
  <c r="V44" i="18"/>
  <c r="V45" i="18"/>
  <c r="V46" i="18"/>
  <c r="V47" i="18"/>
  <c r="V48" i="18"/>
  <c r="V49" i="18"/>
  <c r="V50" i="18"/>
  <c r="V51" i="18"/>
  <c r="V52" i="18"/>
  <c r="V53" i="18"/>
  <c r="V54" i="18"/>
  <c r="V55" i="18"/>
  <c r="V56" i="18"/>
  <c r="V57" i="18"/>
  <c r="V58" i="18"/>
  <c r="V59" i="18"/>
  <c r="V60" i="18"/>
  <c r="V61" i="18"/>
  <c r="V62" i="18"/>
  <c r="V63" i="18"/>
  <c r="V64" i="18"/>
  <c r="V65" i="18"/>
  <c r="V66" i="18"/>
  <c r="V67" i="18"/>
  <c r="V68" i="18"/>
  <c r="V69" i="18"/>
  <c r="V70" i="18"/>
  <c r="V71" i="18"/>
  <c r="V72" i="18"/>
  <c r="V73" i="18"/>
  <c r="V74" i="18"/>
  <c r="V75" i="18"/>
  <c r="V76" i="18"/>
  <c r="V77" i="18"/>
  <c r="V78" i="18"/>
  <c r="V79" i="18"/>
  <c r="V80" i="18"/>
  <c r="V81" i="18"/>
  <c r="V82" i="18"/>
  <c r="V83" i="18"/>
  <c r="V84" i="18"/>
  <c r="V85" i="18"/>
  <c r="V86" i="18"/>
  <c r="V87" i="18"/>
  <c r="V88" i="18"/>
  <c r="V89" i="18"/>
  <c r="V90" i="18"/>
  <c r="V91" i="18"/>
  <c r="V92" i="18"/>
  <c r="V93" i="18"/>
  <c r="V94" i="18"/>
  <c r="V95" i="18"/>
  <c r="V96" i="18"/>
  <c r="V97" i="18"/>
  <c r="V98" i="18"/>
  <c r="V99" i="18"/>
  <c r="V100" i="18"/>
  <c r="V101" i="18"/>
  <c r="V102" i="18"/>
  <c r="V103" i="18"/>
  <c r="V104" i="18"/>
  <c r="V105" i="18"/>
  <c r="V106" i="18"/>
  <c r="V107" i="18"/>
  <c r="V108" i="18"/>
  <c r="V109" i="18"/>
  <c r="V110" i="18"/>
  <c r="V111" i="18"/>
  <c r="V112" i="18"/>
  <c r="V113" i="18"/>
  <c r="V114" i="18"/>
  <c r="V115" i="18"/>
  <c r="V116" i="18"/>
  <c r="V117" i="18"/>
  <c r="V118" i="18"/>
  <c r="V119" i="18"/>
  <c r="V120" i="18"/>
  <c r="V121" i="18"/>
  <c r="V122" i="18"/>
  <c r="V123" i="18"/>
  <c r="V124" i="18"/>
  <c r="V125" i="18"/>
  <c r="V126" i="18"/>
  <c r="V127" i="18"/>
  <c r="V128" i="18"/>
  <c r="V129" i="18"/>
  <c r="V130" i="18"/>
  <c r="V131" i="18"/>
  <c r="V132" i="18"/>
  <c r="V133" i="18"/>
  <c r="V134" i="18"/>
  <c r="V135" i="18"/>
  <c r="V136" i="18"/>
  <c r="V137" i="18"/>
  <c r="V138" i="18"/>
  <c r="V139" i="18"/>
  <c r="V140" i="18"/>
  <c r="V141" i="18"/>
  <c r="V142" i="18"/>
  <c r="V143" i="18"/>
  <c r="V144" i="18"/>
  <c r="V145" i="18"/>
  <c r="V146" i="18"/>
  <c r="V147" i="18"/>
  <c r="V148" i="18"/>
  <c r="V149" i="18"/>
  <c r="V150" i="18"/>
  <c r="V151" i="18"/>
  <c r="V152" i="18"/>
  <c r="V153" i="18"/>
  <c r="V154" i="18"/>
  <c r="V155" i="18"/>
  <c r="V156" i="18"/>
  <c r="V157" i="18"/>
  <c r="V158" i="18"/>
  <c r="V159" i="18"/>
  <c r="V160" i="18"/>
  <c r="V161" i="18"/>
  <c r="V162" i="18"/>
  <c r="V163" i="18"/>
  <c r="V164" i="18"/>
  <c r="V165" i="18"/>
  <c r="V166" i="18"/>
  <c r="V167" i="18"/>
  <c r="V168" i="18"/>
  <c r="V169" i="18"/>
  <c r="V170" i="18"/>
  <c r="V7" i="18"/>
  <c r="AX9" i="17"/>
  <c r="AY9" i="17"/>
  <c r="BC9" i="17"/>
  <c r="AP9" i="17"/>
  <c r="AP15" i="17"/>
  <c r="E15" i="17"/>
  <c r="AP20" i="17"/>
  <c r="E20" i="17"/>
  <c r="AP19" i="17"/>
  <c r="E19" i="17"/>
  <c r="AP16" i="17"/>
  <c r="AP14" i="17"/>
  <c r="AP13" i="17"/>
  <c r="E16" i="17"/>
  <c r="E14" i="17"/>
  <c r="E13" i="17"/>
  <c r="AP18" i="17"/>
  <c r="AP17" i="17"/>
  <c r="E18" i="17"/>
  <c r="E17" i="17"/>
  <c r="BC12" i="17"/>
  <c r="AP12" i="17"/>
  <c r="E10" i="17"/>
  <c r="E11" i="17"/>
  <c r="E12" i="17"/>
  <c r="AX10" i="17"/>
  <c r="BC10" i="17"/>
  <c r="AX11" i="17"/>
  <c r="BC11" i="17"/>
  <c r="AP10" i="17"/>
  <c r="AP11" i="17"/>
  <c r="BC179" i="17"/>
  <c r="AP179" i="17"/>
  <c r="E179" i="17"/>
  <c r="AX179" i="17" s="1"/>
  <c r="BC27" i="17"/>
  <c r="AP27" i="17"/>
  <c r="E27" i="17"/>
  <c r="AX27" i="17" s="1"/>
  <c r="BC73" i="17"/>
  <c r="AX73" i="17"/>
  <c r="AP73" i="17"/>
  <c r="BC72" i="17"/>
  <c r="AX72" i="17"/>
  <c r="AP72" i="17"/>
  <c r="BC185" i="17"/>
  <c r="BC184" i="17"/>
  <c r="BC183" i="17"/>
  <c r="BC182" i="17"/>
  <c r="BC181" i="17"/>
  <c r="BC180" i="17"/>
  <c r="BC178" i="17"/>
  <c r="BC177" i="17"/>
  <c r="BC176" i="17"/>
  <c r="BC175" i="17"/>
  <c r="BC174" i="17"/>
  <c r="BC173" i="17"/>
  <c r="BC172" i="17"/>
  <c r="BC171" i="17"/>
  <c r="BC170" i="17"/>
  <c r="BC169" i="17"/>
  <c r="BC168" i="17"/>
  <c r="BC167" i="17"/>
  <c r="BC166" i="17"/>
  <c r="BC165" i="17"/>
  <c r="BC164" i="17"/>
  <c r="BC163" i="17"/>
  <c r="BC162" i="17"/>
  <c r="BC161" i="17"/>
  <c r="BC160" i="17"/>
  <c r="BC159" i="17"/>
  <c r="BC158" i="17"/>
  <c r="BC157" i="17"/>
  <c r="BC156" i="17"/>
  <c r="BC155" i="17"/>
  <c r="BC154" i="17"/>
  <c r="BC153" i="17"/>
  <c r="BC152" i="17"/>
  <c r="BC151" i="17"/>
  <c r="BC150" i="17"/>
  <c r="BC149" i="17"/>
  <c r="BC148" i="17"/>
  <c r="BC147" i="17"/>
  <c r="BC146" i="17"/>
  <c r="BC145" i="17"/>
  <c r="BC144" i="17"/>
  <c r="BC143" i="17"/>
  <c r="BC142" i="17"/>
  <c r="BC141" i="17"/>
  <c r="BC140" i="17"/>
  <c r="BC139" i="17"/>
  <c r="BC138" i="17"/>
  <c r="BC137" i="17"/>
  <c r="BC136" i="17"/>
  <c r="BC135" i="17"/>
  <c r="BC134" i="17"/>
  <c r="BC133" i="17"/>
  <c r="BC132" i="17"/>
  <c r="BC131" i="17"/>
  <c r="BC130" i="17"/>
  <c r="BC129" i="17"/>
  <c r="BC128" i="17"/>
  <c r="BC127" i="17"/>
  <c r="BC126" i="17"/>
  <c r="BC125" i="17"/>
  <c r="BC124" i="17"/>
  <c r="BC123" i="17"/>
  <c r="BC122" i="17"/>
  <c r="BC121" i="17"/>
  <c r="BC120" i="17"/>
  <c r="BC119" i="17"/>
  <c r="BC118" i="17"/>
  <c r="BC117" i="17"/>
  <c r="BC116" i="17"/>
  <c r="BC115" i="17"/>
  <c r="BC114" i="17"/>
  <c r="BC113" i="17"/>
  <c r="BC112" i="17"/>
  <c r="BC111" i="17"/>
  <c r="BC110" i="17"/>
  <c r="BC109" i="17"/>
  <c r="BC108" i="17"/>
  <c r="BC107" i="17"/>
  <c r="BC106" i="17"/>
  <c r="BC105" i="17"/>
  <c r="BC104" i="17"/>
  <c r="BC103" i="17"/>
  <c r="BC102" i="17"/>
  <c r="BC101" i="17"/>
  <c r="BC100" i="17"/>
  <c r="BC99" i="17"/>
  <c r="BC98" i="17"/>
  <c r="BC97" i="17"/>
  <c r="BC96" i="17"/>
  <c r="BC95" i="17"/>
  <c r="BC94" i="17"/>
  <c r="BC93" i="17"/>
  <c r="BC92" i="17"/>
  <c r="BC91" i="17"/>
  <c r="BC90" i="17"/>
  <c r="BC89" i="17"/>
  <c r="BC88" i="17"/>
  <c r="BC87" i="17"/>
  <c r="BC86" i="17"/>
  <c r="BC85" i="17"/>
  <c r="BC84" i="17"/>
  <c r="BC83" i="17"/>
  <c r="BC82" i="17"/>
  <c r="BC81" i="17"/>
  <c r="BC80" i="17"/>
  <c r="BC79" i="17"/>
  <c r="BC78" i="17"/>
  <c r="BC77" i="17"/>
  <c r="BC76" i="17"/>
  <c r="BC75" i="17"/>
  <c r="BC74" i="17"/>
  <c r="BC71" i="17"/>
  <c r="BC70" i="17"/>
  <c r="BC69" i="17"/>
  <c r="BC68" i="17"/>
  <c r="BC67" i="17"/>
  <c r="BC66" i="17"/>
  <c r="BC65" i="17"/>
  <c r="BC64" i="17"/>
  <c r="BC63" i="17"/>
  <c r="BC62" i="17"/>
  <c r="BC61" i="17"/>
  <c r="BC60" i="17"/>
  <c r="BC59" i="17"/>
  <c r="BC58" i="17"/>
  <c r="BC57" i="17"/>
  <c r="BF57" i="17" s="1"/>
  <c r="BC56" i="17"/>
  <c r="BF56" i="17" s="1"/>
  <c r="BC55" i="17"/>
  <c r="BF55" i="17" s="1"/>
  <c r="BC54" i="17"/>
  <c r="BF54" i="17" s="1"/>
  <c r="BC53" i="17"/>
  <c r="BF53" i="17" s="1"/>
  <c r="BC52" i="17"/>
  <c r="BF52" i="17" s="1"/>
  <c r="BC51" i="17"/>
  <c r="BF51" i="17" s="1"/>
  <c r="BC50" i="17"/>
  <c r="BF50" i="17" s="1"/>
  <c r="BC49" i="17"/>
  <c r="BF49" i="17" s="1"/>
  <c r="BC48" i="17"/>
  <c r="BF48" i="17" s="1"/>
  <c r="BC47" i="17"/>
  <c r="BF47" i="17" s="1"/>
  <c r="BC46" i="17"/>
  <c r="BF46" i="17" s="1"/>
  <c r="BC45" i="17"/>
  <c r="BF45" i="17" s="1"/>
  <c r="BC44" i="17"/>
  <c r="BF44" i="17" s="1"/>
  <c r="BC43" i="17"/>
  <c r="BF43" i="17" s="1"/>
  <c r="BC42" i="17"/>
  <c r="BF42" i="17" s="1"/>
  <c r="BC41" i="17"/>
  <c r="BF41" i="17" s="1"/>
  <c r="BC40" i="17"/>
  <c r="BF40" i="17" s="1"/>
  <c r="BC39" i="17"/>
  <c r="BF39" i="17" s="1"/>
  <c r="BC38" i="17"/>
  <c r="BF38" i="17" s="1"/>
  <c r="BC37" i="17"/>
  <c r="BF37" i="17" s="1"/>
  <c r="BC36" i="17"/>
  <c r="BF36" i="17" s="1"/>
  <c r="BC35" i="17"/>
  <c r="BF35" i="17" s="1"/>
  <c r="BC34" i="17"/>
  <c r="BF34" i="17" s="1"/>
  <c r="BC33" i="17"/>
  <c r="BF33" i="17" s="1"/>
  <c r="BC32" i="17"/>
  <c r="BF32" i="17" s="1"/>
  <c r="BC31" i="17"/>
  <c r="BF31" i="17" s="1"/>
  <c r="BC30" i="17"/>
  <c r="BF30" i="17" s="1"/>
  <c r="BC29" i="17"/>
  <c r="BF29" i="17" s="1"/>
  <c r="BC28" i="17"/>
  <c r="BF28" i="17" s="1"/>
  <c r="BC26" i="17"/>
  <c r="BF26" i="17" s="1"/>
  <c r="BC25" i="17"/>
  <c r="BF25" i="17" s="1"/>
  <c r="BC24" i="17"/>
  <c r="BF24" i="17" s="1"/>
  <c r="BC23" i="17"/>
  <c r="BF23" i="17" s="1"/>
  <c r="BC22" i="17"/>
  <c r="BF22" i="17" s="1"/>
  <c r="BC21" i="17"/>
  <c r="BF21" i="17" s="1"/>
  <c r="BC8" i="17"/>
  <c r="BF8" i="17" s="1"/>
  <c r="BC7" i="17"/>
  <c r="BF184" i="17" l="1"/>
  <c r="BF183" i="17"/>
  <c r="BF181" i="17"/>
  <c r="BF175" i="17"/>
  <c r="BF169" i="17"/>
  <c r="BF167" i="17"/>
  <c r="BF166" i="17"/>
  <c r="BF164" i="17"/>
  <c r="BF159" i="17"/>
  <c r="BF153" i="17"/>
  <c r="BF151" i="17"/>
  <c r="BF150" i="17"/>
  <c r="BF148" i="17"/>
  <c r="BF143" i="17"/>
  <c r="BF135" i="17"/>
  <c r="BF134" i="17"/>
  <c r="BF132" i="17"/>
  <c r="BF127" i="17"/>
  <c r="BF120" i="17"/>
  <c r="BF119" i="17"/>
  <c r="BF117" i="17"/>
  <c r="BF112" i="17"/>
  <c r="BF106" i="17"/>
  <c r="BF104" i="17"/>
  <c r="BF103" i="17"/>
  <c r="BF101" i="17"/>
  <c r="BF98" i="17"/>
  <c r="BF96" i="17"/>
  <c r="BF95" i="17"/>
  <c r="BF94" i="17"/>
  <c r="BF92" i="17"/>
  <c r="BF88" i="17"/>
  <c r="BF87" i="17"/>
  <c r="BF84" i="17"/>
  <c r="BF82" i="17"/>
  <c r="BF81" i="17"/>
  <c r="BF80" i="17"/>
  <c r="BF79" i="17"/>
  <c r="BF78" i="17"/>
  <c r="BF76" i="17"/>
  <c r="BF75" i="17"/>
  <c r="BF70" i="17"/>
  <c r="BF69" i="17"/>
  <c r="BF66" i="17"/>
  <c r="BF65" i="17"/>
  <c r="BF64" i="17"/>
  <c r="BF61" i="17"/>
  <c r="BF59" i="17"/>
  <c r="BF58" i="17"/>
  <c r="BF185" i="20"/>
  <c r="AS185" i="20"/>
  <c r="AQ185" i="20"/>
  <c r="AT185" i="20" s="1"/>
  <c r="BF184" i="20"/>
  <c r="AS184" i="20"/>
  <c r="AQ184" i="20"/>
  <c r="AT184" i="20" s="1"/>
  <c r="BF183" i="20"/>
  <c r="AS183" i="20"/>
  <c r="AQ183" i="20"/>
  <c r="AT183" i="20" s="1"/>
  <c r="BF182" i="20"/>
  <c r="AQ182" i="20"/>
  <c r="AT182" i="20" s="1"/>
  <c r="AS182" i="20"/>
  <c r="BF181" i="20"/>
  <c r="AQ181" i="20"/>
  <c r="AT181" i="20" s="1"/>
  <c r="AS181" i="20"/>
  <c r="BF180" i="20"/>
  <c r="AQ180" i="20"/>
  <c r="AT180" i="20" s="1"/>
  <c r="AS180" i="20"/>
  <c r="BF179" i="20"/>
  <c r="AS179" i="20"/>
  <c r="AQ179" i="20"/>
  <c r="AT179" i="20" s="1"/>
  <c r="BF178" i="20"/>
  <c r="AQ178" i="20"/>
  <c r="AT178" i="20" s="1"/>
  <c r="AS178" i="20"/>
  <c r="BF177" i="20"/>
  <c r="AS177" i="20"/>
  <c r="AQ177" i="20"/>
  <c r="AT177" i="20" s="1"/>
  <c r="BF176" i="20"/>
  <c r="AQ176" i="20"/>
  <c r="AT176" i="20" s="1"/>
  <c r="AS176" i="20"/>
  <c r="BF175" i="20"/>
  <c r="AS175" i="20"/>
  <c r="AQ175" i="20"/>
  <c r="AT175" i="20" s="1"/>
  <c r="BF174" i="20"/>
  <c r="AQ174" i="20"/>
  <c r="AT174" i="20" s="1"/>
  <c r="AS174" i="20"/>
  <c r="BF173" i="20"/>
  <c r="AS173" i="20"/>
  <c r="AQ173" i="20"/>
  <c r="AT173" i="20" s="1"/>
  <c r="BF172" i="20"/>
  <c r="AS172" i="20"/>
  <c r="AQ172" i="20"/>
  <c r="AT172" i="20" s="1"/>
  <c r="BF171" i="20"/>
  <c r="AS171" i="20"/>
  <c r="AQ171" i="20"/>
  <c r="AT171" i="20" s="1"/>
  <c r="BF170" i="20"/>
  <c r="AQ170" i="20"/>
  <c r="AT170" i="20" s="1"/>
  <c r="AS170" i="20"/>
  <c r="BF169" i="20"/>
  <c r="AQ169" i="20"/>
  <c r="AT169" i="20" s="1"/>
  <c r="AS169" i="20"/>
  <c r="BF168" i="20"/>
  <c r="AQ168" i="20"/>
  <c r="AT168" i="20" s="1"/>
  <c r="AS168" i="20"/>
  <c r="BF167" i="20"/>
  <c r="AS167" i="20"/>
  <c r="AQ167" i="20"/>
  <c r="AT167" i="20" s="1"/>
  <c r="BF166" i="20"/>
  <c r="AQ166" i="20"/>
  <c r="AT166" i="20" s="1"/>
  <c r="AS166" i="20"/>
  <c r="BF165" i="20"/>
  <c r="AQ165" i="20"/>
  <c r="AT165" i="20" s="1"/>
  <c r="AS165" i="20"/>
  <c r="BF164" i="20"/>
  <c r="AS164" i="20"/>
  <c r="AQ164" i="20"/>
  <c r="AT164" i="20" s="1"/>
  <c r="BF163" i="20"/>
  <c r="AS163" i="20"/>
  <c r="AQ163" i="20"/>
  <c r="AT163" i="20" s="1"/>
  <c r="BF162" i="20"/>
  <c r="AS162" i="20"/>
  <c r="AQ162" i="20"/>
  <c r="AT162" i="20" s="1"/>
  <c r="BF161" i="20"/>
  <c r="AS161" i="20"/>
  <c r="AQ161" i="20"/>
  <c r="AT161" i="20" s="1"/>
  <c r="BF160" i="20"/>
  <c r="AS160" i="20"/>
  <c r="AQ160" i="20"/>
  <c r="AT160" i="20" s="1"/>
  <c r="BF159" i="20"/>
  <c r="AQ159" i="20"/>
  <c r="AT159" i="20" s="1"/>
  <c r="AS159" i="20"/>
  <c r="BF158" i="20"/>
  <c r="AS158" i="20"/>
  <c r="AQ158" i="20"/>
  <c r="AT158" i="20" s="1"/>
  <c r="BF157" i="20"/>
  <c r="AS157" i="20"/>
  <c r="AQ157" i="20"/>
  <c r="AT157" i="20" s="1"/>
  <c r="BF156" i="20"/>
  <c r="AQ156" i="20"/>
  <c r="AT156" i="20" s="1"/>
  <c r="AS156" i="20"/>
  <c r="BF155" i="20"/>
  <c r="AS155" i="20"/>
  <c r="AQ155" i="20"/>
  <c r="AT155" i="20" s="1"/>
  <c r="BF154" i="20"/>
  <c r="AS154" i="20"/>
  <c r="AQ154" i="20"/>
  <c r="AT154" i="20" s="1"/>
  <c r="BF153" i="20"/>
  <c r="AS153" i="20"/>
  <c r="AQ153" i="20"/>
  <c r="AT153" i="20" s="1"/>
  <c r="BF152" i="20"/>
  <c r="AS152" i="20"/>
  <c r="AQ152" i="20"/>
  <c r="AT152" i="20" s="1"/>
  <c r="BF151" i="20"/>
  <c r="AS151" i="20"/>
  <c r="AQ151" i="20"/>
  <c r="AT151" i="20" s="1"/>
  <c r="BF150" i="20"/>
  <c r="AS150" i="20"/>
  <c r="AQ150" i="20"/>
  <c r="AT150" i="20" s="1"/>
  <c r="BF149" i="20"/>
  <c r="AS149" i="20"/>
  <c r="AQ149" i="20"/>
  <c r="AT149" i="20" s="1"/>
  <c r="BF148" i="20"/>
  <c r="AS148" i="20"/>
  <c r="AQ148" i="20"/>
  <c r="AT148" i="20" s="1"/>
  <c r="BF147" i="20"/>
  <c r="AQ147" i="20"/>
  <c r="AT147" i="20" s="1"/>
  <c r="AS147" i="20"/>
  <c r="BF146" i="20"/>
  <c r="AS146" i="20"/>
  <c r="AQ146" i="20"/>
  <c r="AT146" i="20" s="1"/>
  <c r="BF145" i="20"/>
  <c r="AS145" i="20"/>
  <c r="AQ145" i="20"/>
  <c r="AT145" i="20" s="1"/>
  <c r="BF144" i="20"/>
  <c r="AS144" i="20"/>
  <c r="AQ144" i="20"/>
  <c r="AT144" i="20" s="1"/>
  <c r="BF143" i="20"/>
  <c r="AS143" i="20"/>
  <c r="AQ143" i="20"/>
  <c r="AT143" i="20" s="1"/>
  <c r="BF142" i="20"/>
  <c r="AQ142" i="20"/>
  <c r="AT142" i="20" s="1"/>
  <c r="AS142" i="20"/>
  <c r="BF141" i="20"/>
  <c r="AS141" i="20"/>
  <c r="AQ141" i="20"/>
  <c r="AT141" i="20" s="1"/>
  <c r="BF140" i="20"/>
  <c r="AQ140" i="20"/>
  <c r="AT140" i="20" s="1"/>
  <c r="AS140" i="20"/>
  <c r="BF139" i="20"/>
  <c r="AS139" i="20"/>
  <c r="AQ139" i="20"/>
  <c r="AT139" i="20" s="1"/>
  <c r="BF138" i="20"/>
  <c r="AS138" i="20"/>
  <c r="AQ138" i="20"/>
  <c r="AT138" i="20" s="1"/>
  <c r="BF137" i="20"/>
  <c r="AS137" i="20"/>
  <c r="AQ137" i="20"/>
  <c r="AT137" i="20" s="1"/>
  <c r="BF136" i="20"/>
  <c r="AS136" i="20"/>
  <c r="AQ136" i="20"/>
  <c r="AT136" i="20" s="1"/>
  <c r="BF135" i="20"/>
  <c r="AQ135" i="20"/>
  <c r="AT135" i="20" s="1"/>
  <c r="AS135" i="20"/>
  <c r="BF134" i="20"/>
  <c r="AQ134" i="20"/>
  <c r="AT134" i="20" s="1"/>
  <c r="AS134" i="20"/>
  <c r="BF133" i="20"/>
  <c r="AQ133" i="20"/>
  <c r="AT133" i="20" s="1"/>
  <c r="AS133" i="20"/>
  <c r="BF132" i="20"/>
  <c r="AQ132" i="20"/>
  <c r="AT132" i="20" s="1"/>
  <c r="AS132" i="20"/>
  <c r="BF131" i="20"/>
  <c r="AQ131" i="20"/>
  <c r="AT131" i="20" s="1"/>
  <c r="AS131" i="20"/>
  <c r="BF130" i="20"/>
  <c r="AQ130" i="20"/>
  <c r="AT130" i="20" s="1"/>
  <c r="AS130" i="20"/>
  <c r="BF129" i="20"/>
  <c r="AS129" i="20"/>
  <c r="AQ129" i="20"/>
  <c r="AT129" i="20" s="1"/>
  <c r="BF128" i="20"/>
  <c r="AS128" i="20"/>
  <c r="AQ128" i="20"/>
  <c r="AT128" i="20" s="1"/>
  <c r="BF127" i="20"/>
  <c r="AS127" i="20"/>
  <c r="AQ127" i="20"/>
  <c r="AT127" i="20" s="1"/>
  <c r="BF126" i="20"/>
  <c r="AQ126" i="20"/>
  <c r="AT126" i="20" s="1"/>
  <c r="AS126" i="20"/>
  <c r="BF125" i="20"/>
  <c r="AS125" i="20"/>
  <c r="AQ125" i="20"/>
  <c r="AT125" i="20" s="1"/>
  <c r="BF124" i="20"/>
  <c r="AS124" i="20"/>
  <c r="AQ124" i="20"/>
  <c r="AT124" i="20" s="1"/>
  <c r="BF123" i="20"/>
  <c r="AQ123" i="20"/>
  <c r="AT123" i="20" s="1"/>
  <c r="AS123" i="20"/>
  <c r="BF122" i="20"/>
  <c r="AS122" i="20"/>
  <c r="AQ122" i="20"/>
  <c r="AT122" i="20" s="1"/>
  <c r="BF121" i="20"/>
  <c r="AS121" i="20"/>
  <c r="AQ121" i="20"/>
  <c r="AT121" i="20" s="1"/>
  <c r="BF120" i="20"/>
  <c r="AS120" i="20"/>
  <c r="AQ120" i="20"/>
  <c r="AT120" i="20" s="1"/>
  <c r="BF119" i="20"/>
  <c r="AQ119" i="20"/>
  <c r="AT119" i="20" s="1"/>
  <c r="AS119" i="20"/>
  <c r="BF118" i="20"/>
  <c r="AQ118" i="20"/>
  <c r="AT118" i="20" s="1"/>
  <c r="AS118" i="20"/>
  <c r="BF117" i="20"/>
  <c r="AQ117" i="20"/>
  <c r="AT117" i="20" s="1"/>
  <c r="AS117" i="20"/>
  <c r="BF116" i="20"/>
  <c r="AQ116" i="20"/>
  <c r="AT116" i="20" s="1"/>
  <c r="AS116" i="20"/>
  <c r="BF115" i="20"/>
  <c r="AQ115" i="20"/>
  <c r="AT115" i="20" s="1"/>
  <c r="AS115" i="20"/>
  <c r="BF114" i="20"/>
  <c r="AQ114" i="20"/>
  <c r="AT114" i="20" s="1"/>
  <c r="AS114" i="20"/>
  <c r="BF113" i="20"/>
  <c r="AS113" i="20"/>
  <c r="AQ113" i="20"/>
  <c r="AT113" i="20" s="1"/>
  <c r="BF112" i="20"/>
  <c r="AS112" i="20"/>
  <c r="AQ112" i="20"/>
  <c r="AT112" i="20" s="1"/>
  <c r="BF111" i="20"/>
  <c r="AS111" i="20"/>
  <c r="AQ111" i="20"/>
  <c r="AT111" i="20" s="1"/>
  <c r="BF110" i="20"/>
  <c r="AQ110" i="20"/>
  <c r="AT110" i="20" s="1"/>
  <c r="AS110" i="20"/>
  <c r="BF109" i="20"/>
  <c r="AS109" i="20"/>
  <c r="AQ109" i="20"/>
  <c r="AT109" i="20" s="1"/>
  <c r="BF108" i="20"/>
  <c r="AS108" i="20"/>
  <c r="AQ108" i="20"/>
  <c r="AT108" i="20" s="1"/>
  <c r="BF107" i="20"/>
  <c r="AS107" i="20"/>
  <c r="AQ107" i="20"/>
  <c r="AT107" i="20" s="1"/>
  <c r="BF106" i="20"/>
  <c r="AS106" i="20"/>
  <c r="AQ106" i="20"/>
  <c r="AT106" i="20" s="1"/>
  <c r="BF105" i="20"/>
  <c r="AQ105" i="20"/>
  <c r="AT105" i="20" s="1"/>
  <c r="AS105" i="20"/>
  <c r="BF104" i="20"/>
  <c r="AS104" i="20"/>
  <c r="AQ104" i="20"/>
  <c r="AT104" i="20" s="1"/>
  <c r="BF103" i="20"/>
  <c r="AS103" i="20"/>
  <c r="AQ103" i="20"/>
  <c r="AT103" i="20" s="1"/>
  <c r="BF102" i="20"/>
  <c r="AS102" i="20"/>
  <c r="AQ102" i="20"/>
  <c r="AT102" i="20" s="1"/>
  <c r="BF101" i="20"/>
  <c r="AQ101" i="20"/>
  <c r="AT101" i="20" s="1"/>
  <c r="AS101" i="20"/>
  <c r="BF100" i="20"/>
  <c r="AS100" i="20"/>
  <c r="AQ100" i="20"/>
  <c r="AT100" i="20" s="1"/>
  <c r="BF99" i="20"/>
  <c r="AS99" i="20"/>
  <c r="AQ99" i="20"/>
  <c r="AT99" i="20" s="1"/>
  <c r="BF98" i="20"/>
  <c r="AS98" i="20"/>
  <c r="AQ98" i="20"/>
  <c r="AT98" i="20" s="1"/>
  <c r="BF97" i="20"/>
  <c r="AQ97" i="20"/>
  <c r="AT97" i="20" s="1"/>
  <c r="AS97" i="20"/>
  <c r="BF96" i="20"/>
  <c r="AQ96" i="20"/>
  <c r="AT96" i="20" s="1"/>
  <c r="AS96" i="20"/>
  <c r="BF95" i="20"/>
  <c r="AS95" i="20"/>
  <c r="AQ95" i="20"/>
  <c r="AT95" i="20" s="1"/>
  <c r="BF94" i="20"/>
  <c r="AS94" i="20"/>
  <c r="AQ94" i="20"/>
  <c r="AT94" i="20" s="1"/>
  <c r="BF93" i="20"/>
  <c r="AS93" i="20"/>
  <c r="AQ93" i="20"/>
  <c r="AT93" i="20" s="1"/>
  <c r="BF92" i="20"/>
  <c r="AS92" i="20"/>
  <c r="AQ92" i="20"/>
  <c r="AT92" i="20" s="1"/>
  <c r="BF91" i="20"/>
  <c r="AQ91" i="20"/>
  <c r="AT91" i="20" s="1"/>
  <c r="AS91" i="20"/>
  <c r="BF90" i="20"/>
  <c r="AQ90" i="20"/>
  <c r="AT90" i="20" s="1"/>
  <c r="AS90" i="20"/>
  <c r="BF89" i="20"/>
  <c r="AQ89" i="20"/>
  <c r="AT89" i="20" s="1"/>
  <c r="AS89" i="20"/>
  <c r="BF88" i="20"/>
  <c r="AS88" i="20"/>
  <c r="AQ88" i="20"/>
  <c r="AT88" i="20" s="1"/>
  <c r="BF87" i="20"/>
  <c r="AS87" i="20"/>
  <c r="AQ87" i="20"/>
  <c r="AT87" i="20" s="1"/>
  <c r="BF86" i="20"/>
  <c r="AQ86" i="20"/>
  <c r="AT86" i="20" s="1"/>
  <c r="AS86" i="20"/>
  <c r="BF85" i="20"/>
  <c r="AS85" i="20"/>
  <c r="AQ85" i="20"/>
  <c r="AT85" i="20" s="1"/>
  <c r="BF84" i="20"/>
  <c r="AQ84" i="20"/>
  <c r="AT84" i="20" s="1"/>
  <c r="AS84" i="20"/>
  <c r="BF83" i="20"/>
  <c r="AQ83" i="20"/>
  <c r="AT83" i="20" s="1"/>
  <c r="AS83" i="20"/>
  <c r="BF82" i="20"/>
  <c r="AS82" i="20"/>
  <c r="AQ82" i="20"/>
  <c r="AT82" i="20" s="1"/>
  <c r="BF81" i="20"/>
  <c r="AS81" i="20"/>
  <c r="AQ81" i="20"/>
  <c r="AT81" i="20" s="1"/>
  <c r="BF80" i="20"/>
  <c r="AS80" i="20"/>
  <c r="AQ80" i="20"/>
  <c r="AT80" i="20" s="1"/>
  <c r="BF79" i="20"/>
  <c r="AS79" i="20"/>
  <c r="AQ79" i="20"/>
  <c r="AT79" i="20" s="1"/>
  <c r="BF78" i="20"/>
  <c r="AS78" i="20"/>
  <c r="AQ78" i="20"/>
  <c r="AT78" i="20" s="1"/>
  <c r="BF77" i="20"/>
  <c r="AQ77" i="20"/>
  <c r="AT77" i="20" s="1"/>
  <c r="AS77" i="20"/>
  <c r="BF76" i="20"/>
  <c r="AS76" i="20"/>
  <c r="AQ76" i="20"/>
  <c r="AT76" i="20" s="1"/>
  <c r="BF75" i="20"/>
  <c r="AQ75" i="20"/>
  <c r="AT75" i="20" s="1"/>
  <c r="AS75" i="20"/>
  <c r="BF74" i="20"/>
  <c r="AQ74" i="20"/>
  <c r="AT74" i="20" s="1"/>
  <c r="AS74" i="20"/>
  <c r="BF73" i="20"/>
  <c r="AS73" i="20"/>
  <c r="AQ73" i="20"/>
  <c r="AT73" i="20" s="1"/>
  <c r="BF72" i="20"/>
  <c r="AQ72" i="20"/>
  <c r="AT72" i="20" s="1"/>
  <c r="AS72" i="20"/>
  <c r="BF71" i="20"/>
  <c r="AS71" i="20"/>
  <c r="AQ71" i="20"/>
  <c r="AT71" i="20" s="1"/>
  <c r="BF70" i="20"/>
  <c r="AQ70" i="20"/>
  <c r="AT70" i="20" s="1"/>
  <c r="AS70" i="20"/>
  <c r="BF69" i="20"/>
  <c r="AQ69" i="20"/>
  <c r="AT69" i="20" s="1"/>
  <c r="AS69" i="20"/>
  <c r="BF68" i="20"/>
  <c r="AS68" i="20"/>
  <c r="AQ68" i="20"/>
  <c r="AT68" i="20" s="1"/>
  <c r="BF67" i="20"/>
  <c r="AQ67" i="20"/>
  <c r="AT67" i="20" s="1"/>
  <c r="AS67" i="20"/>
  <c r="BF66" i="20"/>
  <c r="AS66" i="20"/>
  <c r="AQ66" i="20"/>
  <c r="AT66" i="20" s="1"/>
  <c r="BF65" i="20"/>
  <c r="AS65" i="20"/>
  <c r="AQ65" i="20"/>
  <c r="AT65" i="20" s="1"/>
  <c r="BF64" i="20"/>
  <c r="AS64" i="20"/>
  <c r="AQ64" i="20"/>
  <c r="AT64" i="20" s="1"/>
  <c r="BF63" i="20"/>
  <c r="BF62" i="20"/>
  <c r="AS62" i="20"/>
  <c r="AQ62" i="20"/>
  <c r="AT62" i="20" s="1"/>
  <c r="BF61" i="20"/>
  <c r="AS61" i="20"/>
  <c r="AQ61" i="20"/>
  <c r="AT61" i="20" s="1"/>
  <c r="BF60" i="20"/>
  <c r="AQ60" i="20"/>
  <c r="AT60" i="20" s="1"/>
  <c r="AS60" i="20"/>
  <c r="BF59" i="20"/>
  <c r="AQ59" i="20"/>
  <c r="AT59" i="20" s="1"/>
  <c r="AS59" i="20"/>
  <c r="BF58" i="20"/>
  <c r="AS58" i="20"/>
  <c r="AQ58" i="20"/>
  <c r="AT58" i="20" s="1"/>
  <c r="BF57" i="20"/>
  <c r="AS57" i="20"/>
  <c r="AQ57" i="20"/>
  <c r="AT57" i="20" s="1"/>
  <c r="BF56" i="20"/>
  <c r="AS56" i="20"/>
  <c r="AQ56" i="20"/>
  <c r="AT56" i="20" s="1"/>
  <c r="BF55" i="20"/>
  <c r="AQ55" i="20"/>
  <c r="AT55" i="20" s="1"/>
  <c r="AS55" i="20"/>
  <c r="BF54" i="20"/>
  <c r="AS54" i="20"/>
  <c r="AQ54" i="20"/>
  <c r="AT54" i="20" s="1"/>
  <c r="BF53" i="20"/>
  <c r="AS53" i="20"/>
  <c r="AQ53" i="20"/>
  <c r="AT53" i="20" s="1"/>
  <c r="BF52" i="20"/>
  <c r="AS52" i="20"/>
  <c r="AQ52" i="20"/>
  <c r="AT52" i="20" s="1"/>
  <c r="BF51" i="20"/>
  <c r="AQ51" i="20"/>
  <c r="AT51" i="20" s="1"/>
  <c r="AS51" i="20"/>
  <c r="BF50" i="20"/>
  <c r="AS50" i="20"/>
  <c r="AQ50" i="20"/>
  <c r="AT50" i="20" s="1"/>
  <c r="BF49" i="20"/>
  <c r="AS49" i="20"/>
  <c r="AQ49" i="20"/>
  <c r="AT49" i="20" s="1"/>
  <c r="BF48" i="20"/>
  <c r="AS48" i="20"/>
  <c r="AQ48" i="20"/>
  <c r="AT48" i="20" s="1"/>
  <c r="BF47" i="20"/>
  <c r="AS47" i="20"/>
  <c r="AQ47" i="20"/>
  <c r="AT47" i="20" s="1"/>
  <c r="BF46" i="20"/>
  <c r="AS46" i="20"/>
  <c r="AQ46" i="20"/>
  <c r="AT46" i="20" s="1"/>
  <c r="BF45" i="20"/>
  <c r="AS45" i="20"/>
  <c r="AQ45" i="20"/>
  <c r="AT45" i="20" s="1"/>
  <c r="BF44" i="20"/>
  <c r="AQ44" i="20"/>
  <c r="AT44" i="20" s="1"/>
  <c r="AS44" i="20"/>
  <c r="BF43" i="20"/>
  <c r="AQ43" i="20"/>
  <c r="AT43" i="20" s="1"/>
  <c r="AS43" i="20"/>
  <c r="BF42" i="20"/>
  <c r="AS42" i="20"/>
  <c r="AQ42" i="20"/>
  <c r="AT42" i="20" s="1"/>
  <c r="BF41" i="20"/>
  <c r="AS41" i="20"/>
  <c r="AQ41" i="20"/>
  <c r="AT41" i="20" s="1"/>
  <c r="BF40" i="20"/>
  <c r="AS40" i="20"/>
  <c r="AQ40" i="20"/>
  <c r="AT40" i="20" s="1"/>
  <c r="BF39" i="20"/>
  <c r="AQ39" i="20"/>
  <c r="AT39" i="20" s="1"/>
  <c r="AS39" i="20"/>
  <c r="BF38" i="20"/>
  <c r="AS38" i="20"/>
  <c r="AQ38" i="20"/>
  <c r="AT38" i="20" s="1"/>
  <c r="BF37" i="20"/>
  <c r="AQ37" i="20"/>
  <c r="AT37" i="20" s="1"/>
  <c r="AS37" i="20"/>
  <c r="BF36" i="20"/>
  <c r="AS36" i="20"/>
  <c r="AQ36" i="20"/>
  <c r="AT36" i="20" s="1"/>
  <c r="BF35" i="20"/>
  <c r="AQ35" i="20"/>
  <c r="AT35" i="20" s="1"/>
  <c r="AS35" i="20"/>
  <c r="BF34" i="20"/>
  <c r="AQ34" i="20"/>
  <c r="AT34" i="20" s="1"/>
  <c r="AS34" i="20"/>
  <c r="BF33" i="20"/>
  <c r="AQ33" i="20"/>
  <c r="AT33" i="20" s="1"/>
  <c r="AS33" i="20"/>
  <c r="BF32" i="20"/>
  <c r="AS32" i="20"/>
  <c r="AQ32" i="20"/>
  <c r="AT32" i="20" s="1"/>
  <c r="BF31" i="20"/>
  <c r="AQ31" i="20"/>
  <c r="AT31" i="20" s="1"/>
  <c r="AS31" i="20"/>
  <c r="BF30" i="20"/>
  <c r="AQ30" i="20"/>
  <c r="AT30" i="20" s="1"/>
  <c r="AS30" i="20"/>
  <c r="BF29" i="20"/>
  <c r="AS29" i="20"/>
  <c r="AQ29" i="20"/>
  <c r="AT29" i="20" s="1"/>
  <c r="BF28" i="20"/>
  <c r="AQ28" i="20"/>
  <c r="AT28" i="20" s="1"/>
  <c r="AS28" i="20"/>
  <c r="BF27" i="20"/>
  <c r="AQ27" i="20"/>
  <c r="AT27" i="20" s="1"/>
  <c r="AS27" i="20"/>
  <c r="BF26" i="20"/>
  <c r="AQ26" i="20"/>
  <c r="AT26" i="20" s="1"/>
  <c r="AS26" i="20"/>
  <c r="BF25" i="20"/>
  <c r="AQ25" i="20"/>
  <c r="AT25" i="20" s="1"/>
  <c r="AS25" i="20"/>
  <c r="BF24" i="20"/>
  <c r="AQ24" i="20"/>
  <c r="AT24" i="20" s="1"/>
  <c r="AS24" i="20"/>
  <c r="BF23" i="20"/>
  <c r="AS23" i="20"/>
  <c r="AQ23" i="20"/>
  <c r="AT23" i="20" s="1"/>
  <c r="BF22" i="20"/>
  <c r="AS22" i="20"/>
  <c r="AQ22" i="20"/>
  <c r="AT22" i="20" s="1"/>
  <c r="BF21" i="20"/>
  <c r="AS21" i="20"/>
  <c r="AQ21" i="20"/>
  <c r="AT21" i="20" s="1"/>
  <c r="AS20" i="20"/>
  <c r="AQ20" i="20"/>
  <c r="AT20" i="20" s="1"/>
  <c r="AS19" i="20"/>
  <c r="AQ19" i="20"/>
  <c r="AT19" i="20" s="1"/>
  <c r="AS18" i="20"/>
  <c r="AQ18" i="20"/>
  <c r="AT18" i="20" s="1"/>
  <c r="AS17" i="20"/>
  <c r="AQ17" i="20"/>
  <c r="AT17" i="20" s="1"/>
  <c r="AS16" i="20"/>
  <c r="AQ16" i="20"/>
  <c r="AT16" i="20" s="1"/>
  <c r="AS15" i="20"/>
  <c r="AQ15" i="20"/>
  <c r="AT15" i="20" s="1"/>
  <c r="AS14" i="20"/>
  <c r="AQ14" i="20"/>
  <c r="AT14" i="20" s="1"/>
  <c r="AS13" i="20"/>
  <c r="AQ13" i="20"/>
  <c r="AT13" i="20" s="1"/>
  <c r="BF12" i="20"/>
  <c r="AS12" i="20"/>
  <c r="AQ12" i="20"/>
  <c r="AT12" i="20" s="1"/>
  <c r="BF11" i="20"/>
  <c r="AS11" i="20"/>
  <c r="AQ11" i="20"/>
  <c r="AT11" i="20" s="1"/>
  <c r="BF10" i="20"/>
  <c r="AS10" i="20"/>
  <c r="AQ10" i="20"/>
  <c r="AT10" i="20" s="1"/>
  <c r="BF9" i="20"/>
  <c r="AS9" i="20"/>
  <c r="AQ9" i="20"/>
  <c r="AT9" i="20" s="1"/>
  <c r="BF8" i="20"/>
  <c r="AS8" i="20"/>
  <c r="AQ8" i="20"/>
  <c r="AT8" i="20" s="1"/>
  <c r="BF7" i="20"/>
  <c r="AS7" i="20"/>
  <c r="AQ7" i="20"/>
  <c r="AW186" i="20"/>
  <c r="AZ9" i="17"/>
  <c r="BA9" i="17"/>
  <c r="BF9" i="17"/>
  <c r="AQ9" i="17"/>
  <c r="AT9" i="17" s="1"/>
  <c r="AS9" i="17"/>
  <c r="AS15" i="17"/>
  <c r="AQ15" i="17"/>
  <c r="AT15" i="17" s="1"/>
  <c r="AS20" i="17"/>
  <c r="AQ20" i="17"/>
  <c r="AT20" i="17" s="1"/>
  <c r="AQ19" i="17"/>
  <c r="AT19" i="17" s="1"/>
  <c r="AS19" i="17"/>
  <c r="AQ16" i="17"/>
  <c r="AT16" i="17" s="1"/>
  <c r="AS16" i="17"/>
  <c r="AQ14" i="17"/>
  <c r="AT14" i="17" s="1"/>
  <c r="AS14" i="17"/>
  <c r="AQ13" i="17"/>
  <c r="AT13" i="17" s="1"/>
  <c r="AS13" i="17"/>
  <c r="AQ18" i="17"/>
  <c r="AT18" i="17" s="1"/>
  <c r="AS18" i="17"/>
  <c r="AQ17" i="17"/>
  <c r="AT17" i="17" s="1"/>
  <c r="AS17" i="17"/>
  <c r="BF12" i="17"/>
  <c r="AS12" i="17"/>
  <c r="AQ12" i="17"/>
  <c r="AT12" i="17" s="1"/>
  <c r="BF10" i="17"/>
  <c r="BF11" i="17"/>
  <c r="AS10" i="17"/>
  <c r="AQ10" i="17"/>
  <c r="AT10" i="17" s="1"/>
  <c r="AS11" i="17"/>
  <c r="AQ11" i="17"/>
  <c r="AT11" i="17" s="1"/>
  <c r="BF179" i="17"/>
  <c r="AQ179" i="17"/>
  <c r="AT179" i="17" s="1"/>
  <c r="AS179" i="17"/>
  <c r="BF27" i="17"/>
  <c r="AQ27" i="17"/>
  <c r="AT27" i="17" s="1"/>
  <c r="AS27" i="17"/>
  <c r="BF73" i="17"/>
  <c r="AS73" i="17"/>
  <c r="AQ73" i="17"/>
  <c r="AT73" i="17" s="1"/>
  <c r="BF72" i="17"/>
  <c r="AS72" i="17"/>
  <c r="AQ72" i="17"/>
  <c r="AT72" i="17" s="1"/>
  <c r="BF91" i="17"/>
  <c r="BF83" i="17"/>
  <c r="BF90" i="17"/>
  <c r="BF124" i="17"/>
  <c r="BF60" i="17"/>
  <c r="BF109" i="17"/>
  <c r="BF139" i="17"/>
  <c r="BF174" i="17"/>
  <c r="BF140" i="17"/>
  <c r="BF171" i="17"/>
  <c r="BF137" i="17"/>
  <c r="BF158" i="17"/>
  <c r="BF172" i="17"/>
  <c r="BF77" i="17"/>
  <c r="BF97" i="17"/>
  <c r="BF111" i="17"/>
  <c r="BF155" i="17"/>
  <c r="BF86" i="17"/>
  <c r="BF67" i="17"/>
  <c r="BF71" i="17"/>
  <c r="BF68" i="17"/>
  <c r="BF93" i="17"/>
  <c r="BF108" i="17"/>
  <c r="BF122" i="17"/>
  <c r="BF126" i="17"/>
  <c r="BF62" i="17"/>
  <c r="BF63" i="17"/>
  <c r="BF74" i="17"/>
  <c r="BF85" i="17"/>
  <c r="BF89" i="17"/>
  <c r="BF100" i="17"/>
  <c r="BF142" i="17"/>
  <c r="BF156" i="17"/>
  <c r="BF116" i="17"/>
  <c r="BF131" i="17"/>
  <c r="BF147" i="17"/>
  <c r="BF163" i="17"/>
  <c r="BF180" i="17"/>
  <c r="BF99" i="17"/>
  <c r="BF114" i="17"/>
  <c r="BF129" i="17"/>
  <c r="BF145" i="17"/>
  <c r="BF161" i="17"/>
  <c r="BF177" i="17"/>
  <c r="BF105" i="17"/>
  <c r="BF113" i="17"/>
  <c r="BF121" i="17"/>
  <c r="BF128" i="17"/>
  <c r="BF136" i="17"/>
  <c r="BF144" i="17"/>
  <c r="BF152" i="17"/>
  <c r="BF160" i="17"/>
  <c r="BF168" i="17"/>
  <c r="BF176" i="17"/>
  <c r="BF185" i="17"/>
  <c r="BF102" i="17"/>
  <c r="BF110" i="17"/>
  <c r="BF118" i="17"/>
  <c r="BF125" i="17"/>
  <c r="BF133" i="17"/>
  <c r="BF141" i="17"/>
  <c r="BF149" i="17"/>
  <c r="BF157" i="17"/>
  <c r="BF165" i="17"/>
  <c r="BF173" i="17"/>
  <c r="BF182" i="17"/>
  <c r="BF107" i="17"/>
  <c r="BF115" i="17"/>
  <c r="BF123" i="17"/>
  <c r="BF130" i="17"/>
  <c r="BF138" i="17"/>
  <c r="BF146" i="17"/>
  <c r="BF154" i="17"/>
  <c r="BF162" i="17"/>
  <c r="BF170" i="17"/>
  <c r="BF178" i="17"/>
  <c r="BG185" i="20" l="1"/>
  <c r="BH185" i="20" s="1"/>
  <c r="BI185" i="20" s="1"/>
  <c r="BG184" i="20"/>
  <c r="BH184" i="20" s="1"/>
  <c r="BI184" i="20" s="1"/>
  <c r="BG183" i="20"/>
  <c r="BH183" i="20"/>
  <c r="BI183" i="20" s="1"/>
  <c r="BG182" i="20"/>
  <c r="BH182" i="20"/>
  <c r="BI182" i="20" s="1"/>
  <c r="BG181" i="20"/>
  <c r="BH181" i="20" s="1"/>
  <c r="BI181" i="20" s="1"/>
  <c r="BG180" i="20"/>
  <c r="BH180" i="20" s="1"/>
  <c r="BI180" i="20" s="1"/>
  <c r="BG179" i="20"/>
  <c r="BH179" i="20"/>
  <c r="BI179" i="20" s="1"/>
  <c r="BG178" i="20"/>
  <c r="BH178" i="20"/>
  <c r="BI178" i="20" s="1"/>
  <c r="BG177" i="20"/>
  <c r="BH177" i="20"/>
  <c r="BI177" i="20" s="1"/>
  <c r="BG176" i="20"/>
  <c r="BH176" i="20" s="1"/>
  <c r="BI176" i="20" s="1"/>
  <c r="BG175" i="20"/>
  <c r="BH175" i="20"/>
  <c r="BI175" i="20" s="1"/>
  <c r="BG174" i="20"/>
  <c r="BH174" i="20" s="1"/>
  <c r="BI174" i="20" s="1"/>
  <c r="BG173" i="20"/>
  <c r="BH173" i="20"/>
  <c r="BI173" i="20" s="1"/>
  <c r="BG172" i="20"/>
  <c r="BH172" i="20" s="1"/>
  <c r="BI172" i="20" s="1"/>
  <c r="BG171" i="20"/>
  <c r="BH171" i="20" s="1"/>
  <c r="BI171" i="20" s="1"/>
  <c r="BG170" i="20"/>
  <c r="BH170" i="20" s="1"/>
  <c r="BI170" i="20" s="1"/>
  <c r="BG169" i="20"/>
  <c r="BH169" i="20" s="1"/>
  <c r="BI169" i="20" s="1"/>
  <c r="BG168" i="20"/>
  <c r="BH168" i="20" s="1"/>
  <c r="BI168" i="20" s="1"/>
  <c r="BG167" i="20"/>
  <c r="BH167" i="20" s="1"/>
  <c r="BI167" i="20" s="1"/>
  <c r="BG166" i="20"/>
  <c r="BH166" i="20" s="1"/>
  <c r="BI166" i="20" s="1"/>
  <c r="BG165" i="20"/>
  <c r="BH165" i="20"/>
  <c r="BI165" i="20" s="1"/>
  <c r="BG164" i="20"/>
  <c r="BH164" i="20"/>
  <c r="BI164" i="20" s="1"/>
  <c r="BG163" i="20"/>
  <c r="BH163" i="20"/>
  <c r="BI163" i="20" s="1"/>
  <c r="BG162" i="20"/>
  <c r="BH162" i="20" s="1"/>
  <c r="BI162" i="20" s="1"/>
  <c r="BG161" i="20"/>
  <c r="BH161" i="20" s="1"/>
  <c r="BI161" i="20" s="1"/>
  <c r="BG160" i="20"/>
  <c r="BH160" i="20"/>
  <c r="BI160" i="20" s="1"/>
  <c r="BG159" i="20"/>
  <c r="BH159" i="20" s="1"/>
  <c r="BI159" i="20" s="1"/>
  <c r="BG158" i="20"/>
  <c r="BH158" i="20"/>
  <c r="BI158" i="20" s="1"/>
  <c r="BG157" i="20"/>
  <c r="BH157" i="20"/>
  <c r="BI157" i="20" s="1"/>
  <c r="BG156" i="20"/>
  <c r="BH156" i="20" s="1"/>
  <c r="BI156" i="20" s="1"/>
  <c r="BG155" i="20"/>
  <c r="BH155" i="20"/>
  <c r="BI155" i="20" s="1"/>
  <c r="BG154" i="20"/>
  <c r="BH154" i="20" s="1"/>
  <c r="BI154" i="20" s="1"/>
  <c r="BG153" i="20"/>
  <c r="BH153" i="20"/>
  <c r="BI153" i="20" s="1"/>
  <c r="BG152" i="20"/>
  <c r="BH152" i="20"/>
  <c r="BI152" i="20" s="1"/>
  <c r="BG151" i="20"/>
  <c r="BH151" i="20"/>
  <c r="BI151" i="20" s="1"/>
  <c r="BG150" i="20"/>
  <c r="BH150" i="20"/>
  <c r="BI150" i="20" s="1"/>
  <c r="BG149" i="20"/>
  <c r="BH149" i="20"/>
  <c r="BI149" i="20" s="1"/>
  <c r="BG148" i="20"/>
  <c r="BH148" i="20"/>
  <c r="BI148" i="20" s="1"/>
  <c r="BG147" i="20"/>
  <c r="BH147" i="20"/>
  <c r="BI147" i="20" s="1"/>
  <c r="BG146" i="20"/>
  <c r="BH146" i="20"/>
  <c r="BI146" i="20" s="1"/>
  <c r="BG145" i="20"/>
  <c r="BH145" i="20"/>
  <c r="BI145" i="20" s="1"/>
  <c r="BG144" i="20"/>
  <c r="BH144" i="20"/>
  <c r="BI144" i="20" s="1"/>
  <c r="BG143" i="20"/>
  <c r="BH143" i="20"/>
  <c r="BI143" i="20" s="1"/>
  <c r="BG142" i="20"/>
  <c r="BH142" i="20"/>
  <c r="BI142" i="20" s="1"/>
  <c r="BG141" i="20"/>
  <c r="BH141" i="20"/>
  <c r="BI141" i="20" s="1"/>
  <c r="BG140" i="20"/>
  <c r="BH140" i="20"/>
  <c r="BI140" i="20" s="1"/>
  <c r="BG139" i="20"/>
  <c r="BH139" i="20"/>
  <c r="BI139" i="20" s="1"/>
  <c r="BG138" i="20"/>
  <c r="BH138" i="20"/>
  <c r="BI138" i="20" s="1"/>
  <c r="BG137" i="20"/>
  <c r="BH137" i="20"/>
  <c r="BI137" i="20" s="1"/>
  <c r="BG136" i="20"/>
  <c r="BH136" i="20"/>
  <c r="BI136" i="20" s="1"/>
  <c r="BG135" i="20"/>
  <c r="BH135" i="20"/>
  <c r="BI135" i="20" s="1"/>
  <c r="BG134" i="20"/>
  <c r="BH134" i="20"/>
  <c r="BI134" i="20" s="1"/>
  <c r="BG133" i="20"/>
  <c r="BH133" i="20"/>
  <c r="BI133" i="20" s="1"/>
  <c r="BG132" i="20"/>
  <c r="BH132" i="20"/>
  <c r="BI132" i="20" s="1"/>
  <c r="BG131" i="20"/>
  <c r="BH131" i="20"/>
  <c r="BI131" i="20" s="1"/>
  <c r="BG130" i="20"/>
  <c r="BH130" i="20"/>
  <c r="BI130" i="20" s="1"/>
  <c r="BG129" i="20"/>
  <c r="BH129" i="20"/>
  <c r="BI129" i="20" s="1"/>
  <c r="BG128" i="20"/>
  <c r="BH128" i="20"/>
  <c r="BI128" i="20" s="1"/>
  <c r="BG127" i="20"/>
  <c r="BH127" i="20"/>
  <c r="BI127" i="20" s="1"/>
  <c r="BG126" i="20"/>
  <c r="BH126" i="20"/>
  <c r="BI126" i="20" s="1"/>
  <c r="BG125" i="20"/>
  <c r="BH125" i="20"/>
  <c r="BI125" i="20" s="1"/>
  <c r="BG124" i="20"/>
  <c r="BH124" i="20"/>
  <c r="BI124" i="20" s="1"/>
  <c r="BG123" i="20"/>
  <c r="BH123" i="20"/>
  <c r="BI123" i="20" s="1"/>
  <c r="BG122" i="20"/>
  <c r="BH122" i="20"/>
  <c r="BI122" i="20" s="1"/>
  <c r="BG121" i="20"/>
  <c r="BH121" i="20"/>
  <c r="BI121" i="20" s="1"/>
  <c r="BG120" i="20"/>
  <c r="BH120" i="20"/>
  <c r="BI120" i="20" s="1"/>
  <c r="BG119" i="20"/>
  <c r="BH119" i="20"/>
  <c r="BI119" i="20" s="1"/>
  <c r="BG118" i="20"/>
  <c r="BH118" i="20"/>
  <c r="BI118" i="20" s="1"/>
  <c r="BG117" i="20"/>
  <c r="BH117" i="20"/>
  <c r="BI117" i="20" s="1"/>
  <c r="BG116" i="20"/>
  <c r="BH116" i="20"/>
  <c r="BI116" i="20" s="1"/>
  <c r="BG115" i="20"/>
  <c r="BH115" i="20"/>
  <c r="BI115" i="20" s="1"/>
  <c r="BG114" i="20"/>
  <c r="BH114" i="20"/>
  <c r="BI114" i="20" s="1"/>
  <c r="BG113" i="20"/>
  <c r="BH113" i="20"/>
  <c r="BI113" i="20" s="1"/>
  <c r="BG112" i="20"/>
  <c r="BH112" i="20"/>
  <c r="BI112" i="20" s="1"/>
  <c r="BG111" i="20"/>
  <c r="BH111" i="20"/>
  <c r="BI111" i="20" s="1"/>
  <c r="BG110" i="20"/>
  <c r="BH110" i="20"/>
  <c r="BI110" i="20" s="1"/>
  <c r="BG109" i="20"/>
  <c r="BH109" i="20"/>
  <c r="BI109" i="20" s="1"/>
  <c r="BG108" i="20"/>
  <c r="BH108" i="20"/>
  <c r="BI108" i="20" s="1"/>
  <c r="BG107" i="20"/>
  <c r="BH107" i="20"/>
  <c r="BI107" i="20" s="1"/>
  <c r="BG106" i="20"/>
  <c r="BH106" i="20"/>
  <c r="BI106" i="20" s="1"/>
  <c r="BG105" i="20"/>
  <c r="BH105" i="20"/>
  <c r="BI105" i="20" s="1"/>
  <c r="BG104" i="20"/>
  <c r="BH104" i="20"/>
  <c r="BI104" i="20" s="1"/>
  <c r="BG103" i="20"/>
  <c r="BH103" i="20"/>
  <c r="BI103" i="20" s="1"/>
  <c r="BG102" i="20"/>
  <c r="BH102" i="20"/>
  <c r="BI102" i="20" s="1"/>
  <c r="BG101" i="20"/>
  <c r="BH101" i="20"/>
  <c r="BI101" i="20" s="1"/>
  <c r="BG100" i="20"/>
  <c r="BH100" i="20"/>
  <c r="BI100" i="20" s="1"/>
  <c r="BG99" i="20"/>
  <c r="BH99" i="20"/>
  <c r="BI99" i="20" s="1"/>
  <c r="BG98" i="20"/>
  <c r="BH98" i="20"/>
  <c r="BI98" i="20" s="1"/>
  <c r="BG97" i="20"/>
  <c r="BH97" i="20"/>
  <c r="BI97" i="20" s="1"/>
  <c r="BG96" i="20"/>
  <c r="BH96" i="20"/>
  <c r="BI96" i="20" s="1"/>
  <c r="BG95" i="20"/>
  <c r="BH95" i="20"/>
  <c r="BI95" i="20" s="1"/>
  <c r="BG94" i="20"/>
  <c r="BH94" i="20"/>
  <c r="BI94" i="20" s="1"/>
  <c r="BG93" i="20"/>
  <c r="BH93" i="20"/>
  <c r="BI93" i="20" s="1"/>
  <c r="BG92" i="20"/>
  <c r="BH92" i="20"/>
  <c r="BI92" i="20" s="1"/>
  <c r="BG91" i="20"/>
  <c r="BH91" i="20"/>
  <c r="BI91" i="20" s="1"/>
  <c r="BG90" i="20"/>
  <c r="BH90" i="20"/>
  <c r="BI90" i="20" s="1"/>
  <c r="BG89" i="20"/>
  <c r="BH89" i="20"/>
  <c r="BI89" i="20" s="1"/>
  <c r="BG88" i="20"/>
  <c r="BH88" i="20"/>
  <c r="BI88" i="20" s="1"/>
  <c r="BG87" i="20"/>
  <c r="BH87" i="20"/>
  <c r="BI87" i="20" s="1"/>
  <c r="BG86" i="20"/>
  <c r="BH86" i="20"/>
  <c r="BI86" i="20" s="1"/>
  <c r="BG85" i="20"/>
  <c r="BH85" i="20"/>
  <c r="BI85" i="20" s="1"/>
  <c r="BG84" i="20"/>
  <c r="BH84" i="20"/>
  <c r="BI84" i="20" s="1"/>
  <c r="BG83" i="20"/>
  <c r="BH83" i="20"/>
  <c r="BI83" i="20" s="1"/>
  <c r="BG82" i="20"/>
  <c r="BH82" i="20" s="1"/>
  <c r="BI82" i="20" s="1"/>
  <c r="BG81" i="20"/>
  <c r="BH81" i="20"/>
  <c r="BI81" i="20" s="1"/>
  <c r="BG80" i="20"/>
  <c r="BH80" i="20"/>
  <c r="BI80" i="20" s="1"/>
  <c r="BG79" i="20"/>
  <c r="BH79" i="20" s="1"/>
  <c r="BI79" i="20" s="1"/>
  <c r="BG78" i="20"/>
  <c r="BH78" i="20" s="1"/>
  <c r="BI78" i="20" s="1"/>
  <c r="BG77" i="20"/>
  <c r="BH77" i="20" s="1"/>
  <c r="BI77" i="20" s="1"/>
  <c r="BG76" i="20"/>
  <c r="BH76" i="20" s="1"/>
  <c r="BI76" i="20" s="1"/>
  <c r="BG75" i="20"/>
  <c r="BH75" i="20"/>
  <c r="BI75" i="20" s="1"/>
  <c r="BG74" i="20"/>
  <c r="BH74" i="20"/>
  <c r="BI74" i="20" s="1"/>
  <c r="BG73" i="20"/>
  <c r="BH73" i="20" s="1"/>
  <c r="BI73" i="20" s="1"/>
  <c r="BG72" i="20"/>
  <c r="BH72" i="20" s="1"/>
  <c r="BI72" i="20" s="1"/>
  <c r="BG71" i="20"/>
  <c r="BH71" i="20"/>
  <c r="BI71" i="20" s="1"/>
  <c r="BG70" i="20"/>
  <c r="BH70" i="20" s="1"/>
  <c r="BI70" i="20" s="1"/>
  <c r="BG69" i="20"/>
  <c r="BH69" i="20"/>
  <c r="BI69" i="20" s="1"/>
  <c r="BG68" i="20"/>
  <c r="BH68" i="20" s="1"/>
  <c r="BI68" i="20" s="1"/>
  <c r="BG67" i="20"/>
  <c r="BH67" i="20"/>
  <c r="BI67" i="20" s="1"/>
  <c r="BG66" i="20"/>
  <c r="BH66" i="20"/>
  <c r="BI66" i="20" s="1"/>
  <c r="BG65" i="20"/>
  <c r="BH65" i="20"/>
  <c r="BI65" i="20" s="1"/>
  <c r="BG64" i="20"/>
  <c r="BH64" i="20" s="1"/>
  <c r="BI64" i="20" s="1"/>
  <c r="BG63" i="20"/>
  <c r="BH63" i="20" s="1"/>
  <c r="BI63" i="20" s="1"/>
  <c r="BG62" i="20"/>
  <c r="BH62" i="20"/>
  <c r="BI62" i="20" s="1"/>
  <c r="BG61" i="20"/>
  <c r="BH61" i="20" s="1"/>
  <c r="BI61" i="20" s="1"/>
  <c r="BG60" i="20"/>
  <c r="BH60" i="20"/>
  <c r="BI60" i="20" s="1"/>
  <c r="BG59" i="20"/>
  <c r="BH59" i="20" s="1"/>
  <c r="BI59" i="20" s="1"/>
  <c r="BG58" i="20"/>
  <c r="BH58" i="20" s="1"/>
  <c r="BI58" i="20" s="1"/>
  <c r="BG57" i="20"/>
  <c r="BH57" i="20" s="1"/>
  <c r="BI57" i="20" s="1"/>
  <c r="BG56" i="20"/>
  <c r="BH56" i="20"/>
  <c r="BI56" i="20" s="1"/>
  <c r="BG55" i="20"/>
  <c r="BH55" i="20"/>
  <c r="BI55" i="20" s="1"/>
  <c r="BG54" i="20"/>
  <c r="BH54" i="20"/>
  <c r="BI54" i="20" s="1"/>
  <c r="BG53" i="20"/>
  <c r="BH53" i="20"/>
  <c r="BI53" i="20" s="1"/>
  <c r="BG52" i="20"/>
  <c r="BH52" i="20"/>
  <c r="BI52" i="20" s="1"/>
  <c r="BG51" i="20"/>
  <c r="BH51" i="20" s="1"/>
  <c r="BI51" i="20" s="1"/>
  <c r="BG50" i="20"/>
  <c r="BH50" i="20"/>
  <c r="BI50" i="20" s="1"/>
  <c r="BG49" i="20"/>
  <c r="BH49" i="20"/>
  <c r="BI49" i="20" s="1"/>
  <c r="BG48" i="20"/>
  <c r="BH48" i="20"/>
  <c r="BI48" i="20" s="1"/>
  <c r="BG47" i="20"/>
  <c r="BH47" i="20"/>
  <c r="BI47" i="20" s="1"/>
  <c r="BG46" i="20"/>
  <c r="BH46" i="20"/>
  <c r="BI46" i="20" s="1"/>
  <c r="BG45" i="20"/>
  <c r="BH45" i="20"/>
  <c r="BI45" i="20" s="1"/>
  <c r="BG44" i="20"/>
  <c r="BH44" i="20"/>
  <c r="BI44" i="20" s="1"/>
  <c r="BG43" i="20"/>
  <c r="BH43" i="20" s="1"/>
  <c r="BI43" i="20" s="1"/>
  <c r="BG42" i="20"/>
  <c r="BH42" i="20"/>
  <c r="BI42" i="20" s="1"/>
  <c r="BG41" i="20"/>
  <c r="BH41" i="20"/>
  <c r="BI41" i="20" s="1"/>
  <c r="BG40" i="20"/>
  <c r="BH40" i="20"/>
  <c r="BI40" i="20" s="1"/>
  <c r="BG39" i="20"/>
  <c r="BH39" i="20"/>
  <c r="BI39" i="20" s="1"/>
  <c r="BG38" i="20"/>
  <c r="BH38" i="20"/>
  <c r="BI38" i="20" s="1"/>
  <c r="BG37" i="20"/>
  <c r="BH37" i="20"/>
  <c r="BI37" i="20" s="1"/>
  <c r="BG36" i="20"/>
  <c r="BH36" i="20" s="1"/>
  <c r="BI36" i="20" s="1"/>
  <c r="BG35" i="20"/>
  <c r="BH35" i="20"/>
  <c r="BI35" i="20" s="1"/>
  <c r="BG34" i="20"/>
  <c r="BH34" i="20"/>
  <c r="BI34" i="20" s="1"/>
  <c r="BG33" i="20"/>
  <c r="BH33" i="20"/>
  <c r="BI33" i="20" s="1"/>
  <c r="BG32" i="20"/>
  <c r="BH32" i="20" s="1"/>
  <c r="BI32" i="20" s="1"/>
  <c r="BG31" i="20"/>
  <c r="BH31" i="20"/>
  <c r="BI31" i="20" s="1"/>
  <c r="BG30" i="20"/>
  <c r="BH30" i="20" s="1"/>
  <c r="BI30" i="20" s="1"/>
  <c r="BH29" i="20"/>
  <c r="BI29" i="20" s="1"/>
  <c r="BG29" i="20"/>
  <c r="BG28" i="20"/>
  <c r="BH28" i="20" s="1"/>
  <c r="BI28" i="20" s="1"/>
  <c r="BG27" i="20"/>
  <c r="BH27" i="20" s="1"/>
  <c r="BI27" i="20" s="1"/>
  <c r="BG26" i="20"/>
  <c r="BH26" i="20" s="1"/>
  <c r="BI26" i="20" s="1"/>
  <c r="BG25" i="20"/>
  <c r="BH25" i="20"/>
  <c r="BI25" i="20" s="1"/>
  <c r="BG24" i="20"/>
  <c r="BH24" i="20" s="1"/>
  <c r="BI24" i="20" s="1"/>
  <c r="BG23" i="20"/>
  <c r="BH23" i="20"/>
  <c r="BI23" i="20" s="1"/>
  <c r="BG22" i="20"/>
  <c r="BH22" i="20"/>
  <c r="BI22" i="20" s="1"/>
  <c r="BG21" i="20"/>
  <c r="BH21" i="20"/>
  <c r="BI21" i="20" s="1"/>
  <c r="BG12" i="20"/>
  <c r="BH12" i="20" s="1"/>
  <c r="BI12" i="20" s="1"/>
  <c r="BG11" i="20"/>
  <c r="BH11" i="20" s="1"/>
  <c r="BI11" i="20" s="1"/>
  <c r="BG10" i="20"/>
  <c r="BH10" i="20"/>
  <c r="BI10" i="20" s="1"/>
  <c r="BG9" i="20"/>
  <c r="BH9" i="20"/>
  <c r="BI9" i="20" s="1"/>
  <c r="BG8" i="20"/>
  <c r="BH8" i="20"/>
  <c r="BI8" i="20" s="1"/>
  <c r="BG7" i="20"/>
  <c r="BH7" i="20"/>
  <c r="BI7" i="20" s="1"/>
  <c r="AT7" i="20"/>
  <c r="AT186" i="20" s="1"/>
  <c r="AQ186" i="20"/>
  <c r="AQ189" i="20" s="1"/>
  <c r="BJ9" i="17"/>
  <c r="BK9" i="17" s="1"/>
  <c r="AV189" i="20" l="1"/>
  <c r="AT187" i="20"/>
  <c r="AT189" i="20" s="1"/>
  <c r="BA186" i="20" s="1"/>
  <c r="BA188" i="20" s="1"/>
  <c r="T8" i="18"/>
  <c r="T9" i="18"/>
  <c r="T10" i="18"/>
  <c r="T11" i="18"/>
  <c r="T12" i="18"/>
  <c r="T13" i="18"/>
  <c r="T14" i="18"/>
  <c r="T15" i="18"/>
  <c r="T16" i="18"/>
  <c r="T17" i="18"/>
  <c r="T18" i="18"/>
  <c r="T19" i="18"/>
  <c r="T20" i="18"/>
  <c r="T21" i="18"/>
  <c r="T22" i="18"/>
  <c r="T23" i="18"/>
  <c r="T24" i="18"/>
  <c r="T25" i="18"/>
  <c r="T26" i="18"/>
  <c r="T27" i="18"/>
  <c r="T28" i="18"/>
  <c r="T29" i="18"/>
  <c r="T30" i="18"/>
  <c r="T31" i="18"/>
  <c r="T32" i="18"/>
  <c r="T33" i="18"/>
  <c r="T34" i="18"/>
  <c r="T35" i="18"/>
  <c r="T36" i="18"/>
  <c r="T37" i="18"/>
  <c r="T38" i="18"/>
  <c r="T39" i="18"/>
  <c r="T40" i="18"/>
  <c r="T41" i="18"/>
  <c r="T42" i="18"/>
  <c r="T43" i="18"/>
  <c r="T44" i="18"/>
  <c r="T45" i="18"/>
  <c r="T46" i="18"/>
  <c r="T47" i="18"/>
  <c r="T48" i="18"/>
  <c r="T49" i="18"/>
  <c r="T50" i="18"/>
  <c r="T51" i="18"/>
  <c r="T52" i="18"/>
  <c r="T53" i="18"/>
  <c r="T54" i="18"/>
  <c r="T55" i="18"/>
  <c r="T56" i="18"/>
  <c r="T57" i="18"/>
  <c r="T58" i="18"/>
  <c r="T59" i="18"/>
  <c r="T60" i="18"/>
  <c r="T61" i="18"/>
  <c r="T62" i="18"/>
  <c r="T63" i="18"/>
  <c r="T64" i="18"/>
  <c r="T65" i="18"/>
  <c r="T66" i="18"/>
  <c r="T67" i="18"/>
  <c r="T68" i="18"/>
  <c r="T69" i="18"/>
  <c r="T70" i="18"/>
  <c r="T71" i="18"/>
  <c r="T72" i="18"/>
  <c r="T73" i="18"/>
  <c r="T74" i="18"/>
  <c r="T75" i="18"/>
  <c r="T76" i="18"/>
  <c r="T77" i="18"/>
  <c r="T78" i="18"/>
  <c r="T79" i="18"/>
  <c r="T80" i="18"/>
  <c r="T81" i="18"/>
  <c r="T82" i="18"/>
  <c r="T83" i="18"/>
  <c r="T84" i="18"/>
  <c r="T85" i="18"/>
  <c r="T86" i="18"/>
  <c r="T87" i="18"/>
  <c r="T88" i="18"/>
  <c r="T89" i="18"/>
  <c r="T90" i="18"/>
  <c r="T91" i="18"/>
  <c r="T92" i="18"/>
  <c r="T93" i="18"/>
  <c r="T94" i="18"/>
  <c r="T95" i="18"/>
  <c r="T96" i="18"/>
  <c r="T97" i="18"/>
  <c r="T98" i="18"/>
  <c r="T99" i="18"/>
  <c r="T100" i="18"/>
  <c r="T101" i="18"/>
  <c r="T102" i="18"/>
  <c r="T103" i="18"/>
  <c r="T104" i="18"/>
  <c r="T105" i="18"/>
  <c r="T106" i="18"/>
  <c r="T107" i="18"/>
  <c r="T108" i="18"/>
  <c r="T109" i="18"/>
  <c r="T110" i="18"/>
  <c r="T111" i="18"/>
  <c r="T112" i="18"/>
  <c r="T113" i="18"/>
  <c r="T114" i="18"/>
  <c r="T115" i="18"/>
  <c r="T116" i="18"/>
  <c r="T117" i="18"/>
  <c r="T118" i="18"/>
  <c r="T119" i="18"/>
  <c r="T120" i="18"/>
  <c r="T121" i="18"/>
  <c r="T122" i="18"/>
  <c r="T123" i="18"/>
  <c r="T124" i="18"/>
  <c r="T125" i="18"/>
  <c r="T126" i="18"/>
  <c r="T127" i="18"/>
  <c r="T128" i="18"/>
  <c r="T129" i="18"/>
  <c r="T130" i="18"/>
  <c r="T131" i="18"/>
  <c r="T132" i="18"/>
  <c r="T133" i="18"/>
  <c r="T134" i="18"/>
  <c r="T135" i="18"/>
  <c r="T136" i="18"/>
  <c r="T137" i="18"/>
  <c r="T138" i="18"/>
  <c r="T139" i="18"/>
  <c r="T140" i="18"/>
  <c r="T141" i="18"/>
  <c r="T142" i="18"/>
  <c r="T143" i="18"/>
  <c r="T144" i="18"/>
  <c r="T145" i="18"/>
  <c r="T146" i="18"/>
  <c r="T147" i="18"/>
  <c r="T148" i="18"/>
  <c r="T149" i="18"/>
  <c r="T150" i="18"/>
  <c r="T151" i="18"/>
  <c r="T152" i="18"/>
  <c r="T153" i="18"/>
  <c r="T154" i="18"/>
  <c r="T155" i="18"/>
  <c r="T156" i="18"/>
  <c r="T157" i="18"/>
  <c r="T158" i="18"/>
  <c r="T159" i="18"/>
  <c r="T160" i="18"/>
  <c r="T161" i="18"/>
  <c r="T162" i="18"/>
  <c r="T163" i="18"/>
  <c r="T164" i="18"/>
  <c r="T165" i="18"/>
  <c r="T166" i="18"/>
  <c r="T167" i="18"/>
  <c r="T168" i="18"/>
  <c r="T169" i="18"/>
  <c r="T170" i="18"/>
  <c r="T7" i="18"/>
  <c r="AU163" i="20" l="1"/>
  <c r="AU166" i="20"/>
  <c r="AU168" i="20"/>
  <c r="AU169" i="20"/>
  <c r="AU173" i="20"/>
  <c r="AU174" i="20"/>
  <c r="AU175" i="20"/>
  <c r="AU177" i="20"/>
  <c r="AU178" i="20"/>
  <c r="AU183" i="20"/>
  <c r="AU184" i="20"/>
  <c r="AU185" i="20"/>
  <c r="AU8" i="20"/>
  <c r="AU9" i="20"/>
  <c r="AU11" i="20"/>
  <c r="AU12" i="20"/>
  <c r="AU14" i="20"/>
  <c r="AU17" i="20"/>
  <c r="AU18" i="20"/>
  <c r="AU19" i="20"/>
  <c r="AU20" i="20"/>
  <c r="AU21" i="20"/>
  <c r="AU22" i="20"/>
  <c r="AU23" i="20"/>
  <c r="AU24" i="20"/>
  <c r="AU25" i="20"/>
  <c r="AU26" i="20"/>
  <c r="AU27" i="20"/>
  <c r="AU28" i="20"/>
  <c r="AU29" i="20"/>
  <c r="AU30" i="20"/>
  <c r="AU31" i="20"/>
  <c r="AU32" i="20"/>
  <c r="AU33" i="20"/>
  <c r="AU34" i="20"/>
  <c r="AU35" i="20"/>
  <c r="AU36" i="20"/>
  <c r="AU37" i="20"/>
  <c r="AU38" i="20"/>
  <c r="AU39" i="20"/>
  <c r="AU40" i="20"/>
  <c r="AU41" i="20"/>
  <c r="AU42" i="20"/>
  <c r="AU43" i="20"/>
  <c r="AU44" i="20"/>
  <c r="AU45" i="20"/>
  <c r="AU46" i="20"/>
  <c r="AU47" i="20"/>
  <c r="AU159" i="20"/>
  <c r="AU162" i="20"/>
  <c r="AU167" i="20"/>
  <c r="AU170" i="20"/>
  <c r="AU171" i="20"/>
  <c r="AU176" i="20"/>
  <c r="AU179" i="20"/>
  <c r="AU180" i="20"/>
  <c r="AU181" i="20"/>
  <c r="AU182" i="20"/>
  <c r="AU13" i="20"/>
  <c r="AU15" i="20"/>
  <c r="AU16" i="20"/>
  <c r="AU48" i="20"/>
  <c r="AU49" i="20"/>
  <c r="AU50" i="20"/>
  <c r="AU51" i="20"/>
  <c r="AU52" i="20"/>
  <c r="AU53" i="20"/>
  <c r="AU54" i="20"/>
  <c r="AU55" i="20"/>
  <c r="AU56" i="20"/>
  <c r="AU57" i="20"/>
  <c r="AU58" i="20"/>
  <c r="AU59" i="20"/>
  <c r="AU60" i="20"/>
  <c r="AU61" i="20"/>
  <c r="AU62" i="20"/>
  <c r="AU64" i="20"/>
  <c r="AU65" i="20"/>
  <c r="AU66" i="20"/>
  <c r="AU67" i="20"/>
  <c r="AU68" i="20"/>
  <c r="AU69" i="20"/>
  <c r="AU70" i="20"/>
  <c r="AU71" i="20"/>
  <c r="AU72" i="20"/>
  <c r="AU73" i="20"/>
  <c r="AU74" i="20"/>
  <c r="AU75" i="20"/>
  <c r="AU160" i="20"/>
  <c r="AU172" i="20"/>
  <c r="AU7" i="20"/>
  <c r="AU10" i="20"/>
  <c r="AU76" i="20"/>
  <c r="AU77" i="20"/>
  <c r="AU78" i="20"/>
  <c r="AU79" i="20"/>
  <c r="AU80" i="20"/>
  <c r="AU81" i="20"/>
  <c r="AU82" i="20"/>
  <c r="AU83" i="20"/>
  <c r="AU84" i="20"/>
  <c r="AU85" i="20"/>
  <c r="AU86" i="20"/>
  <c r="AU87" i="20"/>
  <c r="AU88" i="20"/>
  <c r="AU89" i="20"/>
  <c r="AU90" i="20"/>
  <c r="AU91" i="20"/>
  <c r="AU92" i="20"/>
  <c r="AU93" i="20"/>
  <c r="AU94" i="20"/>
  <c r="AU95" i="20"/>
  <c r="AU96" i="20"/>
  <c r="AU97" i="20"/>
  <c r="AU98" i="20"/>
  <c r="AU99" i="20"/>
  <c r="AU100" i="20"/>
  <c r="AU101" i="20"/>
  <c r="AU102" i="20"/>
  <c r="AU103" i="20"/>
  <c r="AU161" i="20"/>
  <c r="AU164" i="20"/>
  <c r="AU165" i="20"/>
  <c r="AU104" i="20"/>
  <c r="AU105" i="20"/>
  <c r="AU106" i="20"/>
  <c r="AU107" i="20"/>
  <c r="AU108" i="20"/>
  <c r="AU109" i="20"/>
  <c r="AU110" i="20"/>
  <c r="AU111" i="20"/>
  <c r="AU112" i="20"/>
  <c r="AU113" i="20"/>
  <c r="AU114" i="20"/>
  <c r="AU115" i="20"/>
  <c r="AU116" i="20"/>
  <c r="AU117" i="20"/>
  <c r="AU118" i="20"/>
  <c r="AU119" i="20"/>
  <c r="AU120" i="20"/>
  <c r="AU121" i="20"/>
  <c r="AU122" i="20"/>
  <c r="AU123" i="20"/>
  <c r="AU124" i="20"/>
  <c r="AU125" i="20"/>
  <c r="AU126" i="20"/>
  <c r="AU127" i="20"/>
  <c r="AU128" i="20"/>
  <c r="AU129" i="20"/>
  <c r="AU130" i="20"/>
  <c r="AU131" i="20"/>
  <c r="AU132" i="20"/>
  <c r="AU133" i="20"/>
  <c r="AU134" i="20"/>
  <c r="AU135" i="20"/>
  <c r="AU136" i="20"/>
  <c r="AU137" i="20"/>
  <c r="AU138" i="20"/>
  <c r="AU139" i="20"/>
  <c r="AU140" i="20"/>
  <c r="AU141" i="20"/>
  <c r="AU142" i="20"/>
  <c r="AU143" i="20"/>
  <c r="AU144" i="20"/>
  <c r="AU145" i="20"/>
  <c r="AU146" i="20"/>
  <c r="AU147" i="20"/>
  <c r="AU148" i="20"/>
  <c r="AU149" i="20"/>
  <c r="AU150" i="20"/>
  <c r="AU151" i="20"/>
  <c r="AU152" i="20"/>
  <c r="AU153" i="20"/>
  <c r="AU154" i="20"/>
  <c r="AU155" i="20"/>
  <c r="AU156" i="20"/>
  <c r="AU157" i="20"/>
  <c r="AU158" i="20"/>
  <c r="AU63" i="20"/>
  <c r="G170" i="18"/>
  <c r="E170" i="18"/>
  <c r="O170" i="18" s="1"/>
  <c r="G169" i="18"/>
  <c r="J169" i="18" s="1"/>
  <c r="E169" i="18"/>
  <c r="O169" i="18" s="1"/>
  <c r="G168" i="18"/>
  <c r="J168" i="18" s="1"/>
  <c r="E168" i="18"/>
  <c r="G167" i="18"/>
  <c r="J167" i="18" s="1"/>
  <c r="E167" i="18"/>
  <c r="O167" i="18" s="1"/>
  <c r="G166" i="18"/>
  <c r="E166" i="18"/>
  <c r="O166" i="18" s="1"/>
  <c r="G165" i="18"/>
  <c r="J165" i="18" s="1"/>
  <c r="E165" i="18"/>
  <c r="O165" i="18" s="1"/>
  <c r="G164" i="18"/>
  <c r="E164" i="18"/>
  <c r="O164" i="18" s="1"/>
  <c r="G163" i="18"/>
  <c r="J163" i="18" s="1"/>
  <c r="E163" i="18"/>
  <c r="G162" i="18"/>
  <c r="E162" i="18"/>
  <c r="O162" i="18" s="1"/>
  <c r="G161" i="18"/>
  <c r="J161" i="18" s="1"/>
  <c r="E161" i="18"/>
  <c r="O161" i="18" s="1"/>
  <c r="G160" i="18"/>
  <c r="J160" i="18" s="1"/>
  <c r="E160" i="18"/>
  <c r="G159" i="18"/>
  <c r="J159" i="18" s="1"/>
  <c r="E159" i="18"/>
  <c r="O159" i="18" s="1"/>
  <c r="G158" i="18"/>
  <c r="E158" i="18"/>
  <c r="O158" i="18" s="1"/>
  <c r="G157" i="18"/>
  <c r="J157" i="18" s="1"/>
  <c r="E157" i="18"/>
  <c r="O157" i="18" s="1"/>
  <c r="G156" i="18"/>
  <c r="J156" i="18" s="1"/>
  <c r="E156" i="18"/>
  <c r="O156" i="18" s="1"/>
  <c r="G155" i="18"/>
  <c r="J155" i="18" s="1"/>
  <c r="E155" i="18"/>
  <c r="O155" i="18" s="1"/>
  <c r="G154" i="18"/>
  <c r="E154" i="18"/>
  <c r="O154" i="18" s="1"/>
  <c r="G153" i="18"/>
  <c r="J153" i="18" s="1"/>
  <c r="E153" i="18"/>
  <c r="O153" i="18" s="1"/>
  <c r="G152" i="18"/>
  <c r="J152" i="18" s="1"/>
  <c r="E152" i="18"/>
  <c r="G151" i="18"/>
  <c r="E151" i="18"/>
  <c r="O151" i="18" s="1"/>
  <c r="G150" i="18"/>
  <c r="J150" i="18" s="1"/>
  <c r="E150" i="18"/>
  <c r="O150" i="18" s="1"/>
  <c r="G149" i="18"/>
  <c r="J149" i="18" s="1"/>
  <c r="E149" i="18"/>
  <c r="O149" i="18" s="1"/>
  <c r="G148" i="18"/>
  <c r="J148" i="18" s="1"/>
  <c r="E148" i="18"/>
  <c r="O148" i="18" s="1"/>
  <c r="G147" i="18"/>
  <c r="E147" i="18"/>
  <c r="O147" i="18" s="1"/>
  <c r="G146" i="18"/>
  <c r="E146" i="18"/>
  <c r="O146" i="18" s="1"/>
  <c r="G145" i="18"/>
  <c r="J145" i="18" s="1"/>
  <c r="E145" i="18"/>
  <c r="O145" i="18" s="1"/>
  <c r="G144" i="18"/>
  <c r="J144" i="18" s="1"/>
  <c r="E144" i="18"/>
  <c r="O144" i="18" s="1"/>
  <c r="G143" i="18"/>
  <c r="E143" i="18"/>
  <c r="O143" i="18" s="1"/>
  <c r="G142" i="18"/>
  <c r="E142" i="18"/>
  <c r="O142" i="18" s="1"/>
  <c r="G141" i="18"/>
  <c r="E141" i="18"/>
  <c r="O141" i="18" s="1"/>
  <c r="G140" i="18"/>
  <c r="E140" i="18"/>
  <c r="O140" i="18" s="1"/>
  <c r="G139" i="18"/>
  <c r="J139" i="18" s="1"/>
  <c r="E139" i="18"/>
  <c r="O139" i="18" s="1"/>
  <c r="G138" i="18"/>
  <c r="E138" i="18"/>
  <c r="O138" i="18" s="1"/>
  <c r="G137" i="18"/>
  <c r="J137" i="18" s="1"/>
  <c r="E137" i="18"/>
  <c r="O137" i="18" s="1"/>
  <c r="G136" i="18"/>
  <c r="J136" i="18" s="1"/>
  <c r="E136" i="18"/>
  <c r="G135" i="18"/>
  <c r="E135" i="18"/>
  <c r="O135" i="18" s="1"/>
  <c r="G134" i="18"/>
  <c r="E134" i="18"/>
  <c r="O134" i="18" s="1"/>
  <c r="G133" i="18"/>
  <c r="J133" i="18" s="1"/>
  <c r="E133" i="18"/>
  <c r="O133" i="18" s="1"/>
  <c r="G132" i="18"/>
  <c r="J132" i="18" s="1"/>
  <c r="E132" i="18"/>
  <c r="O132" i="18" s="1"/>
  <c r="G131" i="18"/>
  <c r="J131" i="18" s="1"/>
  <c r="E131" i="18"/>
  <c r="G130" i="18"/>
  <c r="E130" i="18"/>
  <c r="O130" i="18" s="1"/>
  <c r="G129" i="18"/>
  <c r="E129" i="18"/>
  <c r="O129" i="18" s="1"/>
  <c r="G128" i="18"/>
  <c r="J128" i="18" s="1"/>
  <c r="E128" i="18"/>
  <c r="O128" i="18" s="1"/>
  <c r="G127" i="18"/>
  <c r="E127" i="18"/>
  <c r="O127" i="18" s="1"/>
  <c r="G126" i="18"/>
  <c r="J126" i="18" s="1"/>
  <c r="E126" i="18"/>
  <c r="O126" i="18" s="1"/>
  <c r="G125" i="18"/>
  <c r="E125" i="18"/>
  <c r="O125" i="18" s="1"/>
  <c r="G124" i="18"/>
  <c r="E124" i="18"/>
  <c r="O124" i="18" s="1"/>
  <c r="G123" i="18"/>
  <c r="E123" i="18"/>
  <c r="O123" i="18" s="1"/>
  <c r="G122" i="18"/>
  <c r="J122" i="18" s="1"/>
  <c r="E122" i="18"/>
  <c r="G121" i="18"/>
  <c r="E121" i="18"/>
  <c r="O121" i="18" s="1"/>
  <c r="G120" i="18"/>
  <c r="J120" i="18" s="1"/>
  <c r="E120" i="18"/>
  <c r="G119" i="18"/>
  <c r="J119" i="18" s="1"/>
  <c r="E119" i="18"/>
  <c r="G118" i="18"/>
  <c r="J118" i="18" s="1"/>
  <c r="E118" i="18"/>
  <c r="G117" i="18"/>
  <c r="E117" i="18"/>
  <c r="O117" i="18" s="1"/>
  <c r="G116" i="18"/>
  <c r="J116" i="18" s="1"/>
  <c r="E116" i="18"/>
  <c r="O116" i="18" s="1"/>
  <c r="G115" i="18"/>
  <c r="J115" i="18" s="1"/>
  <c r="E115" i="18"/>
  <c r="O115" i="18" s="1"/>
  <c r="G114" i="18"/>
  <c r="J114" i="18" s="1"/>
  <c r="E114" i="18"/>
  <c r="O114" i="18" s="1"/>
  <c r="G113" i="18"/>
  <c r="E113" i="18"/>
  <c r="O113" i="18" s="1"/>
  <c r="G112" i="18"/>
  <c r="J112" i="18" s="1"/>
  <c r="E112" i="18"/>
  <c r="O112" i="18" s="1"/>
  <c r="G111" i="18"/>
  <c r="E111" i="18"/>
  <c r="O111" i="18" s="1"/>
  <c r="G110" i="18"/>
  <c r="J110" i="18" s="1"/>
  <c r="E110" i="18"/>
  <c r="O110" i="18" s="1"/>
  <c r="G109" i="18"/>
  <c r="E109" i="18"/>
  <c r="O109" i="18" s="1"/>
  <c r="G108" i="18"/>
  <c r="E108" i="18"/>
  <c r="O108" i="18" s="1"/>
  <c r="G107" i="18"/>
  <c r="E107" i="18"/>
  <c r="O107" i="18" s="1"/>
  <c r="G106" i="18"/>
  <c r="J106" i="18" s="1"/>
  <c r="E106" i="18"/>
  <c r="O106" i="18" s="1"/>
  <c r="G105" i="18"/>
  <c r="E105" i="18"/>
  <c r="O105" i="18" s="1"/>
  <c r="G104" i="18"/>
  <c r="J104" i="18" s="1"/>
  <c r="E104" i="18"/>
  <c r="G103" i="18"/>
  <c r="E103" i="18"/>
  <c r="O103" i="18" s="1"/>
  <c r="G102" i="18"/>
  <c r="J102" i="18" s="1"/>
  <c r="E102" i="18"/>
  <c r="O102" i="18" s="1"/>
  <c r="G101" i="18"/>
  <c r="J101" i="18" s="1"/>
  <c r="E101" i="18"/>
  <c r="O101" i="18" s="1"/>
  <c r="G100" i="18"/>
  <c r="J100" i="18" s="1"/>
  <c r="E100" i="18"/>
  <c r="O100" i="18" s="1"/>
  <c r="G99" i="18"/>
  <c r="E99" i="18"/>
  <c r="O99" i="18" s="1"/>
  <c r="G98" i="18"/>
  <c r="J98" i="18" s="1"/>
  <c r="E98" i="18"/>
  <c r="O98" i="18" s="1"/>
  <c r="G97" i="18"/>
  <c r="J97" i="18" s="1"/>
  <c r="E97" i="18"/>
  <c r="O97" i="18" s="1"/>
  <c r="G96" i="18"/>
  <c r="J96" i="18" s="1"/>
  <c r="E96" i="18"/>
  <c r="O96" i="18" s="1"/>
  <c r="G95" i="18"/>
  <c r="J95" i="18" s="1"/>
  <c r="E95" i="18"/>
  <c r="O95" i="18" s="1"/>
  <c r="G94" i="18"/>
  <c r="J94" i="18" s="1"/>
  <c r="E94" i="18"/>
  <c r="O94" i="18" s="1"/>
  <c r="G93" i="18"/>
  <c r="J93" i="18" s="1"/>
  <c r="E93" i="18"/>
  <c r="O93" i="18" s="1"/>
  <c r="G92" i="18"/>
  <c r="E92" i="18"/>
  <c r="O92" i="18" s="1"/>
  <c r="G91" i="18"/>
  <c r="J91" i="18" s="1"/>
  <c r="E91" i="18"/>
  <c r="O91" i="18" s="1"/>
  <c r="G90" i="18"/>
  <c r="E90" i="18"/>
  <c r="O90" i="18" s="1"/>
  <c r="G89" i="18"/>
  <c r="J89" i="18" s="1"/>
  <c r="E89" i="18"/>
  <c r="G88" i="18"/>
  <c r="J88" i="18" s="1"/>
  <c r="E88" i="18"/>
  <c r="O88" i="18" s="1"/>
  <c r="G87" i="18"/>
  <c r="J87" i="18" s="1"/>
  <c r="E87" i="18"/>
  <c r="O87" i="18" s="1"/>
  <c r="G86" i="18"/>
  <c r="E86" i="18"/>
  <c r="O86" i="18" s="1"/>
  <c r="G85" i="18"/>
  <c r="J85" i="18" s="1"/>
  <c r="E85" i="18"/>
  <c r="O85" i="18" s="1"/>
  <c r="G84" i="18"/>
  <c r="J84" i="18" s="1"/>
  <c r="E84" i="18"/>
  <c r="O84" i="18" s="1"/>
  <c r="G83" i="18"/>
  <c r="E83" i="18"/>
  <c r="O83" i="18" s="1"/>
  <c r="G82" i="18"/>
  <c r="J82" i="18" s="1"/>
  <c r="E82" i="18"/>
  <c r="O82" i="18" s="1"/>
  <c r="G81" i="18"/>
  <c r="J81" i="18" s="1"/>
  <c r="E81" i="18"/>
  <c r="O81" i="18" s="1"/>
  <c r="G80" i="18"/>
  <c r="E80" i="18"/>
  <c r="O80" i="18" s="1"/>
  <c r="G79" i="18"/>
  <c r="J79" i="18" s="1"/>
  <c r="E79" i="18"/>
  <c r="O79" i="18" s="1"/>
  <c r="G78" i="18"/>
  <c r="E78" i="18"/>
  <c r="O78" i="18" s="1"/>
  <c r="G77" i="18"/>
  <c r="J77" i="18" s="1"/>
  <c r="E77" i="18"/>
  <c r="O77" i="18" s="1"/>
  <c r="G76" i="18"/>
  <c r="J76" i="18" s="1"/>
  <c r="E76" i="18"/>
  <c r="O76" i="18" s="1"/>
  <c r="G75" i="18"/>
  <c r="E75" i="18"/>
  <c r="O75" i="18" s="1"/>
  <c r="G74" i="18"/>
  <c r="E74" i="18"/>
  <c r="O74" i="18" s="1"/>
  <c r="G73" i="18"/>
  <c r="J73" i="18" s="1"/>
  <c r="E73" i="18"/>
  <c r="O73" i="18" s="1"/>
  <c r="G72" i="18"/>
  <c r="E72" i="18"/>
  <c r="O72" i="18" s="1"/>
  <c r="G71" i="18"/>
  <c r="J71" i="18" s="1"/>
  <c r="E71" i="18"/>
  <c r="O71" i="18" s="1"/>
  <c r="G70" i="18"/>
  <c r="E70" i="18"/>
  <c r="O70" i="18" s="1"/>
  <c r="G69" i="18"/>
  <c r="J69" i="18" s="1"/>
  <c r="E69" i="18"/>
  <c r="O69" i="18" s="1"/>
  <c r="G68" i="18"/>
  <c r="J68" i="18" s="1"/>
  <c r="E68" i="18"/>
  <c r="O68" i="18" s="1"/>
  <c r="G67" i="18"/>
  <c r="E67" i="18"/>
  <c r="O67" i="18" s="1"/>
  <c r="G66" i="18"/>
  <c r="E66" i="18"/>
  <c r="O66" i="18" s="1"/>
  <c r="G65" i="18"/>
  <c r="J65" i="18" s="1"/>
  <c r="E65" i="18"/>
  <c r="O65" i="18" s="1"/>
  <c r="G64" i="18"/>
  <c r="E64" i="18"/>
  <c r="O64" i="18" s="1"/>
  <c r="G63" i="18"/>
  <c r="J63" i="18" s="1"/>
  <c r="E63" i="18"/>
  <c r="O63" i="18" s="1"/>
  <c r="G62" i="18"/>
  <c r="J62" i="18" s="1"/>
  <c r="E62" i="18"/>
  <c r="O62" i="18" s="1"/>
  <c r="G61" i="18"/>
  <c r="E61" i="18"/>
  <c r="O61" i="18" s="1"/>
  <c r="G60" i="18"/>
  <c r="J60" i="18" s="1"/>
  <c r="E60" i="18"/>
  <c r="O60" i="18" s="1"/>
  <c r="G59" i="18"/>
  <c r="J59" i="18" s="1"/>
  <c r="E59" i="18"/>
  <c r="O59" i="18" s="1"/>
  <c r="G58" i="18"/>
  <c r="J58" i="18" s="1"/>
  <c r="E58" i="18"/>
  <c r="O58" i="18" s="1"/>
  <c r="G57" i="18"/>
  <c r="J57" i="18" s="1"/>
  <c r="E57" i="18"/>
  <c r="G56" i="18"/>
  <c r="E56" i="18"/>
  <c r="O56" i="18" s="1"/>
  <c r="G55" i="18"/>
  <c r="J55" i="18" s="1"/>
  <c r="E55" i="18"/>
  <c r="O55" i="18" s="1"/>
  <c r="G54" i="18"/>
  <c r="J54" i="18" s="1"/>
  <c r="E54" i="18"/>
  <c r="O54" i="18" s="1"/>
  <c r="G53" i="18"/>
  <c r="E53" i="18"/>
  <c r="O53" i="18" s="1"/>
  <c r="G52" i="18"/>
  <c r="J52" i="18" s="1"/>
  <c r="E52" i="18"/>
  <c r="O52" i="18" s="1"/>
  <c r="G51" i="18"/>
  <c r="E51" i="18"/>
  <c r="O51" i="18" s="1"/>
  <c r="G50" i="18"/>
  <c r="J50" i="18" s="1"/>
  <c r="E50" i="18"/>
  <c r="O50" i="18" s="1"/>
  <c r="G49" i="18"/>
  <c r="J49" i="18" s="1"/>
  <c r="E49" i="18"/>
  <c r="O49" i="18" s="1"/>
  <c r="G48" i="18"/>
  <c r="E48" i="18"/>
  <c r="O48" i="18" s="1"/>
  <c r="G47" i="18"/>
  <c r="J47" i="18" s="1"/>
  <c r="E47" i="18"/>
  <c r="O47" i="18" s="1"/>
  <c r="G46" i="18"/>
  <c r="J46" i="18" s="1"/>
  <c r="E46" i="18"/>
  <c r="O46" i="18" s="1"/>
  <c r="G45" i="18"/>
  <c r="E45" i="18"/>
  <c r="O45" i="18" s="1"/>
  <c r="G44" i="18"/>
  <c r="J44" i="18" s="1"/>
  <c r="E44" i="18"/>
  <c r="O44" i="18" s="1"/>
  <c r="G43" i="18"/>
  <c r="E43" i="18"/>
  <c r="O43" i="18" s="1"/>
  <c r="G42" i="18"/>
  <c r="E42" i="18"/>
  <c r="O42" i="18" s="1"/>
  <c r="G41" i="18"/>
  <c r="E41" i="18"/>
  <c r="O41" i="18" s="1"/>
  <c r="G40" i="18"/>
  <c r="J40" i="18" s="1"/>
  <c r="E40" i="18"/>
  <c r="O40" i="18" s="1"/>
  <c r="G39" i="18"/>
  <c r="J39" i="18" s="1"/>
  <c r="E39" i="18"/>
  <c r="O39" i="18" s="1"/>
  <c r="G38" i="18"/>
  <c r="E38" i="18"/>
  <c r="O38" i="18" s="1"/>
  <c r="G37" i="18"/>
  <c r="J37" i="18" s="1"/>
  <c r="E37" i="18"/>
  <c r="O37" i="18" s="1"/>
  <c r="G36" i="18"/>
  <c r="J36" i="18" s="1"/>
  <c r="E36" i="18"/>
  <c r="O36" i="18" s="1"/>
  <c r="G35" i="18"/>
  <c r="E35" i="18"/>
  <c r="O35" i="18" s="1"/>
  <c r="G34" i="18"/>
  <c r="E34" i="18"/>
  <c r="O34" i="18" s="1"/>
  <c r="G33" i="18"/>
  <c r="J33" i="18" s="1"/>
  <c r="E33" i="18"/>
  <c r="O33" i="18" s="1"/>
  <c r="G32" i="18"/>
  <c r="J32" i="18" s="1"/>
  <c r="E32" i="18"/>
  <c r="O32" i="18" s="1"/>
  <c r="G31" i="18"/>
  <c r="J31" i="18" s="1"/>
  <c r="E31" i="18"/>
  <c r="O31" i="18" s="1"/>
  <c r="G30" i="18"/>
  <c r="E30" i="18"/>
  <c r="O30" i="18" s="1"/>
  <c r="G29" i="18"/>
  <c r="J29" i="18" s="1"/>
  <c r="E29" i="18"/>
  <c r="O29" i="18" s="1"/>
  <c r="G28" i="18"/>
  <c r="J28" i="18" s="1"/>
  <c r="E28" i="18"/>
  <c r="O28" i="18" s="1"/>
  <c r="G27" i="18"/>
  <c r="J27" i="18" s="1"/>
  <c r="E27" i="18"/>
  <c r="O27" i="18" s="1"/>
  <c r="G26" i="18"/>
  <c r="J26" i="18" s="1"/>
  <c r="E26" i="18"/>
  <c r="O26" i="18" s="1"/>
  <c r="G25" i="18"/>
  <c r="J25" i="18" s="1"/>
  <c r="E25" i="18"/>
  <c r="O25" i="18" s="1"/>
  <c r="G24" i="18"/>
  <c r="J24" i="18" s="1"/>
  <c r="E24" i="18"/>
  <c r="O24" i="18" s="1"/>
  <c r="G23" i="18"/>
  <c r="J23" i="18" s="1"/>
  <c r="E23" i="18"/>
  <c r="O23" i="18" s="1"/>
  <c r="G22" i="18"/>
  <c r="E22" i="18"/>
  <c r="O22" i="18" s="1"/>
  <c r="G21" i="18"/>
  <c r="J21" i="18" s="1"/>
  <c r="E21" i="18"/>
  <c r="O21" i="18" s="1"/>
  <c r="G20" i="18"/>
  <c r="E20" i="18"/>
  <c r="O20" i="18" s="1"/>
  <c r="G19" i="18"/>
  <c r="E19" i="18"/>
  <c r="O19" i="18" s="1"/>
  <c r="G18" i="18"/>
  <c r="J18" i="18" s="1"/>
  <c r="E18" i="18"/>
  <c r="O18" i="18" s="1"/>
  <c r="G17" i="18"/>
  <c r="E17" i="18"/>
  <c r="O17" i="18" s="1"/>
  <c r="G16" i="18"/>
  <c r="J16" i="18" s="1"/>
  <c r="E16" i="18"/>
  <c r="O16" i="18" s="1"/>
  <c r="G15" i="18"/>
  <c r="J15" i="18" s="1"/>
  <c r="E15" i="18"/>
  <c r="O15" i="18" s="1"/>
  <c r="G14" i="18"/>
  <c r="E14" i="18"/>
  <c r="O14" i="18" s="1"/>
  <c r="G13" i="18"/>
  <c r="J13" i="18" s="1"/>
  <c r="E13" i="18"/>
  <c r="O13" i="18" s="1"/>
  <c r="G12" i="18"/>
  <c r="J12" i="18" s="1"/>
  <c r="E12" i="18"/>
  <c r="O12" i="18" s="1"/>
  <c r="G11" i="18"/>
  <c r="J11" i="18" s="1"/>
  <c r="E11" i="18"/>
  <c r="O11" i="18" s="1"/>
  <c r="G10" i="18"/>
  <c r="J10" i="18" s="1"/>
  <c r="E10" i="18"/>
  <c r="O10" i="18" s="1"/>
  <c r="G9" i="18"/>
  <c r="E9" i="18"/>
  <c r="O9" i="18" s="1"/>
  <c r="G8" i="18"/>
  <c r="J8" i="18" s="1"/>
  <c r="E8" i="18"/>
  <c r="O8" i="18" s="1"/>
  <c r="G7" i="18"/>
  <c r="J7" i="18" s="1"/>
  <c r="E7" i="18"/>
  <c r="O7" i="18" s="1"/>
  <c r="BJ163" i="20" l="1"/>
  <c r="AY163" i="20"/>
  <c r="AV163" i="20"/>
  <c r="BJ166" i="20"/>
  <c r="AY166" i="20"/>
  <c r="AV166" i="20"/>
  <c r="BJ168" i="20"/>
  <c r="AV168" i="20"/>
  <c r="AY168" i="20"/>
  <c r="BJ169" i="20"/>
  <c r="AV169" i="20"/>
  <c r="AY169" i="20"/>
  <c r="BJ173" i="20"/>
  <c r="AV173" i="20"/>
  <c r="AY173" i="20"/>
  <c r="BJ174" i="20"/>
  <c r="AY174" i="20"/>
  <c r="AV174" i="20"/>
  <c r="BJ175" i="20"/>
  <c r="AY175" i="20"/>
  <c r="AV175" i="20"/>
  <c r="BJ177" i="20"/>
  <c r="AY177" i="20"/>
  <c r="AV177" i="20"/>
  <c r="BJ178" i="20"/>
  <c r="AV178" i="20"/>
  <c r="AY178" i="20"/>
  <c r="BJ183" i="20"/>
  <c r="AY183" i="20"/>
  <c r="AV183" i="20"/>
  <c r="BJ184" i="20"/>
  <c r="AY184" i="20"/>
  <c r="AV184" i="20"/>
  <c r="BJ185" i="20"/>
  <c r="AY185" i="20"/>
  <c r="AV185" i="20"/>
  <c r="BJ8" i="20"/>
  <c r="AY8" i="20"/>
  <c r="AV8" i="20"/>
  <c r="BJ9" i="20"/>
  <c r="AY9" i="20"/>
  <c r="AV9" i="20"/>
  <c r="BJ11" i="20"/>
  <c r="AY11" i="20"/>
  <c r="AV11" i="20"/>
  <c r="BJ12" i="20"/>
  <c r="AY12" i="20"/>
  <c r="AV12" i="20"/>
  <c r="AY14" i="20"/>
  <c r="AV14" i="20"/>
  <c r="AY17" i="20"/>
  <c r="AV17" i="20"/>
  <c r="AY18" i="20"/>
  <c r="AV18" i="20"/>
  <c r="AY19" i="20"/>
  <c r="AV19" i="20"/>
  <c r="AY20" i="20"/>
  <c r="AV20" i="20"/>
  <c r="BJ21" i="20"/>
  <c r="AY21" i="20"/>
  <c r="AV21" i="20"/>
  <c r="BJ22" i="20"/>
  <c r="AY22" i="20"/>
  <c r="AV22" i="20"/>
  <c r="BJ23" i="20"/>
  <c r="AV23" i="20"/>
  <c r="AY23" i="20"/>
  <c r="BJ24" i="20"/>
  <c r="AV24" i="20"/>
  <c r="AY24" i="20"/>
  <c r="BJ25" i="20"/>
  <c r="AY25" i="20"/>
  <c r="AV25" i="20"/>
  <c r="BJ26" i="20"/>
  <c r="AY26" i="20"/>
  <c r="AV26" i="20"/>
  <c r="BJ27" i="20"/>
  <c r="AY27" i="20"/>
  <c r="AV27" i="20"/>
  <c r="BJ28" i="20"/>
  <c r="AV28" i="20"/>
  <c r="AY28" i="20"/>
  <c r="BJ29" i="20"/>
  <c r="AV29" i="20"/>
  <c r="AY29" i="20"/>
  <c r="BJ30" i="20"/>
  <c r="AY30" i="20"/>
  <c r="AV30" i="20"/>
  <c r="BJ31" i="20"/>
  <c r="AV31" i="20"/>
  <c r="AY31" i="20"/>
  <c r="BJ32" i="20"/>
  <c r="AY32" i="20"/>
  <c r="AV32" i="20"/>
  <c r="BJ33" i="20"/>
  <c r="AY33" i="20"/>
  <c r="AV33" i="20"/>
  <c r="BJ34" i="20"/>
  <c r="AY34" i="20"/>
  <c r="AV34" i="20"/>
  <c r="BJ35" i="20"/>
  <c r="AY35" i="20"/>
  <c r="AV35" i="20"/>
  <c r="BJ36" i="20"/>
  <c r="AY36" i="20"/>
  <c r="AV36" i="20"/>
  <c r="BJ37" i="20"/>
  <c r="AY37" i="20"/>
  <c r="AV37" i="20"/>
  <c r="BJ38" i="20"/>
  <c r="AY38" i="20"/>
  <c r="AV38" i="20"/>
  <c r="BJ39" i="20"/>
  <c r="AY39" i="20"/>
  <c r="AV39" i="20"/>
  <c r="BJ40" i="20"/>
  <c r="AY40" i="20"/>
  <c r="AV40" i="20"/>
  <c r="BJ41" i="20"/>
  <c r="AY41" i="20"/>
  <c r="AV41" i="20"/>
  <c r="BJ42" i="20"/>
  <c r="AY42" i="20"/>
  <c r="AV42" i="20"/>
  <c r="BJ43" i="20"/>
  <c r="AY43" i="20"/>
  <c r="AV43" i="20"/>
  <c r="BJ44" i="20"/>
  <c r="AY44" i="20"/>
  <c r="AV44" i="20"/>
  <c r="BJ45" i="20"/>
  <c r="AY45" i="20"/>
  <c r="AV45" i="20"/>
  <c r="BJ46" i="20"/>
  <c r="AY46" i="20"/>
  <c r="AV46" i="20"/>
  <c r="BJ47" i="20"/>
  <c r="AY47" i="20"/>
  <c r="AV47" i="20"/>
  <c r="BJ159" i="20"/>
  <c r="AY159" i="20"/>
  <c r="AV159" i="20"/>
  <c r="BJ162" i="20"/>
  <c r="AV162" i="20"/>
  <c r="AY162" i="20"/>
  <c r="BJ167" i="20"/>
  <c r="AV167" i="20"/>
  <c r="AY167" i="20"/>
  <c r="BJ170" i="20"/>
  <c r="AV170" i="20"/>
  <c r="AY170" i="20"/>
  <c r="BJ171" i="20"/>
  <c r="AY171" i="20"/>
  <c r="AV171" i="20"/>
  <c r="BJ176" i="20"/>
  <c r="AY176" i="20"/>
  <c r="AV176" i="20"/>
  <c r="BJ179" i="20"/>
  <c r="AY179" i="20"/>
  <c r="AV179" i="20"/>
  <c r="BJ180" i="20"/>
  <c r="AY180" i="20"/>
  <c r="AV180" i="20"/>
  <c r="BJ181" i="20"/>
  <c r="AY181" i="20"/>
  <c r="AV181" i="20"/>
  <c r="BJ182" i="20"/>
  <c r="AY182" i="20"/>
  <c r="AV182" i="20"/>
  <c r="AY13" i="20"/>
  <c r="AV13" i="20"/>
  <c r="AY15" i="20"/>
  <c r="AV15" i="20"/>
  <c r="AY16" i="20"/>
  <c r="AV16" i="20"/>
  <c r="BJ48" i="20"/>
  <c r="AY48" i="20"/>
  <c r="AV48" i="20"/>
  <c r="BJ49" i="20"/>
  <c r="AY49" i="20"/>
  <c r="AV49" i="20"/>
  <c r="BJ50" i="20"/>
  <c r="AY50" i="20"/>
  <c r="AV50" i="20"/>
  <c r="BJ51" i="20"/>
  <c r="AY51" i="20"/>
  <c r="AV51" i="20"/>
  <c r="BJ52" i="20"/>
  <c r="AY52" i="20"/>
  <c r="AV52" i="20"/>
  <c r="BJ53" i="20"/>
  <c r="AY53" i="20"/>
  <c r="AV53" i="20"/>
  <c r="BJ54" i="20"/>
  <c r="AY54" i="20"/>
  <c r="AV54" i="20"/>
  <c r="BJ55" i="20"/>
  <c r="AY55" i="20"/>
  <c r="AV55" i="20"/>
  <c r="BJ56" i="20"/>
  <c r="AY56" i="20"/>
  <c r="AV56" i="20"/>
  <c r="BJ57" i="20"/>
  <c r="AY57" i="20"/>
  <c r="AV57" i="20"/>
  <c r="BJ58" i="20"/>
  <c r="AY58" i="20"/>
  <c r="AV58" i="20"/>
  <c r="BJ59" i="20"/>
  <c r="AY59" i="20"/>
  <c r="AV59" i="20"/>
  <c r="BJ60" i="20"/>
  <c r="AY60" i="20"/>
  <c r="AV60" i="20"/>
  <c r="BJ61" i="20"/>
  <c r="AY61" i="20"/>
  <c r="AV61" i="20"/>
  <c r="BJ62" i="20"/>
  <c r="AV62" i="20"/>
  <c r="AY62" i="20"/>
  <c r="BJ64" i="20"/>
  <c r="AV64" i="20"/>
  <c r="AY64" i="20"/>
  <c r="BJ65" i="20"/>
  <c r="AV65" i="20"/>
  <c r="AY65" i="20"/>
  <c r="BJ66" i="20"/>
  <c r="AY66" i="20"/>
  <c r="AV66" i="20"/>
  <c r="BJ67" i="20"/>
  <c r="AV67" i="20"/>
  <c r="AY67" i="20"/>
  <c r="BJ68" i="20"/>
  <c r="AY68" i="20"/>
  <c r="AV68" i="20"/>
  <c r="BJ69" i="20"/>
  <c r="AY69" i="20"/>
  <c r="AV69" i="20"/>
  <c r="BJ70" i="20"/>
  <c r="AV70" i="20"/>
  <c r="AY70" i="20"/>
  <c r="BJ71" i="20"/>
  <c r="AV71" i="20"/>
  <c r="AY71" i="20"/>
  <c r="BJ72" i="20"/>
  <c r="AV72" i="20"/>
  <c r="AY72" i="20"/>
  <c r="BJ73" i="20"/>
  <c r="AV73" i="20"/>
  <c r="AY73" i="20"/>
  <c r="BJ74" i="20"/>
  <c r="AV74" i="20"/>
  <c r="AY74" i="20"/>
  <c r="BJ75" i="20"/>
  <c r="AY75" i="20"/>
  <c r="AV75" i="20"/>
  <c r="BJ160" i="20"/>
  <c r="AY160" i="20"/>
  <c r="AV160" i="20"/>
  <c r="BJ172" i="20"/>
  <c r="AY172" i="20"/>
  <c r="AV172" i="20"/>
  <c r="BJ7" i="20"/>
  <c r="AY7" i="20"/>
  <c r="AV7" i="20"/>
  <c r="BJ10" i="20"/>
  <c r="AY10" i="20"/>
  <c r="AV10" i="20"/>
  <c r="BJ76" i="20"/>
  <c r="AV76" i="20"/>
  <c r="AY76" i="20"/>
  <c r="BJ77" i="20"/>
  <c r="AY77" i="20"/>
  <c r="AV77" i="20"/>
  <c r="BJ78" i="20"/>
  <c r="AY78" i="20"/>
  <c r="AV78" i="20"/>
  <c r="BJ79" i="20"/>
  <c r="AY79" i="20"/>
  <c r="AV79" i="20"/>
  <c r="BJ80" i="20"/>
  <c r="AY80" i="20"/>
  <c r="AV80" i="20"/>
  <c r="BJ81" i="20"/>
  <c r="AY81" i="20"/>
  <c r="AV81" i="20"/>
  <c r="BJ82" i="20"/>
  <c r="AY82" i="20"/>
  <c r="AV82" i="20"/>
  <c r="BJ83" i="20"/>
  <c r="AY83" i="20"/>
  <c r="AV83" i="20"/>
  <c r="BJ84" i="20"/>
  <c r="AY84" i="20"/>
  <c r="AV84" i="20"/>
  <c r="BJ85" i="20"/>
  <c r="AY85" i="20"/>
  <c r="AV85" i="20"/>
  <c r="BJ86" i="20"/>
  <c r="AY86" i="20"/>
  <c r="AV86" i="20"/>
  <c r="BJ87" i="20"/>
  <c r="AY87" i="20"/>
  <c r="AV87" i="20"/>
  <c r="BJ88" i="20"/>
  <c r="AY88" i="20"/>
  <c r="AV88" i="20"/>
  <c r="BJ89" i="20"/>
  <c r="AY89" i="20"/>
  <c r="AV89" i="20"/>
  <c r="BJ90" i="20"/>
  <c r="AY90" i="20"/>
  <c r="AV90" i="20"/>
  <c r="BJ91" i="20"/>
  <c r="AY91" i="20"/>
  <c r="AV91" i="20"/>
  <c r="BJ92" i="20"/>
  <c r="AY92" i="20"/>
  <c r="AV92" i="20"/>
  <c r="BJ93" i="20"/>
  <c r="AY93" i="20"/>
  <c r="AV93" i="20"/>
  <c r="BJ94" i="20"/>
  <c r="AY94" i="20"/>
  <c r="AV94" i="20"/>
  <c r="BJ95" i="20"/>
  <c r="AY95" i="20"/>
  <c r="AV95" i="20"/>
  <c r="BJ96" i="20"/>
  <c r="AY96" i="20"/>
  <c r="AV96" i="20"/>
  <c r="BJ97" i="20"/>
  <c r="AY97" i="20"/>
  <c r="AV97" i="20"/>
  <c r="BJ98" i="20"/>
  <c r="AY98" i="20"/>
  <c r="AV98" i="20"/>
  <c r="BJ99" i="20"/>
  <c r="AY99" i="20"/>
  <c r="AV99" i="20"/>
  <c r="BJ100" i="20"/>
  <c r="AY100" i="20"/>
  <c r="AV100" i="20"/>
  <c r="BJ101" i="20"/>
  <c r="AY101" i="20"/>
  <c r="AV101" i="20"/>
  <c r="BJ102" i="20"/>
  <c r="AY102" i="20"/>
  <c r="AV102" i="20"/>
  <c r="BJ103" i="20"/>
  <c r="AY103" i="20"/>
  <c r="AV103" i="20"/>
  <c r="BJ161" i="20"/>
  <c r="AY161" i="20"/>
  <c r="AV161" i="20"/>
  <c r="BJ164" i="20"/>
  <c r="AY164" i="20"/>
  <c r="AV164" i="20"/>
  <c r="BJ165" i="20"/>
  <c r="AY165" i="20"/>
  <c r="AV165" i="20"/>
  <c r="BJ104" i="20"/>
  <c r="BK104" i="20" s="1"/>
  <c r="AV104" i="20"/>
  <c r="BJ105" i="20"/>
  <c r="AY105" i="20"/>
  <c r="AV105" i="20"/>
  <c r="BJ106" i="20"/>
  <c r="AY106" i="20"/>
  <c r="AV106" i="20"/>
  <c r="BJ107" i="20"/>
  <c r="AY107" i="20"/>
  <c r="AV107" i="20"/>
  <c r="BJ108" i="20"/>
  <c r="AY108" i="20"/>
  <c r="AV108" i="20"/>
  <c r="BJ109" i="20"/>
  <c r="AY109" i="20"/>
  <c r="AV109" i="20"/>
  <c r="BJ110" i="20"/>
  <c r="AY110" i="20"/>
  <c r="AV110" i="20"/>
  <c r="BJ111" i="20"/>
  <c r="AY111" i="20"/>
  <c r="AV111" i="20"/>
  <c r="BJ112" i="20"/>
  <c r="AY112" i="20"/>
  <c r="AV112" i="20"/>
  <c r="BJ113" i="20"/>
  <c r="AY113" i="20"/>
  <c r="AV113" i="20"/>
  <c r="BJ114" i="20"/>
  <c r="AY114" i="20"/>
  <c r="AV114" i="20"/>
  <c r="BJ115" i="20"/>
  <c r="AY115" i="20"/>
  <c r="AV115" i="20"/>
  <c r="BJ116" i="20"/>
  <c r="AY116" i="20"/>
  <c r="AV116" i="20"/>
  <c r="BJ117" i="20"/>
  <c r="AY117" i="20"/>
  <c r="AV117" i="20"/>
  <c r="BJ118" i="20"/>
  <c r="AY118" i="20"/>
  <c r="AV118" i="20"/>
  <c r="BJ119" i="20"/>
  <c r="AY119" i="20"/>
  <c r="AV119" i="20"/>
  <c r="BJ120" i="20"/>
  <c r="AY120" i="20"/>
  <c r="AV120" i="20"/>
  <c r="BJ121" i="20"/>
  <c r="AY121" i="20"/>
  <c r="AV121" i="20"/>
  <c r="BJ122" i="20"/>
  <c r="AY122" i="20"/>
  <c r="AV122" i="20"/>
  <c r="BJ123" i="20"/>
  <c r="AY123" i="20"/>
  <c r="AV123" i="20"/>
  <c r="BJ124" i="20"/>
  <c r="AY124" i="20"/>
  <c r="AV124" i="20"/>
  <c r="BJ125" i="20"/>
  <c r="AY125" i="20"/>
  <c r="AV125" i="20"/>
  <c r="BJ126" i="20"/>
  <c r="AY126" i="20"/>
  <c r="AV126" i="20"/>
  <c r="BJ127" i="20"/>
  <c r="AY127" i="20"/>
  <c r="AV127" i="20"/>
  <c r="BJ128" i="20"/>
  <c r="AY128" i="20"/>
  <c r="AV128" i="20"/>
  <c r="BJ129" i="20"/>
  <c r="AY129" i="20"/>
  <c r="AV129" i="20"/>
  <c r="BJ130" i="20"/>
  <c r="AY130" i="20"/>
  <c r="AV130" i="20"/>
  <c r="BJ131" i="20"/>
  <c r="AY131" i="20"/>
  <c r="AV131" i="20"/>
  <c r="BJ132" i="20"/>
  <c r="BK132" i="20" s="1"/>
  <c r="AV132" i="20"/>
  <c r="BJ133" i="20"/>
  <c r="BK133" i="20" s="1"/>
  <c r="AV133" i="20"/>
  <c r="BJ134" i="20"/>
  <c r="AY134" i="20"/>
  <c r="AV134" i="20"/>
  <c r="BJ135" i="20"/>
  <c r="AY135" i="20"/>
  <c r="AV135" i="20"/>
  <c r="BJ136" i="20"/>
  <c r="AY136" i="20"/>
  <c r="AV136" i="20"/>
  <c r="BJ137" i="20"/>
  <c r="AY137" i="20"/>
  <c r="AV137" i="20"/>
  <c r="BJ138" i="20"/>
  <c r="AY138" i="20"/>
  <c r="AV138" i="20"/>
  <c r="BJ139" i="20"/>
  <c r="AY139" i="20"/>
  <c r="AV139" i="20"/>
  <c r="BJ140" i="20"/>
  <c r="AY140" i="20"/>
  <c r="AV140" i="20"/>
  <c r="BJ141" i="20"/>
  <c r="AY141" i="20"/>
  <c r="AV141" i="20"/>
  <c r="BJ142" i="20"/>
  <c r="AY142" i="20"/>
  <c r="AV142" i="20"/>
  <c r="BJ143" i="20"/>
  <c r="AY143" i="20"/>
  <c r="AV143" i="20"/>
  <c r="BJ144" i="20"/>
  <c r="AY144" i="20"/>
  <c r="AV144" i="20"/>
  <c r="BJ145" i="20"/>
  <c r="AY145" i="20"/>
  <c r="AV145" i="20"/>
  <c r="BJ146" i="20"/>
  <c r="AY146" i="20"/>
  <c r="AV146" i="20"/>
  <c r="BJ147" i="20"/>
  <c r="AY147" i="20"/>
  <c r="AV147" i="20"/>
  <c r="BJ148" i="20"/>
  <c r="AY148" i="20"/>
  <c r="AV148" i="20"/>
  <c r="BJ149" i="20"/>
  <c r="AY149" i="20"/>
  <c r="AV149" i="20"/>
  <c r="BJ150" i="20"/>
  <c r="AY150" i="20"/>
  <c r="AV150" i="20"/>
  <c r="BJ151" i="20"/>
  <c r="AY151" i="20"/>
  <c r="AV151" i="20"/>
  <c r="BJ152" i="20"/>
  <c r="AY152" i="20"/>
  <c r="AV152" i="20"/>
  <c r="BJ153" i="20"/>
  <c r="AY153" i="20"/>
  <c r="AV153" i="20"/>
  <c r="BJ154" i="20"/>
  <c r="AY154" i="20"/>
  <c r="AV154" i="20"/>
  <c r="BJ155" i="20"/>
  <c r="AY155" i="20"/>
  <c r="AV155" i="20"/>
  <c r="BJ156" i="20"/>
  <c r="AV156" i="20"/>
  <c r="AY156" i="20"/>
  <c r="BJ157" i="20"/>
  <c r="AV157" i="20"/>
  <c r="AY157" i="20"/>
  <c r="BJ158" i="20"/>
  <c r="AY158" i="20"/>
  <c r="AV158" i="20"/>
  <c r="BJ63" i="20"/>
  <c r="AV63" i="20"/>
  <c r="AY63" i="20"/>
  <c r="H99" i="18"/>
  <c r="K99" i="18" s="1"/>
  <c r="H57" i="18"/>
  <c r="K57" i="18" s="1"/>
  <c r="H43" i="18"/>
  <c r="K43" i="18" s="1"/>
  <c r="H136" i="18"/>
  <c r="K136" i="18" s="1"/>
  <c r="H160" i="18"/>
  <c r="K160" i="18" s="1"/>
  <c r="H126" i="18"/>
  <c r="K126" i="18" s="1"/>
  <c r="H149" i="18"/>
  <c r="K149" i="18" s="1"/>
  <c r="J43" i="18"/>
  <c r="H36" i="18"/>
  <c r="K36" i="18" s="1"/>
  <c r="H35" i="18"/>
  <c r="K35" i="18" s="1"/>
  <c r="H115" i="18"/>
  <c r="K115" i="18" s="1"/>
  <c r="H92" i="18"/>
  <c r="K92" i="18" s="1"/>
  <c r="H54" i="18"/>
  <c r="K54" i="18" s="1"/>
  <c r="H140" i="18"/>
  <c r="K140" i="18" s="1"/>
  <c r="H147" i="18"/>
  <c r="K147" i="18" s="1"/>
  <c r="J35" i="18"/>
  <c r="H113" i="18"/>
  <c r="K113" i="18" s="1"/>
  <c r="H125" i="18"/>
  <c r="K125" i="18" s="1"/>
  <c r="H138" i="18"/>
  <c r="K138" i="18" s="1"/>
  <c r="H117" i="18"/>
  <c r="K117" i="18" s="1"/>
  <c r="H81" i="18"/>
  <c r="K81" i="18" s="1"/>
  <c r="H104" i="18"/>
  <c r="K104" i="18" s="1"/>
  <c r="H144" i="18"/>
  <c r="K144" i="18" s="1"/>
  <c r="H53" i="18"/>
  <c r="K53" i="18" s="1"/>
  <c r="H42" i="18"/>
  <c r="K42" i="18" s="1"/>
  <c r="H108" i="18"/>
  <c r="K108" i="18" s="1"/>
  <c r="J113" i="18"/>
  <c r="J117" i="18"/>
  <c r="H127" i="18"/>
  <c r="K127" i="18" s="1"/>
  <c r="J138" i="18"/>
  <c r="J147" i="18"/>
  <c r="H106" i="18"/>
  <c r="K106" i="18" s="1"/>
  <c r="J127" i="18"/>
  <c r="H152" i="18"/>
  <c r="K152" i="18" s="1"/>
  <c r="H80" i="18"/>
  <c r="K80" i="18" s="1"/>
  <c r="H62" i="18"/>
  <c r="K62" i="18" s="1"/>
  <c r="H82" i="18"/>
  <c r="K82" i="18" s="1"/>
  <c r="J99" i="18"/>
  <c r="J125" i="18"/>
  <c r="H88" i="18"/>
  <c r="K88" i="18" s="1"/>
  <c r="H34" i="18"/>
  <c r="K34" i="18" s="1"/>
  <c r="H11" i="18"/>
  <c r="K11" i="18" s="1"/>
  <c r="H20" i="18"/>
  <c r="K20" i="18" s="1"/>
  <c r="H67" i="18"/>
  <c r="K67" i="18" s="1"/>
  <c r="H93" i="18"/>
  <c r="K93" i="18" s="1"/>
  <c r="H19" i="18"/>
  <c r="K19" i="18" s="1"/>
  <c r="H66" i="18"/>
  <c r="K66" i="18" s="1"/>
  <c r="H76" i="18"/>
  <c r="K76" i="18" s="1"/>
  <c r="H18" i="18"/>
  <c r="K18" i="18" s="1"/>
  <c r="H168" i="18"/>
  <c r="K168" i="18" s="1"/>
  <c r="H10" i="18"/>
  <c r="K10" i="18" s="1"/>
  <c r="H9" i="18"/>
  <c r="K9" i="18" s="1"/>
  <c r="H65" i="18"/>
  <c r="K65" i="18" s="1"/>
  <c r="J9" i="18"/>
  <c r="J42" i="18"/>
  <c r="H72" i="18"/>
  <c r="K72" i="18" s="1"/>
  <c r="J108" i="18"/>
  <c r="H49" i="18"/>
  <c r="K49" i="18" s="1"/>
  <c r="H73" i="18"/>
  <c r="K73" i="18" s="1"/>
  <c r="J80" i="18"/>
  <c r="J92" i="18"/>
  <c r="H105" i="18"/>
  <c r="K105" i="18" s="1"/>
  <c r="H118" i="18"/>
  <c r="K118" i="18" s="1"/>
  <c r="H133" i="18"/>
  <c r="K133" i="18" s="1"/>
  <c r="J140" i="18"/>
  <c r="H146" i="18"/>
  <c r="K146" i="18" s="1"/>
  <c r="J105" i="18"/>
  <c r="H137" i="18"/>
  <c r="K137" i="18" s="1"/>
  <c r="H153" i="18"/>
  <c r="K153" i="18" s="1"/>
  <c r="H155" i="18"/>
  <c r="K155" i="18" s="1"/>
  <c r="H161" i="18"/>
  <c r="K161" i="18" s="1"/>
  <c r="H169" i="18"/>
  <c r="K169" i="18" s="1"/>
  <c r="H110" i="18"/>
  <c r="K110" i="18" s="1"/>
  <c r="H165" i="18"/>
  <c r="K165" i="18" s="1"/>
  <c r="H64" i="18"/>
  <c r="K64" i="18" s="1"/>
  <c r="J34" i="18"/>
  <c r="J53" i="18"/>
  <c r="H27" i="18"/>
  <c r="K27" i="18" s="1"/>
  <c r="H41" i="18"/>
  <c r="K41" i="18" s="1"/>
  <c r="J66" i="18"/>
  <c r="H75" i="18"/>
  <c r="K75" i="18" s="1"/>
  <c r="H17" i="18"/>
  <c r="K17" i="18" s="1"/>
  <c r="H29" i="18"/>
  <c r="K29" i="18" s="1"/>
  <c r="H37" i="18"/>
  <c r="K37" i="18" s="1"/>
  <c r="J41" i="18"/>
  <c r="H45" i="18"/>
  <c r="K45" i="18" s="1"/>
  <c r="J72" i="18"/>
  <c r="J75" i="18"/>
  <c r="H102" i="18"/>
  <c r="K102" i="18" s="1"/>
  <c r="H107" i="18"/>
  <c r="K107" i="18" s="1"/>
  <c r="H116" i="18"/>
  <c r="K116" i="18" s="1"/>
  <c r="H132" i="18"/>
  <c r="K132" i="18" s="1"/>
  <c r="H145" i="18"/>
  <c r="K145" i="18" s="1"/>
  <c r="J67" i="18"/>
  <c r="J19" i="18"/>
  <c r="J64" i="18"/>
  <c r="H33" i="18"/>
  <c r="K33" i="18" s="1"/>
  <c r="H63" i="18"/>
  <c r="K63" i="18" s="1"/>
  <c r="J17" i="18"/>
  <c r="H26" i="18"/>
  <c r="K26" i="18" s="1"/>
  <c r="H44" i="18"/>
  <c r="K44" i="18" s="1"/>
  <c r="J45" i="18"/>
  <c r="H52" i="18"/>
  <c r="K52" i="18" s="1"/>
  <c r="H89" i="18"/>
  <c r="K89" i="18" s="1"/>
  <c r="H94" i="18"/>
  <c r="K94" i="18" s="1"/>
  <c r="J107" i="18"/>
  <c r="H150" i="18"/>
  <c r="K150" i="18" s="1"/>
  <c r="H164" i="18"/>
  <c r="K164" i="18" s="1"/>
  <c r="H170" i="18"/>
  <c r="K170" i="18" s="1"/>
  <c r="H25" i="18"/>
  <c r="K25" i="18" s="1"/>
  <c r="O57" i="18"/>
  <c r="O104" i="18"/>
  <c r="H119" i="18"/>
  <c r="K119" i="18" s="1"/>
  <c r="O136" i="18"/>
  <c r="O152" i="18"/>
  <c r="O160" i="18"/>
  <c r="J164" i="18"/>
  <c r="O168" i="18"/>
  <c r="J38" i="18"/>
  <c r="H38" i="18"/>
  <c r="K38" i="18" s="1"/>
  <c r="H30" i="18"/>
  <c r="K30" i="18" s="1"/>
  <c r="J30" i="18"/>
  <c r="J61" i="18"/>
  <c r="H61" i="18"/>
  <c r="K61" i="18" s="1"/>
  <c r="J22" i="18"/>
  <c r="H22" i="18"/>
  <c r="K22" i="18" s="1"/>
  <c r="H28" i="18"/>
  <c r="K28" i="18" s="1"/>
  <c r="J51" i="18"/>
  <c r="H51" i="18"/>
  <c r="K51" i="18" s="1"/>
  <c r="J74" i="18"/>
  <c r="H74" i="18"/>
  <c r="K74" i="18" s="1"/>
  <c r="H12" i="18"/>
  <c r="K12" i="18" s="1"/>
  <c r="J20" i="18"/>
  <c r="J14" i="18"/>
  <c r="H14" i="18"/>
  <c r="K14" i="18" s="1"/>
  <c r="H21" i="18"/>
  <c r="K21" i="18" s="1"/>
  <c r="H13" i="18"/>
  <c r="K13" i="18" s="1"/>
  <c r="J83" i="18"/>
  <c r="H83" i="18"/>
  <c r="K83" i="18" s="1"/>
  <c r="H50" i="18"/>
  <c r="K50" i="18" s="1"/>
  <c r="H60" i="18"/>
  <c r="K60" i="18" s="1"/>
  <c r="H69" i="18"/>
  <c r="K69" i="18" s="1"/>
  <c r="J70" i="18"/>
  <c r="H70" i="18"/>
  <c r="K70" i="18" s="1"/>
  <c r="J78" i="18"/>
  <c r="H78" i="18"/>
  <c r="K78" i="18" s="1"/>
  <c r="J151" i="18"/>
  <c r="H151" i="18"/>
  <c r="K151" i="18" s="1"/>
  <c r="O122" i="18"/>
  <c r="H122" i="18"/>
  <c r="K122" i="18" s="1"/>
  <c r="J143" i="18"/>
  <c r="H143" i="18"/>
  <c r="K143" i="18" s="1"/>
  <c r="J90" i="18"/>
  <c r="H90" i="18"/>
  <c r="K90" i="18" s="1"/>
  <c r="J124" i="18"/>
  <c r="H124" i="18"/>
  <c r="K124" i="18" s="1"/>
  <c r="J135" i="18"/>
  <c r="H135" i="18"/>
  <c r="K135" i="18" s="1"/>
  <c r="H95" i="18"/>
  <c r="K95" i="18" s="1"/>
  <c r="J121" i="18"/>
  <c r="H121" i="18"/>
  <c r="K121" i="18" s="1"/>
  <c r="H84" i="18"/>
  <c r="K84" i="18" s="1"/>
  <c r="H96" i="18"/>
  <c r="K96" i="18" s="1"/>
  <c r="J103" i="18"/>
  <c r="H103" i="18"/>
  <c r="K103" i="18" s="1"/>
  <c r="H112" i="18"/>
  <c r="K112" i="18" s="1"/>
  <c r="H139" i="18"/>
  <c r="K139" i="18" s="1"/>
  <c r="H48" i="18"/>
  <c r="K48" i="18" s="1"/>
  <c r="H7" i="18"/>
  <c r="H15" i="18"/>
  <c r="K15" i="18" s="1"/>
  <c r="H23" i="18"/>
  <c r="K23" i="18" s="1"/>
  <c r="H31" i="18"/>
  <c r="K31" i="18" s="1"/>
  <c r="H39" i="18"/>
  <c r="K39" i="18" s="1"/>
  <c r="H47" i="18"/>
  <c r="K47" i="18" s="1"/>
  <c r="J48" i="18"/>
  <c r="H59" i="18"/>
  <c r="K59" i="18" s="1"/>
  <c r="H77" i="18"/>
  <c r="K77" i="18" s="1"/>
  <c r="H85" i="18"/>
  <c r="K85" i="18" s="1"/>
  <c r="H97" i="18"/>
  <c r="K97" i="18" s="1"/>
  <c r="J134" i="18"/>
  <c r="H134" i="18"/>
  <c r="K134" i="18" s="1"/>
  <c r="H8" i="18"/>
  <c r="K8" i="18" s="1"/>
  <c r="H16" i="18"/>
  <c r="K16" i="18" s="1"/>
  <c r="H24" i="18"/>
  <c r="K24" i="18" s="1"/>
  <c r="H32" i="18"/>
  <c r="K32" i="18" s="1"/>
  <c r="H40" i="18"/>
  <c r="K40" i="18" s="1"/>
  <c r="H46" i="18"/>
  <c r="K46" i="18" s="1"/>
  <c r="H56" i="18"/>
  <c r="K56" i="18" s="1"/>
  <c r="H58" i="18"/>
  <c r="K58" i="18" s="1"/>
  <c r="H68" i="18"/>
  <c r="K68" i="18" s="1"/>
  <c r="J86" i="18"/>
  <c r="H86" i="18"/>
  <c r="K86" i="18" s="1"/>
  <c r="H100" i="18"/>
  <c r="K100" i="18" s="1"/>
  <c r="J111" i="18"/>
  <c r="H111" i="18"/>
  <c r="K111" i="18" s="1"/>
  <c r="H114" i="18"/>
  <c r="K114" i="18" s="1"/>
  <c r="J123" i="18"/>
  <c r="H123" i="18"/>
  <c r="K123" i="18" s="1"/>
  <c r="H55" i="18"/>
  <c r="K55" i="18" s="1"/>
  <c r="J56" i="18"/>
  <c r="H98" i="18"/>
  <c r="K98" i="18" s="1"/>
  <c r="J109" i="18"/>
  <c r="H109" i="18"/>
  <c r="K109" i="18" s="1"/>
  <c r="H130" i="18"/>
  <c r="K130" i="18" s="1"/>
  <c r="J130" i="18"/>
  <c r="J141" i="18"/>
  <c r="H141" i="18"/>
  <c r="K141" i="18" s="1"/>
  <c r="H131" i="18"/>
  <c r="K131" i="18" s="1"/>
  <c r="O131" i="18"/>
  <c r="J142" i="18"/>
  <c r="H142" i="18"/>
  <c r="K142" i="18" s="1"/>
  <c r="H154" i="18"/>
  <c r="K154" i="18" s="1"/>
  <c r="J154" i="18"/>
  <c r="H71" i="18"/>
  <c r="K71" i="18" s="1"/>
  <c r="H79" i="18"/>
  <c r="K79" i="18" s="1"/>
  <c r="H87" i="18"/>
  <c r="K87" i="18" s="1"/>
  <c r="H91" i="18"/>
  <c r="K91" i="18" s="1"/>
  <c r="H101" i="18"/>
  <c r="K101" i="18" s="1"/>
  <c r="O120" i="18"/>
  <c r="H120" i="18"/>
  <c r="K120" i="18" s="1"/>
  <c r="H162" i="18"/>
  <c r="K162" i="18" s="1"/>
  <c r="J162" i="18"/>
  <c r="J166" i="18"/>
  <c r="H166" i="18"/>
  <c r="K166" i="18" s="1"/>
  <c r="J129" i="18"/>
  <c r="H129" i="18"/>
  <c r="K129" i="18" s="1"/>
  <c r="O163" i="18"/>
  <c r="H163" i="18"/>
  <c r="K163" i="18" s="1"/>
  <c r="H156" i="18"/>
  <c r="K156" i="18" s="1"/>
  <c r="J170" i="18"/>
  <c r="H128" i="18"/>
  <c r="K128" i="18" s="1"/>
  <c r="H148" i="18"/>
  <c r="K148" i="18" s="1"/>
  <c r="H157" i="18"/>
  <c r="K157" i="18" s="1"/>
  <c r="J146" i="18"/>
  <c r="J158" i="18"/>
  <c r="H158" i="18"/>
  <c r="K158" i="18" s="1"/>
  <c r="H159" i="18"/>
  <c r="K159" i="18" s="1"/>
  <c r="H167" i="18"/>
  <c r="K167" i="18" s="1"/>
  <c r="AZ163" i="20" l="1"/>
  <c r="BA163" i="20"/>
  <c r="BK163" i="20" s="1"/>
  <c r="BA166" i="20"/>
  <c r="BK166" i="20" s="1"/>
  <c r="AZ166" i="20"/>
  <c r="BA168" i="20"/>
  <c r="BK168" i="20" s="1"/>
  <c r="AZ168" i="20"/>
  <c r="AZ169" i="20"/>
  <c r="BA169" i="20"/>
  <c r="BK169" i="20" s="1"/>
  <c r="BA173" i="20"/>
  <c r="BK173" i="20" s="1"/>
  <c r="AZ173" i="20"/>
  <c r="AZ174" i="20"/>
  <c r="BA174" i="20"/>
  <c r="BK174" i="20" s="1"/>
  <c r="AZ175" i="20"/>
  <c r="BA175" i="20"/>
  <c r="BK175" i="20" s="1"/>
  <c r="AZ177" i="20"/>
  <c r="BA177" i="20"/>
  <c r="BK177" i="20" s="1"/>
  <c r="BA178" i="20"/>
  <c r="BK178" i="20" s="1"/>
  <c r="AZ178" i="20"/>
  <c r="BA183" i="20"/>
  <c r="BK183" i="20" s="1"/>
  <c r="AZ183" i="20"/>
  <c r="AZ184" i="20"/>
  <c r="BA184" i="20"/>
  <c r="BK184" i="20" s="1"/>
  <c r="AZ185" i="20"/>
  <c r="BA185" i="20"/>
  <c r="BK185" i="20" s="1"/>
  <c r="AZ8" i="20"/>
  <c r="BA8" i="20"/>
  <c r="BK8" i="20" s="1"/>
  <c r="AZ9" i="20"/>
  <c r="BA9" i="20"/>
  <c r="BK9" i="20" s="1"/>
  <c r="AZ11" i="20"/>
  <c r="BA11" i="20"/>
  <c r="BK11" i="20" s="1"/>
  <c r="AZ12" i="20"/>
  <c r="BA12" i="20"/>
  <c r="BK12" i="20" s="1"/>
  <c r="AZ14" i="20"/>
  <c r="BA14" i="20"/>
  <c r="AZ17" i="20"/>
  <c r="BA17" i="20"/>
  <c r="AZ18" i="20"/>
  <c r="BA18" i="20"/>
  <c r="AZ19" i="20"/>
  <c r="BA19" i="20"/>
  <c r="AZ20" i="20"/>
  <c r="BA20" i="20"/>
  <c r="AZ21" i="20"/>
  <c r="BA21" i="20"/>
  <c r="BK21" i="20" s="1"/>
  <c r="AZ22" i="20"/>
  <c r="BA22" i="20"/>
  <c r="BK22" i="20" s="1"/>
  <c r="BA23" i="20"/>
  <c r="BK23" i="20" s="1"/>
  <c r="AZ23" i="20"/>
  <c r="BA24" i="20"/>
  <c r="BK24" i="20" s="1"/>
  <c r="AZ24" i="20"/>
  <c r="BA25" i="20"/>
  <c r="BK25" i="20" s="1"/>
  <c r="AZ25" i="20"/>
  <c r="BA26" i="20"/>
  <c r="BK26" i="20" s="1"/>
  <c r="AZ26" i="20"/>
  <c r="AZ27" i="20"/>
  <c r="BA27" i="20"/>
  <c r="BK27" i="20" s="1"/>
  <c r="AZ28" i="20"/>
  <c r="BA28" i="20"/>
  <c r="BK28" i="20" s="1"/>
  <c r="AZ29" i="20"/>
  <c r="BA29" i="20"/>
  <c r="BK29" i="20" s="1"/>
  <c r="AZ30" i="20"/>
  <c r="BA30" i="20"/>
  <c r="BK30" i="20" s="1"/>
  <c r="BA31" i="20"/>
  <c r="BK31" i="20" s="1"/>
  <c r="AZ31" i="20"/>
  <c r="AZ32" i="20"/>
  <c r="BA32" i="20"/>
  <c r="BK32" i="20" s="1"/>
  <c r="BA33" i="20"/>
  <c r="BK33" i="20" s="1"/>
  <c r="AZ33" i="20"/>
  <c r="AZ34" i="20"/>
  <c r="BA34" i="20"/>
  <c r="BK34" i="20" s="1"/>
  <c r="AZ35" i="20"/>
  <c r="BA35" i="20"/>
  <c r="BK35" i="20" s="1"/>
  <c r="AZ36" i="20"/>
  <c r="BA36" i="20"/>
  <c r="BK36" i="20" s="1"/>
  <c r="AZ37" i="20"/>
  <c r="BA37" i="20"/>
  <c r="BK37" i="20" s="1"/>
  <c r="AZ38" i="20"/>
  <c r="BA38" i="20"/>
  <c r="BK38" i="20" s="1"/>
  <c r="AZ39" i="20"/>
  <c r="BA39" i="20"/>
  <c r="BK39" i="20" s="1"/>
  <c r="AZ40" i="20"/>
  <c r="BA40" i="20"/>
  <c r="BK40" i="20" s="1"/>
  <c r="AZ41" i="20"/>
  <c r="BA41" i="20"/>
  <c r="BK41" i="20" s="1"/>
  <c r="AZ42" i="20"/>
  <c r="BA42" i="20"/>
  <c r="BK42" i="20" s="1"/>
  <c r="AZ43" i="20"/>
  <c r="BA43" i="20"/>
  <c r="BK43" i="20" s="1"/>
  <c r="AZ44" i="20"/>
  <c r="BA44" i="20"/>
  <c r="BK44" i="20" s="1"/>
  <c r="AZ45" i="20"/>
  <c r="BA45" i="20"/>
  <c r="BK45" i="20" s="1"/>
  <c r="AZ46" i="20"/>
  <c r="BA46" i="20"/>
  <c r="BK46" i="20" s="1"/>
  <c r="AZ47" i="20"/>
  <c r="BA47" i="20"/>
  <c r="BK47" i="20" s="1"/>
  <c r="AZ159" i="20"/>
  <c r="BA159" i="20"/>
  <c r="BK159" i="20" s="1"/>
  <c r="BA162" i="20"/>
  <c r="BK162" i="20" s="1"/>
  <c r="AZ162" i="20"/>
  <c r="AZ167" i="20"/>
  <c r="BA167" i="20"/>
  <c r="BK167" i="20" s="1"/>
  <c r="AZ170" i="20"/>
  <c r="BA170" i="20"/>
  <c r="BK170" i="20" s="1"/>
  <c r="BA171" i="20"/>
  <c r="BK171" i="20" s="1"/>
  <c r="AZ171" i="20"/>
  <c r="AZ176" i="20"/>
  <c r="BA176" i="20"/>
  <c r="BK176" i="20" s="1"/>
  <c r="AZ179" i="20"/>
  <c r="BA179" i="20"/>
  <c r="BK179" i="20" s="1"/>
  <c r="BA180" i="20"/>
  <c r="BK180" i="20" s="1"/>
  <c r="AZ180" i="20"/>
  <c r="AZ181" i="20"/>
  <c r="BA181" i="20"/>
  <c r="BK181" i="20" s="1"/>
  <c r="AZ182" i="20"/>
  <c r="BA182" i="20"/>
  <c r="BK182" i="20" s="1"/>
  <c r="AZ13" i="20"/>
  <c r="BA13" i="20"/>
  <c r="AZ15" i="20"/>
  <c r="BA15" i="20"/>
  <c r="AZ16" i="20"/>
  <c r="BA16" i="20"/>
  <c r="AZ48" i="20"/>
  <c r="BA48" i="20"/>
  <c r="BK48" i="20" s="1"/>
  <c r="AZ49" i="20"/>
  <c r="BA49" i="20"/>
  <c r="BK49" i="20" s="1"/>
  <c r="AZ50" i="20"/>
  <c r="BA50" i="20"/>
  <c r="BK50" i="20" s="1"/>
  <c r="AZ51" i="20"/>
  <c r="BA51" i="20"/>
  <c r="BK51" i="20" s="1"/>
  <c r="AZ52" i="20"/>
  <c r="BA52" i="20"/>
  <c r="BK52" i="20" s="1"/>
  <c r="AZ53" i="20"/>
  <c r="BA53" i="20"/>
  <c r="BK53" i="20" s="1"/>
  <c r="AZ54" i="20"/>
  <c r="BA54" i="20"/>
  <c r="BK54" i="20" s="1"/>
  <c r="BA55" i="20"/>
  <c r="BK55" i="20" s="1"/>
  <c r="AZ55" i="20"/>
  <c r="AZ56" i="20"/>
  <c r="BA56" i="20"/>
  <c r="BK56" i="20" s="1"/>
  <c r="BA57" i="20"/>
  <c r="BK57" i="20" s="1"/>
  <c r="AZ57" i="20"/>
  <c r="BA58" i="20"/>
  <c r="BK58" i="20" s="1"/>
  <c r="AZ58" i="20"/>
  <c r="AZ59" i="20"/>
  <c r="BA59" i="20"/>
  <c r="BK59" i="20" s="1"/>
  <c r="BA60" i="20"/>
  <c r="BK60" i="20" s="1"/>
  <c r="AZ60" i="20"/>
  <c r="BA61" i="20"/>
  <c r="BK61" i="20" s="1"/>
  <c r="AZ61" i="20"/>
  <c r="AZ62" i="20"/>
  <c r="BA62" i="20"/>
  <c r="BK62" i="20" s="1"/>
  <c r="BA64" i="20"/>
  <c r="BK64" i="20" s="1"/>
  <c r="AZ64" i="20"/>
  <c r="AZ65" i="20"/>
  <c r="BA65" i="20"/>
  <c r="BK65" i="20" s="1"/>
  <c r="AZ66" i="20"/>
  <c r="BA66" i="20"/>
  <c r="BK66" i="20" s="1"/>
  <c r="AZ67" i="20"/>
  <c r="BA67" i="20"/>
  <c r="BK67" i="20" s="1"/>
  <c r="BA68" i="20"/>
  <c r="BK68" i="20" s="1"/>
  <c r="AZ68" i="20"/>
  <c r="BA69" i="20"/>
  <c r="BK69" i="20" s="1"/>
  <c r="AZ69" i="20"/>
  <c r="AZ70" i="20"/>
  <c r="BA70" i="20"/>
  <c r="BK70" i="20" s="1"/>
  <c r="BA71" i="20"/>
  <c r="BK71" i="20" s="1"/>
  <c r="AZ71" i="20"/>
  <c r="AZ72" i="20"/>
  <c r="BA72" i="20"/>
  <c r="BK72" i="20" s="1"/>
  <c r="BA73" i="20"/>
  <c r="BK73" i="20" s="1"/>
  <c r="AZ73" i="20"/>
  <c r="BA74" i="20"/>
  <c r="BK74" i="20" s="1"/>
  <c r="AZ74" i="20"/>
  <c r="BA75" i="20"/>
  <c r="BK75" i="20" s="1"/>
  <c r="AZ75" i="20"/>
  <c r="BA160" i="20"/>
  <c r="BK160" i="20" s="1"/>
  <c r="AZ160" i="20"/>
  <c r="AZ172" i="20"/>
  <c r="BA172" i="20"/>
  <c r="BK172" i="20" s="1"/>
  <c r="AZ7" i="20"/>
  <c r="BA7" i="20"/>
  <c r="BK7" i="20" s="1"/>
  <c r="AZ10" i="20"/>
  <c r="BA10" i="20"/>
  <c r="BK10" i="20" s="1"/>
  <c r="AZ76" i="20"/>
  <c r="BA76" i="20"/>
  <c r="BK76" i="20" s="1"/>
  <c r="AZ77" i="20"/>
  <c r="BA77" i="20"/>
  <c r="BK77" i="20" s="1"/>
  <c r="BA78" i="20"/>
  <c r="BK78" i="20" s="1"/>
  <c r="AZ78" i="20"/>
  <c r="AZ79" i="20"/>
  <c r="BA79" i="20"/>
  <c r="BK79" i="20" s="1"/>
  <c r="BA80" i="20"/>
  <c r="BK80" i="20" s="1"/>
  <c r="AZ80" i="20"/>
  <c r="AZ81" i="20"/>
  <c r="BA81" i="20"/>
  <c r="BK81" i="20" s="1"/>
  <c r="AZ82" i="20"/>
  <c r="BA82" i="20"/>
  <c r="BK82" i="20" s="1"/>
  <c r="AZ83" i="20"/>
  <c r="BA83" i="20"/>
  <c r="BK83" i="20" s="1"/>
  <c r="AZ84" i="20"/>
  <c r="BA84" i="20"/>
  <c r="BK84" i="20" s="1"/>
  <c r="AZ85" i="20"/>
  <c r="BA85" i="20"/>
  <c r="BK85" i="20" s="1"/>
  <c r="AZ86" i="20"/>
  <c r="BA86" i="20"/>
  <c r="BK86" i="20" s="1"/>
  <c r="AZ87" i="20"/>
  <c r="BA87" i="20"/>
  <c r="BK87" i="20" s="1"/>
  <c r="AZ88" i="20"/>
  <c r="BA88" i="20"/>
  <c r="BK88" i="20" s="1"/>
  <c r="AZ89" i="20"/>
  <c r="BA89" i="20"/>
  <c r="BK89" i="20" s="1"/>
  <c r="AZ90" i="20"/>
  <c r="BA90" i="20"/>
  <c r="BK90" i="20" s="1"/>
  <c r="AZ91" i="20"/>
  <c r="BA91" i="20"/>
  <c r="BK91" i="20" s="1"/>
  <c r="AZ92" i="20"/>
  <c r="BA92" i="20"/>
  <c r="BK92" i="20" s="1"/>
  <c r="AZ93" i="20"/>
  <c r="BA93" i="20"/>
  <c r="BK93" i="20" s="1"/>
  <c r="AZ94" i="20"/>
  <c r="BA94" i="20"/>
  <c r="BK94" i="20" s="1"/>
  <c r="AZ95" i="20"/>
  <c r="BA95" i="20"/>
  <c r="BK95" i="20" s="1"/>
  <c r="AZ96" i="20"/>
  <c r="BA96" i="20"/>
  <c r="BK96" i="20" s="1"/>
  <c r="AZ97" i="20"/>
  <c r="BA97" i="20"/>
  <c r="BK97" i="20" s="1"/>
  <c r="AZ98" i="20"/>
  <c r="BA98" i="20"/>
  <c r="BK98" i="20" s="1"/>
  <c r="AZ99" i="20"/>
  <c r="BA99" i="20"/>
  <c r="BK99" i="20" s="1"/>
  <c r="AZ100" i="20"/>
  <c r="BA100" i="20"/>
  <c r="BK100" i="20" s="1"/>
  <c r="AZ101" i="20"/>
  <c r="BA101" i="20"/>
  <c r="BK101" i="20" s="1"/>
  <c r="AZ102" i="20"/>
  <c r="BA102" i="20"/>
  <c r="BK102" i="20" s="1"/>
  <c r="AZ103" i="20"/>
  <c r="BA103" i="20"/>
  <c r="BK103" i="20" s="1"/>
  <c r="AZ161" i="20"/>
  <c r="BA161" i="20"/>
  <c r="BK161" i="20" s="1"/>
  <c r="AZ164" i="20"/>
  <c r="BA164" i="20"/>
  <c r="BK164" i="20" s="1"/>
  <c r="AZ165" i="20"/>
  <c r="BA165" i="20"/>
  <c r="BK165" i="20" s="1"/>
  <c r="AZ105" i="20"/>
  <c r="BA105" i="20"/>
  <c r="BK105" i="20" s="1"/>
  <c r="AZ106" i="20"/>
  <c r="BA106" i="20"/>
  <c r="BK106" i="20" s="1"/>
  <c r="AZ107" i="20"/>
  <c r="BA107" i="20"/>
  <c r="BK107" i="20" s="1"/>
  <c r="AZ108" i="20"/>
  <c r="BA108" i="20"/>
  <c r="BK108" i="20" s="1"/>
  <c r="AZ109" i="20"/>
  <c r="BA109" i="20"/>
  <c r="BK109" i="20" s="1"/>
  <c r="AZ110" i="20"/>
  <c r="BA110" i="20"/>
  <c r="BK110" i="20" s="1"/>
  <c r="AZ111" i="20"/>
  <c r="BA111" i="20"/>
  <c r="BK111" i="20" s="1"/>
  <c r="AZ112" i="20"/>
  <c r="BA112" i="20"/>
  <c r="BK112" i="20" s="1"/>
  <c r="AZ113" i="20"/>
  <c r="BA113" i="20"/>
  <c r="BK113" i="20" s="1"/>
  <c r="AZ114" i="20"/>
  <c r="BA114" i="20"/>
  <c r="BK114" i="20" s="1"/>
  <c r="AZ115" i="20"/>
  <c r="BA115" i="20"/>
  <c r="BK115" i="20" s="1"/>
  <c r="AZ116" i="20"/>
  <c r="BA116" i="20"/>
  <c r="BK116" i="20" s="1"/>
  <c r="AZ117" i="20"/>
  <c r="BA117" i="20"/>
  <c r="BK117" i="20" s="1"/>
  <c r="AZ118" i="20"/>
  <c r="BA118" i="20"/>
  <c r="BK118" i="20" s="1"/>
  <c r="AZ119" i="20"/>
  <c r="BA119" i="20"/>
  <c r="BK119" i="20" s="1"/>
  <c r="AZ120" i="20"/>
  <c r="BA120" i="20"/>
  <c r="BK120" i="20" s="1"/>
  <c r="AZ121" i="20"/>
  <c r="BA121" i="20"/>
  <c r="BK121" i="20" s="1"/>
  <c r="AZ122" i="20"/>
  <c r="BA122" i="20"/>
  <c r="BK122" i="20" s="1"/>
  <c r="AZ123" i="20"/>
  <c r="BA123" i="20"/>
  <c r="BK123" i="20" s="1"/>
  <c r="AZ124" i="20"/>
  <c r="BA124" i="20"/>
  <c r="BK124" i="20" s="1"/>
  <c r="AZ125" i="20"/>
  <c r="BA125" i="20"/>
  <c r="BK125" i="20" s="1"/>
  <c r="AZ126" i="20"/>
  <c r="BA126" i="20"/>
  <c r="BK126" i="20" s="1"/>
  <c r="AZ127" i="20"/>
  <c r="BA127" i="20"/>
  <c r="BK127" i="20" s="1"/>
  <c r="AZ128" i="20"/>
  <c r="BA128" i="20"/>
  <c r="BK128" i="20" s="1"/>
  <c r="AZ129" i="20"/>
  <c r="BA129" i="20"/>
  <c r="BK129" i="20" s="1"/>
  <c r="AZ130" i="20"/>
  <c r="BA130" i="20"/>
  <c r="BK130" i="20" s="1"/>
  <c r="AZ131" i="20"/>
  <c r="BA131" i="20"/>
  <c r="BK131" i="20" s="1"/>
  <c r="AZ134" i="20"/>
  <c r="BA134" i="20"/>
  <c r="BK134" i="20" s="1"/>
  <c r="AZ135" i="20"/>
  <c r="BA135" i="20"/>
  <c r="BK135" i="20" s="1"/>
  <c r="AZ136" i="20"/>
  <c r="BA136" i="20"/>
  <c r="BK136" i="20" s="1"/>
  <c r="AZ137" i="20"/>
  <c r="BA137" i="20"/>
  <c r="BK137" i="20" s="1"/>
  <c r="AZ138" i="20"/>
  <c r="BA138" i="20"/>
  <c r="BK138" i="20" s="1"/>
  <c r="AZ139" i="20"/>
  <c r="BA139" i="20"/>
  <c r="BK139" i="20" s="1"/>
  <c r="AZ140" i="20"/>
  <c r="BA140" i="20"/>
  <c r="BK140" i="20" s="1"/>
  <c r="AZ141" i="20"/>
  <c r="BA141" i="20"/>
  <c r="BK141" i="20" s="1"/>
  <c r="AZ142" i="20"/>
  <c r="BA142" i="20"/>
  <c r="BK142" i="20" s="1"/>
  <c r="AZ143" i="20"/>
  <c r="BA143" i="20"/>
  <c r="BK143" i="20" s="1"/>
  <c r="AZ144" i="20"/>
  <c r="BA144" i="20"/>
  <c r="BK144" i="20" s="1"/>
  <c r="AZ145" i="20"/>
  <c r="BA145" i="20"/>
  <c r="BK145" i="20" s="1"/>
  <c r="AZ146" i="20"/>
  <c r="BA146" i="20"/>
  <c r="BK146" i="20" s="1"/>
  <c r="AZ147" i="20"/>
  <c r="BA147" i="20"/>
  <c r="BK147" i="20" s="1"/>
  <c r="AZ148" i="20"/>
  <c r="BA148" i="20"/>
  <c r="BK148" i="20" s="1"/>
  <c r="AZ149" i="20"/>
  <c r="BA149" i="20"/>
  <c r="BK149" i="20" s="1"/>
  <c r="AZ150" i="20"/>
  <c r="BA150" i="20"/>
  <c r="BK150" i="20" s="1"/>
  <c r="AZ151" i="20"/>
  <c r="BA151" i="20"/>
  <c r="BK151" i="20" s="1"/>
  <c r="AZ152" i="20"/>
  <c r="BA152" i="20"/>
  <c r="BK152" i="20" s="1"/>
  <c r="AZ153" i="20"/>
  <c r="BA153" i="20"/>
  <c r="BK153" i="20" s="1"/>
  <c r="AZ154" i="20"/>
  <c r="BA154" i="20"/>
  <c r="BK154" i="20" s="1"/>
  <c r="BA155" i="20"/>
  <c r="BK155" i="20" s="1"/>
  <c r="AZ155" i="20"/>
  <c r="AZ156" i="20"/>
  <c r="BA156" i="20"/>
  <c r="BK156" i="20" s="1"/>
  <c r="BA157" i="20"/>
  <c r="BK157" i="20" s="1"/>
  <c r="AZ157" i="20"/>
  <c r="BA158" i="20"/>
  <c r="BK158" i="20" s="1"/>
  <c r="AZ158" i="20"/>
  <c r="AZ63" i="20"/>
  <c r="BA63" i="20"/>
  <c r="BK63" i="20" s="1"/>
  <c r="N171" i="18"/>
  <c r="H171" i="18"/>
  <c r="H174" i="18" s="1"/>
  <c r="K7" i="18"/>
  <c r="K171" i="18" s="1"/>
  <c r="M174" i="18" l="1"/>
  <c r="K172" i="18"/>
  <c r="K174" i="18" s="1"/>
  <c r="R171" i="18" s="1"/>
  <c r="R173" i="18" s="1"/>
  <c r="L153" i="18" l="1"/>
  <c r="L161" i="18"/>
  <c r="L136" i="18"/>
  <c r="L115" i="18"/>
  <c r="L125" i="18"/>
  <c r="L116" i="18"/>
  <c r="L117" i="18"/>
  <c r="L88" i="18"/>
  <c r="L145" i="18"/>
  <c r="L104" i="18"/>
  <c r="L118" i="18"/>
  <c r="L92" i="18"/>
  <c r="L63" i="18"/>
  <c r="L126" i="18"/>
  <c r="L107" i="18"/>
  <c r="L105" i="18"/>
  <c r="L120" i="18"/>
  <c r="L99" i="18"/>
  <c r="L87" i="18"/>
  <c r="L73" i="18"/>
  <c r="L57" i="18"/>
  <c r="L93" i="18"/>
  <c r="L54" i="18"/>
  <c r="L33" i="18"/>
  <c r="L55" i="18"/>
  <c r="L8" i="18"/>
  <c r="L80" i="18"/>
  <c r="L67" i="18"/>
  <c r="L41" i="18"/>
  <c r="L34" i="18"/>
  <c r="L9" i="18"/>
  <c r="L40" i="18"/>
  <c r="L17" i="18"/>
  <c r="L25" i="18"/>
  <c r="L28" i="18"/>
  <c r="L50" i="18"/>
  <c r="L108" i="18"/>
  <c r="L85" i="18"/>
  <c r="L98" i="18"/>
  <c r="L102" i="18"/>
  <c r="L119" i="18"/>
  <c r="L169" i="18"/>
  <c r="L133" i="18"/>
  <c r="L131" i="18"/>
  <c r="L163" i="18"/>
  <c r="L68" i="18"/>
  <c r="L47" i="18"/>
  <c r="L82" i="18"/>
  <c r="L81" i="18"/>
  <c r="L72" i="18"/>
  <c r="L122" i="18"/>
  <c r="L139" i="18"/>
  <c r="L23" i="18"/>
  <c r="L45" i="18"/>
  <c r="L77" i="18"/>
  <c r="L100" i="18"/>
  <c r="L36" i="18"/>
  <c r="L58" i="18"/>
  <c r="L19" i="18"/>
  <c r="L15" i="18"/>
  <c r="L113" i="18"/>
  <c r="L138" i="18"/>
  <c r="L160" i="18"/>
  <c r="L165" i="18"/>
  <c r="L62" i="18"/>
  <c r="L101" i="18"/>
  <c r="L18" i="18"/>
  <c r="L95" i="18"/>
  <c r="L112" i="18"/>
  <c r="L53" i="18"/>
  <c r="L35" i="18"/>
  <c r="L91" i="18"/>
  <c r="L13" i="18"/>
  <c r="L10" i="18"/>
  <c r="L39" i="18"/>
  <c r="L31" i="18"/>
  <c r="L59" i="18"/>
  <c r="L21" i="18"/>
  <c r="L65" i="18"/>
  <c r="L43" i="18"/>
  <c r="L60" i="18"/>
  <c r="L152" i="18"/>
  <c r="L97" i="18"/>
  <c r="L149" i="18"/>
  <c r="L110" i="18"/>
  <c r="L137" i="18"/>
  <c r="L144" i="18"/>
  <c r="L167" i="18"/>
  <c r="L75" i="18"/>
  <c r="L26" i="18"/>
  <c r="L64" i="18"/>
  <c r="L79" i="18"/>
  <c r="L76" i="18"/>
  <c r="L159" i="18"/>
  <c r="L156" i="18"/>
  <c r="L157" i="18"/>
  <c r="L69" i="18"/>
  <c r="L127" i="18"/>
  <c r="L16" i="18"/>
  <c r="L24" i="18"/>
  <c r="L49" i="18"/>
  <c r="L44" i="18"/>
  <c r="L66" i="18"/>
  <c r="L32" i="18"/>
  <c r="L37" i="18"/>
  <c r="L71" i="18"/>
  <c r="L29" i="18"/>
  <c r="L114" i="18"/>
  <c r="L46" i="18"/>
  <c r="L27" i="18"/>
  <c r="L96" i="18"/>
  <c r="L11" i="18"/>
  <c r="L150" i="18"/>
  <c r="L106" i="18"/>
  <c r="L148" i="18"/>
  <c r="L147" i="18"/>
  <c r="L128" i="18"/>
  <c r="L155" i="18"/>
  <c r="L52" i="18"/>
  <c r="L7" i="18"/>
  <c r="L168" i="18"/>
  <c r="L94" i="18"/>
  <c r="L84" i="18"/>
  <c r="L140" i="18"/>
  <c r="L12" i="18"/>
  <c r="L89" i="18"/>
  <c r="L42" i="18"/>
  <c r="L164" i="18"/>
  <c r="L132" i="18"/>
  <c r="L121" i="18"/>
  <c r="L78" i="18"/>
  <c r="L129" i="18"/>
  <c r="L135" i="18"/>
  <c r="L109" i="18"/>
  <c r="L38" i="18"/>
  <c r="L48" i="18"/>
  <c r="L51" i="18"/>
  <c r="L130" i="18"/>
  <c r="L90" i="18"/>
  <c r="L146" i="18"/>
  <c r="L142" i="18"/>
  <c r="L124" i="18"/>
  <c r="L56" i="18"/>
  <c r="L83" i="18"/>
  <c r="L158" i="18"/>
  <c r="L123" i="18"/>
  <c r="L141" i="18"/>
  <c r="L134" i="18"/>
  <c r="L30" i="18"/>
  <c r="L14" i="18"/>
  <c r="L154" i="18"/>
  <c r="L143" i="18"/>
  <c r="L70" i="18"/>
  <c r="L162" i="18"/>
  <c r="L151" i="18"/>
  <c r="L111" i="18"/>
  <c r="L86" i="18"/>
  <c r="L74" i="18"/>
  <c r="L103" i="18"/>
  <c r="L22" i="18"/>
  <c r="L166" i="18"/>
  <c r="L20" i="18"/>
  <c r="L61" i="18"/>
  <c r="L170" i="18"/>
  <c r="M119" i="18" l="1"/>
  <c r="M118" i="18"/>
  <c r="M89" i="18"/>
  <c r="M29" i="18"/>
  <c r="P29" i="18"/>
  <c r="M95" i="18"/>
  <c r="P95" i="18"/>
  <c r="M163" i="18"/>
  <c r="P163" i="18"/>
  <c r="P41" i="18"/>
  <c r="M41" i="18"/>
  <c r="M166" i="18"/>
  <c r="P166" i="18"/>
  <c r="M121" i="18"/>
  <c r="P121" i="18"/>
  <c r="P26" i="18"/>
  <c r="M26" i="18"/>
  <c r="P19" i="18"/>
  <c r="M19" i="18"/>
  <c r="P73" i="18"/>
  <c r="M73" i="18"/>
  <c r="M61" i="18"/>
  <c r="P61" i="18"/>
  <c r="P151" i="18"/>
  <c r="M151" i="18"/>
  <c r="P141" i="18"/>
  <c r="M141" i="18"/>
  <c r="P146" i="18"/>
  <c r="M146" i="18"/>
  <c r="M129" i="18"/>
  <c r="P129" i="18"/>
  <c r="M140" i="18"/>
  <c r="P140" i="18"/>
  <c r="M147" i="18"/>
  <c r="P147" i="18"/>
  <c r="P114" i="18"/>
  <c r="M114" i="18"/>
  <c r="P24" i="18"/>
  <c r="M24" i="18"/>
  <c r="P79" i="18"/>
  <c r="M79" i="18"/>
  <c r="M110" i="18"/>
  <c r="P110" i="18"/>
  <c r="M59" i="18"/>
  <c r="P59" i="18"/>
  <c r="M112" i="18"/>
  <c r="P112" i="18"/>
  <c r="M113" i="18"/>
  <c r="P113" i="18"/>
  <c r="P45" i="18"/>
  <c r="M45" i="18"/>
  <c r="M68" i="18"/>
  <c r="P68" i="18"/>
  <c r="M85" i="18"/>
  <c r="P85" i="18"/>
  <c r="P34" i="18"/>
  <c r="M34" i="18"/>
  <c r="P93" i="18"/>
  <c r="M93" i="18"/>
  <c r="P126" i="18"/>
  <c r="M126" i="18"/>
  <c r="P117" i="18"/>
  <c r="M117" i="18"/>
  <c r="P149" i="18"/>
  <c r="M149" i="18"/>
  <c r="P90" i="18"/>
  <c r="M90" i="18"/>
  <c r="P16" i="18"/>
  <c r="M16" i="18"/>
  <c r="P15" i="18"/>
  <c r="M15" i="18"/>
  <c r="P57" i="18"/>
  <c r="M57" i="18"/>
  <c r="P130" i="18"/>
  <c r="M130" i="18"/>
  <c r="M71" i="18"/>
  <c r="P71" i="18"/>
  <c r="P39" i="18"/>
  <c r="M39" i="18"/>
  <c r="M139" i="18"/>
  <c r="P139" i="18"/>
  <c r="P67" i="18"/>
  <c r="M67" i="18"/>
  <c r="M158" i="18"/>
  <c r="P158" i="18"/>
  <c r="P168" i="18"/>
  <c r="M168" i="18"/>
  <c r="M69" i="18"/>
  <c r="P69" i="18"/>
  <c r="P10" i="18"/>
  <c r="M10" i="18"/>
  <c r="M133" i="18"/>
  <c r="P133" i="18"/>
  <c r="P92" i="18"/>
  <c r="M92" i="18"/>
  <c r="P154" i="18"/>
  <c r="M154" i="18"/>
  <c r="M164" i="18"/>
  <c r="P164" i="18"/>
  <c r="P25" i="18"/>
  <c r="M25" i="18"/>
  <c r="P74" i="18"/>
  <c r="M74" i="18"/>
  <c r="M38" i="18"/>
  <c r="P38" i="18"/>
  <c r="M52" i="18"/>
  <c r="P52" i="18"/>
  <c r="M96" i="18"/>
  <c r="P96" i="18"/>
  <c r="M156" i="18"/>
  <c r="P156" i="18"/>
  <c r="M167" i="18"/>
  <c r="P167" i="18"/>
  <c r="P43" i="18"/>
  <c r="M43" i="18"/>
  <c r="M91" i="18"/>
  <c r="P91" i="18"/>
  <c r="M165" i="18"/>
  <c r="P165" i="18"/>
  <c r="P81" i="18"/>
  <c r="M81" i="18"/>
  <c r="P17" i="18"/>
  <c r="M17" i="18"/>
  <c r="P55" i="18"/>
  <c r="M55" i="18"/>
  <c r="P120" i="18"/>
  <c r="M120" i="18"/>
  <c r="P104" i="18"/>
  <c r="M104" i="18"/>
  <c r="P161" i="18"/>
  <c r="M161" i="18"/>
  <c r="M20" i="18"/>
  <c r="P20" i="18"/>
  <c r="P78" i="18"/>
  <c r="M78" i="18"/>
  <c r="M148" i="18"/>
  <c r="P148" i="18"/>
  <c r="M31" i="18"/>
  <c r="P31" i="18"/>
  <c r="M108" i="18"/>
  <c r="P108" i="18"/>
  <c r="P116" i="18"/>
  <c r="M116" i="18"/>
  <c r="P70" i="18"/>
  <c r="M70" i="18"/>
  <c r="P94" i="18"/>
  <c r="M94" i="18"/>
  <c r="P127" i="18"/>
  <c r="M127" i="18"/>
  <c r="M18" i="18"/>
  <c r="P18" i="18"/>
  <c r="P50" i="18"/>
  <c r="M50" i="18"/>
  <c r="P63" i="18"/>
  <c r="M63" i="18"/>
  <c r="M22" i="18"/>
  <c r="P22" i="18"/>
  <c r="P132" i="18"/>
  <c r="M132" i="18"/>
  <c r="M37" i="18"/>
  <c r="P37" i="18"/>
  <c r="P152" i="18"/>
  <c r="M152" i="18"/>
  <c r="P58" i="18"/>
  <c r="M58" i="18"/>
  <c r="M28" i="18"/>
  <c r="P28" i="18"/>
  <c r="P115" i="18"/>
  <c r="M115" i="18"/>
  <c r="M83" i="18"/>
  <c r="P83" i="18"/>
  <c r="P7" i="18"/>
  <c r="M7" i="18"/>
  <c r="M157" i="18"/>
  <c r="P157" i="18"/>
  <c r="M13" i="18"/>
  <c r="P13" i="18"/>
  <c r="M36" i="18"/>
  <c r="P36" i="18"/>
  <c r="P169" i="18"/>
  <c r="M169" i="18"/>
  <c r="P99" i="18"/>
  <c r="M99" i="18"/>
  <c r="M136" i="18"/>
  <c r="P136" i="18"/>
  <c r="M86" i="18"/>
  <c r="P86" i="18"/>
  <c r="M109" i="18"/>
  <c r="P109" i="18"/>
  <c r="M155" i="18"/>
  <c r="P155" i="18"/>
  <c r="P27" i="18"/>
  <c r="M27" i="18"/>
  <c r="P159" i="18"/>
  <c r="M159" i="18"/>
  <c r="M144" i="18"/>
  <c r="P144" i="18"/>
  <c r="P65" i="18"/>
  <c r="M65" i="18"/>
  <c r="P35" i="18"/>
  <c r="M35" i="18"/>
  <c r="P160" i="18"/>
  <c r="M160" i="18"/>
  <c r="M100" i="18"/>
  <c r="P100" i="18"/>
  <c r="P82" i="18"/>
  <c r="M82" i="18"/>
  <c r="P102" i="18"/>
  <c r="M102" i="18"/>
  <c r="P40" i="18"/>
  <c r="M40" i="18"/>
  <c r="P33" i="18"/>
  <c r="M33" i="18"/>
  <c r="P105" i="18"/>
  <c r="M105" i="18"/>
  <c r="P145" i="18"/>
  <c r="M145" i="18"/>
  <c r="P162" i="18"/>
  <c r="M162" i="18"/>
  <c r="M84" i="18"/>
  <c r="P84" i="18"/>
  <c r="P64" i="18"/>
  <c r="M64" i="18"/>
  <c r="M23" i="18"/>
  <c r="P23" i="18"/>
  <c r="M123" i="18"/>
  <c r="P123" i="18"/>
  <c r="P106" i="18"/>
  <c r="M106" i="18"/>
  <c r="M97" i="18"/>
  <c r="P97" i="18"/>
  <c r="M131" i="18"/>
  <c r="P131" i="18"/>
  <c r="P125" i="18"/>
  <c r="M125" i="18"/>
  <c r="P143" i="18"/>
  <c r="M143" i="18"/>
  <c r="M51" i="18"/>
  <c r="P51" i="18"/>
  <c r="M150" i="18"/>
  <c r="P150" i="18"/>
  <c r="M75" i="18"/>
  <c r="P75" i="18"/>
  <c r="M101" i="18"/>
  <c r="P101" i="18"/>
  <c r="M122" i="18"/>
  <c r="P122" i="18"/>
  <c r="P80" i="18"/>
  <c r="M80" i="18"/>
  <c r="P87" i="18"/>
  <c r="M87" i="18"/>
  <c r="M103" i="18"/>
  <c r="P103" i="18"/>
  <c r="M48" i="18"/>
  <c r="P48" i="18"/>
  <c r="P11" i="18"/>
  <c r="M11" i="18"/>
  <c r="P32" i="18"/>
  <c r="M32" i="18"/>
  <c r="M60" i="18"/>
  <c r="P60" i="18"/>
  <c r="P62" i="18"/>
  <c r="M62" i="18"/>
  <c r="P72" i="18"/>
  <c r="M72" i="18"/>
  <c r="P8" i="18"/>
  <c r="M8" i="18"/>
  <c r="M14" i="18"/>
  <c r="P14" i="18"/>
  <c r="P56" i="18"/>
  <c r="M56" i="18"/>
  <c r="M42" i="18"/>
  <c r="P42" i="18"/>
  <c r="P66" i="18"/>
  <c r="M66" i="18"/>
  <c r="M30" i="18"/>
  <c r="P30" i="18"/>
  <c r="P124" i="18"/>
  <c r="M124" i="18"/>
  <c r="M44" i="18"/>
  <c r="P44" i="18"/>
  <c r="P170" i="18"/>
  <c r="M170" i="18"/>
  <c r="P111" i="18"/>
  <c r="M111" i="18"/>
  <c r="M134" i="18"/>
  <c r="P134" i="18"/>
  <c r="M142" i="18"/>
  <c r="P142" i="18"/>
  <c r="P135" i="18"/>
  <c r="M135" i="18"/>
  <c r="M12" i="18"/>
  <c r="P12" i="18"/>
  <c r="M128" i="18"/>
  <c r="P128" i="18"/>
  <c r="P46" i="18"/>
  <c r="M46" i="18"/>
  <c r="M49" i="18"/>
  <c r="P49" i="18"/>
  <c r="M76" i="18"/>
  <c r="P76" i="18"/>
  <c r="P137" i="18"/>
  <c r="M137" i="18"/>
  <c r="M21" i="18"/>
  <c r="P21" i="18"/>
  <c r="M53" i="18"/>
  <c r="P53" i="18"/>
  <c r="P138" i="18"/>
  <c r="M138" i="18"/>
  <c r="M77" i="18"/>
  <c r="P77" i="18"/>
  <c r="M47" i="18"/>
  <c r="P47" i="18"/>
  <c r="P98" i="18"/>
  <c r="M98" i="18"/>
  <c r="P9" i="18"/>
  <c r="M9" i="18"/>
  <c r="P54" i="18"/>
  <c r="M54" i="18"/>
  <c r="P107" i="18"/>
  <c r="M107" i="18"/>
  <c r="P88" i="18"/>
  <c r="M88" i="18"/>
  <c r="P153" i="18"/>
  <c r="M153" i="18"/>
  <c r="Q11" i="18" l="1"/>
  <c r="R11" i="18"/>
  <c r="Q58" i="18"/>
  <c r="R58" i="18"/>
  <c r="R74" i="18"/>
  <c r="Q74" i="18"/>
  <c r="R149" i="18"/>
  <c r="Q149" i="18"/>
  <c r="R134" i="18"/>
  <c r="Q134" i="18"/>
  <c r="R48" i="18"/>
  <c r="Q48" i="18"/>
  <c r="Q23" i="18"/>
  <c r="R23" i="18"/>
  <c r="R95" i="18"/>
  <c r="Q95" i="18"/>
  <c r="R47" i="18"/>
  <c r="Q47" i="18"/>
  <c r="R21" i="18"/>
  <c r="Q21" i="18"/>
  <c r="R142" i="18"/>
  <c r="Q142" i="18"/>
  <c r="R44" i="18"/>
  <c r="Q44" i="18"/>
  <c r="Q42" i="18"/>
  <c r="R42" i="18"/>
  <c r="R150" i="18"/>
  <c r="Q150" i="18"/>
  <c r="Q131" i="18"/>
  <c r="R131" i="18"/>
  <c r="Q100" i="18"/>
  <c r="R100" i="18"/>
  <c r="R144" i="18"/>
  <c r="Q144" i="18"/>
  <c r="R109" i="18"/>
  <c r="Q109" i="18"/>
  <c r="R22" i="18"/>
  <c r="Q22" i="18"/>
  <c r="R108" i="18"/>
  <c r="Q108" i="18"/>
  <c r="R20" i="18"/>
  <c r="Q20" i="18"/>
  <c r="R165" i="18"/>
  <c r="Q165" i="18"/>
  <c r="R156" i="18"/>
  <c r="Q156" i="18"/>
  <c r="Q69" i="18"/>
  <c r="R69" i="18"/>
  <c r="Q139" i="18"/>
  <c r="R139" i="18"/>
  <c r="R113" i="18"/>
  <c r="Q113" i="18"/>
  <c r="Q140" i="18"/>
  <c r="R140" i="18"/>
  <c r="Q163" i="18"/>
  <c r="R163" i="18"/>
  <c r="R55" i="18"/>
  <c r="Q55" i="18"/>
  <c r="R80" i="18"/>
  <c r="Q80" i="18"/>
  <c r="R162" i="18"/>
  <c r="Q162" i="18"/>
  <c r="R79" i="18"/>
  <c r="Q79" i="18"/>
  <c r="Q77" i="18"/>
  <c r="R77" i="18"/>
  <c r="Q122" i="18"/>
  <c r="R122" i="18"/>
  <c r="R86" i="18"/>
  <c r="Q86" i="18"/>
  <c r="R91" i="18"/>
  <c r="Q91" i="18"/>
  <c r="R121" i="18"/>
  <c r="Q121" i="18"/>
  <c r="Q137" i="18"/>
  <c r="R137" i="18"/>
  <c r="R56" i="18"/>
  <c r="Q56" i="18"/>
  <c r="R160" i="18"/>
  <c r="Q160" i="18"/>
  <c r="Q63" i="18"/>
  <c r="R63" i="18"/>
  <c r="R17" i="18"/>
  <c r="Q17" i="18"/>
  <c r="R25" i="18"/>
  <c r="Q25" i="18"/>
  <c r="R15" i="18"/>
  <c r="Q15" i="18"/>
  <c r="R76" i="18"/>
  <c r="Q76" i="18"/>
  <c r="R30" i="18"/>
  <c r="Q30" i="18"/>
  <c r="R103" i="18"/>
  <c r="Q103" i="18"/>
  <c r="R148" i="18"/>
  <c r="Q148" i="18"/>
  <c r="R158" i="18"/>
  <c r="Q158" i="18"/>
  <c r="R68" i="18"/>
  <c r="Q68" i="18"/>
  <c r="R59" i="18"/>
  <c r="Q59" i="18"/>
  <c r="R166" i="18"/>
  <c r="Q166" i="18"/>
  <c r="Q153" i="18"/>
  <c r="R153" i="18"/>
  <c r="R9" i="18"/>
  <c r="Q9" i="18"/>
  <c r="R138" i="18"/>
  <c r="Q138" i="18"/>
  <c r="R111" i="18"/>
  <c r="Q111" i="18"/>
  <c r="R143" i="18"/>
  <c r="Q143" i="18"/>
  <c r="Q106" i="18"/>
  <c r="R106" i="18"/>
  <c r="R64" i="18"/>
  <c r="Q64" i="18"/>
  <c r="Q145" i="18"/>
  <c r="R145" i="18"/>
  <c r="R102" i="18"/>
  <c r="Q102" i="18"/>
  <c r="Q35" i="18"/>
  <c r="R35" i="18"/>
  <c r="Q27" i="18"/>
  <c r="R27" i="18"/>
  <c r="Q115" i="18"/>
  <c r="R115" i="18"/>
  <c r="R50" i="18"/>
  <c r="Q50" i="18"/>
  <c r="R70" i="18"/>
  <c r="Q70" i="18"/>
  <c r="R104" i="18"/>
  <c r="Q104" i="18"/>
  <c r="Q81" i="18"/>
  <c r="R81" i="18"/>
  <c r="Q43" i="18"/>
  <c r="R43" i="18"/>
  <c r="R16" i="18"/>
  <c r="Q16" i="18"/>
  <c r="Q126" i="18"/>
  <c r="R126" i="18"/>
  <c r="Q114" i="18"/>
  <c r="R114" i="18"/>
  <c r="R146" i="18"/>
  <c r="Q146" i="18"/>
  <c r="Q73" i="18"/>
  <c r="R73" i="18"/>
  <c r="R46" i="18"/>
  <c r="Q46" i="18"/>
  <c r="R72" i="18"/>
  <c r="Q72" i="18"/>
  <c r="Q7" i="18"/>
  <c r="R7" i="18"/>
  <c r="AB7" i="18" s="1"/>
  <c r="R154" i="18"/>
  <c r="Q154" i="18"/>
  <c r="Q34" i="18"/>
  <c r="R34" i="18"/>
  <c r="Q26" i="18"/>
  <c r="R26" i="18"/>
  <c r="R128" i="18"/>
  <c r="Q128" i="18"/>
  <c r="R51" i="18"/>
  <c r="Q51" i="18"/>
  <c r="R36" i="18"/>
  <c r="Q36" i="18"/>
  <c r="R112" i="18"/>
  <c r="Q112" i="18"/>
  <c r="Q129" i="18"/>
  <c r="R129" i="18"/>
  <c r="R62" i="18"/>
  <c r="Q62" i="18"/>
  <c r="R40" i="18"/>
  <c r="Q40" i="18"/>
  <c r="R152" i="18"/>
  <c r="Q152" i="18"/>
  <c r="R168" i="18"/>
  <c r="Q168" i="18"/>
  <c r="R117" i="18"/>
  <c r="Q117" i="18"/>
  <c r="R24" i="18"/>
  <c r="Q24" i="18"/>
  <c r="Q12" i="18"/>
  <c r="R12" i="18"/>
  <c r="R14" i="18"/>
  <c r="Q14" i="18"/>
  <c r="R101" i="18"/>
  <c r="Q101" i="18"/>
  <c r="R13" i="18"/>
  <c r="Q13" i="18"/>
  <c r="Q52" i="18"/>
  <c r="R52" i="18"/>
  <c r="R71" i="18"/>
  <c r="Q71" i="18"/>
  <c r="R29" i="18"/>
  <c r="Q29" i="18"/>
  <c r="Q53" i="18"/>
  <c r="R53" i="18"/>
  <c r="Q49" i="18"/>
  <c r="R49" i="18"/>
  <c r="R75" i="18"/>
  <c r="Q75" i="18"/>
  <c r="Q123" i="18"/>
  <c r="R123" i="18"/>
  <c r="Q84" i="18"/>
  <c r="R84" i="18"/>
  <c r="Q155" i="18"/>
  <c r="R155" i="18"/>
  <c r="R157" i="18"/>
  <c r="Q157" i="18"/>
  <c r="R28" i="18"/>
  <c r="Q28" i="18"/>
  <c r="Q18" i="18"/>
  <c r="R18" i="18"/>
  <c r="R167" i="18"/>
  <c r="Q167" i="18"/>
  <c r="R38" i="18"/>
  <c r="Q38" i="18"/>
  <c r="R164" i="18"/>
  <c r="Q164" i="18"/>
  <c r="R110" i="18"/>
  <c r="Q110" i="18"/>
  <c r="Q147" i="18"/>
  <c r="R147" i="18"/>
  <c r="R107" i="18"/>
  <c r="Q107" i="18"/>
  <c r="R33" i="18"/>
  <c r="Q33" i="18"/>
  <c r="Q169" i="18"/>
  <c r="R169" i="18"/>
  <c r="R127" i="18"/>
  <c r="Q127" i="18"/>
  <c r="Q57" i="18"/>
  <c r="R57" i="18"/>
  <c r="R151" i="18"/>
  <c r="Q151" i="18"/>
  <c r="R97" i="18"/>
  <c r="Q97" i="18"/>
  <c r="R83" i="18"/>
  <c r="Q83" i="18"/>
  <c r="Q31" i="18"/>
  <c r="R31" i="18"/>
  <c r="Q96" i="18"/>
  <c r="R96" i="18"/>
  <c r="R85" i="18"/>
  <c r="Q85" i="18"/>
  <c r="Q61" i="18"/>
  <c r="R61" i="18"/>
  <c r="R54" i="18"/>
  <c r="Q54" i="18"/>
  <c r="Q124" i="18"/>
  <c r="R124" i="18"/>
  <c r="R159" i="18"/>
  <c r="Q159" i="18"/>
  <c r="Q94" i="18"/>
  <c r="R94" i="18"/>
  <c r="Q161" i="18"/>
  <c r="R161" i="18"/>
  <c r="R92" i="18"/>
  <c r="Q92" i="18"/>
  <c r="R39" i="18"/>
  <c r="Q39" i="18"/>
  <c r="R60" i="18"/>
  <c r="Q60" i="18"/>
  <c r="R136" i="18"/>
  <c r="Q136" i="18"/>
  <c r="Q37" i="18"/>
  <c r="R37" i="18"/>
  <c r="R133" i="18"/>
  <c r="Q133" i="18"/>
  <c r="R88" i="18"/>
  <c r="Q88" i="18"/>
  <c r="Q98" i="18"/>
  <c r="R98" i="18"/>
  <c r="R135" i="18"/>
  <c r="Q135" i="18"/>
  <c r="R170" i="18"/>
  <c r="Q170" i="18"/>
  <c r="R66" i="18"/>
  <c r="Q66" i="18"/>
  <c r="R8" i="18"/>
  <c r="Q8" i="18"/>
  <c r="R32" i="18"/>
  <c r="Q32" i="18"/>
  <c r="R87" i="18"/>
  <c r="Q87" i="18"/>
  <c r="R125" i="18"/>
  <c r="Q125" i="18"/>
  <c r="R105" i="18"/>
  <c r="Q105" i="18"/>
  <c r="Q82" i="18"/>
  <c r="R82" i="18"/>
  <c r="Q65" i="18"/>
  <c r="R65" i="18"/>
  <c r="R99" i="18"/>
  <c r="Q99" i="18"/>
  <c r="R132" i="18"/>
  <c r="Q132" i="18"/>
  <c r="R116" i="18"/>
  <c r="Q116" i="18"/>
  <c r="R78" i="18"/>
  <c r="Q78" i="18"/>
  <c r="R120" i="18"/>
  <c r="Q120" i="18"/>
  <c r="Q10" i="18"/>
  <c r="R10" i="18"/>
  <c r="R67" i="18"/>
  <c r="Q67" i="18"/>
  <c r="R130" i="18"/>
  <c r="Q130" i="18"/>
  <c r="R90" i="18"/>
  <c r="Q90" i="18"/>
  <c r="Q93" i="18"/>
  <c r="R93" i="18"/>
  <c r="R45" i="18"/>
  <c r="Q45" i="18"/>
  <c r="R141" i="18"/>
  <c r="Q141" i="18"/>
  <c r="Q19" i="18"/>
  <c r="R19" i="18"/>
  <c r="R41" i="18"/>
  <c r="Q41" i="18"/>
  <c r="AP32" i="17"/>
  <c r="E32" i="17"/>
  <c r="AX32" i="17" s="1"/>
  <c r="AP151" i="17"/>
  <c r="E151" i="17"/>
  <c r="AX151" i="17" s="1"/>
  <c r="AP38" i="17"/>
  <c r="E38" i="17"/>
  <c r="AX38" i="17" s="1"/>
  <c r="AP92" i="17"/>
  <c r="E92" i="17"/>
  <c r="AX92" i="17" s="1"/>
  <c r="AP89" i="17"/>
  <c r="E89" i="17"/>
  <c r="AX89" i="17" s="1"/>
  <c r="AQ32" i="17" l="1"/>
  <c r="AT32" i="17" s="1"/>
  <c r="AS32" i="17"/>
  <c r="AQ151" i="17"/>
  <c r="AT151" i="17" s="1"/>
  <c r="AS151" i="17"/>
  <c r="AQ38" i="17"/>
  <c r="AT38" i="17" s="1"/>
  <c r="AS38" i="17"/>
  <c r="AQ92" i="17"/>
  <c r="AT92" i="17" s="1"/>
  <c r="AS92" i="17"/>
  <c r="AQ89" i="17"/>
  <c r="AT89" i="17" s="1"/>
  <c r="AS89" i="17"/>
  <c r="AP24" i="17"/>
  <c r="E24" i="17"/>
  <c r="AX24" i="17" s="1"/>
  <c r="AP116" i="17"/>
  <c r="E116" i="17"/>
  <c r="AX116" i="17" s="1"/>
  <c r="AP138" i="17"/>
  <c r="E138" i="17"/>
  <c r="AX138" i="17" s="1"/>
  <c r="AP132" i="17"/>
  <c r="AS132" i="17" s="1"/>
  <c r="E132" i="17"/>
  <c r="AP167" i="17"/>
  <c r="E167" i="17"/>
  <c r="AX167" i="17" s="1"/>
  <c r="AP117" i="17"/>
  <c r="AS117" i="17" s="1"/>
  <c r="E117" i="17"/>
  <c r="AX117" i="17" s="1"/>
  <c r="AQ24" i="17" l="1"/>
  <c r="AT24" i="17" s="1"/>
  <c r="AS24" i="17"/>
  <c r="AQ116" i="17"/>
  <c r="AT116" i="17" s="1"/>
  <c r="AS116" i="17"/>
  <c r="AQ138" i="17"/>
  <c r="AT138" i="17" s="1"/>
  <c r="AS138" i="17"/>
  <c r="AQ132" i="17"/>
  <c r="AT132" i="17" s="1"/>
  <c r="AQ167" i="17"/>
  <c r="AT167" i="17" s="1"/>
  <c r="AS167" i="17"/>
  <c r="AQ117" i="17"/>
  <c r="AT117" i="17" s="1"/>
  <c r="AP21" i="17"/>
  <c r="AP22" i="17"/>
  <c r="AS22" i="17" s="1"/>
  <c r="AP23" i="17"/>
  <c r="AS23" i="17" s="1"/>
  <c r="E21" i="17"/>
  <c r="AX21" i="17" s="1"/>
  <c r="E22" i="17"/>
  <c r="AX22" i="17" s="1"/>
  <c r="E23" i="17"/>
  <c r="AX23" i="17" s="1"/>
  <c r="AP28" i="17"/>
  <c r="E28" i="17"/>
  <c r="AX28" i="17" s="1"/>
  <c r="AP88" i="17"/>
  <c r="E88" i="17"/>
  <c r="AX88" i="17" s="1"/>
  <c r="AP123" i="17"/>
  <c r="E123" i="17"/>
  <c r="AX123" i="17" s="1"/>
  <c r="AP90" i="17"/>
  <c r="AS90" i="17" s="1"/>
  <c r="E90" i="17"/>
  <c r="AX90" i="17" s="1"/>
  <c r="AP115" i="17"/>
  <c r="AS115" i="17" s="1"/>
  <c r="E115" i="17"/>
  <c r="AX115" i="17" s="1"/>
  <c r="AP48" i="17"/>
  <c r="E48" i="17"/>
  <c r="AX48" i="17" s="1"/>
  <c r="AP51" i="17"/>
  <c r="AS51" i="17" s="1"/>
  <c r="E51" i="17"/>
  <c r="AX51" i="17" s="1"/>
  <c r="AQ21" i="17" l="1"/>
  <c r="AT21" i="17" s="1"/>
  <c r="AQ22" i="17"/>
  <c r="AT22" i="17" s="1"/>
  <c r="AQ23" i="17"/>
  <c r="AT23" i="17" s="1"/>
  <c r="AS21" i="17"/>
  <c r="AQ28" i="17"/>
  <c r="AT28" i="17" s="1"/>
  <c r="AS28" i="17"/>
  <c r="AQ88" i="17"/>
  <c r="AT88" i="17" s="1"/>
  <c r="AS88" i="17"/>
  <c r="AQ123" i="17"/>
  <c r="AT123" i="17" s="1"/>
  <c r="AS123" i="17"/>
  <c r="AQ90" i="17"/>
  <c r="AT90" i="17" s="1"/>
  <c r="AQ115" i="17"/>
  <c r="AT115" i="17" s="1"/>
  <c r="AQ48" i="17"/>
  <c r="AT48" i="17" s="1"/>
  <c r="AS48" i="17"/>
  <c r="AQ51" i="17"/>
  <c r="AT51" i="17" s="1"/>
  <c r="AP74" i="17"/>
  <c r="E74" i="17"/>
  <c r="AX74" i="17" s="1"/>
  <c r="AP141" i="17"/>
  <c r="E141" i="17"/>
  <c r="AX141" i="17" s="1"/>
  <c r="AP50" i="17"/>
  <c r="AS50" i="17" s="1"/>
  <c r="E50" i="17"/>
  <c r="AX50" i="17" s="1"/>
  <c r="AP139" i="17"/>
  <c r="E139" i="17"/>
  <c r="AX139" i="17" s="1"/>
  <c r="AP159" i="17"/>
  <c r="E159" i="17"/>
  <c r="AX159" i="17" s="1"/>
  <c r="AP156" i="17"/>
  <c r="AS156" i="17" s="1"/>
  <c r="E156" i="17"/>
  <c r="AP155" i="17"/>
  <c r="E155" i="17"/>
  <c r="AX155" i="17" s="1"/>
  <c r="AP166" i="17"/>
  <c r="AP168" i="17"/>
  <c r="E166" i="17"/>
  <c r="AX166" i="17" s="1"/>
  <c r="AP62" i="17"/>
  <c r="E62" i="17"/>
  <c r="AX62" i="17" s="1"/>
  <c r="AP25" i="17"/>
  <c r="E25" i="17"/>
  <c r="AX25" i="17" s="1"/>
  <c r="AP26" i="17"/>
  <c r="E26" i="17"/>
  <c r="AX26" i="17" s="1"/>
  <c r="AP147" i="17"/>
  <c r="E147" i="17"/>
  <c r="AX147" i="17" s="1"/>
  <c r="AP146" i="17"/>
  <c r="E146" i="17"/>
  <c r="AX146" i="17" s="1"/>
  <c r="AP143" i="17"/>
  <c r="E143" i="17"/>
  <c r="AX143" i="17" s="1"/>
  <c r="AP108" i="17"/>
  <c r="AS108" i="17" s="1"/>
  <c r="E108" i="17"/>
  <c r="AP49" i="17"/>
  <c r="E49" i="17"/>
  <c r="AX49" i="17" s="1"/>
  <c r="AP59" i="17"/>
  <c r="E59" i="17"/>
  <c r="AX59" i="17" s="1"/>
  <c r="AP124" i="17"/>
  <c r="AS124" i="17" s="1"/>
  <c r="E124" i="17"/>
  <c r="AX124" i="17" s="1"/>
  <c r="AP148" i="17"/>
  <c r="E148" i="17"/>
  <c r="AX148" i="17" s="1"/>
  <c r="AP76" i="17"/>
  <c r="E76" i="17"/>
  <c r="AX76" i="17" s="1"/>
  <c r="AP111" i="17"/>
  <c r="E111" i="17"/>
  <c r="AX111" i="17" s="1"/>
  <c r="AP37" i="17"/>
  <c r="E37" i="17"/>
  <c r="AX37" i="17" s="1"/>
  <c r="AP40" i="17"/>
  <c r="E40" i="17"/>
  <c r="AX40" i="17" s="1"/>
  <c r="AP39" i="17"/>
  <c r="E39" i="17"/>
  <c r="AX39" i="17" s="1"/>
  <c r="E133" i="17"/>
  <c r="AP133" i="17"/>
  <c r="AP104" i="17"/>
  <c r="E104" i="17"/>
  <c r="AP43" i="17"/>
  <c r="E43" i="17"/>
  <c r="AX43" i="17" s="1"/>
  <c r="AP44" i="17"/>
  <c r="E44" i="17"/>
  <c r="AX44" i="17" s="1"/>
  <c r="E45" i="17"/>
  <c r="AX45" i="17" s="1"/>
  <c r="AP45" i="17"/>
  <c r="AP128" i="17"/>
  <c r="E128" i="17"/>
  <c r="AX128" i="17" s="1"/>
  <c r="AP110" i="17"/>
  <c r="E110" i="17"/>
  <c r="AX110" i="17" s="1"/>
  <c r="AP36" i="17"/>
  <c r="E36" i="17"/>
  <c r="AX36" i="17" s="1"/>
  <c r="AP35" i="17"/>
  <c r="E35" i="17"/>
  <c r="AX35" i="17" s="1"/>
  <c r="AP34" i="17"/>
  <c r="E34" i="17"/>
  <c r="AX34" i="17" s="1"/>
  <c r="AP41" i="17"/>
  <c r="E41" i="17"/>
  <c r="AX41" i="17" s="1"/>
  <c r="AP71" i="17"/>
  <c r="E71" i="17"/>
  <c r="AX71" i="17" s="1"/>
  <c r="AP70" i="17"/>
  <c r="AS70" i="17" s="1"/>
  <c r="E70" i="17"/>
  <c r="AX70" i="17" s="1"/>
  <c r="AP31" i="17"/>
  <c r="E31" i="17"/>
  <c r="AX31" i="17" s="1"/>
  <c r="AP30" i="17"/>
  <c r="E30" i="17"/>
  <c r="AX30" i="17" s="1"/>
  <c r="AP162" i="17"/>
  <c r="E162" i="17"/>
  <c r="AX162" i="17" s="1"/>
  <c r="AP182" i="17"/>
  <c r="AS182" i="17" s="1"/>
  <c r="E182" i="17"/>
  <c r="AX182" i="17" s="1"/>
  <c r="AP180" i="17"/>
  <c r="E180" i="17"/>
  <c r="AX180" i="17" s="1"/>
  <c r="AQ74" i="17" l="1"/>
  <c r="AT74" i="17" s="1"/>
  <c r="AS74" i="17"/>
  <c r="AQ141" i="17"/>
  <c r="AT141" i="17" s="1"/>
  <c r="AS141" i="17"/>
  <c r="AQ50" i="17"/>
  <c r="AT50" i="17" s="1"/>
  <c r="AQ156" i="17"/>
  <c r="AT156" i="17" s="1"/>
  <c r="AQ159" i="17"/>
  <c r="AT159" i="17" s="1"/>
  <c r="AQ139" i="17"/>
  <c r="AT139" i="17" s="1"/>
  <c r="AS139" i="17"/>
  <c r="AS159" i="17"/>
  <c r="AQ155" i="17"/>
  <c r="AT155" i="17" s="1"/>
  <c r="AX156" i="17"/>
  <c r="AS155" i="17"/>
  <c r="AQ166" i="17"/>
  <c r="AT166" i="17" s="1"/>
  <c r="AQ62" i="17"/>
  <c r="AT62" i="17" s="1"/>
  <c r="AS166" i="17"/>
  <c r="AS62" i="17"/>
  <c r="AQ25" i="17"/>
  <c r="AT25" i="17" s="1"/>
  <c r="AS25" i="17"/>
  <c r="AQ26" i="17"/>
  <c r="AT26" i="17" s="1"/>
  <c r="AS26" i="17"/>
  <c r="AQ108" i="17"/>
  <c r="AT108" i="17" s="1"/>
  <c r="AQ147" i="17"/>
  <c r="AT147" i="17" s="1"/>
  <c r="AS147" i="17"/>
  <c r="AQ146" i="17"/>
  <c r="AT146" i="17" s="1"/>
  <c r="AS146" i="17"/>
  <c r="AQ143" i="17"/>
  <c r="AT143" i="17" s="1"/>
  <c r="AS143" i="17"/>
  <c r="AX108" i="17"/>
  <c r="AQ49" i="17"/>
  <c r="AT49" i="17" s="1"/>
  <c r="AS49" i="17"/>
  <c r="AQ59" i="17"/>
  <c r="AT59" i="17" s="1"/>
  <c r="AS59" i="17"/>
  <c r="AQ124" i="17"/>
  <c r="AT124" i="17" s="1"/>
  <c r="AQ148" i="17"/>
  <c r="AT148" i="17" s="1"/>
  <c r="AS148" i="17"/>
  <c r="AQ76" i="17"/>
  <c r="AT76" i="17" s="1"/>
  <c r="AS76" i="17"/>
  <c r="AQ111" i="17"/>
  <c r="AT111" i="17" s="1"/>
  <c r="AS111" i="17"/>
  <c r="AQ37" i="17"/>
  <c r="AT37" i="17" s="1"/>
  <c r="AQ40" i="17"/>
  <c r="AT40" i="17" s="1"/>
  <c r="AS37" i="17"/>
  <c r="AQ39" i="17"/>
  <c r="AT39" i="17" s="1"/>
  <c r="AS40" i="17"/>
  <c r="AS39" i="17"/>
  <c r="AQ133" i="17"/>
  <c r="AT133" i="17" s="1"/>
  <c r="AQ104" i="17"/>
  <c r="AT104" i="17" s="1"/>
  <c r="AS133" i="17"/>
  <c r="AS104" i="17"/>
  <c r="AQ45" i="17"/>
  <c r="AT45" i="17" s="1"/>
  <c r="AQ44" i="17"/>
  <c r="AT44" i="17" s="1"/>
  <c r="AQ43" i="17"/>
  <c r="AT43" i="17" s="1"/>
  <c r="AS43" i="17"/>
  <c r="AS44" i="17"/>
  <c r="AS45" i="17"/>
  <c r="AQ128" i="17"/>
  <c r="AT128" i="17" s="1"/>
  <c r="AS128" i="17"/>
  <c r="AQ110" i="17"/>
  <c r="AT110" i="17" s="1"/>
  <c r="AS110" i="17"/>
  <c r="AQ36" i="17"/>
  <c r="AT36" i="17" s="1"/>
  <c r="AS36" i="17"/>
  <c r="AQ34" i="17"/>
  <c r="AT34" i="17" s="1"/>
  <c r="AQ35" i="17"/>
  <c r="AT35" i="17" s="1"/>
  <c r="AS35" i="17"/>
  <c r="AS34" i="17"/>
  <c r="AQ41" i="17"/>
  <c r="AT41" i="17" s="1"/>
  <c r="AS41" i="17"/>
  <c r="AQ71" i="17"/>
  <c r="AT71" i="17" s="1"/>
  <c r="AS71" i="17"/>
  <c r="AQ70" i="17"/>
  <c r="AT70" i="17" s="1"/>
  <c r="AQ31" i="17"/>
  <c r="AT31" i="17" s="1"/>
  <c r="AQ30" i="17"/>
  <c r="AT30" i="17" s="1"/>
  <c r="AS31" i="17"/>
  <c r="AS30" i="17"/>
  <c r="AQ162" i="17"/>
  <c r="AT162" i="17" s="1"/>
  <c r="AS162" i="17"/>
  <c r="AQ182" i="17"/>
  <c r="AT182" i="17" s="1"/>
  <c r="AQ180" i="17"/>
  <c r="AT180" i="17" s="1"/>
  <c r="AS180" i="17"/>
  <c r="AP149" i="17" l="1"/>
  <c r="E149" i="17"/>
  <c r="AX149" i="17" s="1"/>
  <c r="AP82" i="17"/>
  <c r="E82" i="17"/>
  <c r="AX82" i="17" s="1"/>
  <c r="AP127" i="17"/>
  <c r="E127" i="17"/>
  <c r="AX127" i="17" s="1"/>
  <c r="AQ149" i="17" l="1"/>
  <c r="AT149" i="17" s="1"/>
  <c r="AS149" i="17"/>
  <c r="AQ127" i="17"/>
  <c r="AT127" i="17" s="1"/>
  <c r="AQ82" i="17"/>
  <c r="AT82" i="17" s="1"/>
  <c r="AS82" i="17"/>
  <c r="AS127" i="17"/>
  <c r="AP42" i="17"/>
  <c r="E42" i="17"/>
  <c r="AX42" i="17" s="1"/>
  <c r="AP66" i="17"/>
  <c r="AS66" i="17" s="1"/>
  <c r="AP65" i="17"/>
  <c r="AS65" i="17" s="1"/>
  <c r="E66" i="17"/>
  <c r="AX66" i="17" s="1"/>
  <c r="E65" i="17"/>
  <c r="AX65" i="17" s="1"/>
  <c r="AP130" i="17"/>
  <c r="AS130" i="17" s="1"/>
  <c r="E130" i="17"/>
  <c r="AX130" i="17" s="1"/>
  <c r="AP129" i="17"/>
  <c r="E129" i="17"/>
  <c r="AX129" i="17" s="1"/>
  <c r="AP178" i="17"/>
  <c r="E178" i="17"/>
  <c r="AX178" i="17" s="1"/>
  <c r="AP67" i="17"/>
  <c r="E67" i="17"/>
  <c r="AX67" i="17" s="1"/>
  <c r="AP98" i="17"/>
  <c r="E98" i="17"/>
  <c r="AX98" i="17" s="1"/>
  <c r="AP185" i="17"/>
  <c r="AS185" i="17" s="1"/>
  <c r="E185" i="17"/>
  <c r="AX185" i="17" s="1"/>
  <c r="AP184" i="17"/>
  <c r="AS184" i="17" s="1"/>
  <c r="E184" i="17"/>
  <c r="AX184" i="17" s="1"/>
  <c r="AP183" i="17"/>
  <c r="E183" i="17"/>
  <c r="AX183" i="17" s="1"/>
  <c r="AP181" i="17"/>
  <c r="AS181" i="17" s="1"/>
  <c r="E181" i="17"/>
  <c r="AP177" i="17"/>
  <c r="AS177" i="17" s="1"/>
  <c r="E177" i="17"/>
  <c r="AX177" i="17" s="1"/>
  <c r="AP176" i="17"/>
  <c r="AS176" i="17" s="1"/>
  <c r="E176" i="17"/>
  <c r="AX176" i="17" s="1"/>
  <c r="AP175" i="17"/>
  <c r="AS175" i="17" s="1"/>
  <c r="E175" i="17"/>
  <c r="AX175" i="17" s="1"/>
  <c r="AP174" i="17"/>
  <c r="AS174" i="17" s="1"/>
  <c r="E174" i="17"/>
  <c r="AX174" i="17" s="1"/>
  <c r="AP173" i="17"/>
  <c r="AS173" i="17" s="1"/>
  <c r="E173" i="17"/>
  <c r="AX173" i="17" s="1"/>
  <c r="AP172" i="17"/>
  <c r="AS172" i="17" s="1"/>
  <c r="E172" i="17"/>
  <c r="AX172" i="17" s="1"/>
  <c r="AP171" i="17"/>
  <c r="AS171" i="17" s="1"/>
  <c r="E171" i="17"/>
  <c r="AX171" i="17" s="1"/>
  <c r="AP170" i="17"/>
  <c r="AS170" i="17" s="1"/>
  <c r="E170" i="17"/>
  <c r="AX170" i="17" s="1"/>
  <c r="AP169" i="17"/>
  <c r="E169" i="17"/>
  <c r="AX169" i="17" s="1"/>
  <c r="E168" i="17"/>
  <c r="AX168" i="17" s="1"/>
  <c r="AP165" i="17"/>
  <c r="E165" i="17"/>
  <c r="AX165" i="17" s="1"/>
  <c r="AP164" i="17"/>
  <c r="E164" i="17"/>
  <c r="AX164" i="17" s="1"/>
  <c r="AP163" i="17"/>
  <c r="AS163" i="17" s="1"/>
  <c r="E163" i="17"/>
  <c r="AP161" i="17"/>
  <c r="AS161" i="17" s="1"/>
  <c r="E161" i="17"/>
  <c r="AX161" i="17" s="1"/>
  <c r="AP160" i="17"/>
  <c r="AS160" i="17" s="1"/>
  <c r="E160" i="17"/>
  <c r="AX160" i="17" s="1"/>
  <c r="AP158" i="17"/>
  <c r="AS158" i="17" s="1"/>
  <c r="E158" i="17"/>
  <c r="AX158" i="17" s="1"/>
  <c r="AP157" i="17"/>
  <c r="E157" i="17"/>
  <c r="AX157" i="17" s="1"/>
  <c r="AP154" i="17"/>
  <c r="E154" i="17"/>
  <c r="AX154" i="17" s="1"/>
  <c r="AP153" i="17"/>
  <c r="AS153" i="17" s="1"/>
  <c r="E153" i="17"/>
  <c r="AX153" i="17" s="1"/>
  <c r="AP152" i="17"/>
  <c r="AS152" i="17" s="1"/>
  <c r="E152" i="17"/>
  <c r="AX152" i="17" s="1"/>
  <c r="AP150" i="17"/>
  <c r="E150" i="17"/>
  <c r="AX150" i="17" s="1"/>
  <c r="AP145" i="17"/>
  <c r="E145" i="17"/>
  <c r="AX145" i="17" s="1"/>
  <c r="AP144" i="17"/>
  <c r="AS144" i="17" s="1"/>
  <c r="E144" i="17"/>
  <c r="AX144" i="17" s="1"/>
  <c r="AP142" i="17"/>
  <c r="E142" i="17"/>
  <c r="AX142" i="17" s="1"/>
  <c r="AP140" i="17"/>
  <c r="AS140" i="17" s="1"/>
  <c r="E140" i="17"/>
  <c r="AX140" i="17" s="1"/>
  <c r="AP137" i="17"/>
  <c r="E137" i="17"/>
  <c r="AX137" i="17" s="1"/>
  <c r="AP136" i="17"/>
  <c r="E136" i="17"/>
  <c r="AX136" i="17" s="1"/>
  <c r="AP135" i="17"/>
  <c r="AS135" i="17" s="1"/>
  <c r="E135" i="17"/>
  <c r="AX135" i="17" s="1"/>
  <c r="AP134" i="17"/>
  <c r="AS134" i="17" s="1"/>
  <c r="E134" i="17"/>
  <c r="AP131" i="17"/>
  <c r="AS131" i="17" s="1"/>
  <c r="E131" i="17"/>
  <c r="AX131" i="17" s="1"/>
  <c r="AP126" i="17"/>
  <c r="AS126" i="17" s="1"/>
  <c r="E126" i="17"/>
  <c r="AX126" i="17" s="1"/>
  <c r="AP125" i="17"/>
  <c r="AS125" i="17" s="1"/>
  <c r="E125" i="17"/>
  <c r="AX125" i="17" s="1"/>
  <c r="AP122" i="17"/>
  <c r="E122" i="17"/>
  <c r="AX122" i="17" s="1"/>
  <c r="AP121" i="17"/>
  <c r="E121" i="17"/>
  <c r="AX121" i="17" s="1"/>
  <c r="AP120" i="17"/>
  <c r="AS120" i="17" s="1"/>
  <c r="E120" i="17"/>
  <c r="AX120" i="17" s="1"/>
  <c r="AP119" i="17"/>
  <c r="AS119" i="17" s="1"/>
  <c r="E119" i="17"/>
  <c r="AX119" i="17" s="1"/>
  <c r="AP118" i="17"/>
  <c r="AS118" i="17" s="1"/>
  <c r="E118" i="17"/>
  <c r="AX118" i="17" s="1"/>
  <c r="AP114" i="17"/>
  <c r="E114" i="17"/>
  <c r="AX114" i="17" s="1"/>
  <c r="AP113" i="17"/>
  <c r="AS113" i="17" s="1"/>
  <c r="E113" i="17"/>
  <c r="AX113" i="17" s="1"/>
  <c r="AP112" i="17"/>
  <c r="AS112" i="17" s="1"/>
  <c r="E112" i="17"/>
  <c r="AX112" i="17" s="1"/>
  <c r="AP109" i="17"/>
  <c r="AS109" i="17" s="1"/>
  <c r="E109" i="17"/>
  <c r="AP107" i="17"/>
  <c r="AS107" i="17" s="1"/>
  <c r="E107" i="17"/>
  <c r="AX107" i="17" s="1"/>
  <c r="AP106" i="17"/>
  <c r="AS106" i="17" s="1"/>
  <c r="E106" i="17"/>
  <c r="AX106" i="17" s="1"/>
  <c r="AP105" i="17"/>
  <c r="AS105" i="17" s="1"/>
  <c r="E105" i="17"/>
  <c r="AX105" i="17" s="1"/>
  <c r="AP103" i="17"/>
  <c r="E103" i="17"/>
  <c r="AX103" i="17" s="1"/>
  <c r="AP102" i="17"/>
  <c r="AS102" i="17" s="1"/>
  <c r="E102" i="17"/>
  <c r="AX102" i="17" s="1"/>
  <c r="AP101" i="17"/>
  <c r="AS101" i="17" s="1"/>
  <c r="E101" i="17"/>
  <c r="AX101" i="17" s="1"/>
  <c r="AP100" i="17"/>
  <c r="AS100" i="17" s="1"/>
  <c r="E100" i="17"/>
  <c r="AX100" i="17" s="1"/>
  <c r="AP99" i="17"/>
  <c r="AS99" i="17" s="1"/>
  <c r="E99" i="17"/>
  <c r="AX99" i="17" s="1"/>
  <c r="AP97" i="17"/>
  <c r="AS97" i="17" s="1"/>
  <c r="E97" i="17"/>
  <c r="AX97" i="17" s="1"/>
  <c r="AP96" i="17"/>
  <c r="E96" i="17"/>
  <c r="AX96" i="17" s="1"/>
  <c r="AP95" i="17"/>
  <c r="AS95" i="17" s="1"/>
  <c r="E95" i="17"/>
  <c r="AP94" i="17"/>
  <c r="AS94" i="17" s="1"/>
  <c r="E94" i="17"/>
  <c r="AX94" i="17" s="1"/>
  <c r="AP93" i="17"/>
  <c r="AS93" i="17" s="1"/>
  <c r="E93" i="17"/>
  <c r="AX93" i="17" s="1"/>
  <c r="AP91" i="17"/>
  <c r="AS91" i="17" s="1"/>
  <c r="E91" i="17"/>
  <c r="AX91" i="17" s="1"/>
  <c r="AP87" i="17"/>
  <c r="E87" i="17"/>
  <c r="AX87" i="17" s="1"/>
  <c r="AP86" i="17"/>
  <c r="E86" i="17"/>
  <c r="AX86" i="17" s="1"/>
  <c r="AP85" i="17"/>
  <c r="AS85" i="17" s="1"/>
  <c r="E85" i="17"/>
  <c r="AX85" i="17" s="1"/>
  <c r="AP84" i="17"/>
  <c r="E84" i="17"/>
  <c r="AX84" i="17" s="1"/>
  <c r="AP83" i="17"/>
  <c r="AS83" i="17" s="1"/>
  <c r="E83" i="17"/>
  <c r="AX83" i="17" s="1"/>
  <c r="AP81" i="17"/>
  <c r="E81" i="17"/>
  <c r="AX81" i="17" s="1"/>
  <c r="AP80" i="17"/>
  <c r="AS80" i="17" s="1"/>
  <c r="E80" i="17"/>
  <c r="AX80" i="17" s="1"/>
  <c r="AP79" i="17"/>
  <c r="E79" i="17"/>
  <c r="AX79" i="17" s="1"/>
  <c r="AP78" i="17"/>
  <c r="AS78" i="17" s="1"/>
  <c r="E78" i="17"/>
  <c r="AP77" i="17"/>
  <c r="AS77" i="17" s="1"/>
  <c r="E77" i="17"/>
  <c r="AX77" i="17" s="1"/>
  <c r="AP75" i="17"/>
  <c r="AS75" i="17" s="1"/>
  <c r="E75" i="17"/>
  <c r="AX75" i="17" s="1"/>
  <c r="AP69" i="17"/>
  <c r="AS69" i="17" s="1"/>
  <c r="E69" i="17"/>
  <c r="AX69" i="17" s="1"/>
  <c r="AP68" i="17"/>
  <c r="AS68" i="17" s="1"/>
  <c r="E68" i="17"/>
  <c r="AX68" i="17" s="1"/>
  <c r="AP64" i="17"/>
  <c r="E64" i="17"/>
  <c r="AX64" i="17" s="1"/>
  <c r="AP63" i="17"/>
  <c r="E63" i="17"/>
  <c r="AX63" i="17" s="1"/>
  <c r="AP61" i="17"/>
  <c r="AS61" i="17" s="1"/>
  <c r="E61" i="17"/>
  <c r="AX61" i="17" s="1"/>
  <c r="AP60" i="17"/>
  <c r="AS60" i="17" s="1"/>
  <c r="E60" i="17"/>
  <c r="AP58" i="17"/>
  <c r="E58" i="17"/>
  <c r="AX58" i="17" s="1"/>
  <c r="AP57" i="17"/>
  <c r="AS57" i="17" s="1"/>
  <c r="E57" i="17"/>
  <c r="AX57" i="17" s="1"/>
  <c r="AP56" i="17"/>
  <c r="AS56" i="17" s="1"/>
  <c r="E56" i="17"/>
  <c r="AX56" i="17" s="1"/>
  <c r="AP55" i="17"/>
  <c r="E55" i="17"/>
  <c r="AX55" i="17" s="1"/>
  <c r="AP54" i="17"/>
  <c r="E54" i="17"/>
  <c r="AX54" i="17" s="1"/>
  <c r="AP53" i="17"/>
  <c r="AS53" i="17" s="1"/>
  <c r="E53" i="17"/>
  <c r="AX53" i="17" s="1"/>
  <c r="AP52" i="17"/>
  <c r="E52" i="17"/>
  <c r="AX52" i="17" s="1"/>
  <c r="AP47" i="17"/>
  <c r="AS47" i="17" s="1"/>
  <c r="E47" i="17"/>
  <c r="AX47" i="17" s="1"/>
  <c r="AP46" i="17"/>
  <c r="AS46" i="17" s="1"/>
  <c r="E46" i="17"/>
  <c r="AX46" i="17" s="1"/>
  <c r="AP33" i="17"/>
  <c r="AS33" i="17" s="1"/>
  <c r="E33" i="17"/>
  <c r="AX33" i="17" s="1"/>
  <c r="AP29" i="17"/>
  <c r="AS29" i="17" s="1"/>
  <c r="E29" i="17"/>
  <c r="AX29" i="17" s="1"/>
  <c r="AP8" i="17"/>
  <c r="AS8" i="17" s="1"/>
  <c r="E8" i="17"/>
  <c r="AX8" i="17" s="1"/>
  <c r="AP7" i="17"/>
  <c r="AS7" i="17" s="1"/>
  <c r="E7" i="17"/>
  <c r="AX7" i="17" s="1"/>
  <c r="AQ42" i="17" l="1"/>
  <c r="AT42" i="17" s="1"/>
  <c r="AS42" i="17"/>
  <c r="AQ65" i="17"/>
  <c r="AT65" i="17" s="1"/>
  <c r="AQ66" i="17"/>
  <c r="AT66" i="17" s="1"/>
  <c r="AQ178" i="17"/>
  <c r="AT178" i="17" s="1"/>
  <c r="AQ130" i="17"/>
  <c r="AT130" i="17" s="1"/>
  <c r="AQ129" i="17"/>
  <c r="AT129" i="17" s="1"/>
  <c r="AS129" i="17"/>
  <c r="AS178" i="17"/>
  <c r="AQ67" i="17"/>
  <c r="AT67" i="17" s="1"/>
  <c r="AS67" i="17"/>
  <c r="AQ98" i="17"/>
  <c r="AT98" i="17" s="1"/>
  <c r="AS98" i="17"/>
  <c r="AQ134" i="17"/>
  <c r="AT134" i="17" s="1"/>
  <c r="AQ157" i="17"/>
  <c r="AT157" i="17" s="1"/>
  <c r="AQ136" i="17"/>
  <c r="AT136" i="17" s="1"/>
  <c r="AQ185" i="17"/>
  <c r="AT185" i="17" s="1"/>
  <c r="AQ183" i="17"/>
  <c r="AT183" i="17" s="1"/>
  <c r="AQ169" i="17"/>
  <c r="AT169" i="17" s="1"/>
  <c r="AQ184" i="17"/>
  <c r="AT184" i="17" s="1"/>
  <c r="AQ145" i="17"/>
  <c r="AT145" i="17" s="1"/>
  <c r="AQ164" i="17"/>
  <c r="AT164" i="17" s="1"/>
  <c r="AQ170" i="17"/>
  <c r="AT170" i="17" s="1"/>
  <c r="AQ137" i="17"/>
  <c r="AT137" i="17" s="1"/>
  <c r="AS183" i="17"/>
  <c r="AQ163" i="17"/>
  <c r="AT163" i="17" s="1"/>
  <c r="AQ168" i="17"/>
  <c r="AT168" i="17" s="1"/>
  <c r="AQ121" i="17"/>
  <c r="AT121" i="17" s="1"/>
  <c r="AX134" i="17"/>
  <c r="AQ171" i="17"/>
  <c r="AT171" i="17" s="1"/>
  <c r="AQ126" i="17"/>
  <c r="AT126" i="17" s="1"/>
  <c r="AQ174" i="17"/>
  <c r="AT174" i="17" s="1"/>
  <c r="AQ142" i="17"/>
  <c r="AT142" i="17" s="1"/>
  <c r="AQ154" i="17"/>
  <c r="AT154" i="17" s="1"/>
  <c r="AQ181" i="17"/>
  <c r="AT181" i="17" s="1"/>
  <c r="AQ177" i="17"/>
  <c r="AT177" i="17" s="1"/>
  <c r="AX181" i="17"/>
  <c r="AQ152" i="17"/>
  <c r="AT152" i="17" s="1"/>
  <c r="AQ150" i="17"/>
  <c r="AT150" i="17" s="1"/>
  <c r="AQ165" i="17"/>
  <c r="AT165" i="17" s="1"/>
  <c r="AS169" i="17"/>
  <c r="AQ172" i="17"/>
  <c r="AT172" i="17" s="1"/>
  <c r="AQ175" i="17"/>
  <c r="AT175" i="17" s="1"/>
  <c r="AQ160" i="17"/>
  <c r="AT160" i="17" s="1"/>
  <c r="AS157" i="17"/>
  <c r="AQ60" i="17"/>
  <c r="AT60" i="17" s="1"/>
  <c r="AQ118" i="17"/>
  <c r="AT118" i="17" s="1"/>
  <c r="AQ140" i="17"/>
  <c r="AT140" i="17" s="1"/>
  <c r="AS168" i="17"/>
  <c r="AQ173" i="17"/>
  <c r="AT173" i="17" s="1"/>
  <c r="AQ135" i="17"/>
  <c r="AT135" i="17" s="1"/>
  <c r="AQ176" i="17"/>
  <c r="AT176" i="17" s="1"/>
  <c r="AQ122" i="17"/>
  <c r="AT122" i="17" s="1"/>
  <c r="AS137" i="17"/>
  <c r="AX163" i="17"/>
  <c r="AS145" i="17"/>
  <c r="AS164" i="17"/>
  <c r="AS142" i="17"/>
  <c r="AQ106" i="17"/>
  <c r="AT106" i="17" s="1"/>
  <c r="AQ125" i="17"/>
  <c r="AT125" i="17" s="1"/>
  <c r="AS136" i="17"/>
  <c r="AS150" i="17"/>
  <c r="AQ153" i="17"/>
  <c r="AT153" i="17" s="1"/>
  <c r="AS154" i="17"/>
  <c r="AQ158" i="17"/>
  <c r="AT158" i="17" s="1"/>
  <c r="AS165" i="17"/>
  <c r="AQ114" i="17"/>
  <c r="AT114" i="17" s="1"/>
  <c r="AS122" i="17"/>
  <c r="AQ131" i="17"/>
  <c r="AT131" i="17" s="1"/>
  <c r="AQ161" i="17"/>
  <c r="AT161" i="17" s="1"/>
  <c r="AQ120" i="17"/>
  <c r="AT120" i="17" s="1"/>
  <c r="AQ112" i="17"/>
  <c r="AT112" i="17" s="1"/>
  <c r="AQ144" i="17"/>
  <c r="AT144" i="17" s="1"/>
  <c r="AS114" i="17"/>
  <c r="AQ119" i="17"/>
  <c r="AT119" i="17" s="1"/>
  <c r="AQ84" i="17"/>
  <c r="AT84" i="17" s="1"/>
  <c r="AQ109" i="17"/>
  <c r="AT109" i="17" s="1"/>
  <c r="AS121" i="17"/>
  <c r="AQ96" i="17"/>
  <c r="AT96" i="17" s="1"/>
  <c r="AQ55" i="17"/>
  <c r="AT55" i="17" s="1"/>
  <c r="AX109" i="17"/>
  <c r="AQ102" i="17"/>
  <c r="AT102" i="17" s="1"/>
  <c r="AQ95" i="17"/>
  <c r="AT95" i="17" s="1"/>
  <c r="AQ86" i="17"/>
  <c r="AT86" i="17" s="1"/>
  <c r="AQ107" i="17"/>
  <c r="AT107" i="17" s="1"/>
  <c r="AQ113" i="17"/>
  <c r="AT113" i="17" s="1"/>
  <c r="AS96" i="17"/>
  <c r="AQ63" i="17"/>
  <c r="AT63" i="17" s="1"/>
  <c r="AQ105" i="17"/>
  <c r="AT105" i="17" s="1"/>
  <c r="AQ53" i="17"/>
  <c r="AT53" i="17" s="1"/>
  <c r="AS86" i="17"/>
  <c r="AX95" i="17"/>
  <c r="AQ58" i="17"/>
  <c r="AT58" i="17" s="1"/>
  <c r="AQ101" i="17"/>
  <c r="AT101" i="17" s="1"/>
  <c r="AS55" i="17"/>
  <c r="AQ103" i="17"/>
  <c r="AT103" i="17" s="1"/>
  <c r="AQ52" i="17"/>
  <c r="AT52" i="17" s="1"/>
  <c r="AS52" i="17"/>
  <c r="AS84" i="17"/>
  <c r="AQ79" i="17"/>
  <c r="AT79" i="17" s="1"/>
  <c r="AQ100" i="17"/>
  <c r="AT100" i="17" s="1"/>
  <c r="AQ97" i="17"/>
  <c r="AT97" i="17" s="1"/>
  <c r="AQ46" i="17"/>
  <c r="AT46" i="17" s="1"/>
  <c r="AS63" i="17"/>
  <c r="AQ77" i="17"/>
  <c r="AT77" i="17" s="1"/>
  <c r="AQ85" i="17"/>
  <c r="AT85" i="17" s="1"/>
  <c r="AQ99" i="17"/>
  <c r="AT99" i="17" s="1"/>
  <c r="AS103" i="17"/>
  <c r="AS58" i="17"/>
  <c r="AQ8" i="17"/>
  <c r="AT8" i="17" s="1"/>
  <c r="AQ81" i="17"/>
  <c r="AT81" i="17" s="1"/>
  <c r="AQ91" i="17"/>
  <c r="AT91" i="17" s="1"/>
  <c r="AS81" i="17"/>
  <c r="AQ54" i="17"/>
  <c r="AT54" i="17" s="1"/>
  <c r="AQ68" i="17"/>
  <c r="AT68" i="17" s="1"/>
  <c r="AQ61" i="17"/>
  <c r="AT61" i="17" s="1"/>
  <c r="AQ64" i="17"/>
  <c r="AT64" i="17" s="1"/>
  <c r="AQ69" i="17"/>
  <c r="AT69" i="17" s="1"/>
  <c r="AQ78" i="17"/>
  <c r="AT78" i="17" s="1"/>
  <c r="AQ80" i="17"/>
  <c r="AT80" i="17" s="1"/>
  <c r="AQ87" i="17"/>
  <c r="AT87" i="17" s="1"/>
  <c r="AQ93" i="17"/>
  <c r="AT93" i="17" s="1"/>
  <c r="AX60" i="17"/>
  <c r="AX78" i="17"/>
  <c r="AQ29" i="17"/>
  <c r="AT29" i="17" s="1"/>
  <c r="AQ56" i="17"/>
  <c r="AT56" i="17" s="1"/>
  <c r="AQ47" i="17"/>
  <c r="AT47" i="17" s="1"/>
  <c r="AQ7" i="17"/>
  <c r="AQ33" i="17"/>
  <c r="AT33" i="17" s="1"/>
  <c r="AS54" i="17"/>
  <c r="AQ57" i="17"/>
  <c r="AT57" i="17" s="1"/>
  <c r="AS64" i="17"/>
  <c r="AQ75" i="17"/>
  <c r="AT75" i="17" s="1"/>
  <c r="AS79" i="17"/>
  <c r="AQ83" i="17"/>
  <c r="AT83" i="17" s="1"/>
  <c r="AS87" i="17"/>
  <c r="AQ94" i="17"/>
  <c r="AT94" i="17" s="1"/>
  <c r="AW186" i="17" l="1"/>
  <c r="AQ186" i="17"/>
  <c r="AQ189" i="17" s="1"/>
  <c r="AT7" i="17"/>
  <c r="AT186" i="17" s="1"/>
  <c r="AV189" i="17" l="1"/>
  <c r="AT187" i="17"/>
  <c r="AT189" i="17" s="1"/>
  <c r="BA186" i="17" s="1"/>
  <c r="BA188" i="17" s="1"/>
  <c r="AU15" i="17" l="1"/>
  <c r="AU9" i="17"/>
  <c r="AV9" i="17" s="1"/>
  <c r="AV15" i="17"/>
  <c r="AY15" i="17"/>
  <c r="AU19" i="17"/>
  <c r="AU20" i="17"/>
  <c r="AV19" i="17"/>
  <c r="AY19" i="17"/>
  <c r="AU14" i="17"/>
  <c r="AU16" i="17"/>
  <c r="AU18" i="17"/>
  <c r="AU13" i="17"/>
  <c r="AY18" i="17"/>
  <c r="AV18" i="17"/>
  <c r="AU12" i="17"/>
  <c r="BJ12" i="17" s="1"/>
  <c r="AU17" i="17"/>
  <c r="AY12" i="17"/>
  <c r="AV12" i="17"/>
  <c r="AU11" i="17"/>
  <c r="AU10" i="17"/>
  <c r="AU27" i="17"/>
  <c r="AU179" i="17"/>
  <c r="AU73" i="17"/>
  <c r="AU72" i="17"/>
  <c r="AU32" i="17"/>
  <c r="BJ32" i="17" s="1"/>
  <c r="AU38" i="17"/>
  <c r="BJ38" i="17" s="1"/>
  <c r="AU151" i="17"/>
  <c r="BJ151" i="17" s="1"/>
  <c r="AU89" i="17"/>
  <c r="BJ89" i="17" s="1"/>
  <c r="AU92" i="17"/>
  <c r="BJ92" i="17" s="1"/>
  <c r="AU116" i="17"/>
  <c r="BJ116" i="17" s="1"/>
  <c r="AU24" i="17"/>
  <c r="BJ24" i="17" s="1"/>
  <c r="AU132" i="17"/>
  <c r="BJ132" i="17" s="1"/>
  <c r="BK132" i="17" s="1"/>
  <c r="AU138" i="17"/>
  <c r="BJ138" i="17" s="1"/>
  <c r="AU117" i="17"/>
  <c r="BJ117" i="17" s="1"/>
  <c r="AU167" i="17"/>
  <c r="BJ167" i="17" s="1"/>
  <c r="AU23" i="17"/>
  <c r="BJ23" i="17" s="1"/>
  <c r="AU22" i="17"/>
  <c r="BJ22" i="17" s="1"/>
  <c r="AU21" i="17"/>
  <c r="BJ21" i="17" s="1"/>
  <c r="AU88" i="17"/>
  <c r="BJ88" i="17" s="1"/>
  <c r="AU28" i="17"/>
  <c r="BJ28" i="17" s="1"/>
  <c r="AU90" i="17"/>
  <c r="BJ90" i="17" s="1"/>
  <c r="AU123" i="17"/>
  <c r="BJ123" i="17" s="1"/>
  <c r="AU48" i="17"/>
  <c r="BJ48" i="17" s="1"/>
  <c r="AU115" i="17"/>
  <c r="BJ115" i="17" s="1"/>
  <c r="AU74" i="17"/>
  <c r="BJ74" i="17" s="1"/>
  <c r="AU51" i="17"/>
  <c r="BJ51" i="17" s="1"/>
  <c r="AU141" i="17"/>
  <c r="BJ141" i="17" s="1"/>
  <c r="AU50" i="17"/>
  <c r="BJ50" i="17" s="1"/>
  <c r="AU159" i="17"/>
  <c r="BJ159" i="17" s="1"/>
  <c r="AU139" i="17"/>
  <c r="BJ139" i="17" s="1"/>
  <c r="AU155" i="17"/>
  <c r="BJ155" i="17" s="1"/>
  <c r="AU156" i="17"/>
  <c r="BJ156" i="17" s="1"/>
  <c r="AU166" i="17"/>
  <c r="BJ166" i="17" s="1"/>
  <c r="AU25" i="17"/>
  <c r="BJ25" i="17" s="1"/>
  <c r="AU62" i="17"/>
  <c r="BJ62" i="17" s="1"/>
  <c r="AU147" i="17"/>
  <c r="BJ147" i="17" s="1"/>
  <c r="AU26" i="17"/>
  <c r="BJ26" i="17" s="1"/>
  <c r="AU143" i="17"/>
  <c r="BJ143" i="17" s="1"/>
  <c r="AU146" i="17"/>
  <c r="BJ146" i="17" s="1"/>
  <c r="AU49" i="17"/>
  <c r="BJ49" i="17" s="1"/>
  <c r="AU108" i="17"/>
  <c r="BJ108" i="17" s="1"/>
  <c r="AU59" i="17"/>
  <c r="BJ59" i="17" s="1"/>
  <c r="AU124" i="17"/>
  <c r="BJ124" i="17" s="1"/>
  <c r="AU76" i="17"/>
  <c r="BJ76" i="17" s="1"/>
  <c r="AU148" i="17"/>
  <c r="BJ148" i="17" s="1"/>
  <c r="AU37" i="17"/>
  <c r="BJ37" i="17" s="1"/>
  <c r="AU111" i="17"/>
  <c r="BJ111" i="17" s="1"/>
  <c r="AU39" i="17"/>
  <c r="BJ39" i="17" s="1"/>
  <c r="AU40" i="17"/>
  <c r="BJ40" i="17" s="1"/>
  <c r="AU104" i="17"/>
  <c r="BJ104" i="17" s="1"/>
  <c r="BK104" i="17" s="1"/>
  <c r="AU133" i="17"/>
  <c r="BJ133" i="17" s="1"/>
  <c r="BK133" i="17" s="1"/>
  <c r="AU43" i="17"/>
  <c r="BJ43" i="17" s="1"/>
  <c r="AU80" i="17"/>
  <c r="BJ80" i="17" s="1"/>
  <c r="AU45" i="17"/>
  <c r="BJ45" i="17" s="1"/>
  <c r="AU44" i="17"/>
  <c r="BJ44" i="17" s="1"/>
  <c r="AU182" i="17"/>
  <c r="BJ182" i="17" s="1"/>
  <c r="AU128" i="17"/>
  <c r="BJ128" i="17" s="1"/>
  <c r="AU110" i="17"/>
  <c r="BJ110" i="17" s="1"/>
  <c r="AU180" i="17"/>
  <c r="BJ180" i="17" s="1"/>
  <c r="AU162" i="17"/>
  <c r="BJ162" i="17" s="1"/>
  <c r="AU127" i="17"/>
  <c r="BJ127" i="17" s="1"/>
  <c r="AU112" i="17"/>
  <c r="BJ112" i="17" s="1"/>
  <c r="AU94" i="17"/>
  <c r="BJ94" i="17" s="1"/>
  <c r="AU149" i="17"/>
  <c r="BJ149" i="17" s="1"/>
  <c r="AU174" i="17"/>
  <c r="BJ174" i="17" s="1"/>
  <c r="AU161" i="17"/>
  <c r="BJ161" i="17" s="1"/>
  <c r="AU91" i="17"/>
  <c r="BJ91" i="17" s="1"/>
  <c r="AU99" i="17"/>
  <c r="BJ99" i="17" s="1"/>
  <c r="AU160" i="17"/>
  <c r="BJ160" i="17" s="1"/>
  <c r="AU101" i="17"/>
  <c r="BJ101" i="17" s="1"/>
  <c r="AU171" i="17"/>
  <c r="BJ171" i="17" s="1"/>
  <c r="AU134" i="17"/>
  <c r="BJ134" i="17" s="1"/>
  <c r="AU153" i="17"/>
  <c r="BJ153" i="17" s="1"/>
  <c r="AU125" i="17"/>
  <c r="BJ125" i="17" s="1"/>
  <c r="AU118" i="17"/>
  <c r="BJ118" i="17" s="1"/>
  <c r="AU100" i="17"/>
  <c r="BJ100" i="17" s="1"/>
  <c r="AU93" i="17"/>
  <c r="BJ93" i="17" s="1"/>
  <c r="AU172" i="17"/>
  <c r="BJ172" i="17" s="1"/>
  <c r="AU140" i="17"/>
  <c r="BJ140" i="17" s="1"/>
  <c r="AU184" i="17"/>
  <c r="BJ184" i="17" s="1"/>
  <c r="AU107" i="17"/>
  <c r="BJ107" i="17" s="1"/>
  <c r="AU109" i="17"/>
  <c r="BJ109" i="17" s="1"/>
  <c r="AU119" i="17"/>
  <c r="BJ119" i="17" s="1"/>
  <c r="AU185" i="17"/>
  <c r="BJ185" i="17" s="1"/>
  <c r="AU144" i="17"/>
  <c r="BJ144" i="17" s="1"/>
  <c r="AU105" i="17"/>
  <c r="BJ105" i="17" s="1"/>
  <c r="AU170" i="17"/>
  <c r="BJ170" i="17" s="1"/>
  <c r="AU135" i="17"/>
  <c r="BJ135" i="17" s="1"/>
  <c r="AU152" i="17"/>
  <c r="BJ152" i="17" s="1"/>
  <c r="AU131" i="17"/>
  <c r="BJ131" i="17" s="1"/>
  <c r="AU97" i="17"/>
  <c r="BJ97" i="17" s="1"/>
  <c r="AU176" i="17"/>
  <c r="BJ176" i="17" s="1"/>
  <c r="AU173" i="17"/>
  <c r="BJ173" i="17" s="1"/>
  <c r="AU163" i="17"/>
  <c r="BJ163" i="17" s="1"/>
  <c r="AU181" i="17"/>
  <c r="BJ181" i="17" s="1"/>
  <c r="AU177" i="17"/>
  <c r="BJ177" i="17" s="1"/>
  <c r="AU102" i="17"/>
  <c r="BJ102" i="17" s="1"/>
  <c r="AU120" i="17"/>
  <c r="BJ120" i="17" s="1"/>
  <c r="AU106" i="17"/>
  <c r="BJ106" i="17" s="1"/>
  <c r="AU126" i="17"/>
  <c r="BJ126" i="17" s="1"/>
  <c r="AU95" i="17"/>
  <c r="BJ95" i="17" s="1"/>
  <c r="AU113" i="17"/>
  <c r="BJ113" i="17" s="1"/>
  <c r="AU175" i="17"/>
  <c r="BJ175" i="17" s="1"/>
  <c r="AU130" i="17"/>
  <c r="BJ130" i="17" s="1"/>
  <c r="AU158" i="17"/>
  <c r="BJ158" i="17" s="1"/>
  <c r="AU122" i="17"/>
  <c r="BJ122" i="17" s="1"/>
  <c r="AU137" i="17"/>
  <c r="BJ137" i="17" s="1"/>
  <c r="AU121" i="17"/>
  <c r="BJ121" i="17" s="1"/>
  <c r="AU183" i="17"/>
  <c r="BJ183" i="17" s="1"/>
  <c r="AU178" i="17"/>
  <c r="BJ178" i="17" s="1"/>
  <c r="AU150" i="17"/>
  <c r="BJ150" i="17" s="1"/>
  <c r="AU129" i="17"/>
  <c r="BJ129" i="17" s="1"/>
  <c r="AU114" i="17"/>
  <c r="BJ114" i="17" s="1"/>
  <c r="AU165" i="17"/>
  <c r="BJ165" i="17" s="1"/>
  <c r="AU103" i="17"/>
  <c r="BJ103" i="17" s="1"/>
  <c r="AU154" i="17"/>
  <c r="BJ154" i="17" s="1"/>
  <c r="AU157" i="17"/>
  <c r="BJ157" i="17" s="1"/>
  <c r="AU168" i="17"/>
  <c r="BJ168" i="17" s="1"/>
  <c r="AU98" i="17"/>
  <c r="BJ98" i="17" s="1"/>
  <c r="AU142" i="17"/>
  <c r="BJ142" i="17" s="1"/>
  <c r="AU169" i="17"/>
  <c r="BJ169" i="17" s="1"/>
  <c r="AU136" i="17"/>
  <c r="BJ136" i="17" s="1"/>
  <c r="AU145" i="17"/>
  <c r="BJ145" i="17" s="1"/>
  <c r="AU164" i="17"/>
  <c r="BJ164" i="17" s="1"/>
  <c r="AU96" i="17"/>
  <c r="BJ96" i="17" s="1"/>
  <c r="AU35" i="17"/>
  <c r="BJ35" i="17" s="1"/>
  <c r="AU36" i="17"/>
  <c r="BJ36" i="17" s="1"/>
  <c r="AU41" i="17"/>
  <c r="BJ41" i="17" s="1"/>
  <c r="AU34" i="17"/>
  <c r="BJ34" i="17" s="1"/>
  <c r="AU31" i="17"/>
  <c r="BJ31" i="17" s="1"/>
  <c r="AU71" i="17"/>
  <c r="BJ71" i="17" s="1"/>
  <c r="AU70" i="17"/>
  <c r="BJ70" i="17" s="1"/>
  <c r="AU82" i="17"/>
  <c r="BJ82" i="17" s="1"/>
  <c r="AU30" i="17"/>
  <c r="BJ30" i="17" s="1"/>
  <c r="AU66" i="17"/>
  <c r="BJ66" i="17" s="1"/>
  <c r="AU42" i="17"/>
  <c r="BJ42" i="17" s="1"/>
  <c r="AU67" i="17"/>
  <c r="BJ67" i="17" s="1"/>
  <c r="AU65" i="17"/>
  <c r="BJ65" i="17" s="1"/>
  <c r="AU84" i="17"/>
  <c r="BJ84" i="17" s="1"/>
  <c r="AU55" i="17"/>
  <c r="BJ55" i="17" s="1"/>
  <c r="AU8" i="17"/>
  <c r="BJ8" i="17" s="1"/>
  <c r="AU61" i="17"/>
  <c r="BJ61" i="17" s="1"/>
  <c r="AU52" i="17"/>
  <c r="BJ52" i="17" s="1"/>
  <c r="AU81" i="17"/>
  <c r="BJ81" i="17" s="1"/>
  <c r="AU7" i="17"/>
  <c r="BJ7" i="17" s="1"/>
  <c r="AU63" i="17"/>
  <c r="BJ63" i="17" s="1"/>
  <c r="AU57" i="17"/>
  <c r="BJ57" i="17" s="1"/>
  <c r="AU47" i="17"/>
  <c r="BJ47" i="17" s="1"/>
  <c r="AU53" i="17"/>
  <c r="BJ53" i="17" s="1"/>
  <c r="AU77" i="17"/>
  <c r="BJ77" i="17" s="1"/>
  <c r="AU86" i="17"/>
  <c r="BJ86" i="17" s="1"/>
  <c r="AU29" i="17"/>
  <c r="BJ29" i="17" s="1"/>
  <c r="AU58" i="17"/>
  <c r="BJ58" i="17" s="1"/>
  <c r="AU69" i="17"/>
  <c r="BJ69" i="17" s="1"/>
  <c r="AU60" i="17"/>
  <c r="BJ60" i="17" s="1"/>
  <c r="AU68" i="17"/>
  <c r="BJ68" i="17" s="1"/>
  <c r="AU46" i="17"/>
  <c r="BJ46" i="17" s="1"/>
  <c r="AU83" i="17"/>
  <c r="BJ83" i="17" s="1"/>
  <c r="AU56" i="17"/>
  <c r="BJ56" i="17" s="1"/>
  <c r="AU85" i="17"/>
  <c r="BJ85" i="17" s="1"/>
  <c r="AU33" i="17"/>
  <c r="BJ33" i="17" s="1"/>
  <c r="AU78" i="17"/>
  <c r="BJ78" i="17" s="1"/>
  <c r="AU75" i="17"/>
  <c r="BJ75" i="17" s="1"/>
  <c r="AU87" i="17"/>
  <c r="BJ87" i="17" s="1"/>
  <c r="AU64" i="17"/>
  <c r="BJ64" i="17" s="1"/>
  <c r="AU54" i="17"/>
  <c r="BJ54" i="17" s="1"/>
  <c r="AU79" i="17"/>
  <c r="BJ79" i="17" s="1"/>
  <c r="AZ15" i="17" l="1"/>
  <c r="BA15" i="17"/>
  <c r="AV20" i="17"/>
  <c r="AY20" i="17"/>
  <c r="AZ19" i="17"/>
  <c r="BA19" i="17"/>
  <c r="AY14" i="17"/>
  <c r="AV14" i="17"/>
  <c r="AV16" i="17"/>
  <c r="AY16" i="17"/>
  <c r="AZ14" i="17"/>
  <c r="BA14" i="17"/>
  <c r="AV13" i="17"/>
  <c r="AY13" i="17"/>
  <c r="BA18" i="17"/>
  <c r="AZ18" i="17"/>
  <c r="AV17" i="17"/>
  <c r="AY17" i="17"/>
  <c r="BA12" i="17"/>
  <c r="BK12" i="17" s="1"/>
  <c r="AZ12" i="17"/>
  <c r="AV11" i="17"/>
  <c r="AY11" i="17"/>
  <c r="BJ11" i="17"/>
  <c r="AV10" i="17"/>
  <c r="AY10" i="17"/>
  <c r="BJ10" i="17"/>
  <c r="BJ27" i="17"/>
  <c r="AY27" i="17"/>
  <c r="AV27" i="17"/>
  <c r="BJ179" i="17"/>
  <c r="AY179" i="17"/>
  <c r="AV179" i="17"/>
  <c r="AZ27" i="17"/>
  <c r="BA27" i="17"/>
  <c r="BK27" i="17" s="1"/>
  <c r="BJ73" i="17"/>
  <c r="AY73" i="17"/>
  <c r="AV73" i="17"/>
  <c r="BJ72" i="17"/>
  <c r="AY72" i="17"/>
  <c r="AV72" i="17"/>
  <c r="AV124" i="17"/>
  <c r="AV88" i="17"/>
  <c r="AY106" i="17"/>
  <c r="AV133" i="17"/>
  <c r="AV147" i="17"/>
  <c r="AY50" i="17"/>
  <c r="AZ50" i="17" s="1"/>
  <c r="AV132" i="17"/>
  <c r="AV89" i="17"/>
  <c r="AY31" i="17"/>
  <c r="AY141" i="17"/>
  <c r="AV67" i="17"/>
  <c r="AV166" i="17"/>
  <c r="AV74" i="17"/>
  <c r="AV66" i="17"/>
  <c r="AY49" i="17"/>
  <c r="AV35" i="17"/>
  <c r="AY45" i="17"/>
  <c r="AV37" i="17"/>
  <c r="AV155" i="17"/>
  <c r="AV48" i="17"/>
  <c r="AV104" i="17"/>
  <c r="AV41" i="17"/>
  <c r="AY39" i="17"/>
  <c r="AV82" i="17"/>
  <c r="AV143" i="17"/>
  <c r="AV117" i="17"/>
  <c r="AV38" i="17"/>
  <c r="AY59" i="17"/>
  <c r="AV25" i="17"/>
  <c r="AY116" i="17"/>
  <c r="AY29" i="17"/>
  <c r="AY43" i="17"/>
  <c r="BA43" i="17" s="1"/>
  <c r="BK43" i="17" s="1"/>
  <c r="AV76" i="17"/>
  <c r="AV159" i="17"/>
  <c r="AY90" i="17"/>
  <c r="BA90" i="17" s="1"/>
  <c r="BK90" i="17" s="1"/>
  <c r="AY32" i="17"/>
  <c r="AV32" i="17"/>
  <c r="AY38" i="17"/>
  <c r="AZ38" i="17" s="1"/>
  <c r="AV151" i="17"/>
  <c r="AY151" i="17"/>
  <c r="AY89" i="17"/>
  <c r="AZ89" i="17" s="1"/>
  <c r="AY92" i="17"/>
  <c r="AV92" i="17"/>
  <c r="AV116" i="17"/>
  <c r="AV24" i="17"/>
  <c r="AY24" i="17"/>
  <c r="AY117" i="17"/>
  <c r="BA117" i="17" s="1"/>
  <c r="BK117" i="17" s="1"/>
  <c r="AY138" i="17"/>
  <c r="AV138" i="17"/>
  <c r="AV167" i="17"/>
  <c r="AY167" i="17"/>
  <c r="AV21" i="17"/>
  <c r="AY21" i="17"/>
  <c r="AV22" i="17"/>
  <c r="AY22" i="17"/>
  <c r="AV23" i="17"/>
  <c r="AY23" i="17"/>
  <c r="AY88" i="17"/>
  <c r="AZ88" i="17" s="1"/>
  <c r="AV90" i="17"/>
  <c r="AV28" i="17"/>
  <c r="AY28" i="17"/>
  <c r="AY48" i="17"/>
  <c r="AZ48" i="17" s="1"/>
  <c r="AV123" i="17"/>
  <c r="AY123" i="17"/>
  <c r="AY74" i="17"/>
  <c r="AZ74" i="17" s="1"/>
  <c r="AV115" i="17"/>
  <c r="AY115" i="17"/>
  <c r="AV141" i="17"/>
  <c r="AV51" i="17"/>
  <c r="AY51" i="17"/>
  <c r="AV50" i="17"/>
  <c r="AY159" i="17"/>
  <c r="AZ159" i="17" s="1"/>
  <c r="AY155" i="17"/>
  <c r="AZ155" i="17" s="1"/>
  <c r="AV139" i="17"/>
  <c r="AY139" i="17"/>
  <c r="AY166" i="17"/>
  <c r="BA166" i="17" s="1"/>
  <c r="BK166" i="17" s="1"/>
  <c r="AV156" i="17"/>
  <c r="AY156" i="17"/>
  <c r="AY147" i="17"/>
  <c r="AZ147" i="17" s="1"/>
  <c r="AY25" i="17"/>
  <c r="AZ25" i="17" s="1"/>
  <c r="AV62" i="17"/>
  <c r="AY62" i="17"/>
  <c r="AY143" i="17"/>
  <c r="BA143" i="17" s="1"/>
  <c r="BK143" i="17" s="1"/>
  <c r="AV26" i="17"/>
  <c r="AY26" i="17"/>
  <c r="AV49" i="17"/>
  <c r="AV146" i="17"/>
  <c r="AY146" i="17"/>
  <c r="AV59" i="17"/>
  <c r="AY108" i="17"/>
  <c r="AV108" i="17"/>
  <c r="AY124" i="17"/>
  <c r="BA124" i="17" s="1"/>
  <c r="BK124" i="17" s="1"/>
  <c r="AY76" i="17"/>
  <c r="AZ76" i="17" s="1"/>
  <c r="AY37" i="17"/>
  <c r="BA37" i="17" s="1"/>
  <c r="BK37" i="17" s="1"/>
  <c r="AY148" i="17"/>
  <c r="AV148" i="17"/>
  <c r="AV39" i="17"/>
  <c r="AY111" i="17"/>
  <c r="AV111" i="17"/>
  <c r="AV40" i="17"/>
  <c r="AY40" i="17"/>
  <c r="AV43" i="17"/>
  <c r="AV45" i="17"/>
  <c r="AV44" i="17"/>
  <c r="AY44" i="17"/>
  <c r="AY35" i="17"/>
  <c r="BA35" i="17" s="1"/>
  <c r="BK35" i="17" s="1"/>
  <c r="AY41" i="17"/>
  <c r="BA41" i="17" s="1"/>
  <c r="BK41" i="17" s="1"/>
  <c r="AV36" i="17"/>
  <c r="AY36" i="17"/>
  <c r="AV31" i="17"/>
  <c r="AY34" i="17"/>
  <c r="AV34" i="17"/>
  <c r="AV71" i="17"/>
  <c r="AY71" i="17"/>
  <c r="AY70" i="17"/>
  <c r="AV70" i="17"/>
  <c r="AY82" i="17"/>
  <c r="AZ82" i="17" s="1"/>
  <c r="AY66" i="17"/>
  <c r="BA66" i="17" s="1"/>
  <c r="BK66" i="17" s="1"/>
  <c r="AV30" i="17"/>
  <c r="AY30" i="17"/>
  <c r="AY67" i="17"/>
  <c r="BA67" i="17" s="1"/>
  <c r="BK67" i="17" s="1"/>
  <c r="AV42" i="17"/>
  <c r="AY42" i="17"/>
  <c r="AV65" i="17"/>
  <c r="AY65" i="17"/>
  <c r="AY75" i="17"/>
  <c r="AV75" i="17"/>
  <c r="AY68" i="17"/>
  <c r="AV68" i="17"/>
  <c r="AV53" i="17"/>
  <c r="AY53" i="17"/>
  <c r="AY52" i="17"/>
  <c r="AV52" i="17"/>
  <c r="AY78" i="17"/>
  <c r="AV78" i="17"/>
  <c r="AY60" i="17"/>
  <c r="AV60" i="17"/>
  <c r="AY47" i="17"/>
  <c r="AV47" i="17"/>
  <c r="AY61" i="17"/>
  <c r="AV61" i="17"/>
  <c r="AY33" i="17"/>
  <c r="AV33" i="17"/>
  <c r="AV69" i="17"/>
  <c r="AY69" i="17"/>
  <c r="AY57" i="17"/>
  <c r="AV57" i="17"/>
  <c r="AY85" i="17"/>
  <c r="AV85" i="17"/>
  <c r="AY58" i="17"/>
  <c r="AV58" i="17"/>
  <c r="AV63" i="17"/>
  <c r="AY63" i="17"/>
  <c r="AY8" i="17"/>
  <c r="AV8" i="17"/>
  <c r="AY79" i="17"/>
  <c r="AV79" i="17"/>
  <c r="AV29" i="17"/>
  <c r="AY94" i="17"/>
  <c r="AV94" i="17"/>
  <c r="AV55" i="17"/>
  <c r="AY55" i="17"/>
  <c r="AY54" i="17"/>
  <c r="AV54" i="17"/>
  <c r="AV56" i="17"/>
  <c r="AY56" i="17"/>
  <c r="AY80" i="17"/>
  <c r="AV80" i="17"/>
  <c r="AV93" i="17"/>
  <c r="AY93" i="17"/>
  <c r="AY91" i="17"/>
  <c r="AV91" i="17"/>
  <c r="AY64" i="17"/>
  <c r="AV64" i="17"/>
  <c r="AY83" i="17"/>
  <c r="AV83" i="17"/>
  <c r="AY86" i="17"/>
  <c r="AV86" i="17"/>
  <c r="AY7" i="17"/>
  <c r="AV7" i="17"/>
  <c r="AY84" i="17"/>
  <c r="AV84" i="17"/>
  <c r="AY87" i="17"/>
  <c r="AV87" i="17"/>
  <c r="AY46" i="17"/>
  <c r="AV46" i="17"/>
  <c r="AY77" i="17"/>
  <c r="AV77" i="17"/>
  <c r="AV81" i="17"/>
  <c r="AY81" i="17"/>
  <c r="AZ20" i="17" l="1"/>
  <c r="BA20" i="17"/>
  <c r="AZ16" i="17"/>
  <c r="BA16" i="17"/>
  <c r="BA13" i="17"/>
  <c r="AZ13" i="17"/>
  <c r="AZ17" i="17"/>
  <c r="BA17" i="17"/>
  <c r="BA11" i="17"/>
  <c r="BK11" i="17" s="1"/>
  <c r="AZ11" i="17"/>
  <c r="BA10" i="17"/>
  <c r="BK10" i="17" s="1"/>
  <c r="AZ10" i="17"/>
  <c r="BA32" i="17"/>
  <c r="BK32" i="17" s="1"/>
  <c r="AZ32" i="17"/>
  <c r="AZ179" i="17"/>
  <c r="BA179" i="17"/>
  <c r="BK179" i="17" s="1"/>
  <c r="BA73" i="17"/>
  <c r="BK73" i="17" s="1"/>
  <c r="AZ73" i="17"/>
  <c r="AZ72" i="17"/>
  <c r="BA72" i="17"/>
  <c r="BK72" i="17" s="1"/>
  <c r="BA31" i="17"/>
  <c r="BK31" i="17" s="1"/>
  <c r="AZ31" i="17"/>
  <c r="AZ45" i="17"/>
  <c r="BA45" i="17"/>
  <c r="BK45" i="17" s="1"/>
  <c r="BA39" i="17"/>
  <c r="BK39" i="17" s="1"/>
  <c r="AZ39" i="17"/>
  <c r="AZ59" i="17"/>
  <c r="BA59" i="17"/>
  <c r="BK59" i="17" s="1"/>
  <c r="BA116" i="17"/>
  <c r="BK116" i="17" s="1"/>
  <c r="AZ116" i="17"/>
  <c r="BA141" i="17"/>
  <c r="BK141" i="17" s="1"/>
  <c r="AZ141" i="17"/>
  <c r="BA49" i="17"/>
  <c r="BK49" i="17" s="1"/>
  <c r="AZ49" i="17"/>
  <c r="BA50" i="17"/>
  <c r="BK50" i="17" s="1"/>
  <c r="AZ43" i="17"/>
  <c r="AZ90" i="17"/>
  <c r="BA38" i="17"/>
  <c r="BK38" i="17" s="1"/>
  <c r="BA89" i="17"/>
  <c r="BK89" i="17" s="1"/>
  <c r="BA151" i="17"/>
  <c r="BK151" i="17" s="1"/>
  <c r="AZ151" i="17"/>
  <c r="BA92" i="17"/>
  <c r="BK92" i="17" s="1"/>
  <c r="AZ92" i="17"/>
  <c r="AZ117" i="17"/>
  <c r="AZ24" i="17"/>
  <c r="BA24" i="17"/>
  <c r="BK24" i="17" s="1"/>
  <c r="BA138" i="17"/>
  <c r="BK138" i="17" s="1"/>
  <c r="AZ138" i="17"/>
  <c r="BA167" i="17"/>
  <c r="BK167" i="17" s="1"/>
  <c r="AZ167" i="17"/>
  <c r="AZ23" i="17"/>
  <c r="BA23" i="17"/>
  <c r="BK23" i="17" s="1"/>
  <c r="BA88" i="17"/>
  <c r="BK88" i="17" s="1"/>
  <c r="AZ21" i="17"/>
  <c r="BA21" i="17"/>
  <c r="BK21" i="17" s="1"/>
  <c r="BA22" i="17"/>
  <c r="BK22" i="17" s="1"/>
  <c r="AZ22" i="17"/>
  <c r="BA48" i="17"/>
  <c r="BK48" i="17" s="1"/>
  <c r="AZ28" i="17"/>
  <c r="BA28" i="17"/>
  <c r="BK28" i="17" s="1"/>
  <c r="BA123" i="17"/>
  <c r="BK123" i="17" s="1"/>
  <c r="AZ123" i="17"/>
  <c r="BA74" i="17"/>
  <c r="BK74" i="17" s="1"/>
  <c r="BA115" i="17"/>
  <c r="BK115" i="17" s="1"/>
  <c r="AZ115" i="17"/>
  <c r="BA51" i="17"/>
  <c r="BK51" i="17" s="1"/>
  <c r="AZ51" i="17"/>
  <c r="BA159" i="17"/>
  <c r="BK159" i="17" s="1"/>
  <c r="BA155" i="17"/>
  <c r="BK155" i="17" s="1"/>
  <c r="AZ166" i="17"/>
  <c r="BA139" i="17"/>
  <c r="BK139" i="17" s="1"/>
  <c r="AZ139" i="17"/>
  <c r="BA156" i="17"/>
  <c r="BK156" i="17" s="1"/>
  <c r="AZ156" i="17"/>
  <c r="BA147" i="17"/>
  <c r="BK147" i="17" s="1"/>
  <c r="BA25" i="17"/>
  <c r="BK25" i="17" s="1"/>
  <c r="AZ143" i="17"/>
  <c r="AZ62" i="17"/>
  <c r="BA62" i="17"/>
  <c r="BK62" i="17" s="1"/>
  <c r="AZ26" i="17"/>
  <c r="BA26" i="17"/>
  <c r="BK26" i="17" s="1"/>
  <c r="BA146" i="17"/>
  <c r="BK146" i="17" s="1"/>
  <c r="AZ146" i="17"/>
  <c r="BA108" i="17"/>
  <c r="BK108" i="17" s="1"/>
  <c r="AZ108" i="17"/>
  <c r="AZ124" i="17"/>
  <c r="BA76" i="17"/>
  <c r="BK76" i="17" s="1"/>
  <c r="AZ37" i="17"/>
  <c r="BA148" i="17"/>
  <c r="BK148" i="17" s="1"/>
  <c r="AZ148" i="17"/>
  <c r="BA111" i="17"/>
  <c r="BK111" i="17" s="1"/>
  <c r="AZ111" i="17"/>
  <c r="BA40" i="17"/>
  <c r="BK40" i="17" s="1"/>
  <c r="AZ40" i="17"/>
  <c r="AZ35" i="17"/>
  <c r="BA44" i="17"/>
  <c r="BK44" i="17" s="1"/>
  <c r="AZ44" i="17"/>
  <c r="AZ41" i="17"/>
  <c r="AY110" i="17"/>
  <c r="AV110" i="17"/>
  <c r="BA36" i="17"/>
  <c r="BK36" i="17" s="1"/>
  <c r="AZ36" i="17"/>
  <c r="BA34" i="17"/>
  <c r="BK34" i="17" s="1"/>
  <c r="AZ34" i="17"/>
  <c r="BA82" i="17"/>
  <c r="BK82" i="17" s="1"/>
  <c r="BA70" i="17"/>
  <c r="BK70" i="17" s="1"/>
  <c r="AZ70" i="17"/>
  <c r="BA71" i="17"/>
  <c r="BK71" i="17" s="1"/>
  <c r="AZ71" i="17"/>
  <c r="AZ66" i="17"/>
  <c r="BA30" i="17"/>
  <c r="BK30" i="17" s="1"/>
  <c r="AZ30" i="17"/>
  <c r="AY182" i="17"/>
  <c r="AV182" i="17"/>
  <c r="AY178" i="17"/>
  <c r="AZ67" i="17"/>
  <c r="BA42" i="17"/>
  <c r="BK42" i="17" s="1"/>
  <c r="AZ42" i="17"/>
  <c r="BA65" i="17"/>
  <c r="BK65" i="17" s="1"/>
  <c r="AZ65" i="17"/>
  <c r="AV98" i="17"/>
  <c r="AY98" i="17"/>
  <c r="AY105" i="17"/>
  <c r="BA87" i="17"/>
  <c r="BK87" i="17" s="1"/>
  <c r="AZ87" i="17"/>
  <c r="AZ83" i="17"/>
  <c r="BA83" i="17"/>
  <c r="BK83" i="17" s="1"/>
  <c r="AZ80" i="17"/>
  <c r="BA80" i="17"/>
  <c r="BK80" i="17" s="1"/>
  <c r="BA94" i="17"/>
  <c r="BK94" i="17" s="1"/>
  <c r="AZ94" i="17"/>
  <c r="AZ8" i="17"/>
  <c r="BA8" i="17"/>
  <c r="BK8" i="17" s="1"/>
  <c r="BA61" i="17"/>
  <c r="BK61" i="17" s="1"/>
  <c r="AZ61" i="17"/>
  <c r="BA52" i="17"/>
  <c r="BK52" i="17" s="1"/>
  <c r="AZ52" i="17"/>
  <c r="BA81" i="17"/>
  <c r="BK81" i="17" s="1"/>
  <c r="AZ81" i="17"/>
  <c r="BA56" i="17"/>
  <c r="BK56" i="17" s="1"/>
  <c r="AZ56" i="17"/>
  <c r="BA29" i="17"/>
  <c r="BK29" i="17" s="1"/>
  <c r="AZ29" i="17"/>
  <c r="BA63" i="17"/>
  <c r="BK63" i="17" s="1"/>
  <c r="AZ63" i="17"/>
  <c r="BA53" i="17"/>
  <c r="BK53" i="17" s="1"/>
  <c r="AZ53" i="17"/>
  <c r="BA84" i="17"/>
  <c r="BK84" i="17" s="1"/>
  <c r="AZ84" i="17"/>
  <c r="BA64" i="17"/>
  <c r="BK64" i="17" s="1"/>
  <c r="AZ64" i="17"/>
  <c r="BA57" i="17"/>
  <c r="BK57" i="17" s="1"/>
  <c r="AZ57" i="17"/>
  <c r="BA47" i="17"/>
  <c r="BK47" i="17" s="1"/>
  <c r="AZ47" i="17"/>
  <c r="BA69" i="17"/>
  <c r="BK69" i="17" s="1"/>
  <c r="AZ69" i="17"/>
  <c r="BA77" i="17"/>
  <c r="BK77" i="17" s="1"/>
  <c r="AZ77" i="17"/>
  <c r="BA7" i="17"/>
  <c r="BK7" i="17" s="1"/>
  <c r="AZ7" i="17"/>
  <c r="AZ91" i="17"/>
  <c r="BA91" i="17"/>
  <c r="BK91" i="17" s="1"/>
  <c r="BA54" i="17"/>
  <c r="BK54" i="17" s="1"/>
  <c r="AZ54" i="17"/>
  <c r="BA58" i="17"/>
  <c r="BK58" i="17" s="1"/>
  <c r="AZ58" i="17"/>
  <c r="BA60" i="17"/>
  <c r="BK60" i="17" s="1"/>
  <c r="AZ60" i="17"/>
  <c r="AZ68" i="17"/>
  <c r="BA68" i="17"/>
  <c r="BK68" i="17" s="1"/>
  <c r="BA93" i="17"/>
  <c r="BK93" i="17" s="1"/>
  <c r="AZ93" i="17"/>
  <c r="AZ55" i="17"/>
  <c r="BA55" i="17"/>
  <c r="BK55" i="17" s="1"/>
  <c r="BA46" i="17"/>
  <c r="BK46" i="17" s="1"/>
  <c r="AZ46" i="17"/>
  <c r="BA86" i="17"/>
  <c r="BK86" i="17" s="1"/>
  <c r="AZ86" i="17"/>
  <c r="BA79" i="17"/>
  <c r="BK79" i="17" s="1"/>
  <c r="AZ79" i="17"/>
  <c r="BA85" i="17"/>
  <c r="BK85" i="17" s="1"/>
  <c r="AZ85" i="17"/>
  <c r="AZ33" i="17"/>
  <c r="BA33" i="17"/>
  <c r="BK33" i="17" s="1"/>
  <c r="BA78" i="17"/>
  <c r="BK78" i="17" s="1"/>
  <c r="AZ78" i="17"/>
  <c r="AZ75" i="17"/>
  <c r="BA75" i="17"/>
  <c r="BK75" i="17" s="1"/>
  <c r="BA110" i="17" l="1"/>
  <c r="BK110" i="17" s="1"/>
  <c r="AZ110" i="17"/>
  <c r="AV178" i="17"/>
  <c r="BA182" i="17"/>
  <c r="BK182" i="17" s="1"/>
  <c r="AZ182" i="17"/>
  <c r="AV180" i="17"/>
  <c r="AY180" i="17"/>
  <c r="BA178" i="17"/>
  <c r="BK178" i="17" s="1"/>
  <c r="AZ178" i="17"/>
  <c r="BA98" i="17"/>
  <c r="BK98" i="17" s="1"/>
  <c r="AZ98" i="17"/>
  <c r="AV105" i="17"/>
  <c r="AV185" i="17"/>
  <c r="AY185" i="17"/>
  <c r="AY184" i="17"/>
  <c r="AV184" i="17"/>
  <c r="AV181" i="17"/>
  <c r="AY181" i="17"/>
  <c r="AY172" i="17"/>
  <c r="AV172" i="17"/>
  <c r="AY174" i="17"/>
  <c r="AV174" i="17"/>
  <c r="AY177" i="17"/>
  <c r="AV177" i="17"/>
  <c r="AY169" i="17"/>
  <c r="AV169" i="17"/>
  <c r="AY173" i="17"/>
  <c r="AV173" i="17"/>
  <c r="AY176" i="17"/>
  <c r="AV176" i="17"/>
  <c r="AV175" i="17"/>
  <c r="AY175" i="17"/>
  <c r="AY183" i="17"/>
  <c r="AV183" i="17"/>
  <c r="AV170" i="17"/>
  <c r="AY170" i="17"/>
  <c r="AY171" i="17"/>
  <c r="AV171" i="17"/>
  <c r="AY121" i="17"/>
  <c r="AV121" i="17"/>
  <c r="AV119" i="17"/>
  <c r="AY119" i="17"/>
  <c r="AY120" i="17"/>
  <c r="AV120" i="17"/>
  <c r="AY122" i="17"/>
  <c r="AV122" i="17"/>
  <c r="AY118" i="17"/>
  <c r="AV118" i="17"/>
  <c r="AV106" i="17"/>
  <c r="AY109" i="17"/>
  <c r="AV109" i="17"/>
  <c r="AY113" i="17"/>
  <c r="AV113" i="17"/>
  <c r="AY112" i="17"/>
  <c r="AV112" i="17"/>
  <c r="AV107" i="17"/>
  <c r="AY107" i="17"/>
  <c r="AY114" i="17"/>
  <c r="AV114" i="17"/>
  <c r="BA105" i="17"/>
  <c r="BK105" i="17" s="1"/>
  <c r="AZ105" i="17"/>
  <c r="AV100" i="17"/>
  <c r="AY100" i="17"/>
  <c r="AY99" i="17"/>
  <c r="AV99" i="17"/>
  <c r="AY97" i="17"/>
  <c r="AV97" i="17"/>
  <c r="AY96" i="17"/>
  <c r="AV96" i="17"/>
  <c r="AY102" i="17"/>
  <c r="AV102" i="17"/>
  <c r="AY101" i="17"/>
  <c r="AV101" i="17"/>
  <c r="AY103" i="17"/>
  <c r="AV103" i="17"/>
  <c r="AV95" i="17"/>
  <c r="AY95" i="17"/>
  <c r="AY128" i="17" l="1"/>
  <c r="AV128" i="17"/>
  <c r="AY162" i="17"/>
  <c r="BA180" i="17"/>
  <c r="BK180" i="17" s="1"/>
  <c r="AZ180" i="17"/>
  <c r="AY127" i="17"/>
  <c r="BA185" i="17"/>
  <c r="BK185" i="17" s="1"/>
  <c r="AZ185" i="17"/>
  <c r="BA184" i="17"/>
  <c r="BK184" i="17" s="1"/>
  <c r="AZ184" i="17"/>
  <c r="BA172" i="17"/>
  <c r="BK172" i="17" s="1"/>
  <c r="AZ172" i="17"/>
  <c r="AZ174" i="17"/>
  <c r="BA174" i="17"/>
  <c r="BK174" i="17" s="1"/>
  <c r="BA181" i="17"/>
  <c r="BK181" i="17" s="1"/>
  <c r="AZ181" i="17"/>
  <c r="BA175" i="17"/>
  <c r="BK175" i="17" s="1"/>
  <c r="AZ175" i="17"/>
  <c r="AZ177" i="17"/>
  <c r="BA177" i="17"/>
  <c r="BK177" i="17" s="1"/>
  <c r="BA171" i="17"/>
  <c r="BK171" i="17" s="1"/>
  <c r="AZ171" i="17"/>
  <c r="BA176" i="17"/>
  <c r="BK176" i="17" s="1"/>
  <c r="AZ176" i="17"/>
  <c r="BA170" i="17"/>
  <c r="BK170" i="17" s="1"/>
  <c r="AZ170" i="17"/>
  <c r="BA173" i="17"/>
  <c r="BK173" i="17" s="1"/>
  <c r="AZ173" i="17"/>
  <c r="BA183" i="17"/>
  <c r="BK183" i="17" s="1"/>
  <c r="AZ183" i="17"/>
  <c r="BA169" i="17"/>
  <c r="BK169" i="17" s="1"/>
  <c r="AZ169" i="17"/>
  <c r="BA122" i="17"/>
  <c r="BK122" i="17" s="1"/>
  <c r="AZ122" i="17"/>
  <c r="AZ118" i="17"/>
  <c r="BA118" i="17"/>
  <c r="BK118" i="17" s="1"/>
  <c r="BA119" i="17"/>
  <c r="BK119" i="17" s="1"/>
  <c r="AZ119" i="17"/>
  <c r="BA120" i="17"/>
  <c r="BK120" i="17" s="1"/>
  <c r="AZ120" i="17"/>
  <c r="AZ121" i="17"/>
  <c r="BA121" i="17"/>
  <c r="BK121" i="17" s="1"/>
  <c r="BA109" i="17"/>
  <c r="BK109" i="17" s="1"/>
  <c r="AZ109" i="17"/>
  <c r="BA113" i="17"/>
  <c r="BK113" i="17" s="1"/>
  <c r="AZ113" i="17"/>
  <c r="AZ107" i="17"/>
  <c r="BA107" i="17"/>
  <c r="BK107" i="17" s="1"/>
  <c r="AZ106" i="17"/>
  <c r="BA106" i="17"/>
  <c r="BK106" i="17" s="1"/>
  <c r="BA112" i="17"/>
  <c r="BK112" i="17" s="1"/>
  <c r="AZ112" i="17"/>
  <c r="BA114" i="17"/>
  <c r="BK114" i="17" s="1"/>
  <c r="AZ114" i="17"/>
  <c r="BA96" i="17"/>
  <c r="BK96" i="17" s="1"/>
  <c r="AZ96" i="17"/>
  <c r="BA101" i="17"/>
  <c r="BK101" i="17" s="1"/>
  <c r="AZ101" i="17"/>
  <c r="BA95" i="17"/>
  <c r="BK95" i="17" s="1"/>
  <c r="AZ95" i="17"/>
  <c r="AZ102" i="17"/>
  <c r="BA102" i="17"/>
  <c r="BK102" i="17" s="1"/>
  <c r="BA100" i="17"/>
  <c r="BK100" i="17" s="1"/>
  <c r="AZ100" i="17"/>
  <c r="BA99" i="17"/>
  <c r="BK99" i="17" s="1"/>
  <c r="AZ99" i="17"/>
  <c r="AZ103" i="17"/>
  <c r="BA103" i="17"/>
  <c r="BK103" i="17" s="1"/>
  <c r="BA97" i="17"/>
  <c r="BK97" i="17" s="1"/>
  <c r="AZ97" i="17"/>
  <c r="BA128" i="17" l="1"/>
  <c r="BK128" i="17" s="1"/>
  <c r="AZ128" i="17"/>
  <c r="AV162" i="17"/>
  <c r="AV127" i="17"/>
  <c r="AZ162" i="17"/>
  <c r="BA162" i="17"/>
  <c r="BK162" i="17" s="1"/>
  <c r="AV149" i="17"/>
  <c r="AY149" i="17"/>
  <c r="AZ127" i="17"/>
  <c r="BA127" i="17"/>
  <c r="BK127" i="17" s="1"/>
  <c r="AV129" i="17"/>
  <c r="AY129" i="17"/>
  <c r="AY130" i="17"/>
  <c r="AV130" i="17"/>
  <c r="AV161" i="17"/>
  <c r="AY161" i="17"/>
  <c r="AV140" i="17"/>
  <c r="AY140" i="17"/>
  <c r="AY165" i="17"/>
  <c r="AV165" i="17"/>
  <c r="AY135" i="17"/>
  <c r="AV135" i="17"/>
  <c r="AV157" i="17"/>
  <c r="AY157" i="17"/>
  <c r="AY158" i="17"/>
  <c r="AV158" i="17"/>
  <c r="AV150" i="17"/>
  <c r="AY150" i="17"/>
  <c r="AY164" i="17"/>
  <c r="AV164" i="17"/>
  <c r="AV142" i="17"/>
  <c r="AY142" i="17"/>
  <c r="AY137" i="17"/>
  <c r="AV137" i="17"/>
  <c r="AV131" i="17"/>
  <c r="AY131" i="17"/>
  <c r="AY136" i="17"/>
  <c r="AV136" i="17"/>
  <c r="AY145" i="17"/>
  <c r="AV145" i="17"/>
  <c r="AY153" i="17"/>
  <c r="AV153" i="17"/>
  <c r="AY125" i="17"/>
  <c r="AV125" i="17"/>
  <c r="AY163" i="17"/>
  <c r="AV163" i="17"/>
  <c r="AY134" i="17"/>
  <c r="AV134" i="17"/>
  <c r="AV126" i="17"/>
  <c r="AY126" i="17"/>
  <c r="AY154" i="17"/>
  <c r="AV154" i="17"/>
  <c r="AY144" i="17"/>
  <c r="AV144" i="17"/>
  <c r="AV152" i="17"/>
  <c r="AY152" i="17"/>
  <c r="AY168" i="17"/>
  <c r="AV168" i="17"/>
  <c r="AV160" i="17"/>
  <c r="AY160" i="17"/>
  <c r="BA149" i="17" l="1"/>
  <c r="BK149" i="17" s="1"/>
  <c r="AZ149" i="17"/>
  <c r="BA130" i="17"/>
  <c r="BK130" i="17" s="1"/>
  <c r="AZ130" i="17"/>
  <c r="BA129" i="17"/>
  <c r="BK129" i="17" s="1"/>
  <c r="AZ129" i="17"/>
  <c r="AZ126" i="17"/>
  <c r="BA126" i="17"/>
  <c r="BK126" i="17" s="1"/>
  <c r="BA131" i="17"/>
  <c r="BK131" i="17" s="1"/>
  <c r="AZ131" i="17"/>
  <c r="BA150" i="17"/>
  <c r="BK150" i="17" s="1"/>
  <c r="AZ150" i="17"/>
  <c r="BA168" i="17"/>
  <c r="BK168" i="17" s="1"/>
  <c r="AZ168" i="17"/>
  <c r="AZ125" i="17"/>
  <c r="BA125" i="17"/>
  <c r="BK125" i="17" s="1"/>
  <c r="AZ153" i="17"/>
  <c r="BA153" i="17"/>
  <c r="BK153" i="17" s="1"/>
  <c r="AZ152" i="17"/>
  <c r="BA152" i="17"/>
  <c r="BK152" i="17" s="1"/>
  <c r="BA163" i="17"/>
  <c r="BK163" i="17" s="1"/>
  <c r="AZ163" i="17"/>
  <c r="BA145" i="17"/>
  <c r="BK145" i="17" s="1"/>
  <c r="AZ145" i="17"/>
  <c r="BA135" i="17"/>
  <c r="BK135" i="17" s="1"/>
  <c r="AZ135" i="17"/>
  <c r="BA157" i="17"/>
  <c r="BK157" i="17" s="1"/>
  <c r="AZ157" i="17"/>
  <c r="BA134" i="17"/>
  <c r="BK134" i="17" s="1"/>
  <c r="AZ134" i="17"/>
  <c r="BA137" i="17"/>
  <c r="BK137" i="17" s="1"/>
  <c r="AZ137" i="17"/>
  <c r="BA142" i="17"/>
  <c r="BK142" i="17" s="1"/>
  <c r="AZ142" i="17"/>
  <c r="AZ140" i="17"/>
  <c r="BA140" i="17"/>
  <c r="BK140" i="17" s="1"/>
  <c r="AZ160" i="17"/>
  <c r="BA160" i="17"/>
  <c r="BK160" i="17" s="1"/>
  <c r="BA161" i="17"/>
  <c r="BK161" i="17" s="1"/>
  <c r="AZ161" i="17"/>
  <c r="BA165" i="17"/>
  <c r="BK165" i="17" s="1"/>
  <c r="AZ165" i="17"/>
  <c r="BA144" i="17"/>
  <c r="BK144" i="17" s="1"/>
  <c r="AZ144" i="17"/>
  <c r="BA154" i="17"/>
  <c r="BK154" i="17" s="1"/>
  <c r="AZ154" i="17"/>
  <c r="AZ136" i="17"/>
  <c r="BA136" i="17"/>
  <c r="BK136" i="17" s="1"/>
  <c r="BA164" i="17"/>
  <c r="BK164" i="17" s="1"/>
  <c r="AZ164" i="17"/>
  <c r="AZ158" i="17"/>
  <c r="BA158" i="17"/>
  <c r="BK158" i="17" s="1"/>
</calcChain>
</file>

<file path=xl/sharedStrings.xml><?xml version="1.0" encoding="utf-8"?>
<sst xmlns="http://schemas.openxmlformats.org/spreadsheetml/2006/main" count="12583" uniqueCount="285">
  <si>
    <t>Tian Ma Group Holdings Pte Ltd</t>
  </si>
  <si>
    <t xml:space="preserve">Date: </t>
  </si>
  <si>
    <t>9 Changi South Street 3 #07-02/03 Singapore 486361</t>
  </si>
  <si>
    <t>Rate :</t>
  </si>
  <si>
    <t>PURCHASE ORDER</t>
  </si>
  <si>
    <t>Cost with Freight &amp; GST, Selling with GST</t>
  </si>
  <si>
    <t>No.</t>
  </si>
  <si>
    <t>Product Name</t>
  </si>
  <si>
    <t>Qty 
(CTN)</t>
  </si>
  <si>
    <t>Packing Size
(PC)</t>
  </si>
  <si>
    <t>Total Ordered Qty</t>
  </si>
  <si>
    <t>Ctn Price
(SGD)
(W/O GST)</t>
  </si>
  <si>
    <t>Unit Price
(SGD)
(W/O GST)</t>
  </si>
  <si>
    <t>Total</t>
  </si>
  <si>
    <t>Unit Cost 
(SGD - PC)
(W/O GST)</t>
  </si>
  <si>
    <t>Total Cost 
(RAW)</t>
  </si>
  <si>
    <t>Unit Cost (9%)
(SGD - PC)</t>
  </si>
  <si>
    <t>Total Cost 
(SGD)
(W GST)</t>
  </si>
  <si>
    <t>TMG Selling Price</t>
  </si>
  <si>
    <t>Total Selling</t>
  </si>
  <si>
    <t>UNIT PROFIT ($)</t>
  </si>
  <si>
    <t>TOTAL PROFIT ($)</t>
  </si>
  <si>
    <t xml:space="preserve">Profit Margin - % </t>
  </si>
  <si>
    <t>TMG
Promotion
Price</t>
  </si>
  <si>
    <t>24</t>
  </si>
  <si>
    <t>6</t>
  </si>
  <si>
    <t>SUB TOTAL:</t>
  </si>
  <si>
    <t>Total Cost:
(SGD)</t>
  </si>
  <si>
    <t>Total Selling: 
(SGD)</t>
  </si>
  <si>
    <t>Total Profit:</t>
  </si>
  <si>
    <t>9% GST</t>
  </si>
  <si>
    <t>Freight (CNF) Charge:</t>
  </si>
  <si>
    <t>NA</t>
  </si>
  <si>
    <t>Profit over SP</t>
  </si>
  <si>
    <t>TOTAL AMT:</t>
  </si>
  <si>
    <t xml:space="preserve">Freight Charge Percentage  
(W/out GST)                                                  </t>
  </si>
  <si>
    <t>__________________                    _______________________                               __________________</t>
  </si>
  <si>
    <t>ORDER PREPARED BY                             ACKNOWLEDGE BY                                                      CHECKED BY</t>
  </si>
  <si>
    <t>Supplier: TGS GROUP SDN BHD</t>
  </si>
  <si>
    <t xml:space="preserve">
</t>
  </si>
  <si>
    <t>MUNCHY CRACKER VEGETABLE 12X390G</t>
  </si>
  <si>
    <t>MUNCHYS WHEAT CRACKERS 12X276G</t>
  </si>
  <si>
    <t>MAGGI HOT CUP C 54X57G</t>
  </si>
  <si>
    <t>MAGGI HOT CUP CURRY 54X58G</t>
  </si>
  <si>
    <t>MAMEE EXPRESS CUP NOODLE VEGETABLE 24X65G</t>
  </si>
  <si>
    <t>MAMEE PREMIUM VEGETARIAN NOODLE 8(5X78G)</t>
  </si>
  <si>
    <t>MAMEE PREMIUM CURRY NOODLE 5+1 8(6X80G)</t>
  </si>
  <si>
    <t>MAMEE CHEF SPICY W SHITAKE C 8(4X82G)</t>
  </si>
  <si>
    <t>MAMEE CHEF CURRY LAKSA 8(4X89G)</t>
  </si>
  <si>
    <t>MAMEE CHEF CREAMY TOMYAM THAI 8(4X82G)</t>
  </si>
  <si>
    <t>LEXUS VEGETABLE CRACKER 12X200G</t>
  </si>
  <si>
    <t xml:space="preserve">MUNCHYS CHOCOLATE SANDWICH CRACKER 12X258G </t>
  </si>
  <si>
    <t>LEXUS PEANUT BUTTER SANDWICH 12X190G</t>
  </si>
  <si>
    <t>LEXUS CHOCOLATE SANDWICH 12X190G</t>
  </si>
  <si>
    <t>LEXUS CHEESE SANDWICH 12X190G</t>
  </si>
  <si>
    <t>LEXUS SANDWICH PEANUT BUTTER 12X418G</t>
  </si>
  <si>
    <t>LEXUS SANDWICH CHOCOLATE 12X418G</t>
  </si>
  <si>
    <t>JULIES PEANUT BUTTER 12X360G</t>
  </si>
  <si>
    <t>APOLLO CHOC LAYER CAKE 12(24X16G)</t>
  </si>
  <si>
    <t>APOLLO PANDAN LAYER CAKE 12(24X18G)</t>
  </si>
  <si>
    <t>BIKA CHICKEN FLA.SNACK 6X10X60G</t>
  </si>
  <si>
    <t>DOUBLE DECKER CHEESE RING 10(8X13G)</t>
  </si>
  <si>
    <t>MAMEE MONSTER HOT AND SPICY 10(10X25G)</t>
  </si>
  <si>
    <t>SUPER RING CHEESE FLAVOUR 6X10X60G</t>
  </si>
  <si>
    <t>ORIENTAL CHICKEN RING 30(8X14G)</t>
  </si>
  <si>
    <t>ORIENTAL GREEN PEAS 30(8X14G)</t>
  </si>
  <si>
    <t>SUPER RING FAMILY PACK 30(8X14G)</t>
  </si>
  <si>
    <t>POPO MURUKU SPICY CHICKEN 20(24X12G)</t>
  </si>
  <si>
    <t>POPO MURUKU SWEET&amp;SPICY 20(24X12G)</t>
  </si>
  <si>
    <t>FRUITS PLUS GUAVA 48X120G</t>
  </si>
  <si>
    <t>FRUITS PLUS STRAWBERRY 48X120G</t>
  </si>
  <si>
    <t>HANSAPLAST ELASTIC 12X10X20'S</t>
  </si>
  <si>
    <t>HANSAPLAST PLASTER 12X10X20'S</t>
  </si>
  <si>
    <t>12</t>
  </si>
  <si>
    <t>54</t>
  </si>
  <si>
    <t>48</t>
  </si>
  <si>
    <t>CUSTOM FORM</t>
  </si>
  <si>
    <t>MAMEE PREMIUM NOODLE (C) 8(5X76G)</t>
  </si>
  <si>
    <t>POPO MURUKU SEAWEED KEROPOK 20(24X12G)</t>
  </si>
  <si>
    <t>POPO MURUKU IKAN KEROPOK 20(24X12G)</t>
  </si>
  <si>
    <t>MAGICLEAN BATHROOM STAIN AND MOLD TRIGGER 12X400ML</t>
  </si>
  <si>
    <t>100 PLUS CAN (24+4) 28X325ML</t>
  </si>
  <si>
    <t>28</t>
  </si>
  <si>
    <t>4</t>
  </si>
  <si>
    <t>8</t>
  </si>
  <si>
    <t>JULIES LOVE LETTERS STRAWBERRY 6X360G</t>
  </si>
  <si>
    <t>BREEZE LIQUID ANTI BACTERIAL AND COLOUR PROTECT 4X3.6KG</t>
  </si>
  <si>
    <t>BREEZE LIQUID FRAGRANCE OF COMFORT (PINK) 4X3.6KG</t>
  </si>
  <si>
    <t>BREEZE LIQUID GOODBYE MUSTY 4X3.6KG</t>
  </si>
  <si>
    <t>JULIES LOVE LETTERS CHOCOLATE 6X360G</t>
  </si>
  <si>
    <t>MUNCHY CREAM CRACKER 12X300G</t>
  </si>
  <si>
    <t>MUNCHYS SUGAR CRACKER 12X390G</t>
  </si>
  <si>
    <t>POKKA JASMINE GREEN TEA 4(6X250ML)</t>
  </si>
  <si>
    <t>100 PLUS 12X1.75L</t>
  </si>
  <si>
    <t>MAMEE EXPRESS CUP NOODLE (C) 24X64G</t>
  </si>
  <si>
    <t>MAMEE EXPRESS CUP NOODLE CURRY 24X65G</t>
  </si>
  <si>
    <t>MAMEE EXPRESS CUP NOODLE TOMYAM 24X68G</t>
  </si>
  <si>
    <t>MAMEE MONSTER F/P BBQ 10(10X25G)</t>
  </si>
  <si>
    <t>ORIENTAL CHICKEN RING 6X10X60G</t>
  </si>
  <si>
    <t>ORIENTAL GREEN PEAS SNACK 6X10X60G</t>
  </si>
  <si>
    <t>NIPS COOKIES AND CRÈME 6(12X62G)</t>
  </si>
  <si>
    <t>NIPS MILK CHOCOLATE 6(12X65G)</t>
  </si>
  <si>
    <t>NIPS PEANUT RAISIN 6(12X70G)</t>
  </si>
  <si>
    <t>BREEZE LIQUID COLOUR CARE 4X3.6KG</t>
  </si>
  <si>
    <t>BREEZE LIQUID POWER CLEAN 4X3.6KG</t>
  </si>
  <si>
    <t>MAGICLEAN BATHROOM STAIN AND MOLD REFILL 12X400ML</t>
  </si>
  <si>
    <t>MAMEE MONSTER F/P CHICKEN 10(10X25G)</t>
  </si>
  <si>
    <t>ORIENTAL CHEESE BALL 6X10X60G</t>
  </si>
  <si>
    <t>KAO WIDE BLEACH COLOUR LIQUID 6X2L</t>
  </si>
  <si>
    <t>HUP SENG DELUXE SUGAR CRACKERS 12X258G</t>
  </si>
  <si>
    <t>HUP SENG DELUXE VEGETABLE CRACKERS 12X258G</t>
  </si>
  <si>
    <t>OBASAN STEAMED CAKE PANDAN 20X100G</t>
  </si>
  <si>
    <t>OBASAN STEAMED CAKE CHOCOLATE 20X100G</t>
  </si>
  <si>
    <t>NESTLE HONEY STAR 24X70G</t>
  </si>
  <si>
    <t>NESTLE MILO CEREAL 24X70G</t>
  </si>
  <si>
    <t>DOUBLE DECKER F/P CHICKEN 10(8X10G)</t>
  </si>
  <si>
    <t>DOUBLE DECKER F/P PRAWN 10(8X13G)</t>
  </si>
  <si>
    <t>CLOUD 9 CANDY BUTTER CARAMEL (POUCH) 72X62.5G</t>
  </si>
  <si>
    <t>CLOUD 9 CANDY CRÈME AND STRAWBERRY (POUCH) 72X62.5G</t>
  </si>
  <si>
    <t>FRUITS PLUS BLACKCURRENT 48X120G</t>
  </si>
  <si>
    <t>MILO NUGGETS 30X25G</t>
  </si>
  <si>
    <t>F&amp;N GRAPE 12X1.1L</t>
  </si>
  <si>
    <t>F&amp;N ICE CREAM SODA 12X1.1L</t>
  </si>
  <si>
    <t>F&amp;N SARSI 12X1.1L</t>
  </si>
  <si>
    <t>F&amp;N STRAWBERRY 12X1.1L</t>
  </si>
  <si>
    <t>F&amp;N ZAPPEL 12X1.1L</t>
  </si>
  <si>
    <t>E-ZEE INSTANT NOODLE 10X600G</t>
  </si>
  <si>
    <t>F&amp;N ORANGE 12X1.1L</t>
  </si>
  <si>
    <t>COKE 12X1.25L</t>
  </si>
  <si>
    <t>SPRITE 12X1.25L</t>
  </si>
  <si>
    <t>A&amp;W SARSAP 12X1.25L</t>
  </si>
  <si>
    <t>CAP SERAMA BIHUN 10X400G</t>
  </si>
  <si>
    <t>MUNCHY'S BUTTER SANDWICH CRACKER 12X270G</t>
  </si>
  <si>
    <t>HUP SENG DELUXE ORIGINAL CRACKERS 12X258G</t>
  </si>
  <si>
    <t>SOFTLAN FLORAL FANTASY REFILL 8X1.6L</t>
  </si>
  <si>
    <t>COKE ZERO 12X1.25L</t>
  </si>
  <si>
    <t>10</t>
  </si>
  <si>
    <t>JULIES BUTTER CRACKERS 200G</t>
  </si>
  <si>
    <t>F&amp;N FRUITADE 12X1.1L</t>
  </si>
  <si>
    <t>MUNCHYS CREAM-O-TART BLUEBERRY 8(6X60G)</t>
  </si>
  <si>
    <t>MUNCHYS CREAM-O-TART STRAWBERRY 8(6X60G)</t>
  </si>
  <si>
    <t>20</t>
  </si>
  <si>
    <t>KEROPOK ORIGINAL CAP MEANARA 80G</t>
  </si>
  <si>
    <t>KEROPOK SIRA CAP MEANARA 80G</t>
  </si>
  <si>
    <t>30</t>
  </si>
  <si>
    <t>TA LIAN POP CORN DURIAN F/P (8X14G)</t>
  </si>
  <si>
    <t>MUNCHYS OAT KRUNCH  BREAKFAST CRANBERRY 192G</t>
  </si>
  <si>
    <t>ORIENTAL ROTA PRAWN 30(8X14G)</t>
  </si>
  <si>
    <t>MAGICLEAN KITCHEN TRIGGER LIME 24X500ML</t>
  </si>
  <si>
    <t>ZESS SUPER RING CHEESE CRACKERS 75G</t>
  </si>
  <si>
    <t>KICKAPOO JOY JUICE 1.5 L</t>
  </si>
  <si>
    <t>NESTLE KOKO CRUNCH 24X70G</t>
  </si>
  <si>
    <t>MAGGI TOMATO KETCHUP 325G</t>
  </si>
  <si>
    <t>MAGGI CHILLI SAUCE 340G</t>
  </si>
  <si>
    <t>APOLLO STRAWBERRY WAFER  24(30X11G)</t>
  </si>
  <si>
    <t>APOLLO CHOCO WAFER  24(30X11G)</t>
  </si>
  <si>
    <t>IB CHOKI-CHOKI CHOCO 18(12X5X9G)</t>
  </si>
  <si>
    <t>60</t>
  </si>
  <si>
    <t>JAMI PINEAPPLE JAM 450G</t>
  </si>
  <si>
    <t>JAMI MIXES FRUIT JAM 450G</t>
  </si>
  <si>
    <t>JAMI PREMIUM JAM 450G</t>
  </si>
  <si>
    <t>SKITTLES SOUR CANDY (20X40G)</t>
  </si>
  <si>
    <t>SOFTLAN LAVENDER REFILL 8X1.6L</t>
  </si>
  <si>
    <t>MUNCHYS OAT KRUNCH  BREAKFAST DARK CHOCOLATE BLUEBERRY 192G</t>
  </si>
  <si>
    <t>120</t>
  </si>
  <si>
    <t>72</t>
  </si>
  <si>
    <t>216</t>
  </si>
  <si>
    <t>SKITTLES original CANDY (20X40G)</t>
  </si>
  <si>
    <t>SKITTLES yogurt CANDY (20X40G)</t>
  </si>
  <si>
    <t>JULIE'S CHEESE SANDWICH 12X336G</t>
  </si>
  <si>
    <t>IBUMIE ALWAYS GORENG ASLI (6X80G)</t>
  </si>
  <si>
    <t>FUDO SWISS ROLL CAKE CHOCO (24SX18G)</t>
  </si>
  <si>
    <t>FUDO SWISS ROLL CAKE BUTTER (24SX18G)</t>
  </si>
  <si>
    <t>JACK &amp; JILL ROLLER COASTER CANISTER ORIGINAL 14X100G</t>
  </si>
  <si>
    <t>14</t>
  </si>
  <si>
    <t>SOFTLAN SPRING FRESH REFILL 8X1.6L</t>
  </si>
  <si>
    <t>BIKA PARTY PACK CHICKEN FLAVOURED SNACKS (GREEN) 8X12G</t>
  </si>
  <si>
    <t>40</t>
  </si>
  <si>
    <t>MAGICLEAN KITCHEN REFILL LIME 500ML</t>
  </si>
  <si>
    <t>MUNCHY WHEAT CRACKER 12X276G</t>
  </si>
  <si>
    <t>LEXUS CHOCO CREAM COATED BISCUITS 12X200G</t>
  </si>
  <si>
    <t>MAMEE PREMIUM DUCK NOODLE 5+1 8(6X79G)</t>
  </si>
  <si>
    <t>BREEZE LIQUID 2IN1 - SILKY SAKURA 4X3.6KG</t>
  </si>
  <si>
    <t>BREEZE LIQUID GENTLE OF SKIN 4X3.6KG</t>
  </si>
  <si>
    <t>MAGICLEAN KITCHEN REFILL TP 500ML</t>
  </si>
  <si>
    <t>MAGICLEAN TOILET BLEACH REGULAR 500ML</t>
  </si>
  <si>
    <t>HANDBRAND COCONUT 120G</t>
  </si>
  <si>
    <t>DAHFA SNACK 120G</t>
  </si>
  <si>
    <t>LEXUS SANDWICH SALTED VANILLA 418G</t>
  </si>
  <si>
    <t>CLOUD 9 CANDY CHOCOLATE CHEWS (POUCH) 72X62.5G</t>
  </si>
  <si>
    <t>HUP SENG SESAME CRACKERS 12X258G</t>
  </si>
  <si>
    <t>HUP SENG  SUGAR CRACKERS 12X250G</t>
  </si>
  <si>
    <t>OBASAN STEAMED CAKE CHEESE 20X100G</t>
  </si>
  <si>
    <t>NIPS PEANUT  6(12X70G)</t>
  </si>
  <si>
    <t>MAMEE PREMIUM CURRY NOODLE  8(5X77G)</t>
  </si>
  <si>
    <t>BREEZE LIQUID LUXURY PERFUME 4X3.6KG</t>
  </si>
  <si>
    <t>APOLLO STRAWBERRY LAYER CAKE 12(24X18G)</t>
  </si>
  <si>
    <t>MAMEE PREMIUM NOODLE (C) 8(5+1X79G)</t>
  </si>
  <si>
    <t>MAMEE PREMIUM VEGETARIAN NOODLE 8(5+1X78G)</t>
  </si>
  <si>
    <t>POKKA JASMINE GREEN TEA 300ML</t>
  </si>
  <si>
    <t>MUNCHY ORIGINAL CREAM CRACKER 12X375G</t>
  </si>
  <si>
    <t>MUNCHY FUNMIX ASSORTED BISCUIT (JUMBO) 900G</t>
  </si>
  <si>
    <t>FRUITS PLUS ORANGE 48X120G</t>
  </si>
  <si>
    <t>FRUITS PLUS LYCHEE 48X120G</t>
  </si>
  <si>
    <t>SNEK KU SHOYUEMI FUNPACK 8X14G</t>
  </si>
  <si>
    <t>COKE ORIGINAL CAN 320ML</t>
  </si>
  <si>
    <t>BENTOREE KOREAN SPICY FLAVOUR NOODLE ( C ) 71.5G</t>
  </si>
  <si>
    <t>BENTOREE CHEESE SPICY FLAVOUR NOODLE ( C ) 71.5G</t>
  </si>
  <si>
    <t>BENTOREE KIMCHI SOUP RAMEN NOODLE ( C ) 62G</t>
  </si>
  <si>
    <t>POKKA JASMINE GREEN TEA 500ML</t>
  </si>
  <si>
    <t>CLOUD 9 CANDY ICE LEMON TEA (POUCH) 72X62.5G</t>
  </si>
  <si>
    <t>IBUMIE BAA GUS MI SUP KARI (5X75G)</t>
  </si>
  <si>
    <t>NIPS PEANUT 160G</t>
  </si>
  <si>
    <t>POKKA JASMINE GREEN TEA 1.5L</t>
  </si>
  <si>
    <t>CKL SYOK BITE CHOCOLATE COOKIES 80G</t>
  </si>
  <si>
    <t>FRUITS PLUS MANGO 48X120G</t>
  </si>
  <si>
    <t>HANSAPLAST WATER RESISTANT 12X10X20'S</t>
  </si>
  <si>
    <t>FUDO SWISS ROLL CAKE STRAWBERRY (24SX18G)</t>
  </si>
  <si>
    <t>ORIENTAL ROTA PRAWN 6X10X60G</t>
  </si>
  <si>
    <t>MAGGI HOT CUP TOMYAM 54X58G</t>
  </si>
  <si>
    <t>PRICE WE WANT</t>
  </si>
  <si>
    <t>GRAB COMM 18%</t>
  </si>
  <si>
    <t>REQUIRED S PRICE</t>
  </si>
  <si>
    <t>FOOD PANDA COMM</t>
  </si>
  <si>
    <t>TOTAL</t>
  </si>
  <si>
    <t>NET AFTER COMM</t>
  </si>
  <si>
    <t>-</t>
  </si>
  <si>
    <t>GST%</t>
  </si>
  <si>
    <t>MARGIN EARNED %</t>
  </si>
  <si>
    <t>DIFFERENCE</t>
  </si>
  <si>
    <t>VALUE DOLLAR{TAMPINES AND BEDOK} PRICING</t>
  </si>
  <si>
    <t>3/2/26</t>
  </si>
  <si>
    <t>4/2/26</t>
  </si>
  <si>
    <t>5/2/26</t>
  </si>
  <si>
    <t>11/2/26</t>
  </si>
  <si>
    <t>12/2/26</t>
  </si>
  <si>
    <t>10/2/26</t>
  </si>
  <si>
    <t>20/2/26</t>
  </si>
  <si>
    <t>5/3/26</t>
  </si>
  <si>
    <t>28/2/26</t>
  </si>
  <si>
    <t>APOLLO BLUEBERRY LAYER CAKE 12(24X18G)</t>
  </si>
  <si>
    <t>APOLLO COCOA LAYER CAKE 12(24X18G)</t>
  </si>
  <si>
    <t>24/2/26</t>
  </si>
  <si>
    <t>26/2/26</t>
  </si>
  <si>
    <t>3/3/26</t>
  </si>
  <si>
    <t>14/3/26</t>
  </si>
  <si>
    <t>11/3/26</t>
  </si>
  <si>
    <t>17/3/26</t>
  </si>
  <si>
    <t>19/3/26</t>
  </si>
  <si>
    <t>1/4/26</t>
  </si>
  <si>
    <t>7/4/26</t>
  </si>
  <si>
    <t>31/3/26</t>
  </si>
  <si>
    <t>11/4/26</t>
  </si>
  <si>
    <t>SNEK KU SHOYUEMI FUNPACK ORIGINAL 8X14G</t>
  </si>
  <si>
    <t>SNEK KU SHOYUEMI FUNPACK SPICY 8X14G</t>
  </si>
  <si>
    <t>15/4/26</t>
  </si>
  <si>
    <t>25/3/26</t>
  </si>
  <si>
    <t>28/3/26</t>
  </si>
  <si>
    <t>26/3/26</t>
  </si>
  <si>
    <t>8/4/26</t>
  </si>
  <si>
    <t>17/4/26</t>
  </si>
  <si>
    <t>14/4/26</t>
  </si>
  <si>
    <t>22/4/26</t>
  </si>
  <si>
    <t>ZESS SAVOURY CRACKERS 75G</t>
  </si>
  <si>
    <t>21/4/26</t>
  </si>
  <si>
    <t>24/4/26</t>
  </si>
  <si>
    <t>30/4/26</t>
  </si>
  <si>
    <t>28/4/26</t>
  </si>
  <si>
    <t>29/4/26</t>
  </si>
  <si>
    <t>F&amp;N CORDIAL ROSE 2L</t>
  </si>
  <si>
    <t>F&amp;N CORDIAL ORANGE 2L</t>
  </si>
  <si>
    <t>5/5/26</t>
  </si>
  <si>
    <t>6/5/26</t>
  </si>
  <si>
    <t>FAB LIQUID COLOUR CARE 3.5KG</t>
  </si>
  <si>
    <t>DYNAMO LIQUID COLOUR CARE REFILL 2.5LT</t>
  </si>
  <si>
    <t>FAB DETERGENT POWDER WHITE 660G</t>
  </si>
  <si>
    <t>FAB DETERGENT POWDER ANTI BACTERIAL 660G</t>
  </si>
  <si>
    <t>FAB LAUNDRY POWDER COTTON 2KG</t>
  </si>
  <si>
    <t>18</t>
  </si>
  <si>
    <t>5</t>
  </si>
  <si>
    <t>DYNAMO LIQUID EAU DE ROSE REFILL 2.5LT</t>
  </si>
  <si>
    <t>DYNAMO LIQUID FRESH REFILL 2.5LT</t>
  </si>
  <si>
    <t>FAB LAUNDRY POWDER WHITE 2KG</t>
  </si>
  <si>
    <t>RIBENA REGULAR 850ML</t>
  </si>
  <si>
    <t>GRAB COMM 16.35%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</si>
</sst>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(* #,##0.00_);_(* \(#,##0.00\);_(* &quot;-&quot;??_);_(@_)"/>
    <numFmt numFmtId="164" formatCode="_(&quot;₹&quot;* #,##0.00_);_(&quot;₹&quot;* \(#,##0.00\);_(&quot;₹&quot;* &quot;-&quot;??_);_(@_)"/>
    <numFmt numFmtId="165" formatCode="0.000"/>
    <numFmt numFmtId="166" formatCode="0.0000"/>
    <numFmt numFmtId="167" formatCode="&quot;$&quot;#,##0.0000"/>
    <numFmt numFmtId="168" formatCode="&quot;$&quot;#,##0.00"/>
    <numFmt numFmtId="169" formatCode="_-&quot;$&quot;* #,##0.000_-;\-&quot;$&quot;* #,##0.000_-;_-&quot;$&quot;* &quot;-&quot;???_-;_-@_-"/>
    <numFmt numFmtId="170" formatCode="_-&quot;$&quot;* #,##0.00_-;\-&quot;$&quot;* #,##0.00_-;_-&quot;$&quot;* &quot;-&quot;??_-;_-@_-"/>
    <numFmt numFmtId="171" formatCode="&quot;$&quot;&quot; &quot;#,##0.0000"/>
    <numFmt numFmtId="172" formatCode="&quot;$&quot;&quot; &quot;#,##0.00"/>
    <numFmt numFmtId="173" formatCode="0.000%"/>
    <numFmt numFmtId="174" formatCode="&quot; &quot;&quot;$&quot;* #,##0.00&quot; &quot;;&quot;-&quot;&quot;$&quot;* #,##0.00&quot; &quot;;&quot; &quot;&quot;$&quot;* &quot;-&quot;??&quot; &quot;"/>
    <numFmt numFmtId="175" formatCode="&quot; &quot;&quot;$&quot;* #,##0.0000&quot; &quot;;&quot;-&quot;&quot;$&quot;* #,##0.0000&quot; &quot;;&quot; &quot;&quot;$&quot;* &quot;-&quot;??&quot; &quot;"/>
    <numFmt numFmtId="176" formatCode="&quot; &quot;[$CNY]* #,##0.00&quot; &quot;;&quot; &quot;[$CNY]* &quot;-&quot;#,##0.00&quot; &quot;;&quot; &quot;[$CNY]* &quot;-&quot;??&quot; &quot;"/>
    <numFmt numFmtId="177" formatCode="&quot; &quot;[$$-409]* #,##0.0000&quot; &quot;;&quot; &quot;[$$-409]* &quot;-&quot;#,##0.0000&quot; &quot;;&quot; &quot;[$$-409]* &quot;-&quot;??&quot; &quot;"/>
    <numFmt numFmtId="178" formatCode="&quot; &quot;&quot;$&quot;* #,##0.00000&quot; &quot;;&quot;-&quot;&quot;$&quot;* #,##0.00000&quot; &quot;;&quot; &quot;&quot;$&quot;* &quot;-&quot;??&quot; &quot;"/>
    <numFmt numFmtId="179" formatCode="_-[$$-4809]* #,##0.00_-;\-[$$-4809]* #,##0.00_-;_-[$$-4809]* &quot;-&quot;??_-;_-@_-"/>
    <numFmt numFmtId="180" formatCode="#,##0.0"/>
  </numFmts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5"/>
      <color indexed="8"/>
      <name val="Calibri"/>
      <family val="2"/>
    </font>
    <font>
      <b/>
      <sz val="20"/>
      <color indexed="8"/>
      <name val="Calibri"/>
      <family val="2"/>
    </font>
    <font>
      <sz val="12"/>
      <color indexed="8"/>
      <name val="Calibri"/>
      <family val="2"/>
    </font>
    <font>
      <sz val="15"/>
      <color indexed="8"/>
      <name val="Calibri"/>
      <family val="2"/>
    </font>
    <font>
      <b/>
      <sz val="18"/>
      <color indexed="8"/>
      <name val="Calibri"/>
      <family val="2"/>
    </font>
    <font>
      <b/>
      <sz val="24"/>
      <color indexed="8"/>
      <name val="Calibri"/>
      <family val="2"/>
    </font>
    <font>
      <b/>
      <sz val="12"/>
      <color indexed="8"/>
      <name val="Calibri"/>
      <family val="2"/>
    </font>
    <font>
      <u/>
      <sz val="14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Aptos Narrow"/>
      <family val="2"/>
      <scheme val="minor"/>
    </font>
    <font>
      <sz val="14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b/>
      <sz val="16"/>
      <color indexed="8"/>
      <name val="Calibri"/>
      <family val="2"/>
    </font>
    <font>
      <sz val="16"/>
      <color indexed="8"/>
      <name val="Calibri"/>
      <family val="2"/>
    </font>
    <font>
      <sz val="9"/>
      <color indexed="8"/>
      <name val="Calibri"/>
      <family val="2"/>
    </font>
    <font>
      <b/>
      <u/>
      <sz val="11"/>
      <color indexed="13"/>
      <name val="Calibri"/>
      <family val="2"/>
    </font>
    <font>
      <sz val="11"/>
      <color indexed="13"/>
      <name val="Calibri"/>
      <family val="2"/>
    </font>
    <font>
      <b/>
      <sz val="11"/>
      <color indexed="13"/>
      <name val="Calibri"/>
      <family val="2"/>
    </font>
    <font>
      <sz val="12"/>
      <color rgb="FFFF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7">
    <border>
      <left/>
      <right/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medium">
        <color indexed="8"/>
      </top>
      <bottom/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medium">
        <color indexed="8"/>
      </left>
      <right style="thin">
        <color indexed="10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/>
      <top style="thin">
        <color indexed="1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dotted">
        <color indexed="8"/>
      </left>
      <right style="medium">
        <color indexed="8"/>
      </right>
      <top/>
      <bottom style="thin">
        <color indexed="10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10"/>
      </right>
      <top/>
      <bottom style="thin">
        <color indexed="10"/>
      </bottom>
      <diagonal/>
    </border>
    <border>
      <left style="medium">
        <color indexed="8"/>
      </left>
      <right/>
      <top/>
      <bottom style="thin">
        <color indexed="8"/>
      </bottom>
      <diagonal/>
    </border>
    <border>
      <left style="medium">
        <color indexed="8"/>
      </left>
      <right style="dotted">
        <color indexed="8"/>
      </right>
      <top/>
      <bottom style="thin">
        <color indexed="8"/>
      </bottom>
      <diagonal/>
    </border>
    <border>
      <left style="dotted">
        <color indexed="8"/>
      </left>
      <right style="dotted">
        <color indexed="8"/>
      </right>
      <top/>
      <bottom style="medium">
        <color indexed="8"/>
      </bottom>
      <diagonal/>
    </border>
    <border>
      <left style="dotted">
        <color indexed="8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medium">
        <color indexed="8"/>
      </right>
      <top style="thin">
        <color indexed="10"/>
      </top>
      <bottom style="thin">
        <color indexed="10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thin">
        <color indexed="8"/>
      </bottom>
      <diagonal/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dotted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dotted">
        <color indexed="8"/>
      </left>
      <right style="dotted">
        <color indexed="8"/>
      </right>
      <top style="thin">
        <color indexed="64"/>
      </top>
      <bottom/>
      <diagonal/>
    </border>
    <border>
      <left style="medium">
        <color indexed="8"/>
      </left>
      <right style="dotted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/>
      <top style="thin">
        <color indexed="64"/>
      </top>
      <bottom style="medium">
        <color indexed="8"/>
      </bottom>
      <diagonal/>
    </border>
    <border>
      <left/>
      <right style="medium">
        <color indexed="8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thin">
        <color indexed="64"/>
      </top>
      <bottom/>
      <diagonal/>
    </border>
    <border>
      <left/>
      <right style="medium">
        <color indexed="8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1" fillId="0" borderId="0" applyNumberFormat="0" applyFill="0" applyBorder="0" applyProtection="0"/>
    <xf numFmtId="0" fontId="12" fillId="0" borderId="0"/>
  </cellStyleXfs>
  <cellXfs count="178">
    <xf numFmtId="0" fontId="0" fillId="0" borderId="0" xfId="0"/>
    <xf numFmtId="49" fontId="3" fillId="2" borderId="4" xfId="0" applyNumberFormat="1" applyFont="1" applyFill="1" applyBorder="1" applyAlignment="1">
      <alignment horizontal="right" vertical="center"/>
    </xf>
    <xf numFmtId="0" fontId="4" fillId="2" borderId="6" xfId="0" applyFont="1" applyFill="1" applyBorder="1"/>
    <xf numFmtId="49" fontId="3" fillId="2" borderId="10" xfId="0" applyNumberFormat="1" applyFont="1" applyFill="1" applyBorder="1" applyAlignment="1">
      <alignment horizontal="right"/>
    </xf>
    <xf numFmtId="165" fontId="6" fillId="2" borderId="11" xfId="0" applyNumberFormat="1" applyFont="1" applyFill="1" applyBorder="1" applyAlignment="1">
      <alignment horizontal="center"/>
    </xf>
    <xf numFmtId="166" fontId="7" fillId="2" borderId="11" xfId="0" applyNumberFormat="1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0" fontId="0" fillId="2" borderId="13" xfId="0" applyFill="1" applyBorder="1"/>
    <xf numFmtId="0" fontId="6" fillId="2" borderId="13" xfId="0" applyFont="1" applyFill="1" applyBorder="1"/>
    <xf numFmtId="167" fontId="0" fillId="2" borderId="13" xfId="0" applyNumberFormat="1" applyFill="1" applyBorder="1"/>
    <xf numFmtId="168" fontId="0" fillId="2" borderId="13" xfId="0" applyNumberFormat="1" applyFill="1" applyBorder="1"/>
    <xf numFmtId="0" fontId="0" fillId="2" borderId="2" xfId="0" applyFill="1" applyBorder="1"/>
    <xf numFmtId="0" fontId="0" fillId="2" borderId="14" xfId="0" applyFill="1" applyBorder="1"/>
    <xf numFmtId="0" fontId="9" fillId="2" borderId="14" xfId="0" applyFont="1" applyFill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4" fillId="2" borderId="15" xfId="0" applyFont="1" applyFill="1" applyBorder="1"/>
    <xf numFmtId="0" fontId="0" fillId="2" borderId="18" xfId="0" applyFill="1" applyBorder="1"/>
    <xf numFmtId="168" fontId="0" fillId="2" borderId="22" xfId="0" applyNumberFormat="1" applyFill="1" applyBorder="1"/>
    <xf numFmtId="0" fontId="0" fillId="2" borderId="15" xfId="0" applyFill="1" applyBorder="1"/>
    <xf numFmtId="0" fontId="0" fillId="0" borderId="15" xfId="0" applyBorder="1"/>
    <xf numFmtId="49" fontId="10" fillId="3" borderId="23" xfId="0" applyNumberFormat="1" applyFont="1" applyFill="1" applyBorder="1" applyAlignment="1">
      <alignment horizontal="center" vertical="center"/>
    </xf>
    <xf numFmtId="49" fontId="10" fillId="3" borderId="24" xfId="0" applyNumberFormat="1" applyFont="1" applyFill="1" applyBorder="1" applyAlignment="1">
      <alignment horizontal="center" vertical="center"/>
    </xf>
    <xf numFmtId="49" fontId="10" fillId="3" borderId="24" xfId="0" applyNumberFormat="1" applyFont="1" applyFill="1" applyBorder="1" applyAlignment="1">
      <alignment horizontal="center" vertical="center" wrapText="1"/>
    </xf>
    <xf numFmtId="49" fontId="10" fillId="3" borderId="25" xfId="0" applyNumberFormat="1" applyFont="1" applyFill="1" applyBorder="1" applyAlignment="1">
      <alignment horizontal="center" vertical="center"/>
    </xf>
    <xf numFmtId="168" fontId="10" fillId="2" borderId="26" xfId="0" applyNumberFormat="1" applyFont="1" applyFill="1" applyBorder="1" applyAlignment="1">
      <alignment horizontal="center" vertical="center"/>
    </xf>
    <xf numFmtId="49" fontId="10" fillId="3" borderId="27" xfId="0" applyNumberFormat="1" applyFont="1" applyFill="1" applyBorder="1" applyAlignment="1">
      <alignment horizontal="center" vertical="center" wrapText="1"/>
    </xf>
    <xf numFmtId="49" fontId="10" fillId="3" borderId="28" xfId="0" applyNumberFormat="1" applyFont="1" applyFill="1" applyBorder="1" applyAlignment="1">
      <alignment horizontal="center" vertical="center" wrapText="1"/>
    </xf>
    <xf numFmtId="49" fontId="10" fillId="4" borderId="28" xfId="0" applyNumberFormat="1" applyFont="1" applyFill="1" applyBorder="1" applyAlignment="1">
      <alignment horizontal="center" vertical="center" wrapText="1"/>
    </xf>
    <xf numFmtId="49" fontId="10" fillId="3" borderId="29" xfId="0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 vertical="center"/>
    </xf>
    <xf numFmtId="3" fontId="0" fillId="0" borderId="30" xfId="0" applyNumberFormat="1" applyBorder="1" applyAlignment="1">
      <alignment horizontal="center" vertical="center"/>
    </xf>
    <xf numFmtId="49" fontId="11" fillId="0" borderId="30" xfId="0" applyNumberFormat="1" applyFont="1" applyBorder="1" applyAlignment="1">
      <alignment horizontal="center" vertical="center" wrapText="1"/>
    </xf>
    <xf numFmtId="169" fontId="0" fillId="0" borderId="30" xfId="3" applyNumberFormat="1" applyFont="1" applyFill="1" applyBorder="1" applyAlignment="1">
      <alignment vertical="center"/>
    </xf>
    <xf numFmtId="170" fontId="0" fillId="0" borderId="30" xfId="0" applyNumberFormat="1" applyBorder="1" applyAlignment="1">
      <alignment vertical="center"/>
    </xf>
    <xf numFmtId="1" fontId="13" fillId="0" borderId="30" xfId="0" applyNumberFormat="1" applyFont="1" applyBorder="1" applyAlignment="1">
      <alignment horizontal="center" vertical="center"/>
    </xf>
    <xf numFmtId="171" fontId="0" fillId="0" borderId="30" xfId="0" applyNumberFormat="1" applyBorder="1" applyAlignment="1">
      <alignment horizontal="center" vertical="center"/>
    </xf>
    <xf numFmtId="170" fontId="4" fillId="0" borderId="30" xfId="4" applyNumberFormat="1" applyFont="1" applyFill="1" applyBorder="1" applyAlignment="1">
      <alignment horizontal="center" vertical="center"/>
    </xf>
    <xf numFmtId="172" fontId="0" fillId="0" borderId="30" xfId="0" applyNumberFormat="1" applyBorder="1" applyAlignment="1">
      <alignment horizontal="center" vertical="center"/>
    </xf>
    <xf numFmtId="10" fontId="0" fillId="0" borderId="30" xfId="0" applyNumberForma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 wrapText="1"/>
    </xf>
    <xf numFmtId="9" fontId="14" fillId="0" borderId="30" xfId="2" applyFont="1" applyFill="1" applyBorder="1" applyAlignment="1">
      <alignment horizontal="center" vertical="center" wrapText="1"/>
    </xf>
    <xf numFmtId="49" fontId="14" fillId="0" borderId="30" xfId="5" applyNumberFormat="1" applyFont="1" applyBorder="1" applyAlignment="1">
      <alignment horizontal="center" vertical="center" wrapText="1"/>
    </xf>
    <xf numFmtId="49" fontId="14" fillId="0" borderId="33" xfId="5" applyNumberFormat="1" applyFont="1" applyBorder="1" applyAlignment="1">
      <alignment horizontal="center" vertical="center" wrapText="1"/>
    </xf>
    <xf numFmtId="167" fontId="14" fillId="3" borderId="34" xfId="0" applyNumberFormat="1" applyFont="1" applyFill="1" applyBorder="1" applyAlignment="1">
      <alignment horizontal="right" vertical="center" wrapText="1"/>
    </xf>
    <xf numFmtId="167" fontId="14" fillId="3" borderId="35" xfId="0" applyNumberFormat="1" applyFont="1" applyFill="1" applyBorder="1" applyAlignment="1">
      <alignment horizontal="right" vertical="center" wrapText="1"/>
    </xf>
    <xf numFmtId="0" fontId="0" fillId="2" borderId="36" xfId="0" applyFill="1" applyBorder="1"/>
    <xf numFmtId="49" fontId="14" fillId="3" borderId="37" xfId="0" applyNumberFormat="1" applyFont="1" applyFill="1" applyBorder="1" applyAlignment="1">
      <alignment horizontal="right" vertical="center" wrapText="1"/>
    </xf>
    <xf numFmtId="172" fontId="8" fillId="2" borderId="38" xfId="0" applyNumberFormat="1" applyFont="1" applyFill="1" applyBorder="1" applyAlignment="1">
      <alignment horizontal="right" vertical="center"/>
    </xf>
    <xf numFmtId="0" fontId="4" fillId="0" borderId="40" xfId="0" applyFont="1" applyBorder="1"/>
    <xf numFmtId="167" fontId="14" fillId="3" borderId="41" xfId="0" applyNumberFormat="1" applyFont="1" applyFill="1" applyBorder="1" applyAlignment="1">
      <alignment horizontal="right" vertical="center" wrapText="1"/>
    </xf>
    <xf numFmtId="0" fontId="0" fillId="2" borderId="44" xfId="0" applyFill="1" applyBorder="1"/>
    <xf numFmtId="49" fontId="14" fillId="3" borderId="23" xfId="0" applyNumberFormat="1" applyFont="1" applyFill="1" applyBorder="1" applyAlignment="1">
      <alignment horizontal="right" vertical="center" wrapText="1"/>
    </xf>
    <xf numFmtId="168" fontId="8" fillId="2" borderId="45" xfId="0" applyNumberFormat="1" applyFont="1" applyFill="1" applyBorder="1" applyAlignment="1">
      <alignment horizontal="right" vertical="center"/>
    </xf>
    <xf numFmtId="0" fontId="4" fillId="0" borderId="47" xfId="0" applyFont="1" applyBorder="1"/>
    <xf numFmtId="167" fontId="14" fillId="3" borderId="49" xfId="0" applyNumberFormat="1" applyFont="1" applyFill="1" applyBorder="1" applyAlignment="1">
      <alignment horizontal="right" vertical="center" wrapText="1"/>
    </xf>
    <xf numFmtId="167" fontId="14" fillId="3" borderId="50" xfId="0" applyNumberFormat="1" applyFont="1" applyFill="1" applyBorder="1" applyAlignment="1">
      <alignment horizontal="right" vertical="center" wrapText="1"/>
    </xf>
    <xf numFmtId="49" fontId="14" fillId="3" borderId="51" xfId="0" applyNumberFormat="1" applyFont="1" applyFill="1" applyBorder="1" applyAlignment="1">
      <alignment horizontal="right" vertical="center" wrapText="1"/>
    </xf>
    <xf numFmtId="170" fontId="11" fillId="5" borderId="52" xfId="0" applyNumberFormat="1" applyFont="1" applyFill="1" applyBorder="1" applyAlignment="1">
      <alignment vertical="center"/>
    </xf>
    <xf numFmtId="49" fontId="8" fillId="3" borderId="53" xfId="0" applyNumberFormat="1" applyFont="1" applyFill="1" applyBorder="1" applyAlignment="1">
      <alignment horizontal="right" vertical="center" wrapText="1"/>
    </xf>
    <xf numFmtId="172" fontId="4" fillId="2" borderId="54" xfId="0" applyNumberFormat="1" applyFont="1" applyFill="1" applyBorder="1" applyAlignment="1">
      <alignment horizontal="center" vertical="center"/>
    </xf>
    <xf numFmtId="173" fontId="16" fillId="2" borderId="55" xfId="0" applyNumberFormat="1" applyFont="1" applyFill="1" applyBorder="1" applyAlignment="1">
      <alignment horizontal="center" vertical="center" wrapText="1"/>
    </xf>
    <xf numFmtId="174" fontId="4" fillId="2" borderId="47" xfId="0" applyNumberFormat="1" applyFont="1" applyFill="1" applyBorder="1" applyAlignment="1">
      <alignment horizontal="center" vertical="center" wrapText="1"/>
    </xf>
    <xf numFmtId="167" fontId="14" fillId="3" borderId="56" xfId="0" applyNumberFormat="1" applyFont="1" applyFill="1" applyBorder="1" applyAlignment="1">
      <alignment horizontal="right" vertical="center" wrapText="1"/>
    </xf>
    <xf numFmtId="167" fontId="14" fillId="3" borderId="57" xfId="0" applyNumberFormat="1" applyFont="1" applyFill="1" applyBorder="1" applyAlignment="1">
      <alignment horizontal="right" vertical="center" wrapText="1"/>
    </xf>
    <xf numFmtId="49" fontId="14" fillId="3" borderId="58" xfId="0" applyNumberFormat="1" applyFont="1" applyFill="1" applyBorder="1" applyAlignment="1">
      <alignment horizontal="right" vertical="center" wrapText="1"/>
    </xf>
    <xf numFmtId="170" fontId="0" fillId="2" borderId="52" xfId="0" applyNumberFormat="1" applyFill="1" applyBorder="1" applyAlignment="1">
      <alignment vertical="center"/>
    </xf>
    <xf numFmtId="49" fontId="8" fillId="3" borderId="59" xfId="0" applyNumberFormat="1" applyFont="1" applyFill="1" applyBorder="1" applyAlignment="1">
      <alignment horizontal="right" vertical="center" wrapText="1"/>
    </xf>
    <xf numFmtId="172" fontId="4" fillId="2" borderId="60" xfId="0" applyNumberFormat="1" applyFont="1" applyFill="1" applyBorder="1" applyAlignment="1">
      <alignment horizontal="center" vertical="center"/>
    </xf>
    <xf numFmtId="49" fontId="0" fillId="2" borderId="37" xfId="0" applyNumberFormat="1" applyFill="1" applyBorder="1" applyAlignment="1">
      <alignment horizontal="center" vertical="center" wrapText="1"/>
    </xf>
    <xf numFmtId="9" fontId="18" fillId="2" borderId="40" xfId="0" applyNumberFormat="1" applyFont="1" applyFill="1" applyBorder="1" applyAlignment="1">
      <alignment horizontal="left" vertical="center"/>
    </xf>
    <xf numFmtId="0" fontId="4" fillId="2" borderId="22" xfId="0" applyFont="1" applyFill="1" applyBorder="1"/>
    <xf numFmtId="0" fontId="0" fillId="2" borderId="1" xfId="0" applyFill="1" applyBorder="1"/>
    <xf numFmtId="167" fontId="0" fillId="2" borderId="2" xfId="0" applyNumberFormat="1" applyFill="1" applyBorder="1"/>
    <xf numFmtId="168" fontId="0" fillId="2" borderId="3" xfId="0" applyNumberFormat="1" applyFill="1" applyBorder="1"/>
    <xf numFmtId="0" fontId="0" fillId="2" borderId="47" xfId="0" applyFill="1" applyBorder="1"/>
    <xf numFmtId="9" fontId="0" fillId="2" borderId="2" xfId="0" applyNumberFormat="1" applyFill="1" applyBorder="1" applyAlignment="1">
      <alignment horizontal="center"/>
    </xf>
    <xf numFmtId="0" fontId="0" fillId="0" borderId="2" xfId="0" applyBorder="1"/>
    <xf numFmtId="0" fontId="0" fillId="2" borderId="22" xfId="0" applyFill="1" applyBorder="1"/>
    <xf numFmtId="2" fontId="0" fillId="2" borderId="22" xfId="0" applyNumberFormat="1" applyFill="1" applyBorder="1"/>
    <xf numFmtId="167" fontId="0" fillId="2" borderId="22" xfId="0" applyNumberFormat="1" applyFill="1" applyBorder="1"/>
    <xf numFmtId="168" fontId="0" fillId="2" borderId="48" xfId="0" applyNumberFormat="1" applyFill="1" applyBorder="1"/>
    <xf numFmtId="0" fontId="20" fillId="2" borderId="22" xfId="0" applyFont="1" applyFill="1" applyBorder="1" applyAlignment="1">
      <alignment vertical="center" wrapText="1"/>
    </xf>
    <xf numFmtId="175" fontId="20" fillId="2" borderId="22" xfId="0" applyNumberFormat="1" applyFont="1" applyFill="1" applyBorder="1" applyAlignment="1">
      <alignment vertical="center"/>
    </xf>
    <xf numFmtId="176" fontId="20" fillId="2" borderId="22" xfId="0" applyNumberFormat="1" applyFont="1" applyFill="1" applyBorder="1" applyAlignment="1">
      <alignment vertical="center"/>
    </xf>
    <xf numFmtId="174" fontId="20" fillId="0" borderId="22" xfId="0" applyNumberFormat="1" applyFont="1" applyBorder="1" applyAlignment="1">
      <alignment vertical="center"/>
    </xf>
    <xf numFmtId="49" fontId="0" fillId="2" borderId="47" xfId="0" applyNumberFormat="1" applyFill="1" applyBorder="1"/>
    <xf numFmtId="0" fontId="20" fillId="2" borderId="22" xfId="0" applyFont="1" applyFill="1" applyBorder="1" applyAlignment="1">
      <alignment vertical="center"/>
    </xf>
    <xf numFmtId="177" fontId="21" fillId="0" borderId="22" xfId="0" applyNumberFormat="1" applyFont="1" applyBorder="1" applyAlignment="1">
      <alignment vertical="center"/>
    </xf>
    <xf numFmtId="178" fontId="0" fillId="2" borderId="22" xfId="0" applyNumberFormat="1" applyFill="1" applyBorder="1"/>
    <xf numFmtId="0" fontId="0" fillId="2" borderId="7" xfId="0" applyFill="1" applyBorder="1"/>
    <xf numFmtId="0" fontId="0" fillId="2" borderId="8" xfId="0" applyFill="1" applyBorder="1"/>
    <xf numFmtId="167" fontId="0" fillId="2" borderId="8" xfId="0" applyNumberFormat="1" applyFill="1" applyBorder="1"/>
    <xf numFmtId="168" fontId="0" fillId="2" borderId="9" xfId="0" applyNumberFormat="1" applyFill="1" applyBorder="1"/>
    <xf numFmtId="0" fontId="20" fillId="2" borderId="22" xfId="0" applyFont="1" applyFill="1" applyBorder="1"/>
    <xf numFmtId="0" fontId="20" fillId="0" borderId="22" xfId="0" applyFont="1" applyBorder="1"/>
    <xf numFmtId="179" fontId="0" fillId="0" borderId="30" xfId="1" applyNumberFormat="1" applyFont="1" applyFill="1" applyBorder="1" applyAlignment="1">
      <alignment horizontal="center" vertical="center"/>
    </xf>
    <xf numFmtId="49" fontId="11" fillId="0" borderId="32" xfId="0" applyNumberFormat="1" applyFont="1" applyBorder="1" applyAlignment="1">
      <alignment horizontal="left" vertical="center" wrapText="1"/>
    </xf>
    <xf numFmtId="179" fontId="23" fillId="0" borderId="83" xfId="0" applyNumberFormat="1" applyFont="1" applyBorder="1" applyAlignment="1">
      <alignment horizontal="center" vertical="center"/>
    </xf>
    <xf numFmtId="10" fontId="22" fillId="0" borderId="30" xfId="0" applyNumberFormat="1" applyFont="1" applyBorder="1" applyAlignment="1">
      <alignment horizontal="center" vertical="center"/>
    </xf>
    <xf numFmtId="49" fontId="24" fillId="0" borderId="30" xfId="0" applyNumberFormat="1" applyFont="1" applyBorder="1" applyAlignment="1">
      <alignment vertical="center" wrapText="1"/>
    </xf>
    <xf numFmtId="49" fontId="24" fillId="0" borderId="31" xfId="0" applyNumberFormat="1" applyFont="1" applyBorder="1" applyAlignment="1">
      <alignment vertical="center" wrapText="1"/>
    </xf>
    <xf numFmtId="49" fontId="24" fillId="0" borderId="31" xfId="0" applyNumberFormat="1" applyFont="1" applyBorder="1" applyAlignment="1">
      <alignment horizontal="left" vertical="center" wrapText="1"/>
    </xf>
    <xf numFmtId="49" fontId="24" fillId="0" borderId="32" xfId="0" applyNumberFormat="1" applyFont="1" applyBorder="1" applyAlignment="1">
      <alignment horizontal="left" vertical="center" wrapText="1"/>
    </xf>
    <xf numFmtId="49" fontId="24" fillId="0" borderId="32" xfId="0" applyNumberFormat="1" applyFont="1" applyBorder="1" applyAlignment="1">
      <alignment vertical="center" wrapText="1"/>
    </xf>
    <xf numFmtId="49" fontId="24" fillId="0" borderId="0" xfId="0" applyNumberFormat="1" applyFont="1" applyAlignment="1">
      <alignment vertical="center" wrapText="1"/>
    </xf>
    <xf numFmtId="49" fontId="24" fillId="0" borderId="30" xfId="0" applyNumberFormat="1" applyFont="1" applyBorder="1" applyAlignment="1">
      <alignment horizontal="left" vertical="center" wrapText="1"/>
    </xf>
    <xf numFmtId="2" fontId="0" fillId="0" borderId="0" xfId="0" applyNumberFormat="1"/>
    <xf numFmtId="9" fontId="0" fillId="0" borderId="30" xfId="0" applyNumberFormat="1" applyBorder="1" applyAlignment="1">
      <alignment horizontal="center"/>
    </xf>
    <xf numFmtId="43" fontId="0" fillId="0" borderId="0" xfId="0" applyNumberFormat="1"/>
    <xf numFmtId="9" fontId="0" fillId="0" borderId="0" xfId="2" applyFont="1"/>
    <xf numFmtId="10" fontId="0" fillId="0" borderId="0" xfId="0" applyNumberFormat="1"/>
    <xf numFmtId="49" fontId="10" fillId="3" borderId="84" xfId="0" applyNumberFormat="1" applyFont="1" applyFill="1" applyBorder="1" applyAlignment="1">
      <alignment horizontal="center" vertical="center" wrapText="1"/>
    </xf>
    <xf numFmtId="49" fontId="14" fillId="0" borderId="85" xfId="0" applyNumberFormat="1" applyFont="1" applyBorder="1" applyAlignment="1">
      <alignment horizontal="center" vertical="center" wrapText="1"/>
    </xf>
    <xf numFmtId="9" fontId="14" fillId="0" borderId="85" xfId="2" applyFont="1" applyFill="1" applyBorder="1" applyAlignment="1">
      <alignment horizontal="center" vertical="center" wrapText="1"/>
    </xf>
    <xf numFmtId="49" fontId="14" fillId="0" borderId="85" xfId="5" applyNumberFormat="1" applyFont="1" applyBorder="1" applyAlignment="1">
      <alignment horizontal="center" vertical="center" wrapText="1"/>
    </xf>
    <xf numFmtId="49" fontId="14" fillId="0" borderId="78" xfId="5" applyNumberFormat="1" applyFont="1" applyBorder="1" applyAlignment="1">
      <alignment horizontal="center" vertical="center" wrapText="1"/>
    </xf>
    <xf numFmtId="0" fontId="25" fillId="6" borderId="30" xfId="0" applyFont="1" applyFill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center" vertical="center" wrapText="1"/>
    </xf>
    <xf numFmtId="2" fontId="0" fillId="0" borderId="30" xfId="0" applyNumberFormat="1" applyBorder="1"/>
    <xf numFmtId="43" fontId="0" fillId="5" borderId="30" xfId="0" applyNumberFormat="1" applyFill="1" applyBorder="1"/>
    <xf numFmtId="43" fontId="0" fillId="0" borderId="30" xfId="0" applyNumberFormat="1" applyBorder="1"/>
    <xf numFmtId="43" fontId="0" fillId="0" borderId="30" xfId="2" applyNumberFormat="1" applyFont="1" applyBorder="1"/>
    <xf numFmtId="10" fontId="0" fillId="0" borderId="30" xfId="2" applyNumberFormat="1" applyFont="1" applyBorder="1"/>
    <xf numFmtId="10" fontId="0" fillId="0" borderId="30" xfId="0" applyNumberFormat="1" applyBorder="1"/>
    <xf numFmtId="0" fontId="0" fillId="0" borderId="30" xfId="0" applyBorder="1"/>
    <xf numFmtId="3" fontId="0" fillId="0" borderId="83" xfId="0" applyNumberFormat="1" applyBorder="1" applyAlignment="1">
      <alignment horizontal="center" vertical="center"/>
    </xf>
    <xf numFmtId="4" fontId="0" fillId="0" borderId="30" xfId="0" applyNumberFormat="1" applyBorder="1" applyAlignment="1">
      <alignment horizontal="center" vertical="center"/>
    </xf>
    <xf numFmtId="180" fontId="0" fillId="0" borderId="30" xfId="0" applyNumberFormat="1" applyBorder="1" applyAlignment="1">
      <alignment horizontal="center" vertical="center"/>
    </xf>
    <xf numFmtId="3" fontId="0" fillId="0" borderId="86" xfId="0" applyNumberFormat="1" applyBorder="1" applyAlignment="1">
      <alignment horizontal="center" vertical="center"/>
    </xf>
    <xf numFmtId="3" fontId="0" fillId="0" borderId="33" xfId="0" applyNumberFormat="1" applyBorder="1" applyAlignment="1">
      <alignment horizontal="center" vertical="center"/>
    </xf>
    <xf numFmtId="10" fontId="0" fillId="0" borderId="30" xfId="0" applyNumberFormat="1" applyBorder="1" applyAlignment="1">
      <alignment horizontal="center"/>
    </xf>
    <xf numFmtId="0" fontId="19" fillId="2" borderId="69" xfId="0" applyFont="1" applyFill="1" applyBorder="1" applyAlignment="1">
      <alignment horizontal="left" vertical="center"/>
    </xf>
    <xf numFmtId="0" fontId="19" fillId="2" borderId="70" xfId="0" applyFont="1" applyFill="1" applyBorder="1" applyAlignment="1">
      <alignment horizontal="left" vertical="center"/>
    </xf>
    <xf numFmtId="0" fontId="19" fillId="2" borderId="71" xfId="0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4" fontId="3" fillId="2" borderId="5" xfId="0" applyNumberFormat="1" applyFont="1" applyFill="1" applyBorder="1" applyAlignment="1">
      <alignment horizontal="center" vertical="center"/>
    </xf>
    <xf numFmtId="49" fontId="5" fillId="2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49" fontId="3" fillId="2" borderId="16" xfId="0" applyNumberFormat="1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11" fillId="2" borderId="67" xfId="0" applyNumberFormat="1" applyFont="1" applyFill="1" applyBorder="1" applyAlignment="1">
      <alignment horizontal="left" vertical="top" wrapText="1"/>
    </xf>
    <xf numFmtId="49" fontId="11" fillId="2" borderId="0" xfId="0" applyNumberFormat="1" applyFont="1" applyFill="1" applyAlignment="1">
      <alignment horizontal="left" vertical="top" wrapText="1"/>
    </xf>
    <xf numFmtId="49" fontId="11" fillId="2" borderId="39" xfId="0" applyNumberFormat="1" applyFont="1" applyFill="1" applyBorder="1" applyAlignment="1">
      <alignment horizontal="left" vertical="top" wrapText="1"/>
    </xf>
    <xf numFmtId="49" fontId="11" fillId="2" borderId="68" xfId="0" applyNumberFormat="1" applyFont="1" applyFill="1" applyBorder="1" applyAlignment="1">
      <alignment horizontal="left" vertical="top" wrapText="1"/>
    </xf>
    <xf numFmtId="49" fontId="11" fillId="2" borderId="11" xfId="0" applyNumberFormat="1" applyFont="1" applyFill="1" applyBorder="1" applyAlignment="1">
      <alignment horizontal="left" vertical="top" wrapText="1"/>
    </xf>
    <xf numFmtId="49" fontId="11" fillId="2" borderId="12" xfId="0" applyNumberFormat="1" applyFont="1" applyFill="1" applyBorder="1" applyAlignment="1">
      <alignment horizontal="left" vertical="top" wrapText="1"/>
    </xf>
    <xf numFmtId="49" fontId="14" fillId="3" borderId="66" xfId="0" applyNumberFormat="1" applyFont="1" applyFill="1" applyBorder="1" applyAlignment="1">
      <alignment horizontal="center" vertical="center" wrapText="1"/>
    </xf>
    <xf numFmtId="49" fontId="14" fillId="3" borderId="42" xfId="0" applyNumberFormat="1" applyFont="1" applyFill="1" applyBorder="1" applyAlignment="1">
      <alignment horizontal="center" vertical="center" wrapText="1"/>
    </xf>
    <xf numFmtId="170" fontId="0" fillId="2" borderId="65" xfId="0" applyNumberFormat="1" applyFill="1" applyBorder="1" applyAlignment="1">
      <alignment horizontal="center" vertical="center"/>
    </xf>
    <xf numFmtId="170" fontId="0" fillId="2" borderId="43" xfId="0" applyNumberFormat="1" applyFill="1" applyBorder="1" applyAlignment="1">
      <alignment horizontal="center" vertical="center"/>
    </xf>
    <xf numFmtId="49" fontId="14" fillId="3" borderId="63" xfId="0" applyNumberFormat="1" applyFont="1" applyFill="1" applyBorder="1" applyAlignment="1">
      <alignment horizontal="center" vertical="center" wrapText="1"/>
    </xf>
    <xf numFmtId="49" fontId="14" fillId="3" borderId="64" xfId="0" applyNumberFormat="1" applyFont="1" applyFill="1" applyBorder="1" applyAlignment="1">
      <alignment horizontal="center" vertical="center" wrapText="1"/>
    </xf>
    <xf numFmtId="172" fontId="10" fillId="2" borderId="61" xfId="0" applyNumberFormat="1" applyFont="1" applyFill="1" applyBorder="1" applyAlignment="1">
      <alignment horizontal="center" vertical="center"/>
    </xf>
    <xf numFmtId="172" fontId="10" fillId="2" borderId="62" xfId="0" applyNumberFormat="1" applyFont="1" applyFill="1" applyBorder="1" applyAlignment="1">
      <alignment horizontal="center" vertical="center"/>
    </xf>
    <xf numFmtId="49" fontId="14" fillId="3" borderId="76" xfId="0" applyNumberFormat="1" applyFont="1" applyFill="1" applyBorder="1" applyAlignment="1">
      <alignment horizontal="center" vertical="center"/>
    </xf>
    <xf numFmtId="49" fontId="14" fillId="3" borderId="82" xfId="0" applyNumberFormat="1" applyFont="1" applyFill="1" applyBorder="1" applyAlignment="1">
      <alignment horizontal="center" vertical="center"/>
    </xf>
    <xf numFmtId="49" fontId="14" fillId="3" borderId="11" xfId="0" applyNumberFormat="1" applyFont="1" applyFill="1" applyBorder="1" applyAlignment="1">
      <alignment horizontal="center" vertical="center"/>
    </xf>
    <xf numFmtId="49" fontId="14" fillId="3" borderId="12" xfId="0" applyNumberFormat="1" applyFont="1" applyFill="1" applyBorder="1" applyAlignment="1">
      <alignment horizontal="center" vertical="center"/>
    </xf>
    <xf numFmtId="172" fontId="4" fillId="2" borderId="81" xfId="0" applyNumberFormat="1" applyFont="1" applyFill="1" applyBorder="1" applyAlignment="1">
      <alignment horizontal="center" vertical="center"/>
    </xf>
    <xf numFmtId="172" fontId="4" fillId="2" borderId="46" xfId="0" applyNumberFormat="1" applyFont="1" applyFill="1" applyBorder="1" applyAlignment="1">
      <alignment horizontal="center" vertical="center"/>
    </xf>
    <xf numFmtId="49" fontId="15" fillId="2" borderId="75" xfId="0" applyNumberFormat="1" applyFont="1" applyFill="1" applyBorder="1" applyAlignment="1">
      <alignment horizontal="center" vertical="center" wrapText="1"/>
    </xf>
    <xf numFmtId="49" fontId="15" fillId="2" borderId="76" xfId="0" applyNumberFormat="1" applyFont="1" applyFill="1" applyBorder="1" applyAlignment="1">
      <alignment horizontal="center" vertical="center" wrapText="1"/>
    </xf>
    <xf numFmtId="49" fontId="15" fillId="2" borderId="77" xfId="0" applyNumberFormat="1" applyFont="1" applyFill="1" applyBorder="1" applyAlignment="1">
      <alignment horizontal="center" vertical="center" wrapText="1"/>
    </xf>
    <xf numFmtId="49" fontId="15" fillId="2" borderId="78" xfId="0" applyNumberFormat="1" applyFont="1" applyFill="1" applyBorder="1" applyAlignment="1">
      <alignment horizontal="center" vertical="center" wrapText="1"/>
    </xf>
    <xf numFmtId="49" fontId="15" fillId="2" borderId="79" xfId="0" applyNumberFormat="1" applyFont="1" applyFill="1" applyBorder="1" applyAlignment="1">
      <alignment horizontal="center" vertical="center" wrapText="1"/>
    </xf>
    <xf numFmtId="49" fontId="15" fillId="2" borderId="80" xfId="0" applyNumberFormat="1" applyFont="1" applyFill="1" applyBorder="1" applyAlignment="1">
      <alignment horizontal="center" vertical="center" wrapText="1"/>
    </xf>
    <xf numFmtId="49" fontId="3" fillId="3" borderId="74" xfId="0" applyNumberFormat="1" applyFont="1" applyFill="1" applyBorder="1" applyAlignment="1">
      <alignment horizontal="center" vertical="center"/>
    </xf>
    <xf numFmtId="49" fontId="3" fillId="3" borderId="21" xfId="0" applyNumberFormat="1" applyFont="1" applyFill="1" applyBorder="1" applyAlignment="1">
      <alignment horizontal="center" vertical="center"/>
    </xf>
    <xf numFmtId="173" fontId="17" fillId="2" borderId="72" xfId="0" applyNumberFormat="1" applyFont="1" applyFill="1" applyBorder="1" applyAlignment="1">
      <alignment horizontal="center" vertical="center"/>
    </xf>
    <xf numFmtId="173" fontId="17" fillId="2" borderId="73" xfId="0" applyNumberFormat="1" applyFont="1" applyFill="1" applyBorder="1" applyAlignment="1">
      <alignment horizontal="center" vertical="center"/>
    </xf>
  </cellXfs>
  <cellStyles count="6">
    <cellStyle name="Comma 2" xfId="3" xr:uid="{24546FB7-C136-5847-AF0E-A0A4C2A1443E}"/>
    <cellStyle name="Currency" xfId="1" builtinId="4"/>
    <cellStyle name="Normal" xfId="0" builtinId="0"/>
    <cellStyle name="Normal 2" xfId="4" xr:uid="{259809D8-D128-6842-A7B9-F0EBBA153D97}"/>
    <cellStyle name="Normal 3 2" xfId="5" xr:uid="{DD95C509-04DC-0B40-8C1D-8F1302F7DE5F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FDF3B-44B9-AF41-A0D0-5108CC497DF7}">
  <dimension ref="A1:BL209"/>
  <sheetViews>
    <sheetView topLeftCell="AU1" zoomScale="98" zoomScaleNormal="98" workbookViewId="0">
      <selection activeCell="BL1" sqref="BL1"/>
    </sheetView>
  </sheetViews>
  <sheetFormatPr defaultColWidth="11" defaultRowHeight="15.75" x14ac:dyDescent="0.25"/>
  <cols>
    <col min="1" max="1" width="4.625" customWidth="1"/>
    <col min="2" max="2" width="42.625" bestFit="1" customWidth="1"/>
    <col min="3" max="3" width="11.125" bestFit="1" customWidth="1"/>
    <col min="5" max="5" width="11.125" bestFit="1" customWidth="1"/>
    <col min="6" max="40" width="11.125" customWidth="1"/>
    <col min="41" max="42" width="11.125" bestFit="1" customWidth="1"/>
    <col min="43" max="43" width="13" bestFit="1" customWidth="1"/>
    <col min="45" max="45" width="11.125" bestFit="1" customWidth="1"/>
    <col min="46" max="46" width="11.625" bestFit="1" customWidth="1"/>
    <col min="47" max="47" width="14.125" bestFit="1" customWidth="1"/>
    <col min="48" max="48" width="17.875" bestFit="1" customWidth="1"/>
    <col min="50" max="50" width="11" bestFit="1" customWidth="1"/>
    <col min="51" max="51" width="11.125" bestFit="1" customWidth="1"/>
    <col min="52" max="52" width="16.375" bestFit="1" customWidth="1"/>
    <col min="53" max="53" width="11" bestFit="1" customWidth="1"/>
  </cols>
  <sheetData>
    <row r="1" spans="1:64" ht="32.25" x14ac:dyDescent="0.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7"/>
      <c r="AY1" s="1" t="s">
        <v>1</v>
      </c>
      <c r="AZ1" s="138"/>
      <c r="BA1" s="138"/>
      <c r="BB1" s="2"/>
    </row>
    <row r="2" spans="1:64" ht="32.25" thickBot="1" x14ac:dyDescent="0.55000000000000004">
      <c r="A2" s="139" t="s">
        <v>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1"/>
      <c r="AY2" s="3" t="s">
        <v>3</v>
      </c>
      <c r="AZ2" s="4">
        <v>1</v>
      </c>
      <c r="BA2" s="5"/>
      <c r="BB2" s="6"/>
    </row>
    <row r="3" spans="1:64" ht="24" thickBot="1" x14ac:dyDescent="0.4">
      <c r="A3" s="7"/>
      <c r="B3" s="8" t="s">
        <v>38</v>
      </c>
      <c r="C3" s="7"/>
      <c r="D3" s="7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0"/>
      <c r="AR3" s="11"/>
      <c r="AS3" s="12"/>
      <c r="AT3" s="13"/>
      <c r="AU3" s="13"/>
      <c r="AV3" s="13"/>
      <c r="AW3" s="14"/>
      <c r="AX3" s="13"/>
      <c r="AY3" s="15"/>
      <c r="AZ3" s="15"/>
      <c r="BA3" s="15"/>
      <c r="BB3" s="16"/>
    </row>
    <row r="4" spans="1:64" ht="27" thickBot="1" x14ac:dyDescent="0.3">
      <c r="A4" s="142" t="s">
        <v>4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4"/>
      <c r="AR4" s="17"/>
      <c r="AS4" s="145" t="s">
        <v>5</v>
      </c>
      <c r="AT4" s="146"/>
      <c r="AU4" s="146"/>
      <c r="AV4" s="146"/>
      <c r="AW4" s="146"/>
      <c r="AX4" s="146"/>
      <c r="AY4" s="146"/>
      <c r="AZ4" s="146"/>
      <c r="BA4" s="146"/>
      <c r="BB4" s="147"/>
    </row>
    <row r="5" spans="1:64" ht="16.5" thickBot="1" x14ac:dyDescent="0.3">
      <c r="A5" s="7"/>
      <c r="B5" s="7"/>
      <c r="C5" s="7"/>
      <c r="D5" s="7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0"/>
      <c r="AR5" s="18"/>
      <c r="AS5" s="19"/>
      <c r="AT5" s="19"/>
      <c r="AU5" s="19"/>
      <c r="AV5" s="19"/>
      <c r="AW5" s="20"/>
      <c r="AX5" s="19"/>
      <c r="AY5" s="19"/>
      <c r="AZ5" s="19"/>
      <c r="BA5" s="19"/>
      <c r="BB5" s="16"/>
    </row>
    <row r="6" spans="1:64" ht="94.5" x14ac:dyDescent="0.25">
      <c r="A6" s="21" t="s">
        <v>6</v>
      </c>
      <c r="B6" s="22" t="s">
        <v>7</v>
      </c>
      <c r="C6" s="23" t="s">
        <v>8</v>
      </c>
      <c r="D6" s="23" t="s">
        <v>9</v>
      </c>
      <c r="E6" s="23" t="s">
        <v>10</v>
      </c>
      <c r="F6" s="23" t="s">
        <v>231</v>
      </c>
      <c r="G6" s="23" t="s">
        <v>232</v>
      </c>
      <c r="H6" s="23" t="s">
        <v>233</v>
      </c>
      <c r="I6" s="23" t="s">
        <v>236</v>
      </c>
      <c r="J6" s="23" t="s">
        <v>234</v>
      </c>
      <c r="K6" s="23" t="s">
        <v>235</v>
      </c>
      <c r="L6" s="23" t="s">
        <v>237</v>
      </c>
      <c r="M6" s="23" t="s">
        <v>242</v>
      </c>
      <c r="N6" s="23" t="s">
        <v>243</v>
      </c>
      <c r="O6" s="23" t="s">
        <v>239</v>
      </c>
      <c r="P6" s="23" t="s">
        <v>244</v>
      </c>
      <c r="Q6" s="23" t="s">
        <v>238</v>
      </c>
      <c r="R6" s="23" t="s">
        <v>246</v>
      </c>
      <c r="S6" s="23" t="s">
        <v>245</v>
      </c>
      <c r="T6" s="23" t="s">
        <v>247</v>
      </c>
      <c r="U6" s="23" t="s">
        <v>248</v>
      </c>
      <c r="V6" s="23" t="s">
        <v>256</v>
      </c>
      <c r="W6" s="23" t="s">
        <v>258</v>
      </c>
      <c r="X6" s="23" t="s">
        <v>257</v>
      </c>
      <c r="Y6" s="23" t="s">
        <v>251</v>
      </c>
      <c r="Z6" s="23" t="s">
        <v>249</v>
      </c>
      <c r="AA6" s="23" t="s">
        <v>250</v>
      </c>
      <c r="AB6" s="23" t="s">
        <v>259</v>
      </c>
      <c r="AC6" s="23" t="s">
        <v>252</v>
      </c>
      <c r="AD6" s="23" t="s">
        <v>261</v>
      </c>
      <c r="AE6" s="23" t="s">
        <v>255</v>
      </c>
      <c r="AF6" s="23" t="s">
        <v>260</v>
      </c>
      <c r="AG6" s="23" t="s">
        <v>264</v>
      </c>
      <c r="AH6" s="23" t="s">
        <v>262</v>
      </c>
      <c r="AI6" s="23" t="s">
        <v>265</v>
      </c>
      <c r="AJ6" s="23" t="s">
        <v>267</v>
      </c>
      <c r="AK6" s="23" t="s">
        <v>268</v>
      </c>
      <c r="AL6" s="23" t="s">
        <v>266</v>
      </c>
      <c r="AM6" s="23" t="s">
        <v>271</v>
      </c>
      <c r="AN6" s="23" t="s">
        <v>272</v>
      </c>
      <c r="AO6" s="23" t="s">
        <v>11</v>
      </c>
      <c r="AP6" s="23" t="s">
        <v>12</v>
      </c>
      <c r="AQ6" s="24" t="s">
        <v>13</v>
      </c>
      <c r="AR6" s="25"/>
      <c r="AS6" s="26" t="s">
        <v>14</v>
      </c>
      <c r="AT6" s="27" t="s">
        <v>15</v>
      </c>
      <c r="AU6" s="27" t="s">
        <v>16</v>
      </c>
      <c r="AV6" s="27" t="s">
        <v>17</v>
      </c>
      <c r="AW6" s="28" t="s">
        <v>18</v>
      </c>
      <c r="AX6" s="27" t="s">
        <v>19</v>
      </c>
      <c r="AY6" s="27" t="s">
        <v>20</v>
      </c>
      <c r="AZ6" s="27" t="s">
        <v>21</v>
      </c>
      <c r="BA6" s="27" t="s">
        <v>22</v>
      </c>
      <c r="BB6" s="29" t="s">
        <v>23</v>
      </c>
      <c r="BC6" s="117" t="s">
        <v>220</v>
      </c>
      <c r="BD6" s="117" t="s">
        <v>284</v>
      </c>
      <c r="BE6" s="117" t="s">
        <v>222</v>
      </c>
      <c r="BF6" s="117" t="s">
        <v>223</v>
      </c>
      <c r="BG6" s="117" t="s">
        <v>227</v>
      </c>
      <c r="BH6" s="117" t="s">
        <v>224</v>
      </c>
      <c r="BI6" s="117" t="s">
        <v>225</v>
      </c>
      <c r="BJ6" s="117" t="s">
        <v>228</v>
      </c>
      <c r="BK6" s="117" t="s">
        <v>229</v>
      </c>
      <c r="BL6" s="118" t="s">
        <v>230</v>
      </c>
    </row>
    <row r="7" spans="1:64" ht="45" customHeight="1" x14ac:dyDescent="0.25">
      <c r="A7" s="30">
        <v>1</v>
      </c>
      <c r="B7" s="100" t="s">
        <v>40</v>
      </c>
      <c r="C7" s="31">
        <v>1</v>
      </c>
      <c r="D7" s="32" t="s">
        <v>73</v>
      </c>
      <c r="E7" s="31">
        <f t="shared" ref="E7:E122" si="0">D7*C7</f>
        <v>12</v>
      </c>
      <c r="F7" s="31" t="s">
        <v>226</v>
      </c>
      <c r="G7" s="31" t="s">
        <v>226</v>
      </c>
      <c r="H7" s="31" t="s">
        <v>226</v>
      </c>
      <c r="I7" s="31" t="s">
        <v>226</v>
      </c>
      <c r="J7" s="31" t="s">
        <v>226</v>
      </c>
      <c r="K7" s="31" t="s">
        <v>226</v>
      </c>
      <c r="L7" s="31" t="s">
        <v>226</v>
      </c>
      <c r="M7" s="31" t="s">
        <v>226</v>
      </c>
      <c r="N7" s="31" t="s">
        <v>226</v>
      </c>
      <c r="O7" s="31" t="s">
        <v>226</v>
      </c>
      <c r="P7" s="31" t="s">
        <v>226</v>
      </c>
      <c r="Q7" s="31" t="s">
        <v>226</v>
      </c>
      <c r="R7" s="31" t="s">
        <v>226</v>
      </c>
      <c r="S7" s="31" t="s">
        <v>226</v>
      </c>
      <c r="T7" s="31" t="s">
        <v>226</v>
      </c>
      <c r="U7" s="31" t="s">
        <v>226</v>
      </c>
      <c r="V7" s="31" t="s">
        <v>226</v>
      </c>
      <c r="W7" s="31" t="s">
        <v>226</v>
      </c>
      <c r="X7" s="31" t="s">
        <v>226</v>
      </c>
      <c r="Y7" s="31" t="s">
        <v>226</v>
      </c>
      <c r="Z7" s="31" t="s">
        <v>226</v>
      </c>
      <c r="AA7" s="31" t="s">
        <v>226</v>
      </c>
      <c r="AB7" s="31" t="s">
        <v>226</v>
      </c>
      <c r="AC7" s="31" t="s">
        <v>226</v>
      </c>
      <c r="AD7" s="31" t="s">
        <v>226</v>
      </c>
      <c r="AE7" s="31" t="s">
        <v>226</v>
      </c>
      <c r="AF7" s="31" t="s">
        <v>226</v>
      </c>
      <c r="AG7" s="31" t="s">
        <v>226</v>
      </c>
      <c r="AH7" s="31" t="s">
        <v>226</v>
      </c>
      <c r="AI7" s="31" t="s">
        <v>226</v>
      </c>
      <c r="AJ7" s="31" t="s">
        <v>226</v>
      </c>
      <c r="AK7" s="31" t="s">
        <v>226</v>
      </c>
      <c r="AL7" s="31" t="s">
        <v>226</v>
      </c>
      <c r="AM7" s="31"/>
      <c r="AN7" s="31"/>
      <c r="AO7" s="96">
        <v>18.850000000000001</v>
      </c>
      <c r="AP7" s="33">
        <f t="shared" ref="AP7:AP51" si="1">AO7/D7</f>
        <v>1.5708333333333335</v>
      </c>
      <c r="AQ7" s="34">
        <f t="shared" ref="AQ7:AQ51" si="2">AP7*E7</f>
        <v>18.850000000000001</v>
      </c>
      <c r="AR7" s="35"/>
      <c r="AS7" s="36">
        <f t="shared" ref="AS7:AT63" si="3">AP7/$AZ$2</f>
        <v>1.5708333333333335</v>
      </c>
      <c r="AT7" s="36">
        <f t="shared" si="3"/>
        <v>18.850000000000001</v>
      </c>
      <c r="AU7" s="36">
        <f t="shared" ref="AU7:AU50" si="4">AS7*(1+$AV$189+9%)</f>
        <v>1.7122083333333338</v>
      </c>
      <c r="AV7" s="36">
        <f t="shared" ref="AV7:AV51" si="5">AU7*E7</f>
        <v>20.546500000000005</v>
      </c>
      <c r="AW7" s="37">
        <v>2.5</v>
      </c>
      <c r="AX7" s="38">
        <f t="shared" ref="AX7:AX51" si="6">AW7*E7</f>
        <v>30</v>
      </c>
      <c r="AY7" s="38">
        <f t="shared" ref="AY7:AY122" si="7">AW7-AU7</f>
        <v>0.78779166666666622</v>
      </c>
      <c r="AZ7" s="38">
        <f t="shared" ref="AZ7:AZ51" si="8">AY7*E7</f>
        <v>9.4534999999999947</v>
      </c>
      <c r="BA7" s="39">
        <f t="shared" ref="BA7:BA122" si="9">AY7/AW7</f>
        <v>0.31511666666666649</v>
      </c>
      <c r="BB7" s="40"/>
      <c r="BC7" s="119">
        <f>AW7</f>
        <v>2.5</v>
      </c>
      <c r="BD7" s="108">
        <v>0.16350000000000001</v>
      </c>
      <c r="BE7" s="120">
        <f>BC7+(BD7*BC7)</f>
        <v>2.9087499999999999</v>
      </c>
      <c r="BF7" s="121">
        <f>(100/109)*BH7</f>
        <v>0.37499999999999994</v>
      </c>
      <c r="BG7" s="121">
        <f>(9/109)*BH7</f>
        <v>3.3749999999999995E-2</v>
      </c>
      <c r="BH7" s="122">
        <f>BE7-BC7</f>
        <v>0.40874999999999995</v>
      </c>
      <c r="BI7" s="121">
        <f>BE7-BH7</f>
        <v>2.5</v>
      </c>
      <c r="BJ7" s="123">
        <f>(BI7-AU7)/BI7</f>
        <v>0.31511666666666649</v>
      </c>
      <c r="BK7" s="124">
        <f>BJ7-BA7</f>
        <v>0</v>
      </c>
      <c r="BL7" s="125" t="s">
        <v>226</v>
      </c>
    </row>
    <row r="8" spans="1:64" ht="45" customHeight="1" x14ac:dyDescent="0.25">
      <c r="A8" s="30">
        <v>2</v>
      </c>
      <c r="B8" s="100" t="s">
        <v>41</v>
      </c>
      <c r="C8" s="31">
        <v>1</v>
      </c>
      <c r="D8" s="32" t="s">
        <v>73</v>
      </c>
      <c r="E8" s="31">
        <f t="shared" si="0"/>
        <v>12</v>
      </c>
      <c r="F8" s="31" t="s">
        <v>226</v>
      </c>
      <c r="G8" s="31" t="s">
        <v>226</v>
      </c>
      <c r="H8" s="31" t="s">
        <v>226</v>
      </c>
      <c r="I8" s="31" t="s">
        <v>226</v>
      </c>
      <c r="J8" s="31" t="s">
        <v>226</v>
      </c>
      <c r="K8" s="31" t="s">
        <v>226</v>
      </c>
      <c r="L8" s="31" t="s">
        <v>226</v>
      </c>
      <c r="M8" s="31" t="s">
        <v>226</v>
      </c>
      <c r="N8" s="31" t="s">
        <v>226</v>
      </c>
      <c r="O8" s="31" t="s">
        <v>226</v>
      </c>
      <c r="P8" s="31" t="s">
        <v>226</v>
      </c>
      <c r="Q8" s="31" t="s">
        <v>226</v>
      </c>
      <c r="R8" s="31" t="s">
        <v>226</v>
      </c>
      <c r="S8" s="31" t="s">
        <v>226</v>
      </c>
      <c r="T8" s="31" t="s">
        <v>226</v>
      </c>
      <c r="U8" s="31" t="s">
        <v>226</v>
      </c>
      <c r="V8" s="31" t="s">
        <v>226</v>
      </c>
      <c r="W8" s="31" t="s">
        <v>226</v>
      </c>
      <c r="X8" s="31" t="s">
        <v>226</v>
      </c>
      <c r="Y8" s="31" t="s">
        <v>226</v>
      </c>
      <c r="Z8" s="31" t="s">
        <v>226</v>
      </c>
      <c r="AA8" s="31" t="s">
        <v>226</v>
      </c>
      <c r="AB8" s="31" t="s">
        <v>226</v>
      </c>
      <c r="AC8" s="31" t="s">
        <v>226</v>
      </c>
      <c r="AD8" s="31" t="s">
        <v>226</v>
      </c>
      <c r="AE8" s="31" t="s">
        <v>226</v>
      </c>
      <c r="AF8" s="31" t="s">
        <v>226</v>
      </c>
      <c r="AG8" s="31" t="s">
        <v>226</v>
      </c>
      <c r="AH8" s="31" t="s">
        <v>226</v>
      </c>
      <c r="AI8" s="31" t="s">
        <v>226</v>
      </c>
      <c r="AJ8" s="31" t="s">
        <v>226</v>
      </c>
      <c r="AK8" s="31" t="s">
        <v>226</v>
      </c>
      <c r="AL8" s="31" t="s">
        <v>226</v>
      </c>
      <c r="AM8" s="31"/>
      <c r="AN8" s="31"/>
      <c r="AO8" s="96">
        <v>18.850000000000001</v>
      </c>
      <c r="AP8" s="33">
        <f t="shared" si="1"/>
        <v>1.5708333333333335</v>
      </c>
      <c r="AQ8" s="34">
        <f t="shared" si="2"/>
        <v>18.850000000000001</v>
      </c>
      <c r="AR8" s="35"/>
      <c r="AS8" s="36">
        <f t="shared" si="3"/>
        <v>1.5708333333333335</v>
      </c>
      <c r="AT8" s="36">
        <f t="shared" si="3"/>
        <v>18.850000000000001</v>
      </c>
      <c r="AU8" s="36">
        <f t="shared" si="4"/>
        <v>1.7122083333333338</v>
      </c>
      <c r="AV8" s="36">
        <f t="shared" si="5"/>
        <v>20.546500000000005</v>
      </c>
      <c r="AW8" s="37">
        <v>2.5</v>
      </c>
      <c r="AX8" s="38">
        <f t="shared" si="6"/>
        <v>30</v>
      </c>
      <c r="AY8" s="38">
        <f t="shared" si="7"/>
        <v>0.78779166666666622</v>
      </c>
      <c r="AZ8" s="38">
        <f t="shared" si="8"/>
        <v>9.4534999999999947</v>
      </c>
      <c r="BA8" s="39">
        <f t="shared" si="9"/>
        <v>0.31511666666666649</v>
      </c>
      <c r="BB8" s="41"/>
      <c r="BC8" s="119">
        <f t="shared" ref="BC8:BC86" si="10">AW8</f>
        <v>2.5</v>
      </c>
      <c r="BD8" s="108">
        <v>0.16350000000000001</v>
      </c>
      <c r="BE8" s="120">
        <f t="shared" ref="BE8:BE71" si="11">BC8+(BD8*BC8)</f>
        <v>2.9087499999999999</v>
      </c>
      <c r="BF8" s="121">
        <f t="shared" ref="BF8:BF86" si="12">BE8-BC8</f>
        <v>0.40874999999999995</v>
      </c>
      <c r="BG8" s="121">
        <f t="shared" ref="BG8:BG71" si="13">(9/109)*BH8</f>
        <v>3.3749999999999995E-2</v>
      </c>
      <c r="BH8" s="122">
        <f t="shared" ref="BH8:BH71" si="14">BE8-BC8</f>
        <v>0.40874999999999995</v>
      </c>
      <c r="BI8" s="121">
        <f t="shared" ref="BI8:BI71" si="15">BE8-BH8</f>
        <v>2.5</v>
      </c>
      <c r="BJ8" s="123">
        <f t="shared" ref="BJ8:BJ86" si="16">(BI8-AU8)/BI8</f>
        <v>0.31511666666666649</v>
      </c>
      <c r="BK8" s="124">
        <f t="shared" ref="BK8:BK86" si="17">BJ8-BA8</f>
        <v>0</v>
      </c>
      <c r="BL8" s="125" t="s">
        <v>226</v>
      </c>
    </row>
    <row r="9" spans="1:64" ht="45" customHeight="1" x14ac:dyDescent="0.25">
      <c r="A9" s="30">
        <v>3</v>
      </c>
      <c r="B9" s="100" t="s">
        <v>283</v>
      </c>
      <c r="C9" s="31">
        <v>1</v>
      </c>
      <c r="D9" s="32" t="s">
        <v>25</v>
      </c>
      <c r="E9" s="31">
        <v>6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127">
        <v>26.7</v>
      </c>
      <c r="AO9" s="96">
        <v>26.7</v>
      </c>
      <c r="AP9" s="33">
        <f t="shared" ref="AP9" si="18">AO9/D9</f>
        <v>4.45</v>
      </c>
      <c r="AQ9" s="34">
        <f t="shared" ref="AQ9" si="19">AP9*E9</f>
        <v>26.700000000000003</v>
      </c>
      <c r="AR9" s="35"/>
      <c r="AS9" s="36">
        <f t="shared" ref="AS9" si="20">AP9/$AZ$2</f>
        <v>4.45</v>
      </c>
      <c r="AT9" s="36">
        <f t="shared" ref="AT9" si="21">AQ9/$AZ$2</f>
        <v>26.700000000000003</v>
      </c>
      <c r="AU9" s="36">
        <f t="shared" ref="AU9" si="22">AS9*(1+$AV$189+9%)</f>
        <v>4.8505000000000003</v>
      </c>
      <c r="AV9" s="36">
        <f t="shared" ref="AV9" si="23">AU9*E9</f>
        <v>29.103000000000002</v>
      </c>
      <c r="AW9" s="37"/>
      <c r="AX9" s="38">
        <f t="shared" ref="AX9" si="24">AW9*E9</f>
        <v>0</v>
      </c>
      <c r="AY9" s="38">
        <f t="shared" ref="AY9" si="25">AW9-AU9</f>
        <v>-4.8505000000000003</v>
      </c>
      <c r="AZ9" s="38">
        <f t="shared" ref="AZ9" si="26">AY9*E9</f>
        <v>-29.103000000000002</v>
      </c>
      <c r="BA9" s="39" t="e">
        <f t="shared" ref="BA9" si="27">AY9/AW9</f>
        <v>#DIV/0!</v>
      </c>
      <c r="BB9" s="41"/>
      <c r="BC9" s="119">
        <f t="shared" ref="BC9" si="28">AW9</f>
        <v>0</v>
      </c>
      <c r="BD9" s="108">
        <v>0.16350000000000001</v>
      </c>
      <c r="BE9" s="120">
        <f t="shared" si="11"/>
        <v>0</v>
      </c>
      <c r="BF9" s="121">
        <f t="shared" ref="BF9" si="29">BE9-BC9</f>
        <v>0</v>
      </c>
      <c r="BG9" s="121">
        <f t="shared" si="13"/>
        <v>0</v>
      </c>
      <c r="BH9" s="122">
        <f t="shared" si="14"/>
        <v>0</v>
      </c>
      <c r="BI9" s="121">
        <f t="shared" si="15"/>
        <v>0</v>
      </c>
      <c r="BJ9" s="123" t="e">
        <f t="shared" ref="BJ9" si="30">(BI9-AU9)/BI9</f>
        <v>#DIV/0!</v>
      </c>
      <c r="BK9" s="124" t="e">
        <f t="shared" ref="BK9" si="31">BJ9-BA9</f>
        <v>#DIV/0!</v>
      </c>
      <c r="BL9" s="125" t="s">
        <v>226</v>
      </c>
    </row>
    <row r="10" spans="1:64" ht="45" customHeight="1" x14ac:dyDescent="0.25">
      <c r="A10" s="30">
        <v>4</v>
      </c>
      <c r="B10" s="100" t="s">
        <v>269</v>
      </c>
      <c r="C10" s="31">
        <v>1</v>
      </c>
      <c r="D10" s="32" t="s">
        <v>25</v>
      </c>
      <c r="E10" s="31">
        <f t="shared" si="0"/>
        <v>6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96">
        <v>22.6</v>
      </c>
      <c r="AP10" s="33">
        <f t="shared" ref="AP10:AP18" si="32">AO10/D10</f>
        <v>3.7666666666666671</v>
      </c>
      <c r="AQ10" s="34">
        <f t="shared" ref="AQ10:AQ18" si="33">AP10*E10</f>
        <v>22.6</v>
      </c>
      <c r="AR10" s="35"/>
      <c r="AS10" s="36">
        <f t="shared" ref="AS10:AS18" si="34">AP10/$AZ$2</f>
        <v>3.7666666666666671</v>
      </c>
      <c r="AT10" s="36">
        <f t="shared" ref="AT10:AT18" si="35">AQ10/$AZ$2</f>
        <v>22.6</v>
      </c>
      <c r="AU10" s="36">
        <f t="shared" ref="AU10:AU18" si="36">AS10*(1+$AV$189+9%)</f>
        <v>4.105666666666667</v>
      </c>
      <c r="AV10" s="36">
        <f t="shared" ref="AV10:AV18" si="37">AU10*E10</f>
        <v>24.634</v>
      </c>
      <c r="AW10" s="37"/>
      <c r="AX10" s="38">
        <f t="shared" ref="AX10:AX11" si="38">AW10*E10</f>
        <v>0</v>
      </c>
      <c r="AY10" s="38">
        <f t="shared" ref="AY10:AY18" si="39">AW10-AU10</f>
        <v>-4.105666666666667</v>
      </c>
      <c r="AZ10" s="38">
        <f t="shared" ref="AZ10:AZ18" si="40">AY10*E10</f>
        <v>-24.634</v>
      </c>
      <c r="BA10" s="39" t="e">
        <f t="shared" ref="BA10:BA18" si="41">AY10/AW10</f>
        <v>#DIV/0!</v>
      </c>
      <c r="BB10" s="41"/>
      <c r="BC10" s="119">
        <f t="shared" ref="BC10:BC11" si="42">AW10</f>
        <v>0</v>
      </c>
      <c r="BD10" s="108">
        <v>0.16350000000000001</v>
      </c>
      <c r="BE10" s="120">
        <f t="shared" si="11"/>
        <v>0</v>
      </c>
      <c r="BF10" s="121">
        <f t="shared" ref="BF10:BF11" si="43">BE10-BC10</f>
        <v>0</v>
      </c>
      <c r="BG10" s="121">
        <f t="shared" si="13"/>
        <v>0</v>
      </c>
      <c r="BH10" s="122">
        <f t="shared" si="14"/>
        <v>0</v>
      </c>
      <c r="BI10" s="121">
        <f t="shared" si="15"/>
        <v>0</v>
      </c>
      <c r="BJ10" s="123" t="e">
        <f t="shared" ref="BJ10:BJ11" si="44">(BI10-AU10)/BI10</f>
        <v>#DIV/0!</v>
      </c>
      <c r="BK10" s="124" t="e">
        <f t="shared" ref="BK10:BK11" si="45">BJ10-BA10</f>
        <v>#DIV/0!</v>
      </c>
      <c r="BL10" s="125" t="s">
        <v>226</v>
      </c>
    </row>
    <row r="11" spans="1:64" ht="45" customHeight="1" x14ac:dyDescent="0.25">
      <c r="A11" s="30">
        <v>5</v>
      </c>
      <c r="B11" s="100" t="s">
        <v>270</v>
      </c>
      <c r="C11" s="31">
        <v>1</v>
      </c>
      <c r="D11" s="32" t="s">
        <v>25</v>
      </c>
      <c r="E11" s="31">
        <f t="shared" si="0"/>
        <v>6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96">
        <v>22.6</v>
      </c>
      <c r="AP11" s="33">
        <f t="shared" si="32"/>
        <v>3.7666666666666671</v>
      </c>
      <c r="AQ11" s="34">
        <f t="shared" si="33"/>
        <v>22.6</v>
      </c>
      <c r="AR11" s="35"/>
      <c r="AS11" s="36">
        <f t="shared" si="34"/>
        <v>3.7666666666666671</v>
      </c>
      <c r="AT11" s="36">
        <f t="shared" si="35"/>
        <v>22.6</v>
      </c>
      <c r="AU11" s="36">
        <f t="shared" si="36"/>
        <v>4.105666666666667</v>
      </c>
      <c r="AV11" s="36">
        <f t="shared" si="37"/>
        <v>24.634</v>
      </c>
      <c r="AW11" s="37"/>
      <c r="AX11" s="38">
        <f t="shared" si="38"/>
        <v>0</v>
      </c>
      <c r="AY11" s="38">
        <f t="shared" si="39"/>
        <v>-4.105666666666667</v>
      </c>
      <c r="AZ11" s="38">
        <f t="shared" si="40"/>
        <v>-24.634</v>
      </c>
      <c r="BA11" s="39" t="e">
        <f t="shared" si="41"/>
        <v>#DIV/0!</v>
      </c>
      <c r="BB11" s="41"/>
      <c r="BC11" s="119">
        <f t="shared" si="42"/>
        <v>0</v>
      </c>
      <c r="BD11" s="108">
        <v>0.16350000000000001</v>
      </c>
      <c r="BE11" s="120">
        <f t="shared" si="11"/>
        <v>0</v>
      </c>
      <c r="BF11" s="121">
        <f t="shared" si="43"/>
        <v>0</v>
      </c>
      <c r="BG11" s="121">
        <f t="shared" si="13"/>
        <v>0</v>
      </c>
      <c r="BH11" s="122">
        <f t="shared" si="14"/>
        <v>0</v>
      </c>
      <c r="BI11" s="121">
        <f t="shared" si="15"/>
        <v>0</v>
      </c>
      <c r="BJ11" s="123" t="e">
        <f t="shared" si="44"/>
        <v>#DIV/0!</v>
      </c>
      <c r="BK11" s="124" t="e">
        <f t="shared" si="45"/>
        <v>#DIV/0!</v>
      </c>
      <c r="BL11" s="125" t="s">
        <v>226</v>
      </c>
    </row>
    <row r="12" spans="1:64" ht="45" customHeight="1" x14ac:dyDescent="0.25">
      <c r="A12" s="30">
        <v>6</v>
      </c>
      <c r="B12" s="100" t="s">
        <v>273</v>
      </c>
      <c r="C12" s="31">
        <v>1</v>
      </c>
      <c r="D12" s="32" t="s">
        <v>83</v>
      </c>
      <c r="E12" s="31">
        <f t="shared" si="0"/>
        <v>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96">
        <v>28.5</v>
      </c>
      <c r="AP12" s="33">
        <f t="shared" si="32"/>
        <v>7.125</v>
      </c>
      <c r="AQ12" s="34">
        <f t="shared" si="33"/>
        <v>28.5</v>
      </c>
      <c r="AR12" s="35"/>
      <c r="AS12" s="36">
        <f t="shared" si="34"/>
        <v>7.125</v>
      </c>
      <c r="AT12" s="36">
        <f t="shared" si="35"/>
        <v>28.5</v>
      </c>
      <c r="AU12" s="36">
        <f t="shared" si="36"/>
        <v>7.7662500000000003</v>
      </c>
      <c r="AV12" s="36">
        <f t="shared" si="37"/>
        <v>31.065000000000001</v>
      </c>
      <c r="AW12" s="37"/>
      <c r="AX12" s="38"/>
      <c r="AY12" s="38">
        <f t="shared" si="39"/>
        <v>-7.7662500000000003</v>
      </c>
      <c r="AZ12" s="38">
        <f t="shared" si="40"/>
        <v>-31.065000000000001</v>
      </c>
      <c r="BA12" s="39" t="e">
        <f t="shared" si="41"/>
        <v>#DIV/0!</v>
      </c>
      <c r="BB12" s="41"/>
      <c r="BC12" s="119">
        <f t="shared" ref="BC12" si="46">AW12</f>
        <v>0</v>
      </c>
      <c r="BD12" s="108">
        <v>0.16350000000000001</v>
      </c>
      <c r="BE12" s="120">
        <f t="shared" si="11"/>
        <v>0</v>
      </c>
      <c r="BF12" s="121">
        <f t="shared" ref="BF12" si="47">BE12-BC12</f>
        <v>0</v>
      </c>
      <c r="BG12" s="121">
        <f t="shared" si="13"/>
        <v>0</v>
      </c>
      <c r="BH12" s="122">
        <f t="shared" si="14"/>
        <v>0</v>
      </c>
      <c r="BI12" s="121">
        <f t="shared" si="15"/>
        <v>0</v>
      </c>
      <c r="BJ12" s="123" t="e">
        <f t="shared" ref="BJ12" si="48">(BI12-AU12)/BI12</f>
        <v>#DIV/0!</v>
      </c>
      <c r="BK12" s="124" t="e">
        <f t="shared" ref="BK12" si="49">BJ12-BA12</f>
        <v>#DIV/0!</v>
      </c>
      <c r="BL12" s="125" t="s">
        <v>226</v>
      </c>
    </row>
    <row r="13" spans="1:64" ht="45" customHeight="1" x14ac:dyDescent="0.25">
      <c r="A13" s="30">
        <v>7</v>
      </c>
      <c r="B13" s="100" t="s">
        <v>275</v>
      </c>
      <c r="C13" s="31">
        <v>1</v>
      </c>
      <c r="D13" s="32" t="s">
        <v>278</v>
      </c>
      <c r="E13" s="31">
        <f t="shared" si="0"/>
        <v>18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96">
        <v>27.9</v>
      </c>
      <c r="AP13" s="33">
        <f t="shared" si="32"/>
        <v>1.5499999999999998</v>
      </c>
      <c r="AQ13" s="34">
        <f t="shared" si="33"/>
        <v>27.9</v>
      </c>
      <c r="AR13" s="35"/>
      <c r="AS13" s="36">
        <f t="shared" si="34"/>
        <v>1.5499999999999998</v>
      </c>
      <c r="AT13" s="36">
        <f t="shared" si="35"/>
        <v>27.9</v>
      </c>
      <c r="AU13" s="36">
        <f t="shared" si="36"/>
        <v>1.6895</v>
      </c>
      <c r="AV13" s="36">
        <f t="shared" si="37"/>
        <v>30.411000000000001</v>
      </c>
      <c r="AW13" s="37"/>
      <c r="AX13" s="38"/>
      <c r="AY13" s="38">
        <f t="shared" si="39"/>
        <v>-1.6895</v>
      </c>
      <c r="AZ13" s="38">
        <f t="shared" si="40"/>
        <v>-30.411000000000001</v>
      </c>
      <c r="BA13" s="39" t="e">
        <f t="shared" si="41"/>
        <v>#DIV/0!</v>
      </c>
      <c r="BB13" s="41"/>
      <c r="BC13" s="119"/>
      <c r="BD13" s="108">
        <v>0.16350000000000001</v>
      </c>
      <c r="BE13" s="120">
        <f t="shared" si="11"/>
        <v>0</v>
      </c>
      <c r="BF13" s="121"/>
      <c r="BG13" s="121">
        <f t="shared" si="13"/>
        <v>0</v>
      </c>
      <c r="BH13" s="122">
        <f t="shared" si="14"/>
        <v>0</v>
      </c>
      <c r="BI13" s="121">
        <f t="shared" si="15"/>
        <v>0</v>
      </c>
      <c r="BJ13" s="123"/>
      <c r="BK13" s="124"/>
      <c r="BL13" s="125"/>
    </row>
    <row r="14" spans="1:64" ht="45" customHeight="1" x14ac:dyDescent="0.25">
      <c r="A14" s="30">
        <v>8</v>
      </c>
      <c r="B14" s="100" t="s">
        <v>276</v>
      </c>
      <c r="C14" s="31">
        <v>1</v>
      </c>
      <c r="D14" s="32" t="s">
        <v>278</v>
      </c>
      <c r="E14" s="31">
        <f t="shared" si="0"/>
        <v>18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96">
        <v>27.9</v>
      </c>
      <c r="AP14" s="33">
        <f t="shared" si="32"/>
        <v>1.5499999999999998</v>
      </c>
      <c r="AQ14" s="34">
        <f t="shared" si="33"/>
        <v>27.9</v>
      </c>
      <c r="AR14" s="35"/>
      <c r="AS14" s="36">
        <f t="shared" si="34"/>
        <v>1.5499999999999998</v>
      </c>
      <c r="AT14" s="36">
        <f t="shared" si="35"/>
        <v>27.9</v>
      </c>
      <c r="AU14" s="36">
        <f t="shared" si="36"/>
        <v>1.6895</v>
      </c>
      <c r="AV14" s="36">
        <f t="shared" si="37"/>
        <v>30.411000000000001</v>
      </c>
      <c r="AW14" s="37"/>
      <c r="AX14" s="38"/>
      <c r="AY14" s="38">
        <f t="shared" si="39"/>
        <v>-1.6895</v>
      </c>
      <c r="AZ14" s="38">
        <f t="shared" si="40"/>
        <v>-30.411000000000001</v>
      </c>
      <c r="BA14" s="39" t="e">
        <f t="shared" si="41"/>
        <v>#DIV/0!</v>
      </c>
      <c r="BB14" s="41"/>
      <c r="BC14" s="119"/>
      <c r="BD14" s="108">
        <v>0.16350000000000001</v>
      </c>
      <c r="BE14" s="120">
        <f t="shared" si="11"/>
        <v>0</v>
      </c>
      <c r="BF14" s="121"/>
      <c r="BG14" s="121">
        <f t="shared" si="13"/>
        <v>0</v>
      </c>
      <c r="BH14" s="122">
        <f t="shared" si="14"/>
        <v>0</v>
      </c>
      <c r="BI14" s="121">
        <f t="shared" si="15"/>
        <v>0</v>
      </c>
      <c r="BJ14" s="123"/>
      <c r="BK14" s="124"/>
      <c r="BL14" s="125"/>
    </row>
    <row r="15" spans="1:64" ht="45" customHeight="1" x14ac:dyDescent="0.25">
      <c r="A15" s="30">
        <v>9</v>
      </c>
      <c r="B15" s="100" t="s">
        <v>282</v>
      </c>
      <c r="C15" s="31">
        <v>1</v>
      </c>
      <c r="D15" s="32" t="s">
        <v>279</v>
      </c>
      <c r="E15" s="31">
        <f t="shared" si="0"/>
        <v>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96">
        <v>20.5</v>
      </c>
      <c r="AP15" s="33">
        <f t="shared" ref="AP15" si="50">AO15/D15</f>
        <v>4.0999999999999996</v>
      </c>
      <c r="AQ15" s="34">
        <f t="shared" ref="AQ15" si="51">AP15*E15</f>
        <v>20.5</v>
      </c>
      <c r="AR15" s="35"/>
      <c r="AS15" s="36">
        <f t="shared" ref="AS15" si="52">AP15/$AZ$2</f>
        <v>4.0999999999999996</v>
      </c>
      <c r="AT15" s="36">
        <f t="shared" ref="AT15" si="53">AQ15/$AZ$2</f>
        <v>20.5</v>
      </c>
      <c r="AU15" s="36">
        <f t="shared" ref="AU15" si="54">AS15*(1+$AV$189+9%)</f>
        <v>4.4690000000000003</v>
      </c>
      <c r="AV15" s="36">
        <f t="shared" ref="AV15" si="55">AU15*E15</f>
        <v>22.345000000000002</v>
      </c>
      <c r="AW15" s="37"/>
      <c r="AX15" s="38"/>
      <c r="AY15" s="38">
        <f t="shared" ref="AY15" si="56">AW15-AU15</f>
        <v>-4.4690000000000003</v>
      </c>
      <c r="AZ15" s="38">
        <f t="shared" ref="AZ15" si="57">AY15*E15</f>
        <v>-22.345000000000002</v>
      </c>
      <c r="BA15" s="39" t="e">
        <f t="shared" ref="BA15" si="58">AY15/AW15</f>
        <v>#DIV/0!</v>
      </c>
      <c r="BB15" s="41"/>
      <c r="BC15" s="119"/>
      <c r="BD15" s="108">
        <v>0.16350000000000001</v>
      </c>
      <c r="BE15" s="120">
        <f t="shared" si="11"/>
        <v>0</v>
      </c>
      <c r="BF15" s="121"/>
      <c r="BG15" s="121">
        <f t="shared" si="13"/>
        <v>0</v>
      </c>
      <c r="BH15" s="122">
        <f t="shared" si="14"/>
        <v>0</v>
      </c>
      <c r="BI15" s="121">
        <f t="shared" si="15"/>
        <v>0</v>
      </c>
      <c r="BJ15" s="123"/>
      <c r="BK15" s="124"/>
      <c r="BL15" s="125"/>
    </row>
    <row r="16" spans="1:64" ht="45" customHeight="1" x14ac:dyDescent="0.25">
      <c r="A16" s="30">
        <v>10</v>
      </c>
      <c r="B16" s="100" t="s">
        <v>277</v>
      </c>
      <c r="C16" s="31">
        <v>1</v>
      </c>
      <c r="D16" s="32" t="s">
        <v>279</v>
      </c>
      <c r="E16" s="31">
        <f t="shared" si="0"/>
        <v>5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96">
        <v>20.5</v>
      </c>
      <c r="AP16" s="33">
        <f t="shared" si="32"/>
        <v>4.0999999999999996</v>
      </c>
      <c r="AQ16" s="34">
        <f t="shared" si="33"/>
        <v>20.5</v>
      </c>
      <c r="AR16" s="35"/>
      <c r="AS16" s="36">
        <f t="shared" si="34"/>
        <v>4.0999999999999996</v>
      </c>
      <c r="AT16" s="36">
        <f t="shared" si="35"/>
        <v>20.5</v>
      </c>
      <c r="AU16" s="36">
        <f t="shared" si="36"/>
        <v>4.4690000000000003</v>
      </c>
      <c r="AV16" s="36">
        <f t="shared" si="37"/>
        <v>22.345000000000002</v>
      </c>
      <c r="AW16" s="37"/>
      <c r="AX16" s="38"/>
      <c r="AY16" s="38">
        <f t="shared" si="39"/>
        <v>-4.4690000000000003</v>
      </c>
      <c r="AZ16" s="38">
        <f t="shared" si="40"/>
        <v>-22.345000000000002</v>
      </c>
      <c r="BA16" s="39" t="e">
        <f t="shared" si="41"/>
        <v>#DIV/0!</v>
      </c>
      <c r="BB16" s="41"/>
      <c r="BC16" s="119"/>
      <c r="BD16" s="108">
        <v>0.16350000000000001</v>
      </c>
      <c r="BE16" s="120">
        <f t="shared" si="11"/>
        <v>0</v>
      </c>
      <c r="BF16" s="121"/>
      <c r="BG16" s="121">
        <f t="shared" si="13"/>
        <v>0</v>
      </c>
      <c r="BH16" s="122">
        <f t="shared" si="14"/>
        <v>0</v>
      </c>
      <c r="BI16" s="121">
        <f t="shared" si="15"/>
        <v>0</v>
      </c>
      <c r="BJ16" s="123"/>
      <c r="BK16" s="124"/>
      <c r="BL16" s="125"/>
    </row>
    <row r="17" spans="1:64" ht="45" customHeight="1" x14ac:dyDescent="0.25">
      <c r="A17" s="30">
        <v>11</v>
      </c>
      <c r="B17" s="100" t="s">
        <v>274</v>
      </c>
      <c r="C17" s="31">
        <v>1</v>
      </c>
      <c r="D17" s="32" t="s">
        <v>25</v>
      </c>
      <c r="E17" s="31">
        <f t="shared" si="0"/>
        <v>6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96">
        <v>39.5</v>
      </c>
      <c r="AP17" s="33">
        <f t="shared" si="32"/>
        <v>6.583333333333333</v>
      </c>
      <c r="AQ17" s="34">
        <f t="shared" si="33"/>
        <v>39.5</v>
      </c>
      <c r="AR17" s="35"/>
      <c r="AS17" s="36">
        <f t="shared" si="34"/>
        <v>6.583333333333333</v>
      </c>
      <c r="AT17" s="36">
        <f t="shared" si="35"/>
        <v>39.5</v>
      </c>
      <c r="AU17" s="36">
        <f t="shared" si="36"/>
        <v>7.1758333333333333</v>
      </c>
      <c r="AV17" s="36">
        <f t="shared" si="37"/>
        <v>43.055</v>
      </c>
      <c r="AW17" s="37"/>
      <c r="AX17" s="38"/>
      <c r="AY17" s="38">
        <f t="shared" si="39"/>
        <v>-7.1758333333333333</v>
      </c>
      <c r="AZ17" s="38">
        <f t="shared" si="40"/>
        <v>-43.055</v>
      </c>
      <c r="BA17" s="39" t="e">
        <f t="shared" si="41"/>
        <v>#DIV/0!</v>
      </c>
      <c r="BB17" s="41"/>
      <c r="BC17" s="119"/>
      <c r="BD17" s="108">
        <v>0.16350000000000001</v>
      </c>
      <c r="BE17" s="120">
        <f t="shared" si="11"/>
        <v>0</v>
      </c>
      <c r="BF17" s="121"/>
      <c r="BG17" s="121">
        <f t="shared" si="13"/>
        <v>0</v>
      </c>
      <c r="BH17" s="122">
        <f t="shared" si="14"/>
        <v>0</v>
      </c>
      <c r="BI17" s="121">
        <f t="shared" si="15"/>
        <v>0</v>
      </c>
      <c r="BJ17" s="123"/>
      <c r="BK17" s="124"/>
      <c r="BL17" s="125"/>
    </row>
    <row r="18" spans="1:64" ht="45" customHeight="1" x14ac:dyDescent="0.25">
      <c r="A18" s="30">
        <v>12</v>
      </c>
      <c r="B18" s="100" t="s">
        <v>274</v>
      </c>
      <c r="C18" s="31">
        <v>1</v>
      </c>
      <c r="D18" s="32" t="s">
        <v>25</v>
      </c>
      <c r="E18" s="31">
        <f t="shared" si="0"/>
        <v>6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96">
        <v>39.5</v>
      </c>
      <c r="AP18" s="33">
        <f t="shared" si="32"/>
        <v>6.583333333333333</v>
      </c>
      <c r="AQ18" s="34">
        <f t="shared" si="33"/>
        <v>39.5</v>
      </c>
      <c r="AR18" s="35"/>
      <c r="AS18" s="36">
        <f t="shared" si="34"/>
        <v>6.583333333333333</v>
      </c>
      <c r="AT18" s="36">
        <f t="shared" si="35"/>
        <v>39.5</v>
      </c>
      <c r="AU18" s="36">
        <f t="shared" si="36"/>
        <v>7.1758333333333333</v>
      </c>
      <c r="AV18" s="36">
        <f t="shared" si="37"/>
        <v>43.055</v>
      </c>
      <c r="AW18" s="37"/>
      <c r="AX18" s="38"/>
      <c r="AY18" s="38">
        <f t="shared" si="39"/>
        <v>-7.1758333333333333</v>
      </c>
      <c r="AZ18" s="38">
        <f t="shared" si="40"/>
        <v>-43.055</v>
      </c>
      <c r="BA18" s="39" t="e">
        <f t="shared" si="41"/>
        <v>#DIV/0!</v>
      </c>
      <c r="BB18" s="41"/>
      <c r="BC18" s="119"/>
      <c r="BD18" s="108">
        <v>0.16350000000000001</v>
      </c>
      <c r="BE18" s="120">
        <f t="shared" si="11"/>
        <v>0</v>
      </c>
      <c r="BF18" s="121"/>
      <c r="BG18" s="121">
        <f t="shared" si="13"/>
        <v>0</v>
      </c>
      <c r="BH18" s="122">
        <f t="shared" si="14"/>
        <v>0</v>
      </c>
      <c r="BI18" s="121">
        <f t="shared" si="15"/>
        <v>0</v>
      </c>
      <c r="BJ18" s="123"/>
      <c r="BK18" s="124"/>
      <c r="BL18" s="125"/>
    </row>
    <row r="19" spans="1:64" ht="45" customHeight="1" x14ac:dyDescent="0.25">
      <c r="A19" s="30">
        <v>13</v>
      </c>
      <c r="B19" s="100" t="s">
        <v>280</v>
      </c>
      <c r="C19" s="31">
        <v>1</v>
      </c>
      <c r="D19" s="32" t="s">
        <v>25</v>
      </c>
      <c r="E19" s="31">
        <f t="shared" ref="E19:E20" si="59">D19*C19</f>
        <v>6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96">
        <v>39.5</v>
      </c>
      <c r="AP19" s="33">
        <f t="shared" ref="AP19:AP20" si="60">AO19/D19</f>
        <v>6.583333333333333</v>
      </c>
      <c r="AQ19" s="34">
        <f t="shared" ref="AQ19:AQ20" si="61">AP19*E19</f>
        <v>39.5</v>
      </c>
      <c r="AR19" s="35"/>
      <c r="AS19" s="36">
        <f t="shared" ref="AS19:AS20" si="62">AP19/$AZ$2</f>
        <v>6.583333333333333</v>
      </c>
      <c r="AT19" s="36">
        <f t="shared" ref="AT19:AT20" si="63">AQ19/$AZ$2</f>
        <v>39.5</v>
      </c>
      <c r="AU19" s="36">
        <f t="shared" ref="AU19:AU20" si="64">AS19*(1+$AV$189+9%)</f>
        <v>7.1758333333333333</v>
      </c>
      <c r="AV19" s="36">
        <f t="shared" ref="AV19:AV20" si="65">AU19*E19</f>
        <v>43.055</v>
      </c>
      <c r="AW19" s="37"/>
      <c r="AX19" s="38"/>
      <c r="AY19" s="38">
        <f t="shared" ref="AY19:AY20" si="66">AW19-AU19</f>
        <v>-7.1758333333333333</v>
      </c>
      <c r="AZ19" s="38">
        <f t="shared" ref="AZ19:AZ20" si="67">AY19*E19</f>
        <v>-43.055</v>
      </c>
      <c r="BA19" s="39" t="e">
        <f t="shared" ref="BA19:BA20" si="68">AY19/AW19</f>
        <v>#DIV/0!</v>
      </c>
      <c r="BB19" s="41"/>
      <c r="BC19" s="119"/>
      <c r="BD19" s="108">
        <v>0.16350000000000001</v>
      </c>
      <c r="BE19" s="120">
        <f t="shared" si="11"/>
        <v>0</v>
      </c>
      <c r="BF19" s="121"/>
      <c r="BG19" s="121">
        <f t="shared" si="13"/>
        <v>0</v>
      </c>
      <c r="BH19" s="122">
        <f t="shared" si="14"/>
        <v>0</v>
      </c>
      <c r="BI19" s="121">
        <f t="shared" si="15"/>
        <v>0</v>
      </c>
      <c r="BJ19" s="123"/>
      <c r="BK19" s="124"/>
      <c r="BL19" s="125"/>
    </row>
    <row r="20" spans="1:64" ht="45" customHeight="1" x14ac:dyDescent="0.25">
      <c r="A20" s="30">
        <v>14</v>
      </c>
      <c r="B20" s="100" t="s">
        <v>281</v>
      </c>
      <c r="C20" s="31">
        <v>1</v>
      </c>
      <c r="D20" s="32" t="s">
        <v>25</v>
      </c>
      <c r="E20" s="31">
        <f t="shared" si="59"/>
        <v>6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96">
        <v>39.5</v>
      </c>
      <c r="AP20" s="33">
        <f t="shared" si="60"/>
        <v>6.583333333333333</v>
      </c>
      <c r="AQ20" s="34">
        <f t="shared" si="61"/>
        <v>39.5</v>
      </c>
      <c r="AR20" s="35"/>
      <c r="AS20" s="36">
        <f t="shared" si="62"/>
        <v>6.583333333333333</v>
      </c>
      <c r="AT20" s="36">
        <f t="shared" si="63"/>
        <v>39.5</v>
      </c>
      <c r="AU20" s="36">
        <f t="shared" si="64"/>
        <v>7.1758333333333333</v>
      </c>
      <c r="AV20" s="36">
        <f t="shared" si="65"/>
        <v>43.055</v>
      </c>
      <c r="AW20" s="37"/>
      <c r="AX20" s="38"/>
      <c r="AY20" s="38">
        <f t="shared" si="66"/>
        <v>-7.1758333333333333</v>
      </c>
      <c r="AZ20" s="38">
        <f t="shared" si="67"/>
        <v>-43.055</v>
      </c>
      <c r="BA20" s="39" t="e">
        <f t="shared" si="68"/>
        <v>#DIV/0!</v>
      </c>
      <c r="BB20" s="41"/>
      <c r="BC20" s="119"/>
      <c r="BD20" s="108">
        <v>0.16350000000000001</v>
      </c>
      <c r="BE20" s="120">
        <f t="shared" si="11"/>
        <v>0</v>
      </c>
      <c r="BF20" s="121"/>
      <c r="BG20" s="121">
        <f t="shared" si="13"/>
        <v>0</v>
      </c>
      <c r="BH20" s="122">
        <f t="shared" si="14"/>
        <v>0</v>
      </c>
      <c r="BI20" s="121">
        <f t="shared" si="15"/>
        <v>0</v>
      </c>
      <c r="BJ20" s="123"/>
      <c r="BK20" s="124"/>
      <c r="BL20" s="125"/>
    </row>
    <row r="21" spans="1:64" ht="45" customHeight="1" x14ac:dyDescent="0.25">
      <c r="A21" s="30">
        <v>15</v>
      </c>
      <c r="B21" s="100" t="s">
        <v>206</v>
      </c>
      <c r="C21" s="31">
        <v>1</v>
      </c>
      <c r="D21" s="32" t="s">
        <v>144</v>
      </c>
      <c r="E21" s="31">
        <f t="shared" si="0"/>
        <v>30</v>
      </c>
      <c r="F21" s="31" t="s">
        <v>226</v>
      </c>
      <c r="G21" s="31" t="s">
        <v>226</v>
      </c>
      <c r="H21" s="31" t="s">
        <v>226</v>
      </c>
      <c r="I21" s="31" t="s">
        <v>226</v>
      </c>
      <c r="J21" s="31" t="s">
        <v>226</v>
      </c>
      <c r="K21" s="31" t="s">
        <v>226</v>
      </c>
      <c r="L21" s="31" t="s">
        <v>226</v>
      </c>
      <c r="M21" s="31" t="s">
        <v>226</v>
      </c>
      <c r="N21" s="31" t="s">
        <v>226</v>
      </c>
      <c r="O21" s="31" t="s">
        <v>226</v>
      </c>
      <c r="P21" s="31" t="s">
        <v>226</v>
      </c>
      <c r="Q21" s="31" t="s">
        <v>226</v>
      </c>
      <c r="R21" s="31" t="s">
        <v>226</v>
      </c>
      <c r="S21" s="31" t="s">
        <v>226</v>
      </c>
      <c r="T21" s="31" t="s">
        <v>226</v>
      </c>
      <c r="U21" s="31" t="s">
        <v>226</v>
      </c>
      <c r="V21" s="31" t="s">
        <v>226</v>
      </c>
      <c r="W21" s="31" t="s">
        <v>226</v>
      </c>
      <c r="X21" s="31" t="s">
        <v>226</v>
      </c>
      <c r="Y21" s="31" t="s">
        <v>226</v>
      </c>
      <c r="Z21" s="31" t="s">
        <v>226</v>
      </c>
      <c r="AA21" s="31" t="s">
        <v>226</v>
      </c>
      <c r="AB21" s="31" t="s">
        <v>226</v>
      </c>
      <c r="AC21" s="31" t="s">
        <v>226</v>
      </c>
      <c r="AD21" s="31" t="s">
        <v>226</v>
      </c>
      <c r="AE21" s="31" t="s">
        <v>226</v>
      </c>
      <c r="AF21" s="31" t="s">
        <v>226</v>
      </c>
      <c r="AG21" s="31" t="s">
        <v>226</v>
      </c>
      <c r="AH21" s="31" t="s">
        <v>226</v>
      </c>
      <c r="AI21" s="31" t="s">
        <v>226</v>
      </c>
      <c r="AJ21" s="31" t="s">
        <v>226</v>
      </c>
      <c r="AK21" s="31" t="s">
        <v>226</v>
      </c>
      <c r="AL21" s="31" t="s">
        <v>226</v>
      </c>
      <c r="AM21" s="31"/>
      <c r="AN21" s="31"/>
      <c r="AO21" s="96">
        <v>18.899999999999999</v>
      </c>
      <c r="AP21" s="33">
        <f t="shared" si="1"/>
        <v>0.63</v>
      </c>
      <c r="AQ21" s="34">
        <f t="shared" si="2"/>
        <v>18.899999999999999</v>
      </c>
      <c r="AR21" s="35"/>
      <c r="AS21" s="36">
        <f t="shared" ref="AS21:AS24" si="69">AP21/$AZ$2</f>
        <v>0.63</v>
      </c>
      <c r="AT21" s="36">
        <f t="shared" ref="AT21:AT24" si="70">AQ21/$AZ$2</f>
        <v>18.899999999999999</v>
      </c>
      <c r="AU21" s="36">
        <f t="shared" si="4"/>
        <v>0.68670000000000009</v>
      </c>
      <c r="AV21" s="36">
        <f t="shared" si="5"/>
        <v>20.601000000000003</v>
      </c>
      <c r="AW21" s="37"/>
      <c r="AX21" s="38">
        <f t="shared" si="6"/>
        <v>0</v>
      </c>
      <c r="AY21" s="38">
        <f t="shared" ref="AY21:AY24" si="71">AW21-AU21</f>
        <v>-0.68670000000000009</v>
      </c>
      <c r="AZ21" s="38">
        <f t="shared" si="8"/>
        <v>-20.601000000000003</v>
      </c>
      <c r="BA21" s="39" t="e">
        <f t="shared" ref="BA21:BA24" si="72">AY21/AW21</f>
        <v>#DIV/0!</v>
      </c>
      <c r="BB21" s="41"/>
      <c r="BC21" s="119">
        <f t="shared" si="10"/>
        <v>0</v>
      </c>
      <c r="BD21" s="108">
        <v>0.16350000000000001</v>
      </c>
      <c r="BE21" s="120">
        <f t="shared" si="11"/>
        <v>0</v>
      </c>
      <c r="BF21" s="121">
        <f t="shared" si="12"/>
        <v>0</v>
      </c>
      <c r="BG21" s="121">
        <f t="shared" si="13"/>
        <v>0</v>
      </c>
      <c r="BH21" s="122">
        <f t="shared" si="14"/>
        <v>0</v>
      </c>
      <c r="BI21" s="121">
        <f t="shared" si="15"/>
        <v>0</v>
      </c>
      <c r="BJ21" s="123" t="e">
        <f t="shared" si="16"/>
        <v>#DIV/0!</v>
      </c>
      <c r="BK21" s="124" t="e">
        <f t="shared" si="17"/>
        <v>#DIV/0!</v>
      </c>
      <c r="BL21" s="125" t="s">
        <v>226</v>
      </c>
    </row>
    <row r="22" spans="1:64" ht="45" customHeight="1" x14ac:dyDescent="0.25">
      <c r="A22" s="30">
        <v>16</v>
      </c>
      <c r="B22" s="100" t="s">
        <v>207</v>
      </c>
      <c r="C22" s="31">
        <v>1</v>
      </c>
      <c r="D22" s="32" t="s">
        <v>144</v>
      </c>
      <c r="E22" s="31">
        <f t="shared" si="0"/>
        <v>30</v>
      </c>
      <c r="F22" s="31" t="s">
        <v>226</v>
      </c>
      <c r="G22" s="31" t="s">
        <v>226</v>
      </c>
      <c r="H22" s="31" t="s">
        <v>226</v>
      </c>
      <c r="I22" s="31" t="s">
        <v>226</v>
      </c>
      <c r="J22" s="31" t="s">
        <v>226</v>
      </c>
      <c r="K22" s="31" t="s">
        <v>226</v>
      </c>
      <c r="L22" s="31" t="s">
        <v>226</v>
      </c>
      <c r="M22" s="31" t="s">
        <v>226</v>
      </c>
      <c r="N22" s="31" t="s">
        <v>226</v>
      </c>
      <c r="O22" s="31" t="s">
        <v>226</v>
      </c>
      <c r="P22" s="31" t="s">
        <v>226</v>
      </c>
      <c r="Q22" s="31" t="s">
        <v>226</v>
      </c>
      <c r="R22" s="31" t="s">
        <v>226</v>
      </c>
      <c r="S22" s="31" t="s">
        <v>226</v>
      </c>
      <c r="T22" s="31" t="s">
        <v>226</v>
      </c>
      <c r="U22" s="31" t="s">
        <v>226</v>
      </c>
      <c r="V22" s="31" t="s">
        <v>226</v>
      </c>
      <c r="W22" s="31" t="s">
        <v>226</v>
      </c>
      <c r="X22" s="31" t="s">
        <v>226</v>
      </c>
      <c r="Y22" s="31" t="s">
        <v>226</v>
      </c>
      <c r="Z22" s="31" t="s">
        <v>226</v>
      </c>
      <c r="AA22" s="31" t="s">
        <v>226</v>
      </c>
      <c r="AB22" s="31" t="s">
        <v>226</v>
      </c>
      <c r="AC22" s="31" t="s">
        <v>226</v>
      </c>
      <c r="AD22" s="31" t="s">
        <v>226</v>
      </c>
      <c r="AE22" s="31" t="s">
        <v>226</v>
      </c>
      <c r="AF22" s="31" t="s">
        <v>226</v>
      </c>
      <c r="AG22" s="31" t="s">
        <v>226</v>
      </c>
      <c r="AH22" s="31" t="s">
        <v>226</v>
      </c>
      <c r="AI22" s="31" t="s">
        <v>226</v>
      </c>
      <c r="AJ22" s="31" t="s">
        <v>226</v>
      </c>
      <c r="AK22" s="31" t="s">
        <v>226</v>
      </c>
      <c r="AL22" s="31" t="s">
        <v>226</v>
      </c>
      <c r="AM22" s="31"/>
      <c r="AN22" s="31"/>
      <c r="AO22" s="96">
        <v>18.899999999999999</v>
      </c>
      <c r="AP22" s="33">
        <f t="shared" si="1"/>
        <v>0.63</v>
      </c>
      <c r="AQ22" s="34">
        <f t="shared" si="2"/>
        <v>18.899999999999999</v>
      </c>
      <c r="AR22" s="35"/>
      <c r="AS22" s="36">
        <f t="shared" si="69"/>
        <v>0.63</v>
      </c>
      <c r="AT22" s="36">
        <f t="shared" si="70"/>
        <v>18.899999999999999</v>
      </c>
      <c r="AU22" s="36">
        <f t="shared" si="4"/>
        <v>0.68670000000000009</v>
      </c>
      <c r="AV22" s="36">
        <f t="shared" si="5"/>
        <v>20.601000000000003</v>
      </c>
      <c r="AW22" s="37"/>
      <c r="AX22" s="38">
        <f t="shared" si="6"/>
        <v>0</v>
      </c>
      <c r="AY22" s="38">
        <f t="shared" si="71"/>
        <v>-0.68670000000000009</v>
      </c>
      <c r="AZ22" s="38">
        <f t="shared" si="8"/>
        <v>-20.601000000000003</v>
      </c>
      <c r="BA22" s="39" t="e">
        <f t="shared" si="72"/>
        <v>#DIV/0!</v>
      </c>
      <c r="BB22" s="41"/>
      <c r="BC22" s="119">
        <f t="shared" si="10"/>
        <v>0</v>
      </c>
      <c r="BD22" s="108">
        <v>0.16350000000000001</v>
      </c>
      <c r="BE22" s="120">
        <f t="shared" si="11"/>
        <v>0</v>
      </c>
      <c r="BF22" s="121">
        <f t="shared" si="12"/>
        <v>0</v>
      </c>
      <c r="BG22" s="121">
        <f t="shared" si="13"/>
        <v>0</v>
      </c>
      <c r="BH22" s="122">
        <f t="shared" si="14"/>
        <v>0</v>
      </c>
      <c r="BI22" s="121">
        <f t="shared" si="15"/>
        <v>0</v>
      </c>
      <c r="BJ22" s="123" t="e">
        <f t="shared" si="16"/>
        <v>#DIV/0!</v>
      </c>
      <c r="BK22" s="124" t="e">
        <f t="shared" si="17"/>
        <v>#DIV/0!</v>
      </c>
      <c r="BL22" s="125" t="s">
        <v>226</v>
      </c>
    </row>
    <row r="23" spans="1:64" ht="45" customHeight="1" x14ac:dyDescent="0.25">
      <c r="A23" s="30">
        <v>17</v>
      </c>
      <c r="B23" s="100" t="s">
        <v>208</v>
      </c>
      <c r="C23" s="31">
        <v>1</v>
      </c>
      <c r="D23" s="32" t="s">
        <v>144</v>
      </c>
      <c r="E23" s="31">
        <f t="shared" si="0"/>
        <v>30</v>
      </c>
      <c r="F23" s="31" t="s">
        <v>226</v>
      </c>
      <c r="G23" s="31" t="s">
        <v>226</v>
      </c>
      <c r="H23" s="31" t="s">
        <v>226</v>
      </c>
      <c r="I23" s="31" t="s">
        <v>226</v>
      </c>
      <c r="J23" s="31" t="s">
        <v>226</v>
      </c>
      <c r="K23" s="31" t="s">
        <v>226</v>
      </c>
      <c r="L23" s="31" t="s">
        <v>226</v>
      </c>
      <c r="M23" s="31" t="s">
        <v>226</v>
      </c>
      <c r="N23" s="31" t="s">
        <v>226</v>
      </c>
      <c r="O23" s="31" t="s">
        <v>226</v>
      </c>
      <c r="P23" s="31" t="s">
        <v>226</v>
      </c>
      <c r="Q23" s="31" t="s">
        <v>226</v>
      </c>
      <c r="R23" s="31" t="s">
        <v>226</v>
      </c>
      <c r="S23" s="31" t="s">
        <v>226</v>
      </c>
      <c r="T23" s="31" t="s">
        <v>226</v>
      </c>
      <c r="U23" s="31" t="s">
        <v>226</v>
      </c>
      <c r="V23" s="31" t="s">
        <v>226</v>
      </c>
      <c r="W23" s="31" t="s">
        <v>226</v>
      </c>
      <c r="X23" s="31" t="s">
        <v>226</v>
      </c>
      <c r="Y23" s="31" t="s">
        <v>226</v>
      </c>
      <c r="Z23" s="31" t="s">
        <v>226</v>
      </c>
      <c r="AA23" s="31" t="s">
        <v>226</v>
      </c>
      <c r="AB23" s="31" t="s">
        <v>226</v>
      </c>
      <c r="AC23" s="31" t="s">
        <v>226</v>
      </c>
      <c r="AD23" s="31" t="s">
        <v>226</v>
      </c>
      <c r="AE23" s="31" t="s">
        <v>226</v>
      </c>
      <c r="AF23" s="31" t="s">
        <v>226</v>
      </c>
      <c r="AG23" s="31" t="s">
        <v>226</v>
      </c>
      <c r="AH23" s="31" t="s">
        <v>226</v>
      </c>
      <c r="AI23" s="31" t="s">
        <v>226</v>
      </c>
      <c r="AJ23" s="31" t="s">
        <v>226</v>
      </c>
      <c r="AK23" s="31" t="s">
        <v>226</v>
      </c>
      <c r="AL23" s="31" t="s">
        <v>226</v>
      </c>
      <c r="AM23" s="31"/>
      <c r="AN23" s="31"/>
      <c r="AO23" s="96">
        <v>18.899999999999999</v>
      </c>
      <c r="AP23" s="33">
        <f t="shared" si="1"/>
        <v>0.63</v>
      </c>
      <c r="AQ23" s="34">
        <f t="shared" si="2"/>
        <v>18.899999999999999</v>
      </c>
      <c r="AR23" s="35"/>
      <c r="AS23" s="36">
        <f t="shared" si="69"/>
        <v>0.63</v>
      </c>
      <c r="AT23" s="36">
        <f t="shared" si="70"/>
        <v>18.899999999999999</v>
      </c>
      <c r="AU23" s="36">
        <f t="shared" si="4"/>
        <v>0.68670000000000009</v>
      </c>
      <c r="AV23" s="36">
        <f t="shared" si="5"/>
        <v>20.601000000000003</v>
      </c>
      <c r="AW23" s="37"/>
      <c r="AX23" s="38">
        <f t="shared" si="6"/>
        <v>0</v>
      </c>
      <c r="AY23" s="38">
        <f t="shared" si="71"/>
        <v>-0.68670000000000009</v>
      </c>
      <c r="AZ23" s="38">
        <f t="shared" si="8"/>
        <v>-20.601000000000003</v>
      </c>
      <c r="BA23" s="39" t="e">
        <f t="shared" si="72"/>
        <v>#DIV/0!</v>
      </c>
      <c r="BB23" s="41"/>
      <c r="BC23" s="119">
        <f t="shared" si="10"/>
        <v>0</v>
      </c>
      <c r="BD23" s="108">
        <v>0.16350000000000001</v>
      </c>
      <c r="BE23" s="120">
        <f t="shared" si="11"/>
        <v>0</v>
      </c>
      <c r="BF23" s="121">
        <f t="shared" si="12"/>
        <v>0</v>
      </c>
      <c r="BG23" s="121">
        <f t="shared" si="13"/>
        <v>0</v>
      </c>
      <c r="BH23" s="122">
        <f t="shared" si="14"/>
        <v>0</v>
      </c>
      <c r="BI23" s="121">
        <f t="shared" si="15"/>
        <v>0</v>
      </c>
      <c r="BJ23" s="123" t="e">
        <f t="shared" si="16"/>
        <v>#DIV/0!</v>
      </c>
      <c r="BK23" s="124" t="e">
        <f t="shared" si="17"/>
        <v>#DIV/0!</v>
      </c>
      <c r="BL23" s="125" t="s">
        <v>226</v>
      </c>
    </row>
    <row r="24" spans="1:64" ht="45" customHeight="1" x14ac:dyDescent="0.25">
      <c r="A24" s="30">
        <v>18</v>
      </c>
      <c r="B24" s="100" t="s">
        <v>214</v>
      </c>
      <c r="C24" s="31">
        <v>1</v>
      </c>
      <c r="D24" s="32" t="s">
        <v>24</v>
      </c>
      <c r="E24" s="31">
        <f t="shared" si="0"/>
        <v>24</v>
      </c>
      <c r="F24" s="31" t="s">
        <v>226</v>
      </c>
      <c r="G24" s="31" t="s">
        <v>226</v>
      </c>
      <c r="H24" s="31" t="s">
        <v>226</v>
      </c>
      <c r="I24" s="31" t="s">
        <v>226</v>
      </c>
      <c r="J24" s="31" t="s">
        <v>226</v>
      </c>
      <c r="K24" s="31" t="s">
        <v>226</v>
      </c>
      <c r="L24" s="31" t="s">
        <v>226</v>
      </c>
      <c r="M24" s="31" t="s">
        <v>226</v>
      </c>
      <c r="N24" s="31" t="s">
        <v>226</v>
      </c>
      <c r="O24" s="31" t="s">
        <v>226</v>
      </c>
      <c r="P24" s="31" t="s">
        <v>226</v>
      </c>
      <c r="Q24" s="31" t="s">
        <v>226</v>
      </c>
      <c r="R24" s="31" t="s">
        <v>226</v>
      </c>
      <c r="S24" s="31" t="s">
        <v>226</v>
      </c>
      <c r="T24" s="31" t="s">
        <v>226</v>
      </c>
      <c r="U24" s="31" t="s">
        <v>226</v>
      </c>
      <c r="V24" s="31" t="s">
        <v>226</v>
      </c>
      <c r="W24" s="31" t="s">
        <v>226</v>
      </c>
      <c r="X24" s="31" t="s">
        <v>226</v>
      </c>
      <c r="Y24" s="31" t="s">
        <v>226</v>
      </c>
      <c r="Z24" s="31" t="s">
        <v>226</v>
      </c>
      <c r="AA24" s="31" t="s">
        <v>226</v>
      </c>
      <c r="AB24" s="31" t="s">
        <v>226</v>
      </c>
      <c r="AC24" s="31" t="s">
        <v>226</v>
      </c>
      <c r="AD24" s="31" t="s">
        <v>226</v>
      </c>
      <c r="AE24" s="31" t="s">
        <v>226</v>
      </c>
      <c r="AF24" s="31" t="s">
        <v>226</v>
      </c>
      <c r="AG24" s="31" t="s">
        <v>226</v>
      </c>
      <c r="AH24" s="31" t="s">
        <v>226</v>
      </c>
      <c r="AI24" s="31" t="s">
        <v>226</v>
      </c>
      <c r="AJ24" s="31" t="s">
        <v>226</v>
      </c>
      <c r="AK24" s="31" t="s">
        <v>226</v>
      </c>
      <c r="AL24" s="31" t="s">
        <v>226</v>
      </c>
      <c r="AM24" s="31"/>
      <c r="AN24" s="31"/>
      <c r="AO24" s="96">
        <v>14.4</v>
      </c>
      <c r="AP24" s="33">
        <f t="shared" si="1"/>
        <v>0.6</v>
      </c>
      <c r="AQ24" s="34">
        <f t="shared" si="2"/>
        <v>14.399999999999999</v>
      </c>
      <c r="AR24" s="35"/>
      <c r="AS24" s="36">
        <f t="shared" si="69"/>
        <v>0.6</v>
      </c>
      <c r="AT24" s="36">
        <f t="shared" si="70"/>
        <v>14.399999999999999</v>
      </c>
      <c r="AU24" s="36">
        <f t="shared" si="4"/>
        <v>0.65400000000000003</v>
      </c>
      <c r="AV24" s="36">
        <f t="shared" si="5"/>
        <v>15.696000000000002</v>
      </c>
      <c r="AW24" s="37"/>
      <c r="AX24" s="38">
        <f t="shared" si="6"/>
        <v>0</v>
      </c>
      <c r="AY24" s="38">
        <f t="shared" si="71"/>
        <v>-0.65400000000000003</v>
      </c>
      <c r="AZ24" s="38">
        <f t="shared" si="8"/>
        <v>-15.696000000000002</v>
      </c>
      <c r="BA24" s="39" t="e">
        <f t="shared" si="72"/>
        <v>#DIV/0!</v>
      </c>
      <c r="BB24" s="41"/>
      <c r="BC24" s="119">
        <f t="shared" si="10"/>
        <v>0</v>
      </c>
      <c r="BD24" s="108">
        <v>0.16350000000000001</v>
      </c>
      <c r="BE24" s="120">
        <f t="shared" si="11"/>
        <v>0</v>
      </c>
      <c r="BF24" s="121">
        <f t="shared" si="12"/>
        <v>0</v>
      </c>
      <c r="BG24" s="121">
        <f t="shared" si="13"/>
        <v>0</v>
      </c>
      <c r="BH24" s="122">
        <f t="shared" si="14"/>
        <v>0</v>
      </c>
      <c r="BI24" s="121">
        <f t="shared" si="15"/>
        <v>0</v>
      </c>
      <c r="BJ24" s="123" t="e">
        <f t="shared" si="16"/>
        <v>#DIV/0!</v>
      </c>
      <c r="BK24" s="124" t="e">
        <f t="shared" si="17"/>
        <v>#DIV/0!</v>
      </c>
      <c r="BL24" s="125" t="s">
        <v>226</v>
      </c>
    </row>
    <row r="25" spans="1:64" ht="45" customHeight="1" x14ac:dyDescent="0.25">
      <c r="A25" s="30">
        <v>19</v>
      </c>
      <c r="B25" s="100" t="s">
        <v>187</v>
      </c>
      <c r="C25" s="31">
        <v>1</v>
      </c>
      <c r="D25" s="32" t="s">
        <v>144</v>
      </c>
      <c r="E25" s="31">
        <f t="shared" si="0"/>
        <v>30</v>
      </c>
      <c r="F25" s="31" t="s">
        <v>226</v>
      </c>
      <c r="G25" s="31" t="s">
        <v>226</v>
      </c>
      <c r="H25" s="31" t="s">
        <v>226</v>
      </c>
      <c r="I25" s="31" t="s">
        <v>226</v>
      </c>
      <c r="J25" s="31" t="s">
        <v>226</v>
      </c>
      <c r="K25" s="31" t="s">
        <v>226</v>
      </c>
      <c r="L25" s="31" t="s">
        <v>226</v>
      </c>
      <c r="M25" s="31" t="s">
        <v>226</v>
      </c>
      <c r="N25" s="31" t="s">
        <v>226</v>
      </c>
      <c r="O25" s="31" t="s">
        <v>226</v>
      </c>
      <c r="P25" s="31" t="s">
        <v>226</v>
      </c>
      <c r="Q25" s="31" t="s">
        <v>226</v>
      </c>
      <c r="R25" s="31" t="s">
        <v>226</v>
      </c>
      <c r="S25" s="31" t="s">
        <v>226</v>
      </c>
      <c r="T25" s="31" t="s">
        <v>226</v>
      </c>
      <c r="U25" s="31" t="s">
        <v>226</v>
      </c>
      <c r="V25" s="31" t="s">
        <v>226</v>
      </c>
      <c r="W25" s="31" t="s">
        <v>226</v>
      </c>
      <c r="X25" s="31" t="s">
        <v>226</v>
      </c>
      <c r="Y25" s="31" t="s">
        <v>226</v>
      </c>
      <c r="Z25" s="31" t="s">
        <v>226</v>
      </c>
      <c r="AA25" s="31" t="s">
        <v>226</v>
      </c>
      <c r="AB25" s="31" t="s">
        <v>226</v>
      </c>
      <c r="AC25" s="31" t="s">
        <v>226</v>
      </c>
      <c r="AD25" s="31" t="s">
        <v>226</v>
      </c>
      <c r="AE25" s="31" t="s">
        <v>226</v>
      </c>
      <c r="AF25" s="31" t="s">
        <v>226</v>
      </c>
      <c r="AG25" s="31" t="s">
        <v>226</v>
      </c>
      <c r="AH25" s="31" t="s">
        <v>226</v>
      </c>
      <c r="AI25" s="31" t="s">
        <v>226</v>
      </c>
      <c r="AJ25" s="31" t="s">
        <v>226</v>
      </c>
      <c r="AK25" s="31" t="s">
        <v>226</v>
      </c>
      <c r="AL25" s="31" t="s">
        <v>226</v>
      </c>
      <c r="AM25" s="31"/>
      <c r="AN25" s="31"/>
      <c r="AO25" s="96">
        <v>90.5</v>
      </c>
      <c r="AP25" s="33">
        <f t="shared" si="1"/>
        <v>3.0166666666666666</v>
      </c>
      <c r="AQ25" s="34">
        <f t="shared" si="2"/>
        <v>90.5</v>
      </c>
      <c r="AR25" s="35"/>
      <c r="AS25" s="36">
        <f t="shared" ref="AS25" si="73">AP25/$AZ$2</f>
        <v>3.0166666666666666</v>
      </c>
      <c r="AT25" s="36">
        <f t="shared" ref="AT25" si="74">AQ25/$AZ$2</f>
        <v>90.5</v>
      </c>
      <c r="AU25" s="36">
        <f t="shared" si="4"/>
        <v>3.2881666666666667</v>
      </c>
      <c r="AV25" s="36">
        <f t="shared" si="5"/>
        <v>98.644999999999996</v>
      </c>
      <c r="AW25" s="37"/>
      <c r="AX25" s="38">
        <f t="shared" si="6"/>
        <v>0</v>
      </c>
      <c r="AY25" s="38">
        <f t="shared" ref="AY25" si="75">AW25-AU25</f>
        <v>-3.2881666666666667</v>
      </c>
      <c r="AZ25" s="38">
        <f t="shared" si="8"/>
        <v>-98.644999999999996</v>
      </c>
      <c r="BA25" s="39" t="e">
        <f t="shared" ref="BA25" si="76">AY25/AW25</f>
        <v>#DIV/0!</v>
      </c>
      <c r="BB25" s="41"/>
      <c r="BC25" s="119">
        <f t="shared" si="10"/>
        <v>0</v>
      </c>
      <c r="BD25" s="108">
        <v>0.16350000000000001</v>
      </c>
      <c r="BE25" s="120">
        <f t="shared" si="11"/>
        <v>0</v>
      </c>
      <c r="BF25" s="121">
        <f t="shared" si="12"/>
        <v>0</v>
      </c>
      <c r="BG25" s="121">
        <f t="shared" si="13"/>
        <v>0</v>
      </c>
      <c r="BH25" s="122">
        <f t="shared" si="14"/>
        <v>0</v>
      </c>
      <c r="BI25" s="121">
        <f t="shared" si="15"/>
        <v>0</v>
      </c>
      <c r="BJ25" s="123" t="e">
        <f t="shared" si="16"/>
        <v>#DIV/0!</v>
      </c>
      <c r="BK25" s="124" t="e">
        <f t="shared" si="17"/>
        <v>#DIV/0!</v>
      </c>
      <c r="BL25" s="125" t="s">
        <v>226</v>
      </c>
    </row>
    <row r="26" spans="1:64" ht="45" customHeight="1" x14ac:dyDescent="0.25">
      <c r="A26" s="30">
        <v>20</v>
      </c>
      <c r="B26" s="100" t="s">
        <v>186</v>
      </c>
      <c r="C26" s="31">
        <v>1</v>
      </c>
      <c r="D26" s="32" t="s">
        <v>157</v>
      </c>
      <c r="E26" s="31">
        <f t="shared" si="0"/>
        <v>60</v>
      </c>
      <c r="F26" s="31" t="s">
        <v>226</v>
      </c>
      <c r="G26" s="31" t="s">
        <v>226</v>
      </c>
      <c r="H26" s="31" t="s">
        <v>226</v>
      </c>
      <c r="I26" s="31" t="s">
        <v>226</v>
      </c>
      <c r="J26" s="31" t="s">
        <v>226</v>
      </c>
      <c r="K26" s="31" t="s">
        <v>226</v>
      </c>
      <c r="L26" s="31" t="s">
        <v>226</v>
      </c>
      <c r="M26" s="31" t="s">
        <v>226</v>
      </c>
      <c r="N26" s="31" t="s">
        <v>226</v>
      </c>
      <c r="O26" s="31" t="s">
        <v>226</v>
      </c>
      <c r="P26" s="31" t="s">
        <v>226</v>
      </c>
      <c r="Q26" s="31" t="s">
        <v>226</v>
      </c>
      <c r="R26" s="31" t="s">
        <v>226</v>
      </c>
      <c r="S26" s="31" t="s">
        <v>226</v>
      </c>
      <c r="T26" s="31" t="s">
        <v>226</v>
      </c>
      <c r="U26" s="31" t="s">
        <v>226</v>
      </c>
      <c r="V26" s="31" t="s">
        <v>226</v>
      </c>
      <c r="W26" s="31" t="s">
        <v>226</v>
      </c>
      <c r="X26" s="31" t="s">
        <v>226</v>
      </c>
      <c r="Y26" s="31" t="s">
        <v>226</v>
      </c>
      <c r="Z26" s="31" t="s">
        <v>226</v>
      </c>
      <c r="AA26" s="31" t="s">
        <v>226</v>
      </c>
      <c r="AB26" s="31" t="s">
        <v>226</v>
      </c>
      <c r="AC26" s="31" t="s">
        <v>226</v>
      </c>
      <c r="AD26" s="31" t="s">
        <v>226</v>
      </c>
      <c r="AE26" s="31" t="s">
        <v>226</v>
      </c>
      <c r="AF26" s="31" t="s">
        <v>226</v>
      </c>
      <c r="AG26" s="31" t="s">
        <v>226</v>
      </c>
      <c r="AH26" s="31" t="s">
        <v>226</v>
      </c>
      <c r="AI26" s="31" t="s">
        <v>226</v>
      </c>
      <c r="AJ26" s="31" t="s">
        <v>226</v>
      </c>
      <c r="AK26" s="31" t="s">
        <v>226</v>
      </c>
      <c r="AL26" s="31" t="s">
        <v>226</v>
      </c>
      <c r="AM26" s="31"/>
      <c r="AN26" s="31"/>
      <c r="AO26" s="96">
        <v>61.2</v>
      </c>
      <c r="AP26" s="33">
        <f t="shared" si="1"/>
        <v>1.02</v>
      </c>
      <c r="AQ26" s="34">
        <f t="shared" si="2"/>
        <v>61.2</v>
      </c>
      <c r="AR26" s="35"/>
      <c r="AS26" s="36">
        <f t="shared" ref="AS26:AS28" si="77">AP26/$AZ$2</f>
        <v>1.02</v>
      </c>
      <c r="AT26" s="36">
        <f t="shared" ref="AT26:AT28" si="78">AQ26/$AZ$2</f>
        <v>61.2</v>
      </c>
      <c r="AU26" s="36">
        <f t="shared" si="4"/>
        <v>1.1118000000000001</v>
      </c>
      <c r="AV26" s="36">
        <f t="shared" si="5"/>
        <v>66.708000000000013</v>
      </c>
      <c r="AW26" s="37"/>
      <c r="AX26" s="38">
        <f t="shared" si="6"/>
        <v>0</v>
      </c>
      <c r="AY26" s="38">
        <f t="shared" ref="AY26:AY28" si="79">AW26-AU26</f>
        <v>-1.1118000000000001</v>
      </c>
      <c r="AZ26" s="38">
        <f t="shared" si="8"/>
        <v>-66.708000000000013</v>
      </c>
      <c r="BA26" s="39" t="e">
        <f t="shared" ref="BA26:BA28" si="80">AY26/AW26</f>
        <v>#DIV/0!</v>
      </c>
      <c r="BB26" s="41"/>
      <c r="BC26" s="119">
        <f t="shared" si="10"/>
        <v>0</v>
      </c>
      <c r="BD26" s="108">
        <v>0.16350000000000001</v>
      </c>
      <c r="BE26" s="120">
        <f t="shared" si="11"/>
        <v>0</v>
      </c>
      <c r="BF26" s="121">
        <f t="shared" si="12"/>
        <v>0</v>
      </c>
      <c r="BG26" s="121">
        <f t="shared" si="13"/>
        <v>0</v>
      </c>
      <c r="BH26" s="122">
        <f t="shared" si="14"/>
        <v>0</v>
      </c>
      <c r="BI26" s="121">
        <f t="shared" si="15"/>
        <v>0</v>
      </c>
      <c r="BJ26" s="123" t="e">
        <f t="shared" si="16"/>
        <v>#DIV/0!</v>
      </c>
      <c r="BK26" s="124" t="e">
        <f t="shared" si="17"/>
        <v>#DIV/0!</v>
      </c>
      <c r="BL26" s="125" t="s">
        <v>226</v>
      </c>
    </row>
    <row r="27" spans="1:64" ht="45" customHeight="1" x14ac:dyDescent="0.25">
      <c r="A27" s="30">
        <v>21</v>
      </c>
      <c r="B27" s="100" t="s">
        <v>253</v>
      </c>
      <c r="C27" s="31">
        <v>1</v>
      </c>
      <c r="D27" s="32" t="s">
        <v>24</v>
      </c>
      <c r="E27" s="31">
        <f t="shared" ref="E27" si="81">D27*C27</f>
        <v>24</v>
      </c>
      <c r="F27" s="31" t="s">
        <v>226</v>
      </c>
      <c r="G27" s="31" t="s">
        <v>226</v>
      </c>
      <c r="H27" s="31" t="s">
        <v>226</v>
      </c>
      <c r="I27" s="31" t="s">
        <v>226</v>
      </c>
      <c r="J27" s="31" t="s">
        <v>226</v>
      </c>
      <c r="K27" s="31" t="s">
        <v>226</v>
      </c>
      <c r="L27" s="31" t="s">
        <v>226</v>
      </c>
      <c r="M27" s="31" t="s">
        <v>226</v>
      </c>
      <c r="N27" s="31" t="s">
        <v>226</v>
      </c>
      <c r="O27" s="31" t="s">
        <v>226</v>
      </c>
      <c r="P27" s="31" t="s">
        <v>226</v>
      </c>
      <c r="Q27" s="31" t="s">
        <v>226</v>
      </c>
      <c r="R27" s="31" t="s">
        <v>226</v>
      </c>
      <c r="S27" s="31" t="s">
        <v>226</v>
      </c>
      <c r="T27" s="31" t="s">
        <v>226</v>
      </c>
      <c r="U27" s="31" t="s">
        <v>226</v>
      </c>
      <c r="V27" s="31" t="s">
        <v>226</v>
      </c>
      <c r="W27" s="31" t="s">
        <v>226</v>
      </c>
      <c r="X27" s="31" t="s">
        <v>226</v>
      </c>
      <c r="Y27" s="31" t="s">
        <v>226</v>
      </c>
      <c r="Z27" s="31" t="s">
        <v>226</v>
      </c>
      <c r="AA27" s="31" t="s">
        <v>226</v>
      </c>
      <c r="AB27" s="31" t="s">
        <v>226</v>
      </c>
      <c r="AC27" s="31" t="s">
        <v>226</v>
      </c>
      <c r="AD27" s="31" t="s">
        <v>226</v>
      </c>
      <c r="AE27" s="31" t="s">
        <v>226</v>
      </c>
      <c r="AF27" s="31" t="s">
        <v>226</v>
      </c>
      <c r="AG27" s="31" t="s">
        <v>226</v>
      </c>
      <c r="AH27" s="31" t="s">
        <v>226</v>
      </c>
      <c r="AI27" s="31" t="s">
        <v>226</v>
      </c>
      <c r="AJ27" s="31" t="s">
        <v>226</v>
      </c>
      <c r="AK27" s="31" t="s">
        <v>226</v>
      </c>
      <c r="AL27" s="31" t="s">
        <v>226</v>
      </c>
      <c r="AM27" s="31"/>
      <c r="AN27" s="31"/>
      <c r="AO27" s="96">
        <v>27</v>
      </c>
      <c r="AP27" s="33">
        <f t="shared" ref="AP27" si="82">AO27/D27</f>
        <v>1.125</v>
      </c>
      <c r="AQ27" s="34">
        <f t="shared" ref="AQ27" si="83">AP27*E27</f>
        <v>27</v>
      </c>
      <c r="AR27" s="35"/>
      <c r="AS27" s="36">
        <f t="shared" ref="AS27" si="84">AP27/$AZ$2</f>
        <v>1.125</v>
      </c>
      <c r="AT27" s="36">
        <f t="shared" ref="AT27" si="85">AQ27/$AZ$2</f>
        <v>27</v>
      </c>
      <c r="AU27" s="36">
        <f t="shared" si="4"/>
        <v>1.2262500000000001</v>
      </c>
      <c r="AV27" s="36">
        <f t="shared" ref="AV27" si="86">AU27*E27</f>
        <v>29.43</v>
      </c>
      <c r="AW27" s="37"/>
      <c r="AX27" s="38">
        <f t="shared" ref="AX27" si="87">AW27*E27</f>
        <v>0</v>
      </c>
      <c r="AY27" s="38">
        <f t="shared" ref="AY27" si="88">AW27-AU27</f>
        <v>-1.2262500000000001</v>
      </c>
      <c r="AZ27" s="38">
        <f t="shared" ref="AZ27" si="89">AY27*E27</f>
        <v>-29.43</v>
      </c>
      <c r="BA27" s="39" t="e">
        <f t="shared" ref="BA27" si="90">AY27/AW27</f>
        <v>#DIV/0!</v>
      </c>
      <c r="BB27" s="41"/>
      <c r="BC27" s="119">
        <f t="shared" ref="BC27" si="91">AW27</f>
        <v>0</v>
      </c>
      <c r="BD27" s="108">
        <v>0.16350000000000001</v>
      </c>
      <c r="BE27" s="120">
        <f t="shared" si="11"/>
        <v>0</v>
      </c>
      <c r="BF27" s="121">
        <f t="shared" ref="BF27" si="92">BE27-BC27</f>
        <v>0</v>
      </c>
      <c r="BG27" s="121">
        <f t="shared" si="13"/>
        <v>0</v>
      </c>
      <c r="BH27" s="122">
        <f t="shared" si="14"/>
        <v>0</v>
      </c>
      <c r="BI27" s="121">
        <f t="shared" si="15"/>
        <v>0</v>
      </c>
      <c r="BJ27" s="123" t="e">
        <f t="shared" ref="BJ27" si="93">(BI27-AU27)/BI27</f>
        <v>#DIV/0!</v>
      </c>
      <c r="BK27" s="124" t="e">
        <f t="shared" ref="BK27" si="94">BJ27-BA27</f>
        <v>#DIV/0!</v>
      </c>
      <c r="BL27" s="125" t="s">
        <v>226</v>
      </c>
    </row>
    <row r="28" spans="1:64" ht="45" customHeight="1" x14ac:dyDescent="0.25">
      <c r="A28" s="30">
        <v>22</v>
      </c>
      <c r="B28" s="100" t="s">
        <v>254</v>
      </c>
      <c r="C28" s="31">
        <v>1</v>
      </c>
      <c r="D28" s="32" t="s">
        <v>24</v>
      </c>
      <c r="E28" s="31">
        <f t="shared" si="0"/>
        <v>24</v>
      </c>
      <c r="F28" s="31" t="s">
        <v>226</v>
      </c>
      <c r="G28" s="31" t="s">
        <v>226</v>
      </c>
      <c r="H28" s="31" t="s">
        <v>226</v>
      </c>
      <c r="I28" s="31" t="s">
        <v>226</v>
      </c>
      <c r="J28" s="31" t="s">
        <v>226</v>
      </c>
      <c r="K28" s="31" t="s">
        <v>226</v>
      </c>
      <c r="L28" s="31" t="s">
        <v>226</v>
      </c>
      <c r="M28" s="31" t="s">
        <v>226</v>
      </c>
      <c r="N28" s="31" t="s">
        <v>226</v>
      </c>
      <c r="O28" s="31" t="s">
        <v>226</v>
      </c>
      <c r="P28" s="31" t="s">
        <v>226</v>
      </c>
      <c r="Q28" s="31" t="s">
        <v>226</v>
      </c>
      <c r="R28" s="31" t="s">
        <v>226</v>
      </c>
      <c r="S28" s="31" t="s">
        <v>226</v>
      </c>
      <c r="T28" s="31" t="s">
        <v>226</v>
      </c>
      <c r="U28" s="31" t="s">
        <v>226</v>
      </c>
      <c r="V28" s="31" t="s">
        <v>226</v>
      </c>
      <c r="W28" s="31" t="s">
        <v>226</v>
      </c>
      <c r="X28" s="31" t="s">
        <v>226</v>
      </c>
      <c r="Y28" s="31" t="s">
        <v>226</v>
      </c>
      <c r="Z28" s="31" t="s">
        <v>226</v>
      </c>
      <c r="AA28" s="31" t="s">
        <v>226</v>
      </c>
      <c r="AB28" s="31" t="s">
        <v>226</v>
      </c>
      <c r="AC28" s="31" t="s">
        <v>226</v>
      </c>
      <c r="AD28" s="31" t="s">
        <v>226</v>
      </c>
      <c r="AE28" s="31" t="s">
        <v>226</v>
      </c>
      <c r="AF28" s="31" t="s">
        <v>226</v>
      </c>
      <c r="AG28" s="31" t="s">
        <v>226</v>
      </c>
      <c r="AH28" s="31" t="s">
        <v>226</v>
      </c>
      <c r="AI28" s="31" t="s">
        <v>226</v>
      </c>
      <c r="AJ28" s="31" t="s">
        <v>226</v>
      </c>
      <c r="AK28" s="31" t="s">
        <v>226</v>
      </c>
      <c r="AL28" s="31" t="s">
        <v>226</v>
      </c>
      <c r="AM28" s="31"/>
      <c r="AN28" s="31"/>
      <c r="AO28" s="96">
        <v>27</v>
      </c>
      <c r="AP28" s="33">
        <f t="shared" si="1"/>
        <v>1.125</v>
      </c>
      <c r="AQ28" s="34">
        <f t="shared" si="2"/>
        <v>27</v>
      </c>
      <c r="AR28" s="35"/>
      <c r="AS28" s="36">
        <f t="shared" si="77"/>
        <v>1.125</v>
      </c>
      <c r="AT28" s="36">
        <f t="shared" si="78"/>
        <v>27</v>
      </c>
      <c r="AU28" s="36">
        <f t="shared" si="4"/>
        <v>1.2262500000000001</v>
      </c>
      <c r="AV28" s="36">
        <f t="shared" si="5"/>
        <v>29.43</v>
      </c>
      <c r="AW28" s="37"/>
      <c r="AX28" s="38">
        <f t="shared" si="6"/>
        <v>0</v>
      </c>
      <c r="AY28" s="38">
        <f t="shared" si="79"/>
        <v>-1.2262500000000001</v>
      </c>
      <c r="AZ28" s="38">
        <f t="shared" si="8"/>
        <v>-29.43</v>
      </c>
      <c r="BA28" s="39" t="e">
        <f t="shared" si="80"/>
        <v>#DIV/0!</v>
      </c>
      <c r="BB28" s="41"/>
      <c r="BC28" s="119">
        <f t="shared" si="10"/>
        <v>0</v>
      </c>
      <c r="BD28" s="108">
        <v>0.16350000000000001</v>
      </c>
      <c r="BE28" s="120">
        <f t="shared" si="11"/>
        <v>0</v>
      </c>
      <c r="BF28" s="121">
        <f t="shared" si="12"/>
        <v>0</v>
      </c>
      <c r="BG28" s="121">
        <f t="shared" si="13"/>
        <v>0</v>
      </c>
      <c r="BH28" s="122">
        <f t="shared" si="14"/>
        <v>0</v>
      </c>
      <c r="BI28" s="121">
        <f t="shared" si="15"/>
        <v>0</v>
      </c>
      <c r="BJ28" s="123" t="e">
        <f t="shared" si="16"/>
        <v>#DIV/0!</v>
      </c>
      <c r="BK28" s="124" t="e">
        <f t="shared" si="17"/>
        <v>#DIV/0!</v>
      </c>
      <c r="BL28" s="125" t="s">
        <v>226</v>
      </c>
    </row>
    <row r="29" spans="1:64" ht="45" customHeight="1" x14ac:dyDescent="0.25">
      <c r="A29" s="30">
        <v>23</v>
      </c>
      <c r="B29" s="100" t="s">
        <v>42</v>
      </c>
      <c r="C29" s="31">
        <v>1</v>
      </c>
      <c r="D29" s="32" t="s">
        <v>74</v>
      </c>
      <c r="E29" s="31">
        <f t="shared" si="0"/>
        <v>54</v>
      </c>
      <c r="F29" s="127">
        <v>34.799999999999997</v>
      </c>
      <c r="G29" s="31" t="s">
        <v>226</v>
      </c>
      <c r="H29" s="31" t="s">
        <v>226</v>
      </c>
      <c r="I29" s="31" t="s">
        <v>226</v>
      </c>
      <c r="J29" s="31" t="s">
        <v>226</v>
      </c>
      <c r="K29" s="31" t="s">
        <v>226</v>
      </c>
      <c r="L29" s="31" t="s">
        <v>226</v>
      </c>
      <c r="M29" s="31" t="s">
        <v>226</v>
      </c>
      <c r="N29" s="31" t="s">
        <v>226</v>
      </c>
      <c r="O29" s="31" t="s">
        <v>226</v>
      </c>
      <c r="P29" s="31" t="s">
        <v>226</v>
      </c>
      <c r="Q29" s="31" t="s">
        <v>226</v>
      </c>
      <c r="R29" s="31" t="s">
        <v>226</v>
      </c>
      <c r="S29" s="31" t="s">
        <v>226</v>
      </c>
      <c r="T29" s="31" t="s">
        <v>226</v>
      </c>
      <c r="U29" s="31" t="s">
        <v>226</v>
      </c>
      <c r="V29" s="31" t="s">
        <v>226</v>
      </c>
      <c r="W29" s="31" t="s">
        <v>226</v>
      </c>
      <c r="X29" s="31" t="s">
        <v>226</v>
      </c>
      <c r="Y29" s="31" t="s">
        <v>226</v>
      </c>
      <c r="Z29" s="31" t="s">
        <v>226</v>
      </c>
      <c r="AA29" s="31" t="s">
        <v>226</v>
      </c>
      <c r="AB29" s="31" t="s">
        <v>226</v>
      </c>
      <c r="AC29" s="31" t="s">
        <v>226</v>
      </c>
      <c r="AD29" s="31" t="s">
        <v>226</v>
      </c>
      <c r="AE29" s="31" t="s">
        <v>226</v>
      </c>
      <c r="AF29" s="31" t="s">
        <v>226</v>
      </c>
      <c r="AG29" s="31" t="s">
        <v>226</v>
      </c>
      <c r="AH29" s="31" t="s">
        <v>226</v>
      </c>
      <c r="AI29" s="31" t="s">
        <v>226</v>
      </c>
      <c r="AJ29" s="31" t="s">
        <v>226</v>
      </c>
      <c r="AK29" s="31" t="s">
        <v>226</v>
      </c>
      <c r="AL29" s="31" t="s">
        <v>226</v>
      </c>
      <c r="AM29" s="31"/>
      <c r="AN29" s="31"/>
      <c r="AO29" s="96">
        <v>35.799999999999997</v>
      </c>
      <c r="AP29" s="33">
        <f t="shared" si="1"/>
        <v>0.66296296296296287</v>
      </c>
      <c r="AQ29" s="34">
        <f t="shared" si="2"/>
        <v>35.799999999999997</v>
      </c>
      <c r="AR29" s="35"/>
      <c r="AS29" s="36">
        <f t="shared" si="3"/>
        <v>0.66296296296296287</v>
      </c>
      <c r="AT29" s="36">
        <f t="shared" si="3"/>
        <v>35.799999999999997</v>
      </c>
      <c r="AU29" s="36">
        <f t="shared" si="4"/>
        <v>0.72262962962962962</v>
      </c>
      <c r="AV29" s="36">
        <f t="shared" si="5"/>
        <v>39.021999999999998</v>
      </c>
      <c r="AW29" s="37">
        <v>1</v>
      </c>
      <c r="AX29" s="38">
        <f t="shared" si="6"/>
        <v>54</v>
      </c>
      <c r="AY29" s="38">
        <f>AW29-AU29</f>
        <v>0.27737037037037038</v>
      </c>
      <c r="AZ29" s="38">
        <f t="shared" si="8"/>
        <v>14.978</v>
      </c>
      <c r="BA29" s="39">
        <f t="shared" si="9"/>
        <v>0.27737037037037038</v>
      </c>
      <c r="BB29" s="42"/>
      <c r="BC29" s="119">
        <f t="shared" si="10"/>
        <v>1</v>
      </c>
      <c r="BD29" s="108">
        <v>0.16350000000000001</v>
      </c>
      <c r="BE29" s="120">
        <f t="shared" si="11"/>
        <v>1.1635</v>
      </c>
      <c r="BF29" s="121">
        <f t="shared" si="12"/>
        <v>0.16349999999999998</v>
      </c>
      <c r="BG29" s="121">
        <f t="shared" si="13"/>
        <v>1.35E-2</v>
      </c>
      <c r="BH29" s="122">
        <f t="shared" si="14"/>
        <v>0.16349999999999998</v>
      </c>
      <c r="BI29" s="121">
        <f t="shared" si="15"/>
        <v>1</v>
      </c>
      <c r="BJ29" s="123">
        <f t="shared" si="16"/>
        <v>0.27737037037037038</v>
      </c>
      <c r="BK29" s="124">
        <f t="shared" si="17"/>
        <v>0</v>
      </c>
      <c r="BL29" s="125" t="s">
        <v>226</v>
      </c>
    </row>
    <row r="30" spans="1:64" ht="45" customHeight="1" x14ac:dyDescent="0.25">
      <c r="A30" s="30">
        <v>24</v>
      </c>
      <c r="B30" s="100" t="s">
        <v>152</v>
      </c>
      <c r="C30" s="31">
        <v>1</v>
      </c>
      <c r="D30" s="32" t="s">
        <v>24</v>
      </c>
      <c r="E30" s="31">
        <f t="shared" ref="E30" si="95">D30*C30</f>
        <v>24</v>
      </c>
      <c r="F30" s="31" t="s">
        <v>226</v>
      </c>
      <c r="G30" s="31" t="s">
        <v>226</v>
      </c>
      <c r="H30" s="31" t="s">
        <v>226</v>
      </c>
      <c r="I30" s="31" t="s">
        <v>226</v>
      </c>
      <c r="J30" s="31" t="s">
        <v>226</v>
      </c>
      <c r="K30" s="31" t="s">
        <v>226</v>
      </c>
      <c r="L30" s="31" t="s">
        <v>226</v>
      </c>
      <c r="M30" s="31" t="s">
        <v>226</v>
      </c>
      <c r="N30" s="31" t="s">
        <v>226</v>
      </c>
      <c r="O30" s="31" t="s">
        <v>226</v>
      </c>
      <c r="P30" s="31" t="s">
        <v>226</v>
      </c>
      <c r="Q30" s="31" t="s">
        <v>226</v>
      </c>
      <c r="R30" s="31" t="s">
        <v>226</v>
      </c>
      <c r="S30" s="31" t="s">
        <v>226</v>
      </c>
      <c r="T30" s="31" t="s">
        <v>226</v>
      </c>
      <c r="U30" s="31" t="s">
        <v>226</v>
      </c>
      <c r="V30" s="31" t="s">
        <v>226</v>
      </c>
      <c r="W30" s="31" t="s">
        <v>226</v>
      </c>
      <c r="X30" s="31" t="s">
        <v>226</v>
      </c>
      <c r="Y30" s="31" t="s">
        <v>226</v>
      </c>
      <c r="Z30" s="31" t="s">
        <v>226</v>
      </c>
      <c r="AA30" s="31" t="s">
        <v>226</v>
      </c>
      <c r="AB30" s="31" t="s">
        <v>226</v>
      </c>
      <c r="AC30" s="31" t="s">
        <v>226</v>
      </c>
      <c r="AD30" s="31" t="s">
        <v>226</v>
      </c>
      <c r="AE30" s="31" t="s">
        <v>226</v>
      </c>
      <c r="AF30" s="31" t="s">
        <v>226</v>
      </c>
      <c r="AG30" s="31" t="s">
        <v>226</v>
      </c>
      <c r="AH30" s="31" t="s">
        <v>226</v>
      </c>
      <c r="AI30" s="31" t="s">
        <v>226</v>
      </c>
      <c r="AJ30" s="31" t="s">
        <v>226</v>
      </c>
      <c r="AK30" s="31" t="s">
        <v>226</v>
      </c>
      <c r="AL30" s="31" t="s">
        <v>226</v>
      </c>
      <c r="AM30" s="31"/>
      <c r="AN30" s="31"/>
      <c r="AO30" s="96">
        <v>27</v>
      </c>
      <c r="AP30" s="33">
        <f t="shared" si="1"/>
        <v>1.125</v>
      </c>
      <c r="AQ30" s="34">
        <f t="shared" si="2"/>
        <v>27</v>
      </c>
      <c r="AR30" s="35"/>
      <c r="AS30" s="36">
        <f t="shared" ref="AS30" si="96">AP30/$AZ$2</f>
        <v>1.125</v>
      </c>
      <c r="AT30" s="36">
        <f t="shared" ref="AT30" si="97">AQ30/$AZ$2</f>
        <v>27</v>
      </c>
      <c r="AU30" s="36">
        <f t="shared" si="4"/>
        <v>1.2262500000000001</v>
      </c>
      <c r="AV30" s="36">
        <f t="shared" si="5"/>
        <v>29.43</v>
      </c>
      <c r="AW30" s="37">
        <v>1.75</v>
      </c>
      <c r="AX30" s="38">
        <f t="shared" si="6"/>
        <v>42</v>
      </c>
      <c r="AY30" s="38">
        <f t="shared" ref="AY30" si="98">AW30-AU30</f>
        <v>0.52374999999999994</v>
      </c>
      <c r="AZ30" s="38">
        <f t="shared" si="8"/>
        <v>12.569999999999999</v>
      </c>
      <c r="BA30" s="39">
        <f t="shared" ref="BA30" si="99">AY30/AW30</f>
        <v>0.29928571428571427</v>
      </c>
      <c r="BB30" s="42"/>
      <c r="BC30" s="119">
        <f t="shared" si="10"/>
        <v>1.75</v>
      </c>
      <c r="BD30" s="108">
        <v>0.16350000000000001</v>
      </c>
      <c r="BE30" s="120">
        <f t="shared" si="11"/>
        <v>2.0361250000000002</v>
      </c>
      <c r="BF30" s="121">
        <f t="shared" si="12"/>
        <v>0.28612500000000018</v>
      </c>
      <c r="BG30" s="121">
        <f t="shared" si="13"/>
        <v>2.3625000000000018E-2</v>
      </c>
      <c r="BH30" s="122">
        <f t="shared" si="14"/>
        <v>0.28612500000000018</v>
      </c>
      <c r="BI30" s="121">
        <f t="shared" si="15"/>
        <v>1.75</v>
      </c>
      <c r="BJ30" s="123">
        <f t="shared" si="16"/>
        <v>0.29928571428571427</v>
      </c>
      <c r="BK30" s="124">
        <f t="shared" si="17"/>
        <v>0</v>
      </c>
      <c r="BL30" s="125" t="s">
        <v>226</v>
      </c>
    </row>
    <row r="31" spans="1:64" ht="45" customHeight="1" x14ac:dyDescent="0.25">
      <c r="A31" s="30">
        <v>25</v>
      </c>
      <c r="B31" s="100" t="s">
        <v>153</v>
      </c>
      <c r="C31" s="31">
        <v>1</v>
      </c>
      <c r="D31" s="32" t="s">
        <v>24</v>
      </c>
      <c r="E31" s="31">
        <f t="shared" ref="E31:E32" si="100">D31*C31</f>
        <v>24</v>
      </c>
      <c r="F31" s="127" t="s">
        <v>226</v>
      </c>
      <c r="G31" s="31" t="s">
        <v>226</v>
      </c>
      <c r="H31" s="31" t="s">
        <v>226</v>
      </c>
      <c r="I31" s="31" t="s">
        <v>226</v>
      </c>
      <c r="J31" s="31" t="s">
        <v>226</v>
      </c>
      <c r="K31" s="31" t="s">
        <v>226</v>
      </c>
      <c r="L31" s="31" t="s">
        <v>226</v>
      </c>
      <c r="M31" s="31" t="s">
        <v>226</v>
      </c>
      <c r="N31" s="31" t="s">
        <v>226</v>
      </c>
      <c r="O31" s="31" t="s">
        <v>226</v>
      </c>
      <c r="P31" s="31" t="s">
        <v>226</v>
      </c>
      <c r="Q31" s="31" t="s">
        <v>226</v>
      </c>
      <c r="R31" s="31" t="s">
        <v>226</v>
      </c>
      <c r="S31" s="31" t="s">
        <v>226</v>
      </c>
      <c r="T31" s="31" t="s">
        <v>226</v>
      </c>
      <c r="U31" s="31" t="s">
        <v>226</v>
      </c>
      <c r="V31" s="31" t="s">
        <v>226</v>
      </c>
      <c r="W31" s="31" t="s">
        <v>226</v>
      </c>
      <c r="X31" s="31" t="s">
        <v>226</v>
      </c>
      <c r="Y31" s="31" t="s">
        <v>226</v>
      </c>
      <c r="Z31" s="31"/>
      <c r="AA31" s="31" t="s">
        <v>226</v>
      </c>
      <c r="AB31" s="31" t="s">
        <v>226</v>
      </c>
      <c r="AC31" s="31" t="s">
        <v>226</v>
      </c>
      <c r="AD31" s="31" t="s">
        <v>226</v>
      </c>
      <c r="AE31" s="31" t="s">
        <v>226</v>
      </c>
      <c r="AF31" s="31" t="s">
        <v>226</v>
      </c>
      <c r="AG31" s="31" t="s">
        <v>226</v>
      </c>
      <c r="AH31" s="31" t="s">
        <v>226</v>
      </c>
      <c r="AI31" s="31" t="s">
        <v>226</v>
      </c>
      <c r="AJ31" s="31" t="s">
        <v>226</v>
      </c>
      <c r="AK31" s="31" t="s">
        <v>226</v>
      </c>
      <c r="AL31" s="31" t="s">
        <v>226</v>
      </c>
      <c r="AM31" s="127">
        <v>32.799999999999997</v>
      </c>
      <c r="AN31" s="31"/>
      <c r="AO31" s="96">
        <v>32.799999999999997</v>
      </c>
      <c r="AP31" s="33">
        <f t="shared" si="1"/>
        <v>1.3666666666666665</v>
      </c>
      <c r="AQ31" s="34">
        <f t="shared" si="2"/>
        <v>32.799999999999997</v>
      </c>
      <c r="AR31" s="35"/>
      <c r="AS31" s="36">
        <f t="shared" ref="AS31:AS32" si="101">AP31/$AZ$2</f>
        <v>1.3666666666666665</v>
      </c>
      <c r="AT31" s="36">
        <f t="shared" ref="AT31:AT32" si="102">AQ31/$AZ$2</f>
        <v>32.799999999999997</v>
      </c>
      <c r="AU31" s="36">
        <f t="shared" si="4"/>
        <v>1.4896666666666665</v>
      </c>
      <c r="AV31" s="36">
        <f t="shared" si="5"/>
        <v>35.751999999999995</v>
      </c>
      <c r="AW31" s="37">
        <v>1.75</v>
      </c>
      <c r="AX31" s="38">
        <f t="shared" si="6"/>
        <v>42</v>
      </c>
      <c r="AY31" s="38">
        <f t="shared" ref="AY31:AY32" si="103">AW31-AU31</f>
        <v>0.26033333333333353</v>
      </c>
      <c r="AZ31" s="38">
        <f t="shared" si="8"/>
        <v>6.2480000000000047</v>
      </c>
      <c r="BA31" s="39">
        <f t="shared" ref="BA31:BA32" si="104">AY31/AW31</f>
        <v>0.14876190476190487</v>
      </c>
      <c r="BB31" s="42"/>
      <c r="BC31" s="119">
        <f t="shared" si="10"/>
        <v>1.75</v>
      </c>
      <c r="BD31" s="108">
        <v>0.16350000000000001</v>
      </c>
      <c r="BE31" s="120">
        <f t="shared" si="11"/>
        <v>2.0361250000000002</v>
      </c>
      <c r="BF31" s="121">
        <f t="shared" si="12"/>
        <v>0.28612500000000018</v>
      </c>
      <c r="BG31" s="121">
        <f t="shared" si="13"/>
        <v>2.3625000000000018E-2</v>
      </c>
      <c r="BH31" s="122">
        <f t="shared" si="14"/>
        <v>0.28612500000000018</v>
      </c>
      <c r="BI31" s="121">
        <f t="shared" si="15"/>
        <v>1.75</v>
      </c>
      <c r="BJ31" s="123">
        <f t="shared" si="16"/>
        <v>0.14876190476190487</v>
      </c>
      <c r="BK31" s="124">
        <f t="shared" si="17"/>
        <v>0</v>
      </c>
      <c r="BL31" s="125" t="s">
        <v>226</v>
      </c>
    </row>
    <row r="32" spans="1:64" ht="45" customHeight="1" x14ac:dyDescent="0.25">
      <c r="A32" s="30">
        <v>26</v>
      </c>
      <c r="B32" s="101" t="s">
        <v>219</v>
      </c>
      <c r="C32" s="31">
        <v>1</v>
      </c>
      <c r="D32" s="32" t="s">
        <v>74</v>
      </c>
      <c r="E32" s="31">
        <f t="shared" si="100"/>
        <v>54</v>
      </c>
      <c r="F32" s="127">
        <v>34.799999999999997</v>
      </c>
      <c r="G32" s="31" t="s">
        <v>226</v>
      </c>
      <c r="H32" s="31" t="s">
        <v>226</v>
      </c>
      <c r="I32" s="31" t="s">
        <v>226</v>
      </c>
      <c r="J32" s="31" t="s">
        <v>226</v>
      </c>
      <c r="K32" s="31" t="s">
        <v>226</v>
      </c>
      <c r="L32" s="31" t="s">
        <v>226</v>
      </c>
      <c r="M32" s="31" t="s">
        <v>226</v>
      </c>
      <c r="N32" s="31" t="s">
        <v>226</v>
      </c>
      <c r="O32" s="31" t="s">
        <v>226</v>
      </c>
      <c r="P32" s="31" t="s">
        <v>226</v>
      </c>
      <c r="Q32" s="31" t="s">
        <v>226</v>
      </c>
      <c r="R32" s="31" t="s">
        <v>226</v>
      </c>
      <c r="S32" s="31" t="s">
        <v>226</v>
      </c>
      <c r="T32" s="31" t="s">
        <v>226</v>
      </c>
      <c r="U32" s="31" t="s">
        <v>226</v>
      </c>
      <c r="V32" s="31" t="s">
        <v>226</v>
      </c>
      <c r="W32" s="31" t="s">
        <v>226</v>
      </c>
      <c r="X32" s="31" t="s">
        <v>226</v>
      </c>
      <c r="Y32" s="31" t="s">
        <v>226</v>
      </c>
      <c r="Z32" s="31" t="s">
        <v>226</v>
      </c>
      <c r="AA32" s="31" t="s">
        <v>226</v>
      </c>
      <c r="AB32" s="31" t="s">
        <v>226</v>
      </c>
      <c r="AC32" s="31" t="s">
        <v>226</v>
      </c>
      <c r="AD32" s="31" t="s">
        <v>226</v>
      </c>
      <c r="AE32" s="31" t="s">
        <v>226</v>
      </c>
      <c r="AF32" s="31" t="s">
        <v>226</v>
      </c>
      <c r="AG32" s="31" t="s">
        <v>226</v>
      </c>
      <c r="AH32" s="31" t="s">
        <v>226</v>
      </c>
      <c r="AI32" s="31" t="s">
        <v>226</v>
      </c>
      <c r="AJ32" s="31" t="s">
        <v>226</v>
      </c>
      <c r="AK32" s="31" t="s">
        <v>226</v>
      </c>
      <c r="AL32" s="31" t="s">
        <v>226</v>
      </c>
      <c r="AM32" s="31"/>
      <c r="AN32" s="31"/>
      <c r="AO32" s="96">
        <v>35.799999999999997</v>
      </c>
      <c r="AP32" s="33">
        <f t="shared" si="1"/>
        <v>0.66296296296296287</v>
      </c>
      <c r="AQ32" s="34">
        <f t="shared" si="2"/>
        <v>35.799999999999997</v>
      </c>
      <c r="AR32" s="35"/>
      <c r="AS32" s="36">
        <f t="shared" si="101"/>
        <v>0.66296296296296287</v>
      </c>
      <c r="AT32" s="36">
        <f t="shared" si="102"/>
        <v>35.799999999999997</v>
      </c>
      <c r="AU32" s="36">
        <f t="shared" si="4"/>
        <v>0.72262962962962962</v>
      </c>
      <c r="AV32" s="36">
        <f t="shared" si="5"/>
        <v>39.021999999999998</v>
      </c>
      <c r="AW32" s="37">
        <v>1</v>
      </c>
      <c r="AX32" s="38">
        <f t="shared" si="6"/>
        <v>54</v>
      </c>
      <c r="AY32" s="38">
        <f t="shared" si="103"/>
        <v>0.27737037037037038</v>
      </c>
      <c r="AZ32" s="38">
        <f t="shared" si="8"/>
        <v>14.978</v>
      </c>
      <c r="BA32" s="39">
        <f t="shared" si="104"/>
        <v>0.27737037037037038</v>
      </c>
      <c r="BB32" s="42"/>
      <c r="BC32" s="119">
        <f t="shared" si="10"/>
        <v>1</v>
      </c>
      <c r="BD32" s="108">
        <v>0.16350000000000001</v>
      </c>
      <c r="BE32" s="120">
        <f t="shared" si="11"/>
        <v>1.1635</v>
      </c>
      <c r="BF32" s="121">
        <f t="shared" si="12"/>
        <v>0.16349999999999998</v>
      </c>
      <c r="BG32" s="121">
        <f t="shared" si="13"/>
        <v>1.35E-2</v>
      </c>
      <c r="BH32" s="122">
        <f t="shared" si="14"/>
        <v>0.16349999999999998</v>
      </c>
      <c r="BI32" s="121">
        <f t="shared" si="15"/>
        <v>1</v>
      </c>
      <c r="BJ32" s="123">
        <f t="shared" si="16"/>
        <v>0.27737037037037038</v>
      </c>
      <c r="BK32" s="124">
        <f t="shared" si="17"/>
        <v>0</v>
      </c>
      <c r="BL32" s="125" t="s">
        <v>226</v>
      </c>
    </row>
    <row r="33" spans="1:64" ht="45" customHeight="1" x14ac:dyDescent="0.25">
      <c r="A33" s="30">
        <v>27</v>
      </c>
      <c r="B33" s="101" t="s">
        <v>43</v>
      </c>
      <c r="C33" s="31">
        <v>1</v>
      </c>
      <c r="D33" s="32" t="s">
        <v>74</v>
      </c>
      <c r="E33" s="31">
        <f t="shared" si="0"/>
        <v>54</v>
      </c>
      <c r="F33" s="127">
        <v>34.799999999999997</v>
      </c>
      <c r="G33" s="31" t="s">
        <v>226</v>
      </c>
      <c r="H33" s="31" t="s">
        <v>226</v>
      </c>
      <c r="I33" s="31" t="s">
        <v>226</v>
      </c>
      <c r="J33" s="31" t="s">
        <v>226</v>
      </c>
      <c r="K33" s="31" t="s">
        <v>226</v>
      </c>
      <c r="L33" s="31" t="s">
        <v>226</v>
      </c>
      <c r="M33" s="31" t="s">
        <v>226</v>
      </c>
      <c r="N33" s="31" t="s">
        <v>226</v>
      </c>
      <c r="O33" s="31" t="s">
        <v>226</v>
      </c>
      <c r="P33" s="31" t="s">
        <v>226</v>
      </c>
      <c r="Q33" s="31" t="s">
        <v>226</v>
      </c>
      <c r="R33" s="31" t="s">
        <v>226</v>
      </c>
      <c r="S33" s="31" t="s">
        <v>226</v>
      </c>
      <c r="T33" s="31" t="s">
        <v>226</v>
      </c>
      <c r="U33" s="31" t="s">
        <v>226</v>
      </c>
      <c r="V33" s="31" t="s">
        <v>226</v>
      </c>
      <c r="W33" s="31" t="s">
        <v>226</v>
      </c>
      <c r="X33" s="31" t="s">
        <v>226</v>
      </c>
      <c r="Y33" s="31" t="s">
        <v>226</v>
      </c>
      <c r="Z33" s="31" t="s">
        <v>226</v>
      </c>
      <c r="AA33" s="31" t="s">
        <v>226</v>
      </c>
      <c r="AB33" s="31" t="s">
        <v>226</v>
      </c>
      <c r="AC33" s="31" t="s">
        <v>226</v>
      </c>
      <c r="AD33" s="31" t="s">
        <v>226</v>
      </c>
      <c r="AE33" s="31" t="s">
        <v>226</v>
      </c>
      <c r="AF33" s="31" t="s">
        <v>226</v>
      </c>
      <c r="AG33" s="31" t="s">
        <v>226</v>
      </c>
      <c r="AH33" s="31" t="s">
        <v>226</v>
      </c>
      <c r="AI33" s="31" t="s">
        <v>226</v>
      </c>
      <c r="AJ33" s="31" t="s">
        <v>226</v>
      </c>
      <c r="AK33" s="31" t="s">
        <v>226</v>
      </c>
      <c r="AL33" s="31" t="s">
        <v>226</v>
      </c>
      <c r="AM33" s="31"/>
      <c r="AN33" s="31"/>
      <c r="AO33" s="96">
        <v>35.799999999999997</v>
      </c>
      <c r="AP33" s="33">
        <f t="shared" si="1"/>
        <v>0.66296296296296287</v>
      </c>
      <c r="AQ33" s="34">
        <f t="shared" si="2"/>
        <v>35.799999999999997</v>
      </c>
      <c r="AR33" s="35"/>
      <c r="AS33" s="36">
        <f t="shared" si="3"/>
        <v>0.66296296296296287</v>
      </c>
      <c r="AT33" s="36">
        <f t="shared" si="3"/>
        <v>35.799999999999997</v>
      </c>
      <c r="AU33" s="36">
        <f t="shared" si="4"/>
        <v>0.72262962962962962</v>
      </c>
      <c r="AV33" s="36">
        <f t="shared" si="5"/>
        <v>39.021999999999998</v>
      </c>
      <c r="AW33" s="37">
        <v>1</v>
      </c>
      <c r="AX33" s="38">
        <f t="shared" si="6"/>
        <v>54</v>
      </c>
      <c r="AY33" s="38">
        <f t="shared" si="7"/>
        <v>0.27737037037037038</v>
      </c>
      <c r="AZ33" s="38">
        <f t="shared" si="8"/>
        <v>14.978</v>
      </c>
      <c r="BA33" s="39">
        <f t="shared" si="9"/>
        <v>0.27737037037037038</v>
      </c>
      <c r="BB33" s="42"/>
      <c r="BC33" s="119">
        <f t="shared" si="10"/>
        <v>1</v>
      </c>
      <c r="BD33" s="108">
        <v>0.16350000000000001</v>
      </c>
      <c r="BE33" s="120">
        <f t="shared" si="11"/>
        <v>1.1635</v>
      </c>
      <c r="BF33" s="121">
        <f t="shared" si="12"/>
        <v>0.16349999999999998</v>
      </c>
      <c r="BG33" s="121">
        <f t="shared" si="13"/>
        <v>1.35E-2</v>
      </c>
      <c r="BH33" s="122">
        <f t="shared" si="14"/>
        <v>0.16349999999999998</v>
      </c>
      <c r="BI33" s="121">
        <f t="shared" si="15"/>
        <v>1</v>
      </c>
      <c r="BJ33" s="123">
        <f t="shared" si="16"/>
        <v>0.27737037037037038</v>
      </c>
      <c r="BK33" s="124">
        <f t="shared" si="17"/>
        <v>0</v>
      </c>
      <c r="BL33" s="125" t="s">
        <v>226</v>
      </c>
    </row>
    <row r="34" spans="1:64" ht="45" customHeight="1" x14ac:dyDescent="0.25">
      <c r="A34" s="30">
        <v>28</v>
      </c>
      <c r="B34" s="101" t="s">
        <v>158</v>
      </c>
      <c r="C34" s="31">
        <v>1</v>
      </c>
      <c r="D34" s="32" t="s">
        <v>73</v>
      </c>
      <c r="E34" s="31">
        <f t="shared" ref="E34:E35" si="105">D34*C34</f>
        <v>12</v>
      </c>
      <c r="F34" s="31" t="s">
        <v>226</v>
      </c>
      <c r="G34" s="31" t="s">
        <v>226</v>
      </c>
      <c r="H34" s="31" t="s">
        <v>226</v>
      </c>
      <c r="I34" s="31" t="s">
        <v>226</v>
      </c>
      <c r="J34" s="31" t="s">
        <v>226</v>
      </c>
      <c r="K34" s="31" t="s">
        <v>226</v>
      </c>
      <c r="L34" s="31" t="s">
        <v>226</v>
      </c>
      <c r="M34" s="31" t="s">
        <v>226</v>
      </c>
      <c r="N34" s="31" t="s">
        <v>226</v>
      </c>
      <c r="O34" s="31" t="s">
        <v>226</v>
      </c>
      <c r="P34" s="31" t="s">
        <v>226</v>
      </c>
      <c r="Q34" s="31" t="s">
        <v>226</v>
      </c>
      <c r="R34" s="31" t="s">
        <v>226</v>
      </c>
      <c r="S34" s="31" t="s">
        <v>226</v>
      </c>
      <c r="T34" s="31" t="s">
        <v>226</v>
      </c>
      <c r="U34" s="31" t="s">
        <v>226</v>
      </c>
      <c r="V34" s="31" t="s">
        <v>226</v>
      </c>
      <c r="W34" s="31" t="s">
        <v>226</v>
      </c>
      <c r="X34" s="31" t="s">
        <v>226</v>
      </c>
      <c r="Y34" s="31" t="s">
        <v>226</v>
      </c>
      <c r="Z34" s="31" t="s">
        <v>226</v>
      </c>
      <c r="AA34" s="31" t="s">
        <v>226</v>
      </c>
      <c r="AB34" s="31" t="s">
        <v>226</v>
      </c>
      <c r="AC34" s="31" t="s">
        <v>226</v>
      </c>
      <c r="AD34" s="31" t="s">
        <v>226</v>
      </c>
      <c r="AE34" s="31" t="s">
        <v>226</v>
      </c>
      <c r="AF34" s="31" t="s">
        <v>226</v>
      </c>
      <c r="AG34" s="31" t="s">
        <v>226</v>
      </c>
      <c r="AH34" s="31" t="s">
        <v>226</v>
      </c>
      <c r="AI34" s="31" t="s">
        <v>226</v>
      </c>
      <c r="AJ34" s="31" t="s">
        <v>226</v>
      </c>
      <c r="AK34" s="31" t="s">
        <v>226</v>
      </c>
      <c r="AL34" s="31" t="s">
        <v>226</v>
      </c>
      <c r="AM34" s="31"/>
      <c r="AN34" s="31"/>
      <c r="AO34" s="96">
        <v>16.5</v>
      </c>
      <c r="AP34" s="33">
        <f t="shared" si="1"/>
        <v>1.375</v>
      </c>
      <c r="AQ34" s="34">
        <f t="shared" si="2"/>
        <v>16.5</v>
      </c>
      <c r="AR34" s="35"/>
      <c r="AS34" s="36">
        <f t="shared" ref="AS34:AS35" si="106">AP34/$AZ$2</f>
        <v>1.375</v>
      </c>
      <c r="AT34" s="36">
        <f t="shared" ref="AT34:AT35" si="107">AQ34/$AZ$2</f>
        <v>16.5</v>
      </c>
      <c r="AU34" s="36">
        <f t="shared" si="4"/>
        <v>1.49875</v>
      </c>
      <c r="AV34" s="36">
        <f t="shared" si="5"/>
        <v>17.984999999999999</v>
      </c>
      <c r="AW34" s="37">
        <v>2.5</v>
      </c>
      <c r="AX34" s="38">
        <f t="shared" si="6"/>
        <v>30</v>
      </c>
      <c r="AY34" s="38">
        <f t="shared" ref="AY34:AY35" si="108">AW34-AU34</f>
        <v>1.00125</v>
      </c>
      <c r="AZ34" s="38">
        <f t="shared" si="8"/>
        <v>12.015000000000001</v>
      </c>
      <c r="BA34" s="39">
        <f t="shared" ref="BA34:BA35" si="109">AY34/AW34</f>
        <v>0.40049999999999997</v>
      </c>
      <c r="BB34" s="42"/>
      <c r="BC34" s="119">
        <f t="shared" si="10"/>
        <v>2.5</v>
      </c>
      <c r="BD34" s="108">
        <v>0.16350000000000001</v>
      </c>
      <c r="BE34" s="120">
        <f t="shared" si="11"/>
        <v>2.9087499999999999</v>
      </c>
      <c r="BF34" s="121">
        <f t="shared" si="12"/>
        <v>0.40874999999999995</v>
      </c>
      <c r="BG34" s="121">
        <f t="shared" si="13"/>
        <v>3.3749999999999995E-2</v>
      </c>
      <c r="BH34" s="122">
        <f t="shared" si="14"/>
        <v>0.40874999999999995</v>
      </c>
      <c r="BI34" s="121">
        <f t="shared" si="15"/>
        <v>2.5</v>
      </c>
      <c r="BJ34" s="123">
        <f t="shared" si="16"/>
        <v>0.40049999999999997</v>
      </c>
      <c r="BK34" s="124">
        <f t="shared" si="17"/>
        <v>0</v>
      </c>
      <c r="BL34" s="125" t="s">
        <v>226</v>
      </c>
    </row>
    <row r="35" spans="1:64" ht="45" customHeight="1" x14ac:dyDescent="0.25">
      <c r="A35" s="30">
        <v>29</v>
      </c>
      <c r="B35" s="101" t="s">
        <v>159</v>
      </c>
      <c r="C35" s="31">
        <v>1</v>
      </c>
      <c r="D35" s="32" t="s">
        <v>73</v>
      </c>
      <c r="E35" s="31">
        <f t="shared" si="105"/>
        <v>12</v>
      </c>
      <c r="F35" s="31" t="s">
        <v>226</v>
      </c>
      <c r="G35" s="31" t="s">
        <v>226</v>
      </c>
      <c r="H35" s="31" t="s">
        <v>226</v>
      </c>
      <c r="I35" s="31" t="s">
        <v>226</v>
      </c>
      <c r="J35" s="31" t="s">
        <v>226</v>
      </c>
      <c r="K35" s="31" t="s">
        <v>226</v>
      </c>
      <c r="L35" s="31" t="s">
        <v>226</v>
      </c>
      <c r="M35" s="31" t="s">
        <v>226</v>
      </c>
      <c r="N35" s="31" t="s">
        <v>226</v>
      </c>
      <c r="O35" s="31" t="s">
        <v>226</v>
      </c>
      <c r="P35" s="31" t="s">
        <v>226</v>
      </c>
      <c r="Q35" s="31" t="s">
        <v>226</v>
      </c>
      <c r="R35" s="31" t="s">
        <v>226</v>
      </c>
      <c r="S35" s="31" t="s">
        <v>226</v>
      </c>
      <c r="T35" s="31" t="s">
        <v>226</v>
      </c>
      <c r="U35" s="31" t="s">
        <v>226</v>
      </c>
      <c r="V35" s="31" t="s">
        <v>226</v>
      </c>
      <c r="W35" s="31" t="s">
        <v>226</v>
      </c>
      <c r="X35" s="31" t="s">
        <v>226</v>
      </c>
      <c r="Y35" s="31" t="s">
        <v>226</v>
      </c>
      <c r="Z35" s="31" t="s">
        <v>226</v>
      </c>
      <c r="AA35" s="31" t="s">
        <v>226</v>
      </c>
      <c r="AB35" s="31" t="s">
        <v>226</v>
      </c>
      <c r="AC35" s="31" t="s">
        <v>226</v>
      </c>
      <c r="AD35" s="31" t="s">
        <v>226</v>
      </c>
      <c r="AE35" s="31" t="s">
        <v>226</v>
      </c>
      <c r="AF35" s="31" t="s">
        <v>226</v>
      </c>
      <c r="AG35" s="31" t="s">
        <v>226</v>
      </c>
      <c r="AH35" s="31" t="s">
        <v>226</v>
      </c>
      <c r="AI35" s="31" t="s">
        <v>226</v>
      </c>
      <c r="AJ35" s="31" t="s">
        <v>226</v>
      </c>
      <c r="AK35" s="31" t="s">
        <v>226</v>
      </c>
      <c r="AL35" s="31" t="s">
        <v>226</v>
      </c>
      <c r="AM35" s="31"/>
      <c r="AN35" s="31"/>
      <c r="AO35" s="96">
        <v>16.5</v>
      </c>
      <c r="AP35" s="33">
        <f t="shared" si="1"/>
        <v>1.375</v>
      </c>
      <c r="AQ35" s="34">
        <f t="shared" si="2"/>
        <v>16.5</v>
      </c>
      <c r="AR35" s="35"/>
      <c r="AS35" s="36">
        <f t="shared" si="106"/>
        <v>1.375</v>
      </c>
      <c r="AT35" s="36">
        <f t="shared" si="107"/>
        <v>16.5</v>
      </c>
      <c r="AU35" s="36">
        <f t="shared" si="4"/>
        <v>1.49875</v>
      </c>
      <c r="AV35" s="36">
        <f t="shared" si="5"/>
        <v>17.984999999999999</v>
      </c>
      <c r="AW35" s="37">
        <v>2.5</v>
      </c>
      <c r="AX35" s="38">
        <f t="shared" si="6"/>
        <v>30</v>
      </c>
      <c r="AY35" s="38">
        <f t="shared" si="108"/>
        <v>1.00125</v>
      </c>
      <c r="AZ35" s="38">
        <f t="shared" si="8"/>
        <v>12.015000000000001</v>
      </c>
      <c r="BA35" s="39">
        <f t="shared" si="109"/>
        <v>0.40049999999999997</v>
      </c>
      <c r="BB35" s="42"/>
      <c r="BC35" s="119">
        <f t="shared" si="10"/>
        <v>2.5</v>
      </c>
      <c r="BD35" s="108">
        <v>0.16350000000000001</v>
      </c>
      <c r="BE35" s="120">
        <f t="shared" si="11"/>
        <v>2.9087499999999999</v>
      </c>
      <c r="BF35" s="121">
        <f t="shared" si="12"/>
        <v>0.40874999999999995</v>
      </c>
      <c r="BG35" s="121">
        <f t="shared" si="13"/>
        <v>3.3749999999999995E-2</v>
      </c>
      <c r="BH35" s="122">
        <f t="shared" si="14"/>
        <v>0.40874999999999995</v>
      </c>
      <c r="BI35" s="121">
        <f t="shared" si="15"/>
        <v>2.5</v>
      </c>
      <c r="BJ35" s="123">
        <f t="shared" si="16"/>
        <v>0.40049999999999997</v>
      </c>
      <c r="BK35" s="124">
        <f t="shared" si="17"/>
        <v>0</v>
      </c>
      <c r="BL35" s="125" t="s">
        <v>226</v>
      </c>
    </row>
    <row r="36" spans="1:64" ht="45" customHeight="1" x14ac:dyDescent="0.25">
      <c r="A36" s="30">
        <v>30</v>
      </c>
      <c r="B36" s="101" t="s">
        <v>160</v>
      </c>
      <c r="C36" s="31">
        <v>1</v>
      </c>
      <c r="D36" s="32" t="s">
        <v>73</v>
      </c>
      <c r="E36" s="31">
        <f t="shared" ref="E36:E38" si="110">D36*C36</f>
        <v>12</v>
      </c>
      <c r="F36" s="31" t="s">
        <v>226</v>
      </c>
      <c r="G36" s="31" t="s">
        <v>226</v>
      </c>
      <c r="H36" s="31" t="s">
        <v>226</v>
      </c>
      <c r="I36" s="31" t="s">
        <v>226</v>
      </c>
      <c r="J36" s="31" t="s">
        <v>226</v>
      </c>
      <c r="K36" s="31" t="s">
        <v>226</v>
      </c>
      <c r="L36" s="31" t="s">
        <v>226</v>
      </c>
      <c r="M36" s="31" t="s">
        <v>226</v>
      </c>
      <c r="N36" s="31" t="s">
        <v>226</v>
      </c>
      <c r="O36" s="31" t="s">
        <v>226</v>
      </c>
      <c r="P36" s="31" t="s">
        <v>226</v>
      </c>
      <c r="Q36" s="31" t="s">
        <v>226</v>
      </c>
      <c r="R36" s="31" t="s">
        <v>226</v>
      </c>
      <c r="S36" s="31" t="s">
        <v>226</v>
      </c>
      <c r="T36" s="31" t="s">
        <v>226</v>
      </c>
      <c r="U36" s="31" t="s">
        <v>226</v>
      </c>
      <c r="V36" s="31" t="s">
        <v>226</v>
      </c>
      <c r="W36" s="31" t="s">
        <v>226</v>
      </c>
      <c r="X36" s="31" t="s">
        <v>226</v>
      </c>
      <c r="Y36" s="31" t="s">
        <v>226</v>
      </c>
      <c r="Z36" s="31" t="s">
        <v>226</v>
      </c>
      <c r="AA36" s="31" t="s">
        <v>226</v>
      </c>
      <c r="AB36" s="31" t="s">
        <v>226</v>
      </c>
      <c r="AC36" s="130" t="s">
        <v>226</v>
      </c>
      <c r="AD36" s="130" t="s">
        <v>226</v>
      </c>
      <c r="AE36" s="31" t="s">
        <v>226</v>
      </c>
      <c r="AF36" s="31" t="s">
        <v>226</v>
      </c>
      <c r="AG36" s="31" t="s">
        <v>226</v>
      </c>
      <c r="AH36" s="31" t="s">
        <v>226</v>
      </c>
      <c r="AI36" s="31" t="s">
        <v>226</v>
      </c>
      <c r="AJ36" s="31" t="s">
        <v>226</v>
      </c>
      <c r="AK36" s="31" t="s">
        <v>226</v>
      </c>
      <c r="AL36" s="31" t="s">
        <v>226</v>
      </c>
      <c r="AM36" s="31"/>
      <c r="AN36" s="31"/>
      <c r="AO36" s="96">
        <v>16.5</v>
      </c>
      <c r="AP36" s="33">
        <f t="shared" si="1"/>
        <v>1.375</v>
      </c>
      <c r="AQ36" s="34">
        <f t="shared" si="2"/>
        <v>16.5</v>
      </c>
      <c r="AR36" s="35"/>
      <c r="AS36" s="36">
        <f t="shared" ref="AS36:AS38" si="111">AP36/$AZ$2</f>
        <v>1.375</v>
      </c>
      <c r="AT36" s="36">
        <f t="shared" ref="AT36:AT38" si="112">AQ36/$AZ$2</f>
        <v>16.5</v>
      </c>
      <c r="AU36" s="36">
        <f t="shared" si="4"/>
        <v>1.49875</v>
      </c>
      <c r="AV36" s="36">
        <f t="shared" si="5"/>
        <v>17.984999999999999</v>
      </c>
      <c r="AW36" s="37">
        <v>2.5</v>
      </c>
      <c r="AX36" s="38">
        <f t="shared" si="6"/>
        <v>30</v>
      </c>
      <c r="AY36" s="38">
        <f t="shared" ref="AY36:AY38" si="113">AW36-AU36</f>
        <v>1.00125</v>
      </c>
      <c r="AZ36" s="38">
        <f t="shared" si="8"/>
        <v>12.015000000000001</v>
      </c>
      <c r="BA36" s="39">
        <f t="shared" ref="BA36:BA38" si="114">AY36/AW36</f>
        <v>0.40049999999999997</v>
      </c>
      <c r="BB36" s="42"/>
      <c r="BC36" s="119">
        <f t="shared" si="10"/>
        <v>2.5</v>
      </c>
      <c r="BD36" s="108">
        <v>0.16350000000000001</v>
      </c>
      <c r="BE36" s="120">
        <f t="shared" si="11"/>
        <v>2.9087499999999999</v>
      </c>
      <c r="BF36" s="121">
        <f t="shared" si="12"/>
        <v>0.40874999999999995</v>
      </c>
      <c r="BG36" s="121">
        <f t="shared" si="13"/>
        <v>3.3749999999999995E-2</v>
      </c>
      <c r="BH36" s="122">
        <f t="shared" si="14"/>
        <v>0.40874999999999995</v>
      </c>
      <c r="BI36" s="121">
        <f t="shared" si="15"/>
        <v>2.5</v>
      </c>
      <c r="BJ36" s="123">
        <f t="shared" si="16"/>
        <v>0.40049999999999997</v>
      </c>
      <c r="BK36" s="124">
        <f t="shared" si="17"/>
        <v>0</v>
      </c>
      <c r="BL36" s="125" t="s">
        <v>226</v>
      </c>
    </row>
    <row r="37" spans="1:64" ht="45" customHeight="1" x14ac:dyDescent="0.25">
      <c r="A37" s="30">
        <v>31</v>
      </c>
      <c r="B37" s="101" t="s">
        <v>173</v>
      </c>
      <c r="C37" s="31">
        <v>1</v>
      </c>
      <c r="D37" s="32" t="s">
        <v>174</v>
      </c>
      <c r="E37" s="31">
        <f t="shared" si="110"/>
        <v>14</v>
      </c>
      <c r="F37" s="31" t="s">
        <v>226</v>
      </c>
      <c r="G37" s="31" t="s">
        <v>226</v>
      </c>
      <c r="H37" s="31" t="s">
        <v>226</v>
      </c>
      <c r="I37" s="31" t="s">
        <v>226</v>
      </c>
      <c r="J37" s="31" t="s">
        <v>226</v>
      </c>
      <c r="K37" s="31" t="s">
        <v>226</v>
      </c>
      <c r="L37" s="31" t="s">
        <v>226</v>
      </c>
      <c r="M37" s="31" t="s">
        <v>226</v>
      </c>
      <c r="N37" s="31" t="s">
        <v>226</v>
      </c>
      <c r="O37" s="31" t="s">
        <v>226</v>
      </c>
      <c r="P37" s="31" t="s">
        <v>226</v>
      </c>
      <c r="Q37" s="31" t="s">
        <v>226</v>
      </c>
      <c r="R37" s="31" t="s">
        <v>226</v>
      </c>
      <c r="S37" s="31" t="s">
        <v>226</v>
      </c>
      <c r="T37" s="31" t="s">
        <v>226</v>
      </c>
      <c r="U37" s="31" t="s">
        <v>226</v>
      </c>
      <c r="V37" s="31" t="s">
        <v>226</v>
      </c>
      <c r="W37" s="31" t="s">
        <v>226</v>
      </c>
      <c r="X37" s="31" t="s">
        <v>226</v>
      </c>
      <c r="Y37" s="31" t="s">
        <v>226</v>
      </c>
      <c r="Z37" s="31" t="s">
        <v>226</v>
      </c>
      <c r="AA37" s="31" t="s">
        <v>226</v>
      </c>
      <c r="AB37" s="31" t="s">
        <v>226</v>
      </c>
      <c r="AC37" s="31" t="s">
        <v>226</v>
      </c>
      <c r="AD37" s="31" t="s">
        <v>226</v>
      </c>
      <c r="AE37" s="31" t="s">
        <v>226</v>
      </c>
      <c r="AF37" s="31" t="s">
        <v>226</v>
      </c>
      <c r="AG37" s="31" t="s">
        <v>226</v>
      </c>
      <c r="AH37" s="31" t="s">
        <v>226</v>
      </c>
      <c r="AI37" s="31" t="s">
        <v>226</v>
      </c>
      <c r="AJ37" s="31" t="s">
        <v>226</v>
      </c>
      <c r="AK37" s="31" t="s">
        <v>226</v>
      </c>
      <c r="AL37" s="31" t="s">
        <v>226</v>
      </c>
      <c r="AM37" s="31"/>
      <c r="AN37" s="31"/>
      <c r="AO37" s="96">
        <v>16.5</v>
      </c>
      <c r="AP37" s="33">
        <f t="shared" si="1"/>
        <v>1.1785714285714286</v>
      </c>
      <c r="AQ37" s="34">
        <f t="shared" si="2"/>
        <v>16.5</v>
      </c>
      <c r="AR37" s="35"/>
      <c r="AS37" s="36">
        <f t="shared" si="111"/>
        <v>1.1785714285714286</v>
      </c>
      <c r="AT37" s="36">
        <f t="shared" si="112"/>
        <v>16.5</v>
      </c>
      <c r="AU37" s="36">
        <f t="shared" si="4"/>
        <v>1.2846428571428572</v>
      </c>
      <c r="AV37" s="36">
        <f t="shared" si="5"/>
        <v>17.984999999999999</v>
      </c>
      <c r="AW37" s="37"/>
      <c r="AX37" s="38">
        <f t="shared" si="6"/>
        <v>0</v>
      </c>
      <c r="AY37" s="38">
        <f t="shared" si="113"/>
        <v>-1.2846428571428572</v>
      </c>
      <c r="AZ37" s="38">
        <f t="shared" si="8"/>
        <v>-17.984999999999999</v>
      </c>
      <c r="BA37" s="39" t="e">
        <f t="shared" si="114"/>
        <v>#DIV/0!</v>
      </c>
      <c r="BB37" s="42"/>
      <c r="BC37" s="119">
        <f t="shared" si="10"/>
        <v>0</v>
      </c>
      <c r="BD37" s="108">
        <v>0.16350000000000001</v>
      </c>
      <c r="BE37" s="120">
        <f t="shared" si="11"/>
        <v>0</v>
      </c>
      <c r="BF37" s="121">
        <f t="shared" si="12"/>
        <v>0</v>
      </c>
      <c r="BG37" s="121">
        <f t="shared" si="13"/>
        <v>0</v>
      </c>
      <c r="BH37" s="122">
        <f t="shared" si="14"/>
        <v>0</v>
      </c>
      <c r="BI37" s="121">
        <f t="shared" si="15"/>
        <v>0</v>
      </c>
      <c r="BJ37" s="123" t="e">
        <f t="shared" si="16"/>
        <v>#DIV/0!</v>
      </c>
      <c r="BK37" s="124" t="e">
        <f t="shared" si="17"/>
        <v>#DIV/0!</v>
      </c>
      <c r="BL37" s="125" t="s">
        <v>226</v>
      </c>
    </row>
    <row r="38" spans="1:64" ht="45" customHeight="1" x14ac:dyDescent="0.25">
      <c r="A38" s="30">
        <v>32</v>
      </c>
      <c r="B38" s="101" t="s">
        <v>217</v>
      </c>
      <c r="C38" s="31">
        <v>1</v>
      </c>
      <c r="D38" s="32" t="s">
        <v>73</v>
      </c>
      <c r="E38" s="31">
        <f t="shared" si="110"/>
        <v>12</v>
      </c>
      <c r="F38" s="31" t="s">
        <v>226</v>
      </c>
      <c r="G38" s="31" t="s">
        <v>226</v>
      </c>
      <c r="H38" s="31" t="s">
        <v>226</v>
      </c>
      <c r="I38" s="31" t="s">
        <v>226</v>
      </c>
      <c r="J38" s="31" t="s">
        <v>226</v>
      </c>
      <c r="K38" s="31" t="s">
        <v>226</v>
      </c>
      <c r="L38" s="31" t="s">
        <v>226</v>
      </c>
      <c r="M38" s="31" t="s">
        <v>226</v>
      </c>
      <c r="N38" s="31" t="s">
        <v>226</v>
      </c>
      <c r="O38" s="31" t="s">
        <v>226</v>
      </c>
      <c r="P38" s="31" t="s">
        <v>226</v>
      </c>
      <c r="Q38" s="31" t="s">
        <v>226</v>
      </c>
      <c r="R38" s="31" t="s">
        <v>226</v>
      </c>
      <c r="S38" s="31" t="s">
        <v>226</v>
      </c>
      <c r="T38" s="31" t="s">
        <v>226</v>
      </c>
      <c r="U38" s="31" t="s">
        <v>226</v>
      </c>
      <c r="V38" s="31" t="s">
        <v>226</v>
      </c>
      <c r="W38" s="31" t="s">
        <v>226</v>
      </c>
      <c r="X38" s="31" t="s">
        <v>226</v>
      </c>
      <c r="Y38" s="31" t="s">
        <v>226</v>
      </c>
      <c r="Z38" s="31" t="s">
        <v>226</v>
      </c>
      <c r="AA38" s="31" t="s">
        <v>226</v>
      </c>
      <c r="AB38" s="31" t="s">
        <v>226</v>
      </c>
      <c r="AC38" s="31" t="s">
        <v>226</v>
      </c>
      <c r="AD38" s="31" t="s">
        <v>226</v>
      </c>
      <c r="AE38" s="31" t="s">
        <v>226</v>
      </c>
      <c r="AF38" s="31" t="s">
        <v>226</v>
      </c>
      <c r="AG38" s="31" t="s">
        <v>226</v>
      </c>
      <c r="AH38" s="31" t="s">
        <v>226</v>
      </c>
      <c r="AI38" s="31" t="s">
        <v>226</v>
      </c>
      <c r="AJ38" s="31" t="s">
        <v>226</v>
      </c>
      <c r="AK38" s="31" t="s">
        <v>226</v>
      </c>
      <c r="AL38" s="31" t="s">
        <v>226</v>
      </c>
      <c r="AM38" s="31"/>
      <c r="AN38" s="31"/>
      <c r="AO38" s="96">
        <v>20</v>
      </c>
      <c r="AP38" s="33">
        <f t="shared" si="1"/>
        <v>1.6666666666666667</v>
      </c>
      <c r="AQ38" s="34">
        <f t="shared" si="2"/>
        <v>20</v>
      </c>
      <c r="AR38" s="35"/>
      <c r="AS38" s="36">
        <f t="shared" si="111"/>
        <v>1.6666666666666667</v>
      </c>
      <c r="AT38" s="36">
        <f t="shared" si="112"/>
        <v>20</v>
      </c>
      <c r="AU38" s="36">
        <f t="shared" si="4"/>
        <v>1.8166666666666669</v>
      </c>
      <c r="AV38" s="36">
        <f t="shared" si="5"/>
        <v>21.800000000000004</v>
      </c>
      <c r="AW38" s="37"/>
      <c r="AX38" s="38">
        <f t="shared" si="6"/>
        <v>0</v>
      </c>
      <c r="AY38" s="38">
        <f t="shared" si="113"/>
        <v>-1.8166666666666669</v>
      </c>
      <c r="AZ38" s="38">
        <f t="shared" si="8"/>
        <v>-21.800000000000004</v>
      </c>
      <c r="BA38" s="39" t="e">
        <f t="shared" si="114"/>
        <v>#DIV/0!</v>
      </c>
      <c r="BB38" s="42"/>
      <c r="BC38" s="119">
        <f t="shared" si="10"/>
        <v>0</v>
      </c>
      <c r="BD38" s="108">
        <v>0.16350000000000001</v>
      </c>
      <c r="BE38" s="120">
        <f t="shared" si="11"/>
        <v>0</v>
      </c>
      <c r="BF38" s="121">
        <f t="shared" si="12"/>
        <v>0</v>
      </c>
      <c r="BG38" s="121">
        <f t="shared" si="13"/>
        <v>0</v>
      </c>
      <c r="BH38" s="122">
        <f t="shared" si="14"/>
        <v>0</v>
      </c>
      <c r="BI38" s="121">
        <f t="shared" si="15"/>
        <v>0</v>
      </c>
      <c r="BJ38" s="123" t="e">
        <f t="shared" si="16"/>
        <v>#DIV/0!</v>
      </c>
      <c r="BK38" s="124" t="e">
        <f t="shared" si="17"/>
        <v>#DIV/0!</v>
      </c>
      <c r="BL38" s="125" t="s">
        <v>226</v>
      </c>
    </row>
    <row r="39" spans="1:64" ht="45" customHeight="1" x14ac:dyDescent="0.25">
      <c r="A39" s="30">
        <v>33</v>
      </c>
      <c r="B39" s="101" t="s">
        <v>171</v>
      </c>
      <c r="C39" s="31">
        <v>1</v>
      </c>
      <c r="D39" s="32" t="s">
        <v>73</v>
      </c>
      <c r="E39" s="31">
        <f t="shared" ref="E39" si="115">D39*C39</f>
        <v>12</v>
      </c>
      <c r="F39" s="31" t="s">
        <v>226</v>
      </c>
      <c r="G39" s="31" t="s">
        <v>226</v>
      </c>
      <c r="H39" s="31" t="s">
        <v>226</v>
      </c>
      <c r="I39" s="31" t="s">
        <v>226</v>
      </c>
      <c r="J39" s="31" t="s">
        <v>226</v>
      </c>
      <c r="K39" s="31" t="s">
        <v>226</v>
      </c>
      <c r="L39" s="31" t="s">
        <v>226</v>
      </c>
      <c r="M39" s="31" t="s">
        <v>226</v>
      </c>
      <c r="N39" s="31" t="s">
        <v>226</v>
      </c>
      <c r="O39" s="31" t="s">
        <v>226</v>
      </c>
      <c r="P39" s="31" t="s">
        <v>226</v>
      </c>
      <c r="Q39" s="31" t="s">
        <v>226</v>
      </c>
      <c r="R39" s="31" t="s">
        <v>226</v>
      </c>
      <c r="S39" s="31" t="s">
        <v>226</v>
      </c>
      <c r="T39" s="31" t="s">
        <v>226</v>
      </c>
      <c r="U39" s="31" t="s">
        <v>226</v>
      </c>
      <c r="V39" s="31" t="s">
        <v>226</v>
      </c>
      <c r="W39" s="31" t="s">
        <v>226</v>
      </c>
      <c r="X39" s="31" t="s">
        <v>226</v>
      </c>
      <c r="Y39" s="31" t="s">
        <v>226</v>
      </c>
      <c r="Z39" s="31" t="s">
        <v>226</v>
      </c>
      <c r="AA39" s="31" t="s">
        <v>226</v>
      </c>
      <c r="AB39" s="31" t="s">
        <v>226</v>
      </c>
      <c r="AC39" s="31" t="s">
        <v>226</v>
      </c>
      <c r="AD39" s="31" t="s">
        <v>226</v>
      </c>
      <c r="AE39" s="31" t="s">
        <v>226</v>
      </c>
      <c r="AF39" s="31" t="s">
        <v>226</v>
      </c>
      <c r="AG39" s="31" t="s">
        <v>226</v>
      </c>
      <c r="AH39" s="31" t="s">
        <v>226</v>
      </c>
      <c r="AI39" s="31" t="s">
        <v>226</v>
      </c>
      <c r="AJ39" s="31" t="s">
        <v>226</v>
      </c>
      <c r="AK39" s="31" t="s">
        <v>226</v>
      </c>
      <c r="AL39" s="31" t="s">
        <v>226</v>
      </c>
      <c r="AM39" s="31"/>
      <c r="AN39" s="31"/>
      <c r="AO39" s="96">
        <v>20</v>
      </c>
      <c r="AP39" s="33">
        <f t="shared" si="1"/>
        <v>1.6666666666666667</v>
      </c>
      <c r="AQ39" s="34">
        <f t="shared" si="2"/>
        <v>20</v>
      </c>
      <c r="AR39" s="35"/>
      <c r="AS39" s="36">
        <f t="shared" ref="AS39" si="116">AP39/$AZ$2</f>
        <v>1.6666666666666667</v>
      </c>
      <c r="AT39" s="36">
        <f t="shared" ref="AT39" si="117">AQ39/$AZ$2</f>
        <v>20</v>
      </c>
      <c r="AU39" s="36">
        <f t="shared" si="4"/>
        <v>1.8166666666666669</v>
      </c>
      <c r="AV39" s="36">
        <f t="shared" si="5"/>
        <v>21.800000000000004</v>
      </c>
      <c r="AW39" s="37"/>
      <c r="AX39" s="38">
        <f t="shared" si="6"/>
        <v>0</v>
      </c>
      <c r="AY39" s="38">
        <f t="shared" ref="AY39" si="118">AW39-AU39</f>
        <v>-1.8166666666666669</v>
      </c>
      <c r="AZ39" s="38">
        <f t="shared" si="8"/>
        <v>-21.800000000000004</v>
      </c>
      <c r="BA39" s="39" t="e">
        <f t="shared" ref="BA39" si="119">AY39/AW39</f>
        <v>#DIV/0!</v>
      </c>
      <c r="BB39" s="42"/>
      <c r="BC39" s="119">
        <f t="shared" si="10"/>
        <v>0</v>
      </c>
      <c r="BD39" s="108">
        <v>0.16350000000000001</v>
      </c>
      <c r="BE39" s="120">
        <f t="shared" si="11"/>
        <v>0</v>
      </c>
      <c r="BF39" s="121">
        <f t="shared" si="12"/>
        <v>0</v>
      </c>
      <c r="BG39" s="121">
        <f t="shared" si="13"/>
        <v>0</v>
      </c>
      <c r="BH39" s="122">
        <f t="shared" si="14"/>
        <v>0</v>
      </c>
      <c r="BI39" s="121">
        <f t="shared" si="15"/>
        <v>0</v>
      </c>
      <c r="BJ39" s="123" t="e">
        <f t="shared" si="16"/>
        <v>#DIV/0!</v>
      </c>
      <c r="BK39" s="124" t="e">
        <f t="shared" si="17"/>
        <v>#DIV/0!</v>
      </c>
      <c r="BL39" s="125" t="s">
        <v>226</v>
      </c>
    </row>
    <row r="40" spans="1:64" ht="45" customHeight="1" x14ac:dyDescent="0.25">
      <c r="A40" s="30">
        <v>34</v>
      </c>
      <c r="B40" s="101" t="s">
        <v>172</v>
      </c>
      <c r="C40" s="31">
        <v>1</v>
      </c>
      <c r="D40" s="32" t="s">
        <v>73</v>
      </c>
      <c r="E40" s="31">
        <f t="shared" ref="E40" si="120">D40*C40</f>
        <v>12</v>
      </c>
      <c r="F40" s="31" t="s">
        <v>226</v>
      </c>
      <c r="G40" s="31" t="s">
        <v>226</v>
      </c>
      <c r="H40" s="31" t="s">
        <v>226</v>
      </c>
      <c r="I40" s="31" t="s">
        <v>226</v>
      </c>
      <c r="J40" s="31" t="s">
        <v>226</v>
      </c>
      <c r="K40" s="31" t="s">
        <v>226</v>
      </c>
      <c r="L40" s="31" t="s">
        <v>226</v>
      </c>
      <c r="M40" s="31" t="s">
        <v>226</v>
      </c>
      <c r="N40" s="31" t="s">
        <v>226</v>
      </c>
      <c r="O40" s="31" t="s">
        <v>226</v>
      </c>
      <c r="P40" s="31" t="s">
        <v>226</v>
      </c>
      <c r="Q40" s="31" t="s">
        <v>226</v>
      </c>
      <c r="R40" s="31" t="s">
        <v>226</v>
      </c>
      <c r="S40" s="31" t="s">
        <v>226</v>
      </c>
      <c r="T40" s="31" t="s">
        <v>226</v>
      </c>
      <c r="U40" s="31" t="s">
        <v>226</v>
      </c>
      <c r="V40" s="31" t="s">
        <v>226</v>
      </c>
      <c r="W40" s="31" t="s">
        <v>226</v>
      </c>
      <c r="X40" s="31" t="s">
        <v>226</v>
      </c>
      <c r="Y40" s="31" t="s">
        <v>226</v>
      </c>
      <c r="Z40" s="31" t="s">
        <v>226</v>
      </c>
      <c r="AA40" s="31" t="s">
        <v>226</v>
      </c>
      <c r="AB40" s="31" t="s">
        <v>226</v>
      </c>
      <c r="AC40" s="31" t="s">
        <v>226</v>
      </c>
      <c r="AD40" s="31" t="s">
        <v>226</v>
      </c>
      <c r="AE40" s="31" t="s">
        <v>226</v>
      </c>
      <c r="AF40" s="31" t="s">
        <v>226</v>
      </c>
      <c r="AG40" s="31" t="s">
        <v>226</v>
      </c>
      <c r="AH40" s="31" t="s">
        <v>226</v>
      </c>
      <c r="AI40" s="31" t="s">
        <v>226</v>
      </c>
      <c r="AJ40" s="31" t="s">
        <v>226</v>
      </c>
      <c r="AK40" s="31" t="s">
        <v>226</v>
      </c>
      <c r="AL40" s="31" t="s">
        <v>226</v>
      </c>
      <c r="AM40" s="31"/>
      <c r="AN40" s="31"/>
      <c r="AO40" s="96">
        <v>20</v>
      </c>
      <c r="AP40" s="33">
        <f t="shared" si="1"/>
        <v>1.6666666666666667</v>
      </c>
      <c r="AQ40" s="34">
        <f t="shared" si="2"/>
        <v>20</v>
      </c>
      <c r="AR40" s="35"/>
      <c r="AS40" s="36">
        <f t="shared" ref="AS40" si="121">AP40/$AZ$2</f>
        <v>1.6666666666666667</v>
      </c>
      <c r="AT40" s="36">
        <f t="shared" ref="AT40" si="122">AQ40/$AZ$2</f>
        <v>20</v>
      </c>
      <c r="AU40" s="36">
        <f t="shared" si="4"/>
        <v>1.8166666666666669</v>
      </c>
      <c r="AV40" s="36">
        <f t="shared" si="5"/>
        <v>21.800000000000004</v>
      </c>
      <c r="AW40" s="37"/>
      <c r="AX40" s="38">
        <f t="shared" si="6"/>
        <v>0</v>
      </c>
      <c r="AY40" s="38">
        <f t="shared" ref="AY40" si="123">AW40-AU40</f>
        <v>-1.8166666666666669</v>
      </c>
      <c r="AZ40" s="38">
        <f t="shared" si="8"/>
        <v>-21.800000000000004</v>
      </c>
      <c r="BA40" s="39" t="e">
        <f t="shared" ref="BA40" si="124">AY40/AW40</f>
        <v>#DIV/0!</v>
      </c>
      <c r="BB40" s="42"/>
      <c r="BC40" s="119">
        <f t="shared" si="10"/>
        <v>0</v>
      </c>
      <c r="BD40" s="108">
        <v>0.16350000000000001</v>
      </c>
      <c r="BE40" s="120">
        <f t="shared" si="11"/>
        <v>0</v>
      </c>
      <c r="BF40" s="121">
        <f t="shared" si="12"/>
        <v>0</v>
      </c>
      <c r="BG40" s="121">
        <f t="shared" si="13"/>
        <v>0</v>
      </c>
      <c r="BH40" s="122">
        <f t="shared" si="14"/>
        <v>0</v>
      </c>
      <c r="BI40" s="121">
        <f t="shared" si="15"/>
        <v>0</v>
      </c>
      <c r="BJ40" s="123" t="e">
        <f t="shared" si="16"/>
        <v>#DIV/0!</v>
      </c>
      <c r="BK40" s="124" t="e">
        <f t="shared" si="17"/>
        <v>#DIV/0!</v>
      </c>
      <c r="BL40" s="125" t="s">
        <v>226</v>
      </c>
    </row>
    <row r="41" spans="1:64" ht="45" customHeight="1" x14ac:dyDescent="0.25">
      <c r="A41" s="30">
        <v>35</v>
      </c>
      <c r="B41" s="101" t="s">
        <v>156</v>
      </c>
      <c r="C41" s="31">
        <v>1</v>
      </c>
      <c r="D41" s="32" t="s">
        <v>166</v>
      </c>
      <c r="E41" s="31">
        <f t="shared" si="0"/>
        <v>216</v>
      </c>
      <c r="F41" s="31" t="s">
        <v>226</v>
      </c>
      <c r="G41" s="31" t="s">
        <v>226</v>
      </c>
      <c r="H41" s="31" t="s">
        <v>226</v>
      </c>
      <c r="I41" s="31" t="s">
        <v>226</v>
      </c>
      <c r="J41" s="31" t="s">
        <v>226</v>
      </c>
      <c r="K41" s="31" t="s">
        <v>226</v>
      </c>
      <c r="L41" s="31" t="s">
        <v>226</v>
      </c>
      <c r="M41" s="31" t="s">
        <v>226</v>
      </c>
      <c r="N41" s="31" t="s">
        <v>226</v>
      </c>
      <c r="O41" s="31" t="s">
        <v>226</v>
      </c>
      <c r="P41" s="31" t="s">
        <v>226</v>
      </c>
      <c r="Q41" s="31" t="s">
        <v>226</v>
      </c>
      <c r="R41" s="31" t="s">
        <v>226</v>
      </c>
      <c r="S41" s="31" t="s">
        <v>226</v>
      </c>
      <c r="T41" s="31" t="s">
        <v>226</v>
      </c>
      <c r="U41" s="31" t="s">
        <v>226</v>
      </c>
      <c r="V41" s="31" t="s">
        <v>226</v>
      </c>
      <c r="W41" s="31" t="s">
        <v>226</v>
      </c>
      <c r="X41" s="31" t="s">
        <v>226</v>
      </c>
      <c r="Y41" s="31" t="s">
        <v>226</v>
      </c>
      <c r="Z41" s="31" t="s">
        <v>226</v>
      </c>
      <c r="AA41" s="31" t="s">
        <v>226</v>
      </c>
      <c r="AB41" s="31" t="s">
        <v>226</v>
      </c>
      <c r="AC41" s="31" t="s">
        <v>226</v>
      </c>
      <c r="AD41" s="31" t="s">
        <v>226</v>
      </c>
      <c r="AE41" s="31" t="s">
        <v>226</v>
      </c>
      <c r="AF41" s="31" t="s">
        <v>226</v>
      </c>
      <c r="AG41" s="31" t="s">
        <v>226</v>
      </c>
      <c r="AH41" s="31" t="s">
        <v>226</v>
      </c>
      <c r="AI41" s="31" t="s">
        <v>226</v>
      </c>
      <c r="AJ41" s="31" t="s">
        <v>226</v>
      </c>
      <c r="AK41" s="31" t="s">
        <v>226</v>
      </c>
      <c r="AL41" s="31" t="s">
        <v>226</v>
      </c>
      <c r="AM41" s="31"/>
      <c r="AN41" s="31"/>
      <c r="AO41" s="96">
        <v>113</v>
      </c>
      <c r="AP41" s="33">
        <f t="shared" si="1"/>
        <v>0.52314814814814814</v>
      </c>
      <c r="AQ41" s="34">
        <f t="shared" si="2"/>
        <v>113</v>
      </c>
      <c r="AR41" s="35"/>
      <c r="AS41" s="36">
        <f t="shared" si="3"/>
        <v>0.52314814814814814</v>
      </c>
      <c r="AT41" s="36">
        <f t="shared" si="3"/>
        <v>113</v>
      </c>
      <c r="AU41" s="36">
        <f t="shared" si="4"/>
        <v>0.57023148148148151</v>
      </c>
      <c r="AV41" s="36">
        <f t="shared" si="5"/>
        <v>123.17</v>
      </c>
      <c r="AW41" s="37">
        <v>0.8</v>
      </c>
      <c r="AX41" s="38">
        <f t="shared" si="6"/>
        <v>172.8</v>
      </c>
      <c r="AY41" s="38">
        <f t="shared" si="7"/>
        <v>0.22976851851851854</v>
      </c>
      <c r="AZ41" s="38">
        <f t="shared" si="8"/>
        <v>49.63</v>
      </c>
      <c r="BA41" s="39">
        <f t="shared" si="9"/>
        <v>0.28721064814814817</v>
      </c>
      <c r="BB41" s="42"/>
      <c r="BC41" s="119">
        <f t="shared" si="10"/>
        <v>0.8</v>
      </c>
      <c r="BD41" s="108">
        <v>0.16350000000000001</v>
      </c>
      <c r="BE41" s="120">
        <f t="shared" si="11"/>
        <v>0.93080000000000007</v>
      </c>
      <c r="BF41" s="121">
        <f t="shared" si="12"/>
        <v>0.13080000000000003</v>
      </c>
      <c r="BG41" s="121">
        <f t="shared" si="13"/>
        <v>1.0800000000000002E-2</v>
      </c>
      <c r="BH41" s="122">
        <f t="shared" si="14"/>
        <v>0.13080000000000003</v>
      </c>
      <c r="BI41" s="121">
        <f t="shared" si="15"/>
        <v>0.8</v>
      </c>
      <c r="BJ41" s="123">
        <f t="shared" si="16"/>
        <v>0.28721064814814817</v>
      </c>
      <c r="BK41" s="124">
        <f t="shared" si="17"/>
        <v>0</v>
      </c>
      <c r="BL41" s="125" t="s">
        <v>226</v>
      </c>
    </row>
    <row r="42" spans="1:64" ht="45" customHeight="1" x14ac:dyDescent="0.25">
      <c r="A42" s="30">
        <v>36</v>
      </c>
      <c r="B42" s="101" t="s">
        <v>145</v>
      </c>
      <c r="C42" s="31">
        <v>1</v>
      </c>
      <c r="D42" s="32" t="s">
        <v>144</v>
      </c>
      <c r="E42" s="31">
        <f t="shared" si="0"/>
        <v>30</v>
      </c>
      <c r="F42" s="31" t="s">
        <v>226</v>
      </c>
      <c r="G42" s="31" t="s">
        <v>226</v>
      </c>
      <c r="H42" s="31" t="s">
        <v>226</v>
      </c>
      <c r="I42" s="31" t="s">
        <v>226</v>
      </c>
      <c r="J42" s="31" t="s">
        <v>226</v>
      </c>
      <c r="K42" s="31" t="s">
        <v>226</v>
      </c>
      <c r="L42" s="31" t="s">
        <v>226</v>
      </c>
      <c r="M42" s="31" t="s">
        <v>226</v>
      </c>
      <c r="N42" s="31" t="s">
        <v>226</v>
      </c>
      <c r="O42" s="31" t="s">
        <v>226</v>
      </c>
      <c r="P42" s="31" t="s">
        <v>226</v>
      </c>
      <c r="Q42" s="31" t="s">
        <v>226</v>
      </c>
      <c r="R42" s="31" t="s">
        <v>226</v>
      </c>
      <c r="S42" s="31" t="s">
        <v>226</v>
      </c>
      <c r="T42" s="31" t="s">
        <v>226</v>
      </c>
      <c r="U42" s="31" t="s">
        <v>226</v>
      </c>
      <c r="V42" s="31" t="s">
        <v>226</v>
      </c>
      <c r="W42" s="31" t="s">
        <v>226</v>
      </c>
      <c r="X42" s="31" t="s">
        <v>226</v>
      </c>
      <c r="Y42" s="31" t="s">
        <v>226</v>
      </c>
      <c r="Z42" s="31" t="s">
        <v>226</v>
      </c>
      <c r="AA42" s="31" t="s">
        <v>226</v>
      </c>
      <c r="AB42" s="31" t="s">
        <v>226</v>
      </c>
      <c r="AC42" s="31" t="s">
        <v>226</v>
      </c>
      <c r="AD42" s="31" t="s">
        <v>226</v>
      </c>
      <c r="AE42" s="31" t="s">
        <v>226</v>
      </c>
      <c r="AF42" s="31" t="s">
        <v>226</v>
      </c>
      <c r="AG42" s="31" t="s">
        <v>226</v>
      </c>
      <c r="AH42" s="31" t="s">
        <v>226</v>
      </c>
      <c r="AI42" s="31" t="s">
        <v>226</v>
      </c>
      <c r="AJ42" s="31" t="s">
        <v>226</v>
      </c>
      <c r="AK42" s="31" t="s">
        <v>226</v>
      </c>
      <c r="AL42" s="31" t="s">
        <v>226</v>
      </c>
      <c r="AM42" s="31"/>
      <c r="AN42" s="31"/>
      <c r="AO42" s="96">
        <v>31</v>
      </c>
      <c r="AP42" s="33">
        <f t="shared" si="1"/>
        <v>1.0333333333333334</v>
      </c>
      <c r="AQ42" s="34">
        <f t="shared" si="2"/>
        <v>31.000000000000004</v>
      </c>
      <c r="AR42" s="35"/>
      <c r="AS42" s="36">
        <f t="shared" si="3"/>
        <v>1.0333333333333334</v>
      </c>
      <c r="AT42" s="36">
        <f t="shared" si="3"/>
        <v>31.000000000000004</v>
      </c>
      <c r="AU42" s="36">
        <f t="shared" si="4"/>
        <v>1.1263333333333336</v>
      </c>
      <c r="AV42" s="36">
        <f t="shared" si="5"/>
        <v>33.790000000000006</v>
      </c>
      <c r="AW42" s="37">
        <v>1.5</v>
      </c>
      <c r="AX42" s="38">
        <f t="shared" si="6"/>
        <v>45</v>
      </c>
      <c r="AY42" s="38">
        <f t="shared" si="7"/>
        <v>0.37366666666666637</v>
      </c>
      <c r="AZ42" s="38">
        <f t="shared" si="8"/>
        <v>11.20999999999999</v>
      </c>
      <c r="BA42" s="39">
        <f t="shared" si="9"/>
        <v>0.24911111111111092</v>
      </c>
      <c r="BB42" s="42"/>
      <c r="BC42" s="119">
        <f t="shared" si="10"/>
        <v>1.5</v>
      </c>
      <c r="BD42" s="108">
        <v>0.16350000000000001</v>
      </c>
      <c r="BE42" s="120">
        <f t="shared" si="11"/>
        <v>1.74525</v>
      </c>
      <c r="BF42" s="121">
        <f t="shared" si="12"/>
        <v>0.24524999999999997</v>
      </c>
      <c r="BG42" s="121">
        <f t="shared" si="13"/>
        <v>2.0249999999999997E-2</v>
      </c>
      <c r="BH42" s="122">
        <f t="shared" si="14"/>
        <v>0.24524999999999997</v>
      </c>
      <c r="BI42" s="121">
        <f t="shared" si="15"/>
        <v>1.5</v>
      </c>
      <c r="BJ42" s="123">
        <f t="shared" si="16"/>
        <v>0.24911111111111092</v>
      </c>
      <c r="BK42" s="124">
        <f t="shared" si="17"/>
        <v>0</v>
      </c>
      <c r="BL42" s="125" t="s">
        <v>226</v>
      </c>
    </row>
    <row r="43" spans="1:64" ht="45" customHeight="1" x14ac:dyDescent="0.25">
      <c r="A43" s="30">
        <v>37</v>
      </c>
      <c r="B43" s="101" t="s">
        <v>167</v>
      </c>
      <c r="C43" s="31">
        <v>1</v>
      </c>
      <c r="D43" s="32" t="s">
        <v>164</v>
      </c>
      <c r="E43" s="31">
        <f t="shared" ref="E43" si="125">D43*C43</f>
        <v>120</v>
      </c>
      <c r="F43" s="31">
        <v>75</v>
      </c>
      <c r="G43" s="31" t="s">
        <v>226</v>
      </c>
      <c r="H43" s="31" t="s">
        <v>226</v>
      </c>
      <c r="I43" s="31" t="s">
        <v>226</v>
      </c>
      <c r="J43" s="31" t="s">
        <v>226</v>
      </c>
      <c r="K43" s="31" t="s">
        <v>226</v>
      </c>
      <c r="L43" s="31" t="s">
        <v>226</v>
      </c>
      <c r="M43" s="31" t="s">
        <v>226</v>
      </c>
      <c r="N43" s="31" t="s">
        <v>226</v>
      </c>
      <c r="O43" s="31" t="s">
        <v>226</v>
      </c>
      <c r="P43" s="31" t="s">
        <v>226</v>
      </c>
      <c r="Q43" s="31" t="s">
        <v>226</v>
      </c>
      <c r="R43" s="31" t="s">
        <v>226</v>
      </c>
      <c r="S43" s="31" t="s">
        <v>226</v>
      </c>
      <c r="T43" s="31" t="s">
        <v>226</v>
      </c>
      <c r="U43" s="31" t="s">
        <v>226</v>
      </c>
      <c r="V43" s="31" t="s">
        <v>226</v>
      </c>
      <c r="W43" s="31" t="s">
        <v>226</v>
      </c>
      <c r="X43" s="31" t="s">
        <v>226</v>
      </c>
      <c r="Y43" s="31" t="s">
        <v>226</v>
      </c>
      <c r="Z43" s="31" t="s">
        <v>226</v>
      </c>
      <c r="AA43" s="31" t="s">
        <v>226</v>
      </c>
      <c r="AB43" s="31" t="s">
        <v>226</v>
      </c>
      <c r="AC43" s="31" t="s">
        <v>226</v>
      </c>
      <c r="AD43" s="31" t="s">
        <v>226</v>
      </c>
      <c r="AE43" s="31" t="s">
        <v>226</v>
      </c>
      <c r="AF43" s="31" t="s">
        <v>226</v>
      </c>
      <c r="AG43" s="31" t="s">
        <v>226</v>
      </c>
      <c r="AH43" s="31" t="s">
        <v>226</v>
      </c>
      <c r="AI43" s="31" t="s">
        <v>226</v>
      </c>
      <c r="AJ43" s="31" t="s">
        <v>226</v>
      </c>
      <c r="AK43" s="31" t="s">
        <v>226</v>
      </c>
      <c r="AL43" s="31" t="s">
        <v>226</v>
      </c>
      <c r="AM43" s="31"/>
      <c r="AN43" s="31"/>
      <c r="AO43" s="96">
        <v>82</v>
      </c>
      <c r="AP43" s="33">
        <f t="shared" si="1"/>
        <v>0.68333333333333335</v>
      </c>
      <c r="AQ43" s="34">
        <f t="shared" si="2"/>
        <v>82</v>
      </c>
      <c r="AR43" s="35"/>
      <c r="AS43" s="36">
        <f t="shared" ref="AS43" si="126">AP43/$AZ$2</f>
        <v>0.68333333333333335</v>
      </c>
      <c r="AT43" s="36">
        <f>AQ43/$AZ$2</f>
        <v>82</v>
      </c>
      <c r="AU43" s="36">
        <f t="shared" si="4"/>
        <v>0.74483333333333346</v>
      </c>
      <c r="AV43" s="36">
        <f t="shared" si="5"/>
        <v>89.38000000000001</v>
      </c>
      <c r="AW43" s="37">
        <v>1</v>
      </c>
      <c r="AX43" s="38">
        <f t="shared" si="6"/>
        <v>120</v>
      </c>
      <c r="AY43" s="38">
        <f t="shared" ref="AY43" si="127">AW43-AU43</f>
        <v>0.25516666666666654</v>
      </c>
      <c r="AZ43" s="38">
        <f t="shared" si="8"/>
        <v>30.619999999999983</v>
      </c>
      <c r="BA43" s="39">
        <f t="shared" ref="BA43" si="128">AY43/AW43</f>
        <v>0.25516666666666654</v>
      </c>
      <c r="BB43" s="42"/>
      <c r="BC43" s="119">
        <f t="shared" si="10"/>
        <v>1</v>
      </c>
      <c r="BD43" s="108">
        <v>0.16350000000000001</v>
      </c>
      <c r="BE43" s="120">
        <f t="shared" si="11"/>
        <v>1.1635</v>
      </c>
      <c r="BF43" s="121">
        <f t="shared" si="12"/>
        <v>0.16349999999999998</v>
      </c>
      <c r="BG43" s="121">
        <f t="shared" si="13"/>
        <v>1.35E-2</v>
      </c>
      <c r="BH43" s="122">
        <f t="shared" si="14"/>
        <v>0.16349999999999998</v>
      </c>
      <c r="BI43" s="121">
        <f t="shared" si="15"/>
        <v>1</v>
      </c>
      <c r="BJ43" s="123">
        <f t="shared" si="16"/>
        <v>0.25516666666666654</v>
      </c>
      <c r="BK43" s="124">
        <f t="shared" si="17"/>
        <v>0</v>
      </c>
      <c r="BL43" s="125" t="s">
        <v>226</v>
      </c>
    </row>
    <row r="44" spans="1:64" ht="45" customHeight="1" x14ac:dyDescent="0.25">
      <c r="A44" s="30">
        <v>38</v>
      </c>
      <c r="B44" s="101" t="s">
        <v>168</v>
      </c>
      <c r="C44" s="31">
        <v>1</v>
      </c>
      <c r="D44" s="32" t="s">
        <v>164</v>
      </c>
      <c r="E44" s="31">
        <f t="shared" ref="E44" si="129">D44*C44</f>
        <v>120</v>
      </c>
      <c r="F44" s="31">
        <v>75</v>
      </c>
      <c r="G44" s="31" t="s">
        <v>226</v>
      </c>
      <c r="H44" s="31" t="s">
        <v>226</v>
      </c>
      <c r="I44" s="31" t="s">
        <v>226</v>
      </c>
      <c r="J44" s="31" t="s">
        <v>226</v>
      </c>
      <c r="K44" s="31" t="s">
        <v>226</v>
      </c>
      <c r="L44" s="31" t="s">
        <v>226</v>
      </c>
      <c r="M44" s="31" t="s">
        <v>226</v>
      </c>
      <c r="N44" s="31" t="s">
        <v>226</v>
      </c>
      <c r="O44" s="31" t="s">
        <v>226</v>
      </c>
      <c r="P44" s="31" t="s">
        <v>226</v>
      </c>
      <c r="Q44" s="31" t="s">
        <v>226</v>
      </c>
      <c r="R44" s="31" t="s">
        <v>226</v>
      </c>
      <c r="S44" s="31" t="s">
        <v>226</v>
      </c>
      <c r="T44" s="31" t="s">
        <v>226</v>
      </c>
      <c r="U44" s="31" t="s">
        <v>226</v>
      </c>
      <c r="V44" s="31" t="s">
        <v>226</v>
      </c>
      <c r="W44" s="31" t="s">
        <v>226</v>
      </c>
      <c r="X44" s="31" t="s">
        <v>226</v>
      </c>
      <c r="Y44" s="31" t="s">
        <v>226</v>
      </c>
      <c r="Z44" s="31" t="s">
        <v>226</v>
      </c>
      <c r="AA44" s="31" t="s">
        <v>226</v>
      </c>
      <c r="AB44" s="31" t="s">
        <v>226</v>
      </c>
      <c r="AC44" s="31" t="s">
        <v>226</v>
      </c>
      <c r="AD44" s="31" t="s">
        <v>226</v>
      </c>
      <c r="AE44" s="31" t="s">
        <v>226</v>
      </c>
      <c r="AF44" s="31" t="s">
        <v>226</v>
      </c>
      <c r="AG44" s="31" t="s">
        <v>226</v>
      </c>
      <c r="AH44" s="31" t="s">
        <v>226</v>
      </c>
      <c r="AI44" s="31" t="s">
        <v>226</v>
      </c>
      <c r="AJ44" s="31" t="s">
        <v>226</v>
      </c>
      <c r="AK44" s="31" t="s">
        <v>226</v>
      </c>
      <c r="AL44" s="31" t="s">
        <v>226</v>
      </c>
      <c r="AM44" s="31"/>
      <c r="AN44" s="31"/>
      <c r="AO44" s="96">
        <v>82</v>
      </c>
      <c r="AP44" s="33">
        <f t="shared" si="1"/>
        <v>0.68333333333333335</v>
      </c>
      <c r="AQ44" s="34">
        <f t="shared" si="2"/>
        <v>82</v>
      </c>
      <c r="AR44" s="35"/>
      <c r="AS44" s="36">
        <f t="shared" ref="AS44" si="130">AP44/$AZ$2</f>
        <v>0.68333333333333335</v>
      </c>
      <c r="AT44" s="36">
        <f t="shared" ref="AT44" si="131">AQ44/$AZ$2</f>
        <v>82</v>
      </c>
      <c r="AU44" s="36">
        <f t="shared" si="4"/>
        <v>0.74483333333333346</v>
      </c>
      <c r="AV44" s="36">
        <f t="shared" si="5"/>
        <v>89.38000000000001</v>
      </c>
      <c r="AW44" s="37">
        <v>1</v>
      </c>
      <c r="AX44" s="38">
        <f t="shared" si="6"/>
        <v>120</v>
      </c>
      <c r="AY44" s="38">
        <f t="shared" ref="AY44" si="132">AW44-AU44</f>
        <v>0.25516666666666654</v>
      </c>
      <c r="AZ44" s="38">
        <f t="shared" si="8"/>
        <v>30.619999999999983</v>
      </c>
      <c r="BA44" s="39">
        <f t="shared" ref="BA44" si="133">AY44/AW44</f>
        <v>0.25516666666666654</v>
      </c>
      <c r="BB44" s="42"/>
      <c r="BC44" s="119">
        <f t="shared" si="10"/>
        <v>1</v>
      </c>
      <c r="BD44" s="108">
        <v>0.16350000000000001</v>
      </c>
      <c r="BE44" s="120">
        <f t="shared" si="11"/>
        <v>1.1635</v>
      </c>
      <c r="BF44" s="121">
        <f t="shared" si="12"/>
        <v>0.16349999999999998</v>
      </c>
      <c r="BG44" s="121">
        <f t="shared" si="13"/>
        <v>1.35E-2</v>
      </c>
      <c r="BH44" s="122">
        <f t="shared" si="14"/>
        <v>0.16349999999999998</v>
      </c>
      <c r="BI44" s="121">
        <f t="shared" si="15"/>
        <v>1</v>
      </c>
      <c r="BJ44" s="123">
        <f t="shared" si="16"/>
        <v>0.25516666666666654</v>
      </c>
      <c r="BK44" s="124">
        <f t="shared" si="17"/>
        <v>0</v>
      </c>
      <c r="BL44" s="125" t="s">
        <v>226</v>
      </c>
    </row>
    <row r="45" spans="1:64" ht="45" customHeight="1" x14ac:dyDescent="0.25">
      <c r="A45" s="30">
        <v>39</v>
      </c>
      <c r="B45" s="101" t="s">
        <v>161</v>
      </c>
      <c r="C45" s="31">
        <v>1</v>
      </c>
      <c r="D45" s="32" t="s">
        <v>164</v>
      </c>
      <c r="E45" s="31">
        <f t="shared" si="0"/>
        <v>120</v>
      </c>
      <c r="F45" s="31">
        <v>75</v>
      </c>
      <c r="G45" s="31" t="s">
        <v>226</v>
      </c>
      <c r="H45" s="31" t="s">
        <v>226</v>
      </c>
      <c r="I45" s="31" t="s">
        <v>226</v>
      </c>
      <c r="J45" s="31" t="s">
        <v>226</v>
      </c>
      <c r="K45" s="31" t="s">
        <v>226</v>
      </c>
      <c r="L45" s="31" t="s">
        <v>226</v>
      </c>
      <c r="M45" s="31" t="s">
        <v>226</v>
      </c>
      <c r="N45" s="31" t="s">
        <v>226</v>
      </c>
      <c r="O45" s="31" t="s">
        <v>226</v>
      </c>
      <c r="P45" s="31" t="s">
        <v>226</v>
      </c>
      <c r="Q45" s="31" t="s">
        <v>226</v>
      </c>
      <c r="R45" s="31" t="s">
        <v>226</v>
      </c>
      <c r="S45" s="31" t="s">
        <v>226</v>
      </c>
      <c r="T45" s="31" t="s">
        <v>226</v>
      </c>
      <c r="U45" s="31" t="s">
        <v>226</v>
      </c>
      <c r="V45" s="31" t="s">
        <v>226</v>
      </c>
      <c r="W45" s="31" t="s">
        <v>226</v>
      </c>
      <c r="X45" s="31" t="s">
        <v>226</v>
      </c>
      <c r="Y45" s="31" t="s">
        <v>226</v>
      </c>
      <c r="Z45" s="31" t="s">
        <v>226</v>
      </c>
      <c r="AA45" s="31" t="s">
        <v>226</v>
      </c>
      <c r="AB45" s="31" t="s">
        <v>226</v>
      </c>
      <c r="AC45" s="31" t="s">
        <v>226</v>
      </c>
      <c r="AD45" s="31" t="s">
        <v>226</v>
      </c>
      <c r="AE45" s="31" t="s">
        <v>226</v>
      </c>
      <c r="AF45" s="31" t="s">
        <v>226</v>
      </c>
      <c r="AG45" s="31" t="s">
        <v>226</v>
      </c>
      <c r="AH45" s="31" t="s">
        <v>226</v>
      </c>
      <c r="AI45" s="31" t="s">
        <v>226</v>
      </c>
      <c r="AJ45" s="31" t="s">
        <v>226</v>
      </c>
      <c r="AK45" s="31" t="s">
        <v>226</v>
      </c>
      <c r="AL45" s="31" t="s">
        <v>226</v>
      </c>
      <c r="AM45" s="31"/>
      <c r="AN45" s="31"/>
      <c r="AO45" s="96">
        <v>82</v>
      </c>
      <c r="AP45" s="33">
        <f t="shared" si="1"/>
        <v>0.68333333333333335</v>
      </c>
      <c r="AQ45" s="34">
        <f t="shared" si="2"/>
        <v>82</v>
      </c>
      <c r="AR45" s="35"/>
      <c r="AS45" s="36">
        <f t="shared" si="3"/>
        <v>0.68333333333333335</v>
      </c>
      <c r="AT45" s="36">
        <f t="shared" si="3"/>
        <v>82</v>
      </c>
      <c r="AU45" s="36">
        <f t="shared" si="4"/>
        <v>0.74483333333333346</v>
      </c>
      <c r="AV45" s="36">
        <f t="shared" si="5"/>
        <v>89.38000000000001</v>
      </c>
      <c r="AW45" s="37">
        <v>1</v>
      </c>
      <c r="AX45" s="38">
        <f t="shared" si="6"/>
        <v>120</v>
      </c>
      <c r="AY45" s="38">
        <f t="shared" si="7"/>
        <v>0.25516666666666654</v>
      </c>
      <c r="AZ45" s="38">
        <f t="shared" si="8"/>
        <v>30.619999999999983</v>
      </c>
      <c r="BA45" s="39">
        <f t="shared" si="9"/>
        <v>0.25516666666666654</v>
      </c>
      <c r="BB45" s="42"/>
      <c r="BC45" s="119">
        <f t="shared" si="10"/>
        <v>1</v>
      </c>
      <c r="BD45" s="108">
        <v>0.16350000000000001</v>
      </c>
      <c r="BE45" s="120">
        <f t="shared" si="11"/>
        <v>1.1635</v>
      </c>
      <c r="BF45" s="121">
        <f t="shared" si="12"/>
        <v>0.16349999999999998</v>
      </c>
      <c r="BG45" s="121">
        <f t="shared" si="13"/>
        <v>1.35E-2</v>
      </c>
      <c r="BH45" s="122">
        <f t="shared" si="14"/>
        <v>0.16349999999999998</v>
      </c>
      <c r="BI45" s="121">
        <f t="shared" si="15"/>
        <v>1</v>
      </c>
      <c r="BJ45" s="123">
        <f t="shared" si="16"/>
        <v>0.25516666666666654</v>
      </c>
      <c r="BK45" s="124">
        <f t="shared" si="17"/>
        <v>0</v>
      </c>
      <c r="BL45" s="125" t="s">
        <v>226</v>
      </c>
    </row>
    <row r="46" spans="1:64" ht="45" customHeight="1" x14ac:dyDescent="0.25">
      <c r="A46" s="30">
        <v>40</v>
      </c>
      <c r="B46" s="102" t="s">
        <v>44</v>
      </c>
      <c r="C46" s="31">
        <v>1</v>
      </c>
      <c r="D46" s="32" t="s">
        <v>24</v>
      </c>
      <c r="E46" s="31">
        <f t="shared" si="0"/>
        <v>24</v>
      </c>
      <c r="F46" s="31" t="s">
        <v>226</v>
      </c>
      <c r="G46" s="31" t="s">
        <v>226</v>
      </c>
      <c r="H46" s="31" t="s">
        <v>226</v>
      </c>
      <c r="I46" s="31" t="s">
        <v>226</v>
      </c>
      <c r="J46" s="31" t="s">
        <v>226</v>
      </c>
      <c r="K46" s="31" t="s">
        <v>226</v>
      </c>
      <c r="L46" s="31" t="s">
        <v>226</v>
      </c>
      <c r="M46" s="31" t="s">
        <v>226</v>
      </c>
      <c r="N46" s="31" t="s">
        <v>226</v>
      </c>
      <c r="O46" s="31" t="s">
        <v>226</v>
      </c>
      <c r="P46" s="31" t="s">
        <v>226</v>
      </c>
      <c r="Q46" s="31" t="s">
        <v>226</v>
      </c>
      <c r="R46" s="31" t="s">
        <v>226</v>
      </c>
      <c r="S46" s="31" t="s">
        <v>226</v>
      </c>
      <c r="T46" s="31" t="s">
        <v>226</v>
      </c>
      <c r="U46" s="31" t="s">
        <v>226</v>
      </c>
      <c r="V46" s="31" t="s">
        <v>226</v>
      </c>
      <c r="W46" s="31" t="s">
        <v>226</v>
      </c>
      <c r="X46" s="31" t="s">
        <v>226</v>
      </c>
      <c r="Y46" s="31" t="s">
        <v>226</v>
      </c>
      <c r="Z46" s="31" t="s">
        <v>226</v>
      </c>
      <c r="AA46" s="31" t="s">
        <v>226</v>
      </c>
      <c r="AB46" s="31" t="s">
        <v>226</v>
      </c>
      <c r="AC46" s="31" t="s">
        <v>226</v>
      </c>
      <c r="AD46" s="31" t="s">
        <v>226</v>
      </c>
      <c r="AE46" s="31" t="s">
        <v>226</v>
      </c>
      <c r="AF46" s="31" t="s">
        <v>226</v>
      </c>
      <c r="AG46" s="31" t="s">
        <v>226</v>
      </c>
      <c r="AH46" s="31" t="s">
        <v>226</v>
      </c>
      <c r="AI46" s="31" t="s">
        <v>226</v>
      </c>
      <c r="AJ46" s="31" t="s">
        <v>226</v>
      </c>
      <c r="AK46" s="31" t="s">
        <v>226</v>
      </c>
      <c r="AL46" s="31" t="s">
        <v>226</v>
      </c>
      <c r="AM46" s="31"/>
      <c r="AN46" s="31"/>
      <c r="AO46" s="96">
        <v>13</v>
      </c>
      <c r="AP46" s="33">
        <f t="shared" si="1"/>
        <v>0.54166666666666663</v>
      </c>
      <c r="AQ46" s="34">
        <f t="shared" si="2"/>
        <v>13</v>
      </c>
      <c r="AR46" s="35"/>
      <c r="AS46" s="36">
        <f t="shared" si="3"/>
        <v>0.54166666666666663</v>
      </c>
      <c r="AT46" s="36">
        <f t="shared" si="3"/>
        <v>13</v>
      </c>
      <c r="AU46" s="36">
        <f t="shared" si="4"/>
        <v>0.5904166666666667</v>
      </c>
      <c r="AV46" s="36">
        <f t="shared" si="5"/>
        <v>14.170000000000002</v>
      </c>
      <c r="AW46" s="37">
        <v>0.8</v>
      </c>
      <c r="AX46" s="38">
        <f t="shared" si="6"/>
        <v>19.200000000000003</v>
      </c>
      <c r="AY46" s="38">
        <f t="shared" si="7"/>
        <v>0.20958333333333334</v>
      </c>
      <c r="AZ46" s="38">
        <f t="shared" si="8"/>
        <v>5.03</v>
      </c>
      <c r="BA46" s="39">
        <f t="shared" si="9"/>
        <v>0.26197916666666665</v>
      </c>
      <c r="BB46" s="42"/>
      <c r="BC46" s="119">
        <f t="shared" si="10"/>
        <v>0.8</v>
      </c>
      <c r="BD46" s="108">
        <v>0.16350000000000001</v>
      </c>
      <c r="BE46" s="120">
        <f t="shared" si="11"/>
        <v>0.93080000000000007</v>
      </c>
      <c r="BF46" s="121">
        <f t="shared" si="12"/>
        <v>0.13080000000000003</v>
      </c>
      <c r="BG46" s="121">
        <f t="shared" si="13"/>
        <v>1.0800000000000002E-2</v>
      </c>
      <c r="BH46" s="122">
        <f t="shared" si="14"/>
        <v>0.13080000000000003</v>
      </c>
      <c r="BI46" s="121">
        <f t="shared" si="15"/>
        <v>0.8</v>
      </c>
      <c r="BJ46" s="123">
        <f t="shared" si="16"/>
        <v>0.26197916666666665</v>
      </c>
      <c r="BK46" s="124">
        <f t="shared" si="17"/>
        <v>0</v>
      </c>
      <c r="BL46" s="125">
        <v>0.7</v>
      </c>
    </row>
    <row r="47" spans="1:64" ht="45" customHeight="1" x14ac:dyDescent="0.25">
      <c r="A47" s="30">
        <v>41</v>
      </c>
      <c r="B47" s="103" t="s">
        <v>45</v>
      </c>
      <c r="C47" s="31">
        <v>1</v>
      </c>
      <c r="D47" s="32" t="s">
        <v>84</v>
      </c>
      <c r="E47" s="31">
        <f t="shared" si="0"/>
        <v>8</v>
      </c>
      <c r="F47" s="31" t="s">
        <v>226</v>
      </c>
      <c r="G47" s="31" t="s">
        <v>226</v>
      </c>
      <c r="H47" s="31" t="s">
        <v>226</v>
      </c>
      <c r="I47" s="31" t="s">
        <v>226</v>
      </c>
      <c r="J47" s="31" t="s">
        <v>226</v>
      </c>
      <c r="K47" s="31" t="s">
        <v>226</v>
      </c>
      <c r="L47" s="31" t="s">
        <v>226</v>
      </c>
      <c r="M47" s="31" t="s">
        <v>226</v>
      </c>
      <c r="N47" s="31" t="s">
        <v>226</v>
      </c>
      <c r="O47" s="31" t="s">
        <v>226</v>
      </c>
      <c r="P47" s="31" t="s">
        <v>226</v>
      </c>
      <c r="Q47" s="31" t="s">
        <v>226</v>
      </c>
      <c r="R47" s="31" t="s">
        <v>226</v>
      </c>
      <c r="S47" s="31" t="s">
        <v>226</v>
      </c>
      <c r="T47" s="31" t="s">
        <v>226</v>
      </c>
      <c r="U47" s="31" t="s">
        <v>226</v>
      </c>
      <c r="V47" s="31" t="s">
        <v>226</v>
      </c>
      <c r="W47" s="31" t="s">
        <v>226</v>
      </c>
      <c r="X47" s="31" t="s">
        <v>226</v>
      </c>
      <c r="Y47" s="31" t="s">
        <v>226</v>
      </c>
      <c r="Z47" s="31" t="s">
        <v>226</v>
      </c>
      <c r="AA47" s="31" t="s">
        <v>226</v>
      </c>
      <c r="AB47" s="31" t="s">
        <v>226</v>
      </c>
      <c r="AC47" s="31" t="s">
        <v>226</v>
      </c>
      <c r="AD47" s="31" t="s">
        <v>226</v>
      </c>
      <c r="AE47" s="31" t="s">
        <v>226</v>
      </c>
      <c r="AF47" s="31" t="s">
        <v>226</v>
      </c>
      <c r="AG47" s="31" t="s">
        <v>226</v>
      </c>
      <c r="AH47" s="31" t="s">
        <v>226</v>
      </c>
      <c r="AI47" s="31" t="s">
        <v>226</v>
      </c>
      <c r="AJ47" s="31" t="s">
        <v>226</v>
      </c>
      <c r="AK47" s="31" t="s">
        <v>226</v>
      </c>
      <c r="AL47" s="31" t="s">
        <v>226</v>
      </c>
      <c r="AM47" s="31"/>
      <c r="AN47" s="31"/>
      <c r="AO47" s="96">
        <v>11.5</v>
      </c>
      <c r="AP47" s="33">
        <f t="shared" si="1"/>
        <v>1.4375</v>
      </c>
      <c r="AQ47" s="34">
        <f t="shared" si="2"/>
        <v>11.5</v>
      </c>
      <c r="AR47" s="35"/>
      <c r="AS47" s="36">
        <f t="shared" si="3"/>
        <v>1.4375</v>
      </c>
      <c r="AT47" s="36">
        <f t="shared" si="3"/>
        <v>11.5</v>
      </c>
      <c r="AU47" s="36">
        <f t="shared" si="4"/>
        <v>1.566875</v>
      </c>
      <c r="AV47" s="36">
        <f t="shared" si="5"/>
        <v>12.535</v>
      </c>
      <c r="AW47" s="37">
        <v>1.95</v>
      </c>
      <c r="AX47" s="38">
        <f t="shared" si="6"/>
        <v>15.6</v>
      </c>
      <c r="AY47" s="38">
        <f t="shared" si="7"/>
        <v>0.38312499999999994</v>
      </c>
      <c r="AZ47" s="38">
        <f t="shared" si="8"/>
        <v>3.0649999999999995</v>
      </c>
      <c r="BA47" s="39">
        <f t="shared" si="9"/>
        <v>0.19647435897435894</v>
      </c>
      <c r="BB47" s="43"/>
      <c r="BC47" s="119">
        <f t="shared" si="10"/>
        <v>1.95</v>
      </c>
      <c r="BD47" s="108">
        <v>0.16350000000000001</v>
      </c>
      <c r="BE47" s="120">
        <f t="shared" si="11"/>
        <v>2.2688250000000001</v>
      </c>
      <c r="BF47" s="121">
        <f t="shared" si="12"/>
        <v>0.31882500000000014</v>
      </c>
      <c r="BG47" s="121">
        <f t="shared" si="13"/>
        <v>2.6325000000000012E-2</v>
      </c>
      <c r="BH47" s="122">
        <f t="shared" si="14"/>
        <v>0.31882500000000014</v>
      </c>
      <c r="BI47" s="121">
        <f t="shared" si="15"/>
        <v>1.95</v>
      </c>
      <c r="BJ47" s="123">
        <f t="shared" si="16"/>
        <v>0.19647435897435894</v>
      </c>
      <c r="BK47" s="124">
        <f t="shared" si="17"/>
        <v>0</v>
      </c>
      <c r="BL47" s="125" t="s">
        <v>226</v>
      </c>
    </row>
    <row r="48" spans="1:64" ht="45" customHeight="1" x14ac:dyDescent="0.25">
      <c r="A48" s="30">
        <v>42</v>
      </c>
      <c r="B48" s="103" t="s">
        <v>198</v>
      </c>
      <c r="C48" s="31">
        <v>1</v>
      </c>
      <c r="D48" s="32" t="s">
        <v>84</v>
      </c>
      <c r="E48" s="31">
        <f t="shared" ref="E48" si="134">D48*C48</f>
        <v>8</v>
      </c>
      <c r="F48" s="31" t="s">
        <v>226</v>
      </c>
      <c r="G48" s="31" t="s">
        <v>226</v>
      </c>
      <c r="H48" s="31" t="s">
        <v>226</v>
      </c>
      <c r="I48" s="31" t="s">
        <v>226</v>
      </c>
      <c r="J48" s="31" t="s">
        <v>226</v>
      </c>
      <c r="K48" s="31" t="s">
        <v>226</v>
      </c>
      <c r="L48" s="31" t="s">
        <v>226</v>
      </c>
      <c r="M48" s="31" t="s">
        <v>226</v>
      </c>
      <c r="N48" s="31" t="s">
        <v>226</v>
      </c>
      <c r="O48" s="31" t="s">
        <v>226</v>
      </c>
      <c r="P48" s="31" t="s">
        <v>226</v>
      </c>
      <c r="Q48" s="31" t="s">
        <v>226</v>
      </c>
      <c r="R48" s="31" t="s">
        <v>226</v>
      </c>
      <c r="S48" s="31" t="s">
        <v>226</v>
      </c>
      <c r="T48" s="31" t="s">
        <v>226</v>
      </c>
      <c r="U48" s="31" t="s">
        <v>226</v>
      </c>
      <c r="V48" s="31" t="s">
        <v>226</v>
      </c>
      <c r="W48" s="31" t="s">
        <v>226</v>
      </c>
      <c r="X48" s="31" t="s">
        <v>226</v>
      </c>
      <c r="Y48" s="31" t="s">
        <v>226</v>
      </c>
      <c r="Z48" s="31" t="s">
        <v>226</v>
      </c>
      <c r="AA48" s="31" t="s">
        <v>226</v>
      </c>
      <c r="AB48" s="31" t="s">
        <v>226</v>
      </c>
      <c r="AC48" s="31" t="s">
        <v>226</v>
      </c>
      <c r="AD48" s="31" t="s">
        <v>226</v>
      </c>
      <c r="AE48" s="31" t="s">
        <v>226</v>
      </c>
      <c r="AF48" s="31" t="s">
        <v>226</v>
      </c>
      <c r="AG48" s="31" t="s">
        <v>226</v>
      </c>
      <c r="AH48" s="31" t="s">
        <v>226</v>
      </c>
      <c r="AI48" s="31" t="s">
        <v>226</v>
      </c>
      <c r="AJ48" s="31" t="s">
        <v>226</v>
      </c>
      <c r="AK48" s="31" t="s">
        <v>226</v>
      </c>
      <c r="AL48" s="31" t="s">
        <v>226</v>
      </c>
      <c r="AM48" s="31"/>
      <c r="AN48" s="31"/>
      <c r="AO48" s="96">
        <v>11.5</v>
      </c>
      <c r="AP48" s="33">
        <f t="shared" si="1"/>
        <v>1.4375</v>
      </c>
      <c r="AQ48" s="34">
        <f t="shared" si="2"/>
        <v>11.5</v>
      </c>
      <c r="AR48" s="35"/>
      <c r="AS48" s="36">
        <f t="shared" ref="AS48" si="135">AP48/$AZ$2</f>
        <v>1.4375</v>
      </c>
      <c r="AT48" s="36">
        <f t="shared" ref="AT48" si="136">AQ48/$AZ$2</f>
        <v>11.5</v>
      </c>
      <c r="AU48" s="36">
        <f t="shared" si="4"/>
        <v>1.566875</v>
      </c>
      <c r="AV48" s="36">
        <f t="shared" si="5"/>
        <v>12.535</v>
      </c>
      <c r="AW48" s="37">
        <v>1.95</v>
      </c>
      <c r="AX48" s="38">
        <f t="shared" si="6"/>
        <v>15.6</v>
      </c>
      <c r="AY48" s="38">
        <f t="shared" ref="AY48" si="137">AW48-AU48</f>
        <v>0.38312499999999994</v>
      </c>
      <c r="AZ48" s="38">
        <f t="shared" si="8"/>
        <v>3.0649999999999995</v>
      </c>
      <c r="BA48" s="39">
        <f t="shared" ref="BA48" si="138">AY48/AW48</f>
        <v>0.19647435897435894</v>
      </c>
      <c r="BB48" s="43"/>
      <c r="BC48" s="119">
        <f t="shared" si="10"/>
        <v>1.95</v>
      </c>
      <c r="BD48" s="108">
        <v>0.16350000000000001</v>
      </c>
      <c r="BE48" s="120">
        <f t="shared" si="11"/>
        <v>2.2688250000000001</v>
      </c>
      <c r="BF48" s="121">
        <f t="shared" si="12"/>
        <v>0.31882500000000014</v>
      </c>
      <c r="BG48" s="121">
        <f t="shared" si="13"/>
        <v>2.6325000000000012E-2</v>
      </c>
      <c r="BH48" s="122">
        <f t="shared" si="14"/>
        <v>0.31882500000000014</v>
      </c>
      <c r="BI48" s="121">
        <f t="shared" si="15"/>
        <v>1.95</v>
      </c>
      <c r="BJ48" s="123">
        <f t="shared" si="16"/>
        <v>0.19647435897435894</v>
      </c>
      <c r="BK48" s="124">
        <f t="shared" si="17"/>
        <v>0</v>
      </c>
      <c r="BL48" s="125" t="s">
        <v>226</v>
      </c>
    </row>
    <row r="49" spans="1:64" ht="45" customHeight="1" x14ac:dyDescent="0.25">
      <c r="A49" s="30">
        <v>43</v>
      </c>
      <c r="B49" s="100" t="s">
        <v>181</v>
      </c>
      <c r="C49" s="31">
        <v>1</v>
      </c>
      <c r="D49" s="32" t="s">
        <v>84</v>
      </c>
      <c r="E49" s="31">
        <f t="shared" ref="E49:E51" si="139">D49*C49</f>
        <v>8</v>
      </c>
      <c r="F49" s="31" t="s">
        <v>226</v>
      </c>
      <c r="G49" s="31" t="s">
        <v>226</v>
      </c>
      <c r="H49" s="31" t="s">
        <v>226</v>
      </c>
      <c r="I49" s="31" t="s">
        <v>226</v>
      </c>
      <c r="J49" s="31" t="s">
        <v>226</v>
      </c>
      <c r="K49" s="31" t="s">
        <v>226</v>
      </c>
      <c r="L49" s="31" t="s">
        <v>226</v>
      </c>
      <c r="M49" s="31" t="s">
        <v>226</v>
      </c>
      <c r="N49" s="31" t="s">
        <v>226</v>
      </c>
      <c r="O49" s="31" t="s">
        <v>226</v>
      </c>
      <c r="P49" s="31" t="s">
        <v>226</v>
      </c>
      <c r="Q49" s="31" t="s">
        <v>226</v>
      </c>
      <c r="R49" s="31" t="s">
        <v>226</v>
      </c>
      <c r="S49" s="31" t="s">
        <v>226</v>
      </c>
      <c r="T49" s="31" t="s">
        <v>226</v>
      </c>
      <c r="U49" s="31" t="s">
        <v>226</v>
      </c>
      <c r="V49" s="31" t="s">
        <v>226</v>
      </c>
      <c r="W49" s="31" t="s">
        <v>226</v>
      </c>
      <c r="X49" s="31" t="s">
        <v>226</v>
      </c>
      <c r="Y49" s="31" t="s">
        <v>226</v>
      </c>
      <c r="Z49" s="31" t="s">
        <v>226</v>
      </c>
      <c r="AA49" s="31" t="s">
        <v>226</v>
      </c>
      <c r="AB49" s="31" t="s">
        <v>226</v>
      </c>
      <c r="AC49" s="31" t="s">
        <v>226</v>
      </c>
      <c r="AD49" s="31" t="s">
        <v>226</v>
      </c>
      <c r="AE49" s="31" t="s">
        <v>226</v>
      </c>
      <c r="AF49" s="31" t="s">
        <v>226</v>
      </c>
      <c r="AG49" s="31" t="s">
        <v>226</v>
      </c>
      <c r="AH49" s="31" t="s">
        <v>226</v>
      </c>
      <c r="AI49" s="31" t="s">
        <v>226</v>
      </c>
      <c r="AJ49" s="31" t="s">
        <v>226</v>
      </c>
      <c r="AK49" s="31" t="s">
        <v>226</v>
      </c>
      <c r="AL49" s="31" t="s">
        <v>226</v>
      </c>
      <c r="AM49" s="31"/>
      <c r="AN49" s="31"/>
      <c r="AO49" s="96">
        <v>11.5</v>
      </c>
      <c r="AP49" s="33">
        <f t="shared" si="1"/>
        <v>1.4375</v>
      </c>
      <c r="AQ49" s="34">
        <f t="shared" si="2"/>
        <v>11.5</v>
      </c>
      <c r="AR49" s="35"/>
      <c r="AS49" s="36">
        <f t="shared" ref="AS49:AS51" si="140">AP49/$AZ$2</f>
        <v>1.4375</v>
      </c>
      <c r="AT49" s="36">
        <f t="shared" ref="AT49:AT51" si="141">AQ49/$AZ$2</f>
        <v>11.5</v>
      </c>
      <c r="AU49" s="36">
        <f t="shared" si="4"/>
        <v>1.566875</v>
      </c>
      <c r="AV49" s="36">
        <f t="shared" si="5"/>
        <v>12.535</v>
      </c>
      <c r="AW49" s="37">
        <v>1.95</v>
      </c>
      <c r="AX49" s="38">
        <f t="shared" si="6"/>
        <v>15.6</v>
      </c>
      <c r="AY49" s="38">
        <f t="shared" ref="AY49:AY51" si="142">AW49-AU49</f>
        <v>0.38312499999999994</v>
      </c>
      <c r="AZ49" s="38">
        <f t="shared" si="8"/>
        <v>3.0649999999999995</v>
      </c>
      <c r="BA49" s="39">
        <f t="shared" ref="BA49:BA51" si="143">AY49/AW49</f>
        <v>0.19647435897435894</v>
      </c>
      <c r="BB49" s="40"/>
      <c r="BC49" s="119">
        <f t="shared" si="10"/>
        <v>1.95</v>
      </c>
      <c r="BD49" s="108">
        <v>0.16350000000000001</v>
      </c>
      <c r="BE49" s="120">
        <f t="shared" si="11"/>
        <v>2.2688250000000001</v>
      </c>
      <c r="BF49" s="121">
        <f t="shared" si="12"/>
        <v>0.31882500000000014</v>
      </c>
      <c r="BG49" s="121">
        <f t="shared" si="13"/>
        <v>2.6325000000000012E-2</v>
      </c>
      <c r="BH49" s="122">
        <f t="shared" si="14"/>
        <v>0.31882500000000014</v>
      </c>
      <c r="BI49" s="121">
        <f t="shared" si="15"/>
        <v>1.95</v>
      </c>
      <c r="BJ49" s="123">
        <f t="shared" si="16"/>
        <v>0.19647435897435894</v>
      </c>
      <c r="BK49" s="124">
        <f t="shared" si="17"/>
        <v>0</v>
      </c>
      <c r="BL49" s="125" t="s">
        <v>226</v>
      </c>
    </row>
    <row r="50" spans="1:64" ht="45" customHeight="1" x14ac:dyDescent="0.25">
      <c r="A50" s="30">
        <v>44</v>
      </c>
      <c r="B50" s="100" t="s">
        <v>194</v>
      </c>
      <c r="C50" s="31">
        <v>1</v>
      </c>
      <c r="D50" s="32" t="s">
        <v>84</v>
      </c>
      <c r="E50" s="31">
        <f t="shared" si="139"/>
        <v>8</v>
      </c>
      <c r="F50" s="31" t="s">
        <v>226</v>
      </c>
      <c r="G50" s="31" t="s">
        <v>226</v>
      </c>
      <c r="H50" s="31" t="s">
        <v>226</v>
      </c>
      <c r="I50" s="31" t="s">
        <v>226</v>
      </c>
      <c r="J50" s="31" t="s">
        <v>226</v>
      </c>
      <c r="K50" s="31" t="s">
        <v>226</v>
      </c>
      <c r="L50" s="31" t="s">
        <v>226</v>
      </c>
      <c r="M50" s="31" t="s">
        <v>226</v>
      </c>
      <c r="N50" s="31" t="s">
        <v>226</v>
      </c>
      <c r="O50" s="31" t="s">
        <v>226</v>
      </c>
      <c r="P50" s="31" t="s">
        <v>226</v>
      </c>
      <c r="Q50" s="31" t="s">
        <v>226</v>
      </c>
      <c r="R50" s="31" t="s">
        <v>226</v>
      </c>
      <c r="S50" s="31" t="s">
        <v>226</v>
      </c>
      <c r="T50" s="31" t="s">
        <v>226</v>
      </c>
      <c r="U50" s="31" t="s">
        <v>226</v>
      </c>
      <c r="V50" s="31" t="s">
        <v>226</v>
      </c>
      <c r="W50" s="31" t="s">
        <v>226</v>
      </c>
      <c r="X50" s="31" t="s">
        <v>226</v>
      </c>
      <c r="Y50" s="31" t="s">
        <v>226</v>
      </c>
      <c r="Z50" s="31" t="s">
        <v>226</v>
      </c>
      <c r="AA50" s="31" t="s">
        <v>226</v>
      </c>
      <c r="AB50" s="31" t="s">
        <v>226</v>
      </c>
      <c r="AC50" s="31" t="s">
        <v>226</v>
      </c>
      <c r="AD50" s="31" t="s">
        <v>226</v>
      </c>
      <c r="AE50" s="31" t="s">
        <v>226</v>
      </c>
      <c r="AF50" s="31" t="s">
        <v>226</v>
      </c>
      <c r="AG50" s="31" t="s">
        <v>226</v>
      </c>
      <c r="AH50" s="31" t="s">
        <v>226</v>
      </c>
      <c r="AI50" s="31" t="s">
        <v>226</v>
      </c>
      <c r="AJ50" s="31" t="s">
        <v>226</v>
      </c>
      <c r="AK50" s="31" t="s">
        <v>226</v>
      </c>
      <c r="AL50" s="31" t="s">
        <v>226</v>
      </c>
      <c r="AM50" s="31"/>
      <c r="AN50" s="31"/>
      <c r="AO50" s="96">
        <v>11.5</v>
      </c>
      <c r="AP50" s="33">
        <f t="shared" si="1"/>
        <v>1.4375</v>
      </c>
      <c r="AQ50" s="34">
        <f t="shared" si="2"/>
        <v>11.5</v>
      </c>
      <c r="AR50" s="35"/>
      <c r="AS50" s="36">
        <f t="shared" si="140"/>
        <v>1.4375</v>
      </c>
      <c r="AT50" s="36">
        <f t="shared" si="141"/>
        <v>11.5</v>
      </c>
      <c r="AU50" s="36">
        <f t="shared" si="4"/>
        <v>1.566875</v>
      </c>
      <c r="AV50" s="36">
        <f t="shared" si="5"/>
        <v>12.535</v>
      </c>
      <c r="AW50" s="37">
        <v>1.95</v>
      </c>
      <c r="AX50" s="38">
        <f t="shared" si="6"/>
        <v>15.6</v>
      </c>
      <c r="AY50" s="38">
        <f t="shared" si="142"/>
        <v>0.38312499999999994</v>
      </c>
      <c r="AZ50" s="38">
        <f t="shared" si="8"/>
        <v>3.0649999999999995</v>
      </c>
      <c r="BA50" s="39">
        <f t="shared" si="143"/>
        <v>0.19647435897435894</v>
      </c>
      <c r="BB50" s="40"/>
      <c r="BC50" s="119">
        <f t="shared" si="10"/>
        <v>1.95</v>
      </c>
      <c r="BD50" s="108">
        <v>0.16350000000000001</v>
      </c>
      <c r="BE50" s="120">
        <f t="shared" si="11"/>
        <v>2.2688250000000001</v>
      </c>
      <c r="BF50" s="121">
        <f t="shared" si="12"/>
        <v>0.31882500000000014</v>
      </c>
      <c r="BG50" s="121">
        <f t="shared" si="13"/>
        <v>2.6325000000000012E-2</v>
      </c>
      <c r="BH50" s="122">
        <f t="shared" si="14"/>
        <v>0.31882500000000014</v>
      </c>
      <c r="BI50" s="121">
        <f t="shared" si="15"/>
        <v>1.95</v>
      </c>
      <c r="BJ50" s="123">
        <f t="shared" si="16"/>
        <v>0.19647435897435894</v>
      </c>
      <c r="BK50" s="124">
        <f t="shared" si="17"/>
        <v>0</v>
      </c>
      <c r="BL50" s="125" t="s">
        <v>226</v>
      </c>
    </row>
    <row r="51" spans="1:64" ht="45" customHeight="1" x14ac:dyDescent="0.25">
      <c r="A51" s="30">
        <v>45</v>
      </c>
      <c r="B51" s="104" t="s">
        <v>197</v>
      </c>
      <c r="C51" s="31">
        <v>1</v>
      </c>
      <c r="D51" s="32" t="s">
        <v>84</v>
      </c>
      <c r="E51" s="31">
        <f t="shared" si="139"/>
        <v>8</v>
      </c>
      <c r="F51" s="31" t="s">
        <v>226</v>
      </c>
      <c r="G51" s="31" t="s">
        <v>226</v>
      </c>
      <c r="H51" s="31" t="s">
        <v>226</v>
      </c>
      <c r="I51" s="31" t="s">
        <v>226</v>
      </c>
      <c r="J51" s="31" t="s">
        <v>226</v>
      </c>
      <c r="K51" s="31" t="s">
        <v>226</v>
      </c>
      <c r="L51" s="31" t="s">
        <v>226</v>
      </c>
      <c r="M51" s="31" t="s">
        <v>226</v>
      </c>
      <c r="N51" s="31" t="s">
        <v>226</v>
      </c>
      <c r="O51" s="31" t="s">
        <v>226</v>
      </c>
      <c r="P51" s="31" t="s">
        <v>226</v>
      </c>
      <c r="Q51" s="31" t="s">
        <v>226</v>
      </c>
      <c r="R51" s="31" t="s">
        <v>226</v>
      </c>
      <c r="S51" s="31" t="s">
        <v>226</v>
      </c>
      <c r="T51" s="31" t="s">
        <v>226</v>
      </c>
      <c r="U51" s="31" t="s">
        <v>226</v>
      </c>
      <c r="V51" s="31" t="s">
        <v>226</v>
      </c>
      <c r="W51" s="31" t="s">
        <v>226</v>
      </c>
      <c r="X51" s="31" t="s">
        <v>226</v>
      </c>
      <c r="Y51" s="31" t="s">
        <v>226</v>
      </c>
      <c r="Z51" s="31" t="s">
        <v>226</v>
      </c>
      <c r="AA51" s="31" t="s">
        <v>226</v>
      </c>
      <c r="AB51" s="31" t="s">
        <v>226</v>
      </c>
      <c r="AC51" s="31" t="s">
        <v>226</v>
      </c>
      <c r="AD51" s="31" t="s">
        <v>226</v>
      </c>
      <c r="AE51" s="31" t="s">
        <v>226</v>
      </c>
      <c r="AF51" s="31" t="s">
        <v>226</v>
      </c>
      <c r="AG51" s="31" t="s">
        <v>226</v>
      </c>
      <c r="AH51" s="31" t="s">
        <v>226</v>
      </c>
      <c r="AI51" s="31" t="s">
        <v>226</v>
      </c>
      <c r="AJ51" s="31" t="s">
        <v>226</v>
      </c>
      <c r="AK51" s="31" t="s">
        <v>226</v>
      </c>
      <c r="AL51" s="31" t="s">
        <v>226</v>
      </c>
      <c r="AM51" s="31"/>
      <c r="AN51" s="31"/>
      <c r="AO51" s="96">
        <v>11.5</v>
      </c>
      <c r="AP51" s="33">
        <f t="shared" si="1"/>
        <v>1.4375</v>
      </c>
      <c r="AQ51" s="34">
        <f t="shared" si="2"/>
        <v>11.5</v>
      </c>
      <c r="AR51" s="35"/>
      <c r="AS51" s="36">
        <f t="shared" si="140"/>
        <v>1.4375</v>
      </c>
      <c r="AT51" s="36">
        <f t="shared" si="141"/>
        <v>11.5</v>
      </c>
      <c r="AU51" s="36">
        <f t="shared" ref="AU51:AU82" si="144">AS51*(1+$AV$189+9%)</f>
        <v>1.566875</v>
      </c>
      <c r="AV51" s="36">
        <f t="shared" si="5"/>
        <v>12.535</v>
      </c>
      <c r="AW51" s="37">
        <v>1.95</v>
      </c>
      <c r="AX51" s="38">
        <f t="shared" si="6"/>
        <v>15.6</v>
      </c>
      <c r="AY51" s="38">
        <f t="shared" si="142"/>
        <v>0.38312499999999994</v>
      </c>
      <c r="AZ51" s="38">
        <f t="shared" si="8"/>
        <v>3.0649999999999995</v>
      </c>
      <c r="BA51" s="39">
        <f t="shared" si="143"/>
        <v>0.19647435897435894</v>
      </c>
      <c r="BB51" s="43"/>
      <c r="BC51" s="119">
        <f t="shared" si="10"/>
        <v>1.95</v>
      </c>
      <c r="BD51" s="108">
        <v>0.16350000000000001</v>
      </c>
      <c r="BE51" s="120">
        <f t="shared" si="11"/>
        <v>2.2688250000000001</v>
      </c>
      <c r="BF51" s="121">
        <f t="shared" si="12"/>
        <v>0.31882500000000014</v>
      </c>
      <c r="BG51" s="121">
        <f t="shared" si="13"/>
        <v>2.6325000000000012E-2</v>
      </c>
      <c r="BH51" s="122">
        <f t="shared" si="14"/>
        <v>0.31882500000000014</v>
      </c>
      <c r="BI51" s="121">
        <f t="shared" si="15"/>
        <v>1.95</v>
      </c>
      <c r="BJ51" s="123">
        <f t="shared" si="16"/>
        <v>0.19647435897435894</v>
      </c>
      <c r="BK51" s="124">
        <f t="shared" si="17"/>
        <v>0</v>
      </c>
      <c r="BL51" s="125" t="s">
        <v>226</v>
      </c>
    </row>
    <row r="52" spans="1:64" ht="45" customHeight="1" x14ac:dyDescent="0.25">
      <c r="A52" s="30">
        <v>46</v>
      </c>
      <c r="B52" s="100" t="s">
        <v>46</v>
      </c>
      <c r="C52" s="31">
        <v>1</v>
      </c>
      <c r="D52" s="32" t="s">
        <v>84</v>
      </c>
      <c r="E52" s="31">
        <f t="shared" si="0"/>
        <v>8</v>
      </c>
      <c r="F52" s="31" t="s">
        <v>226</v>
      </c>
      <c r="G52" s="31" t="s">
        <v>226</v>
      </c>
      <c r="H52" s="31" t="s">
        <v>226</v>
      </c>
      <c r="I52" s="31" t="s">
        <v>226</v>
      </c>
      <c r="J52" s="31" t="s">
        <v>226</v>
      </c>
      <c r="K52" s="31" t="s">
        <v>226</v>
      </c>
      <c r="L52" s="31" t="s">
        <v>226</v>
      </c>
      <c r="M52" s="31" t="s">
        <v>226</v>
      </c>
      <c r="N52" s="31" t="s">
        <v>226</v>
      </c>
      <c r="O52" s="31" t="s">
        <v>226</v>
      </c>
      <c r="P52" s="31" t="s">
        <v>226</v>
      </c>
      <c r="Q52" s="31" t="s">
        <v>226</v>
      </c>
      <c r="R52" s="31" t="s">
        <v>226</v>
      </c>
      <c r="S52" s="31" t="s">
        <v>226</v>
      </c>
      <c r="T52" s="31" t="s">
        <v>226</v>
      </c>
      <c r="U52" s="31" t="s">
        <v>226</v>
      </c>
      <c r="V52" s="31" t="s">
        <v>226</v>
      </c>
      <c r="W52" s="31" t="s">
        <v>226</v>
      </c>
      <c r="X52" s="31" t="s">
        <v>226</v>
      </c>
      <c r="Y52" s="31" t="s">
        <v>226</v>
      </c>
      <c r="Z52" s="31" t="s">
        <v>226</v>
      </c>
      <c r="AA52" s="31" t="s">
        <v>226</v>
      </c>
      <c r="AB52" s="31" t="s">
        <v>226</v>
      </c>
      <c r="AC52" s="31" t="s">
        <v>226</v>
      </c>
      <c r="AD52" s="31" t="s">
        <v>226</v>
      </c>
      <c r="AE52" s="31" t="s">
        <v>226</v>
      </c>
      <c r="AF52" s="31" t="s">
        <v>226</v>
      </c>
      <c r="AG52" s="31" t="s">
        <v>226</v>
      </c>
      <c r="AH52" s="31" t="s">
        <v>226</v>
      </c>
      <c r="AI52" s="31" t="s">
        <v>226</v>
      </c>
      <c r="AJ52" s="31" t="s">
        <v>226</v>
      </c>
      <c r="AK52" s="31" t="s">
        <v>226</v>
      </c>
      <c r="AL52" s="31" t="s">
        <v>226</v>
      </c>
      <c r="AM52" s="31"/>
      <c r="AN52" s="31"/>
      <c r="AO52" s="96">
        <v>11.5</v>
      </c>
      <c r="AP52" s="33">
        <f t="shared" ref="AP52:AP85" si="145">AO52/D52</f>
        <v>1.4375</v>
      </c>
      <c r="AQ52" s="34">
        <f t="shared" ref="AQ52:AQ85" si="146">AP52*E52</f>
        <v>11.5</v>
      </c>
      <c r="AR52" s="35"/>
      <c r="AS52" s="36">
        <f t="shared" si="3"/>
        <v>1.4375</v>
      </c>
      <c r="AT52" s="36">
        <f t="shared" si="3"/>
        <v>11.5</v>
      </c>
      <c r="AU52" s="36">
        <f t="shared" si="144"/>
        <v>1.566875</v>
      </c>
      <c r="AV52" s="36">
        <f t="shared" ref="AV52:AV85" si="147">AU52*E52</f>
        <v>12.535</v>
      </c>
      <c r="AW52" s="37">
        <v>1.95</v>
      </c>
      <c r="AX52" s="38">
        <f t="shared" ref="AX52:AX85" si="148">AW52*E52</f>
        <v>15.6</v>
      </c>
      <c r="AY52" s="38">
        <f t="shared" si="7"/>
        <v>0.38312499999999994</v>
      </c>
      <c r="AZ52" s="38">
        <f t="shared" ref="AZ52:AZ85" si="149">AY52*E52</f>
        <v>3.0649999999999995</v>
      </c>
      <c r="BA52" s="39">
        <f t="shared" si="9"/>
        <v>0.19647435897435894</v>
      </c>
      <c r="BB52" s="40"/>
      <c r="BC52" s="119">
        <f t="shared" si="10"/>
        <v>1.95</v>
      </c>
      <c r="BD52" s="108">
        <v>0.16350000000000001</v>
      </c>
      <c r="BE52" s="120">
        <f t="shared" si="11"/>
        <v>2.2688250000000001</v>
      </c>
      <c r="BF52" s="121">
        <f t="shared" si="12"/>
        <v>0.31882500000000014</v>
      </c>
      <c r="BG52" s="121">
        <f t="shared" si="13"/>
        <v>2.6325000000000012E-2</v>
      </c>
      <c r="BH52" s="122">
        <f t="shared" si="14"/>
        <v>0.31882500000000014</v>
      </c>
      <c r="BI52" s="121">
        <f t="shared" si="15"/>
        <v>1.95</v>
      </c>
      <c r="BJ52" s="123">
        <f t="shared" si="16"/>
        <v>0.19647435897435894</v>
      </c>
      <c r="BK52" s="124">
        <f t="shared" si="17"/>
        <v>0</v>
      </c>
      <c r="BL52" s="125" t="s">
        <v>226</v>
      </c>
    </row>
    <row r="53" spans="1:64" ht="45" customHeight="1" x14ac:dyDescent="0.25">
      <c r="A53" s="30">
        <v>47</v>
      </c>
      <c r="B53" s="100" t="s">
        <v>47</v>
      </c>
      <c r="C53" s="31">
        <v>1</v>
      </c>
      <c r="D53" s="32" t="s">
        <v>84</v>
      </c>
      <c r="E53" s="31">
        <f t="shared" si="0"/>
        <v>8</v>
      </c>
      <c r="F53" s="31" t="s">
        <v>226</v>
      </c>
      <c r="G53" s="31" t="s">
        <v>226</v>
      </c>
      <c r="H53" s="31" t="s">
        <v>226</v>
      </c>
      <c r="I53" s="31" t="s">
        <v>226</v>
      </c>
      <c r="J53" s="31" t="s">
        <v>226</v>
      </c>
      <c r="K53" s="31" t="s">
        <v>226</v>
      </c>
      <c r="L53" s="31" t="s">
        <v>226</v>
      </c>
      <c r="M53" s="31" t="s">
        <v>226</v>
      </c>
      <c r="N53" s="31" t="s">
        <v>226</v>
      </c>
      <c r="O53" s="31" t="s">
        <v>226</v>
      </c>
      <c r="P53" s="31" t="s">
        <v>226</v>
      </c>
      <c r="Q53" s="31" t="s">
        <v>226</v>
      </c>
      <c r="R53" s="31" t="s">
        <v>226</v>
      </c>
      <c r="S53" s="31" t="s">
        <v>226</v>
      </c>
      <c r="T53" s="31" t="s">
        <v>226</v>
      </c>
      <c r="U53" s="31" t="s">
        <v>226</v>
      </c>
      <c r="V53" s="31" t="s">
        <v>226</v>
      </c>
      <c r="W53" s="31" t="s">
        <v>226</v>
      </c>
      <c r="X53" s="31" t="s">
        <v>226</v>
      </c>
      <c r="Y53" s="31" t="s">
        <v>226</v>
      </c>
      <c r="Z53" s="31" t="s">
        <v>226</v>
      </c>
      <c r="AA53" s="31" t="s">
        <v>226</v>
      </c>
      <c r="AB53" s="31" t="s">
        <v>226</v>
      </c>
      <c r="AC53" s="31" t="s">
        <v>226</v>
      </c>
      <c r="AD53" s="31" t="s">
        <v>226</v>
      </c>
      <c r="AE53" s="31" t="s">
        <v>226</v>
      </c>
      <c r="AF53" s="31" t="s">
        <v>226</v>
      </c>
      <c r="AG53" s="31" t="s">
        <v>226</v>
      </c>
      <c r="AH53" s="31" t="s">
        <v>226</v>
      </c>
      <c r="AI53" s="31" t="s">
        <v>226</v>
      </c>
      <c r="AJ53" s="31" t="s">
        <v>226</v>
      </c>
      <c r="AK53" s="31" t="s">
        <v>226</v>
      </c>
      <c r="AL53" s="31" t="s">
        <v>226</v>
      </c>
      <c r="AM53" s="31"/>
      <c r="AN53" s="31"/>
      <c r="AO53" s="96">
        <v>15</v>
      </c>
      <c r="AP53" s="33">
        <f t="shared" si="145"/>
        <v>1.875</v>
      </c>
      <c r="AQ53" s="34">
        <f t="shared" si="146"/>
        <v>15</v>
      </c>
      <c r="AR53" s="35"/>
      <c r="AS53" s="36">
        <f t="shared" si="3"/>
        <v>1.875</v>
      </c>
      <c r="AT53" s="36">
        <f t="shared" si="3"/>
        <v>15</v>
      </c>
      <c r="AU53" s="36">
        <f t="shared" si="144"/>
        <v>2.0437500000000002</v>
      </c>
      <c r="AV53" s="36">
        <f t="shared" si="147"/>
        <v>16.350000000000001</v>
      </c>
      <c r="AW53" s="37">
        <v>2.5</v>
      </c>
      <c r="AX53" s="38">
        <f t="shared" si="148"/>
        <v>20</v>
      </c>
      <c r="AY53" s="38">
        <f t="shared" si="7"/>
        <v>0.45624999999999982</v>
      </c>
      <c r="AZ53" s="38">
        <f t="shared" si="149"/>
        <v>3.6499999999999986</v>
      </c>
      <c r="BA53" s="39">
        <f t="shared" si="9"/>
        <v>0.18249999999999994</v>
      </c>
      <c r="BB53" s="41"/>
      <c r="BC53" s="119">
        <f t="shared" si="10"/>
        <v>2.5</v>
      </c>
      <c r="BD53" s="108">
        <v>0.16350000000000001</v>
      </c>
      <c r="BE53" s="120">
        <f t="shared" si="11"/>
        <v>2.9087499999999999</v>
      </c>
      <c r="BF53" s="121">
        <f t="shared" si="12"/>
        <v>0.40874999999999995</v>
      </c>
      <c r="BG53" s="121">
        <f t="shared" si="13"/>
        <v>3.3749999999999995E-2</v>
      </c>
      <c r="BH53" s="122">
        <f t="shared" si="14"/>
        <v>0.40874999999999995</v>
      </c>
      <c r="BI53" s="121">
        <f t="shared" si="15"/>
        <v>2.5</v>
      </c>
      <c r="BJ53" s="123">
        <f t="shared" si="16"/>
        <v>0.18249999999999994</v>
      </c>
      <c r="BK53" s="124">
        <f t="shared" si="17"/>
        <v>0</v>
      </c>
      <c r="BL53" s="125" t="s">
        <v>226</v>
      </c>
    </row>
    <row r="54" spans="1:64" ht="45" customHeight="1" x14ac:dyDescent="0.25">
      <c r="A54" s="30">
        <v>48</v>
      </c>
      <c r="B54" s="100" t="s">
        <v>48</v>
      </c>
      <c r="C54" s="31">
        <v>1</v>
      </c>
      <c r="D54" s="32" t="s">
        <v>84</v>
      </c>
      <c r="E54" s="31">
        <f t="shared" si="0"/>
        <v>8</v>
      </c>
      <c r="F54" s="31" t="s">
        <v>226</v>
      </c>
      <c r="G54" s="31" t="s">
        <v>226</v>
      </c>
      <c r="H54" s="31" t="s">
        <v>226</v>
      </c>
      <c r="I54" s="31" t="s">
        <v>226</v>
      </c>
      <c r="J54" s="31" t="s">
        <v>226</v>
      </c>
      <c r="K54" s="31" t="s">
        <v>226</v>
      </c>
      <c r="L54" s="31" t="s">
        <v>226</v>
      </c>
      <c r="M54" s="31" t="s">
        <v>226</v>
      </c>
      <c r="N54" s="31" t="s">
        <v>226</v>
      </c>
      <c r="O54" s="31" t="s">
        <v>226</v>
      </c>
      <c r="P54" s="31" t="s">
        <v>226</v>
      </c>
      <c r="Q54" s="31" t="s">
        <v>226</v>
      </c>
      <c r="R54" s="31" t="s">
        <v>226</v>
      </c>
      <c r="S54" s="31" t="s">
        <v>226</v>
      </c>
      <c r="T54" s="31" t="s">
        <v>226</v>
      </c>
      <c r="U54" s="31" t="s">
        <v>226</v>
      </c>
      <c r="V54" s="31" t="s">
        <v>226</v>
      </c>
      <c r="W54" s="31" t="s">
        <v>226</v>
      </c>
      <c r="X54" s="31" t="s">
        <v>226</v>
      </c>
      <c r="Y54" s="31" t="s">
        <v>226</v>
      </c>
      <c r="Z54" s="31" t="s">
        <v>226</v>
      </c>
      <c r="AA54" s="31" t="s">
        <v>226</v>
      </c>
      <c r="AB54" s="31" t="s">
        <v>226</v>
      </c>
      <c r="AC54" s="31" t="s">
        <v>226</v>
      </c>
      <c r="AD54" s="31" t="s">
        <v>226</v>
      </c>
      <c r="AE54" s="31" t="s">
        <v>226</v>
      </c>
      <c r="AF54" s="31" t="s">
        <v>226</v>
      </c>
      <c r="AG54" s="31" t="s">
        <v>226</v>
      </c>
      <c r="AH54" s="31" t="s">
        <v>226</v>
      </c>
      <c r="AI54" s="31" t="s">
        <v>226</v>
      </c>
      <c r="AJ54" s="31" t="s">
        <v>226</v>
      </c>
      <c r="AK54" s="31" t="s">
        <v>226</v>
      </c>
      <c r="AL54" s="31" t="s">
        <v>226</v>
      </c>
      <c r="AM54" s="31"/>
      <c r="AN54" s="31"/>
      <c r="AO54" s="96">
        <v>15</v>
      </c>
      <c r="AP54" s="33">
        <f t="shared" si="145"/>
        <v>1.875</v>
      </c>
      <c r="AQ54" s="34">
        <f t="shared" si="146"/>
        <v>15</v>
      </c>
      <c r="AR54" s="35"/>
      <c r="AS54" s="36">
        <f t="shared" si="3"/>
        <v>1.875</v>
      </c>
      <c r="AT54" s="36">
        <f t="shared" si="3"/>
        <v>15</v>
      </c>
      <c r="AU54" s="36">
        <f t="shared" si="144"/>
        <v>2.0437500000000002</v>
      </c>
      <c r="AV54" s="36">
        <f t="shared" si="147"/>
        <v>16.350000000000001</v>
      </c>
      <c r="AW54" s="37">
        <v>2.5</v>
      </c>
      <c r="AX54" s="38">
        <f t="shared" si="148"/>
        <v>20</v>
      </c>
      <c r="AY54" s="38">
        <f t="shared" si="7"/>
        <v>0.45624999999999982</v>
      </c>
      <c r="AZ54" s="38">
        <f t="shared" si="149"/>
        <v>3.6499999999999986</v>
      </c>
      <c r="BA54" s="39">
        <f t="shared" si="9"/>
        <v>0.18249999999999994</v>
      </c>
      <c r="BB54" s="42"/>
      <c r="BC54" s="119">
        <f t="shared" si="10"/>
        <v>2.5</v>
      </c>
      <c r="BD54" s="108">
        <v>0.16350000000000001</v>
      </c>
      <c r="BE54" s="120">
        <f t="shared" si="11"/>
        <v>2.9087499999999999</v>
      </c>
      <c r="BF54" s="121">
        <f t="shared" si="12"/>
        <v>0.40874999999999995</v>
      </c>
      <c r="BG54" s="121">
        <f t="shared" si="13"/>
        <v>3.3749999999999995E-2</v>
      </c>
      <c r="BH54" s="122">
        <f t="shared" si="14"/>
        <v>0.40874999999999995</v>
      </c>
      <c r="BI54" s="121">
        <f t="shared" si="15"/>
        <v>2.5</v>
      </c>
      <c r="BJ54" s="123">
        <f t="shared" si="16"/>
        <v>0.18249999999999994</v>
      </c>
      <c r="BK54" s="124">
        <f t="shared" si="17"/>
        <v>0</v>
      </c>
      <c r="BL54" s="125" t="s">
        <v>226</v>
      </c>
    </row>
    <row r="55" spans="1:64" ht="45" customHeight="1" x14ac:dyDescent="0.25">
      <c r="A55" s="30">
        <v>49</v>
      </c>
      <c r="B55" s="101" t="s">
        <v>49</v>
      </c>
      <c r="C55" s="31">
        <v>1</v>
      </c>
      <c r="D55" s="32" t="s">
        <v>84</v>
      </c>
      <c r="E55" s="31">
        <f t="shared" si="0"/>
        <v>8</v>
      </c>
      <c r="F55" s="31" t="s">
        <v>226</v>
      </c>
      <c r="G55" s="31" t="s">
        <v>226</v>
      </c>
      <c r="H55" s="31" t="s">
        <v>226</v>
      </c>
      <c r="I55" s="31" t="s">
        <v>226</v>
      </c>
      <c r="J55" s="31" t="s">
        <v>226</v>
      </c>
      <c r="K55" s="31" t="s">
        <v>226</v>
      </c>
      <c r="L55" s="31" t="s">
        <v>226</v>
      </c>
      <c r="M55" s="31" t="s">
        <v>226</v>
      </c>
      <c r="N55" s="31" t="s">
        <v>226</v>
      </c>
      <c r="O55" s="31" t="s">
        <v>226</v>
      </c>
      <c r="P55" s="31" t="s">
        <v>226</v>
      </c>
      <c r="Q55" s="31" t="s">
        <v>226</v>
      </c>
      <c r="R55" s="31" t="s">
        <v>226</v>
      </c>
      <c r="S55" s="31" t="s">
        <v>226</v>
      </c>
      <c r="T55" s="31" t="s">
        <v>226</v>
      </c>
      <c r="U55" s="31" t="s">
        <v>226</v>
      </c>
      <c r="V55" s="31" t="s">
        <v>226</v>
      </c>
      <c r="W55" s="31" t="s">
        <v>226</v>
      </c>
      <c r="X55" s="31" t="s">
        <v>226</v>
      </c>
      <c r="Y55" s="31" t="s">
        <v>226</v>
      </c>
      <c r="Z55" s="31" t="s">
        <v>226</v>
      </c>
      <c r="AA55" s="31" t="s">
        <v>226</v>
      </c>
      <c r="AB55" s="31" t="s">
        <v>226</v>
      </c>
      <c r="AC55" s="31" t="s">
        <v>226</v>
      </c>
      <c r="AD55" s="31" t="s">
        <v>226</v>
      </c>
      <c r="AE55" s="31" t="s">
        <v>226</v>
      </c>
      <c r="AF55" s="31" t="s">
        <v>226</v>
      </c>
      <c r="AG55" s="31" t="s">
        <v>226</v>
      </c>
      <c r="AH55" s="31" t="s">
        <v>226</v>
      </c>
      <c r="AI55" s="31" t="s">
        <v>226</v>
      </c>
      <c r="AJ55" s="31" t="s">
        <v>226</v>
      </c>
      <c r="AK55" s="31" t="s">
        <v>226</v>
      </c>
      <c r="AL55" s="31" t="s">
        <v>226</v>
      </c>
      <c r="AM55" s="31"/>
      <c r="AN55" s="31"/>
      <c r="AO55" s="96">
        <v>15</v>
      </c>
      <c r="AP55" s="33">
        <f t="shared" si="145"/>
        <v>1.875</v>
      </c>
      <c r="AQ55" s="34">
        <f t="shared" si="146"/>
        <v>15</v>
      </c>
      <c r="AR55" s="35"/>
      <c r="AS55" s="36">
        <f t="shared" si="3"/>
        <v>1.875</v>
      </c>
      <c r="AT55" s="36">
        <f t="shared" si="3"/>
        <v>15</v>
      </c>
      <c r="AU55" s="36">
        <f t="shared" si="144"/>
        <v>2.0437500000000002</v>
      </c>
      <c r="AV55" s="36">
        <f t="shared" si="147"/>
        <v>16.350000000000001</v>
      </c>
      <c r="AW55" s="37">
        <v>2.5</v>
      </c>
      <c r="AX55" s="38">
        <f t="shared" si="148"/>
        <v>20</v>
      </c>
      <c r="AY55" s="38">
        <f t="shared" si="7"/>
        <v>0.45624999999999982</v>
      </c>
      <c r="AZ55" s="38">
        <f t="shared" si="149"/>
        <v>3.6499999999999986</v>
      </c>
      <c r="BA55" s="39">
        <f t="shared" si="9"/>
        <v>0.18249999999999994</v>
      </c>
      <c r="BB55" s="42"/>
      <c r="BC55" s="119">
        <f t="shared" si="10"/>
        <v>2.5</v>
      </c>
      <c r="BD55" s="108">
        <v>0.16350000000000001</v>
      </c>
      <c r="BE55" s="120">
        <f t="shared" si="11"/>
        <v>2.9087499999999999</v>
      </c>
      <c r="BF55" s="121">
        <f t="shared" si="12"/>
        <v>0.40874999999999995</v>
      </c>
      <c r="BG55" s="121">
        <f t="shared" si="13"/>
        <v>3.3749999999999995E-2</v>
      </c>
      <c r="BH55" s="122">
        <f t="shared" si="14"/>
        <v>0.40874999999999995</v>
      </c>
      <c r="BI55" s="121">
        <f t="shared" si="15"/>
        <v>2.5</v>
      </c>
      <c r="BJ55" s="123">
        <f t="shared" si="16"/>
        <v>0.18249999999999994</v>
      </c>
      <c r="BK55" s="124">
        <f t="shared" si="17"/>
        <v>0</v>
      </c>
      <c r="BL55" s="125" t="s">
        <v>226</v>
      </c>
    </row>
    <row r="56" spans="1:64" ht="45" customHeight="1" x14ac:dyDescent="0.25">
      <c r="A56" s="30">
        <v>50</v>
      </c>
      <c r="B56" s="102" t="s">
        <v>50</v>
      </c>
      <c r="C56" s="31">
        <v>1</v>
      </c>
      <c r="D56" s="32" t="s">
        <v>73</v>
      </c>
      <c r="E56" s="31">
        <f t="shared" si="0"/>
        <v>12</v>
      </c>
      <c r="F56" s="31" t="s">
        <v>226</v>
      </c>
      <c r="G56" s="31" t="s">
        <v>226</v>
      </c>
      <c r="H56" s="31" t="s">
        <v>226</v>
      </c>
      <c r="I56" s="31" t="s">
        <v>226</v>
      </c>
      <c r="J56" s="31" t="s">
        <v>226</v>
      </c>
      <c r="K56" s="31" t="s">
        <v>226</v>
      </c>
      <c r="L56" s="31" t="s">
        <v>226</v>
      </c>
      <c r="M56" s="31" t="s">
        <v>226</v>
      </c>
      <c r="N56" s="31" t="s">
        <v>226</v>
      </c>
      <c r="O56" s="31" t="s">
        <v>226</v>
      </c>
      <c r="P56" s="31" t="s">
        <v>226</v>
      </c>
      <c r="Q56" s="31" t="s">
        <v>226</v>
      </c>
      <c r="R56" s="31" t="s">
        <v>226</v>
      </c>
      <c r="S56" s="31" t="s">
        <v>226</v>
      </c>
      <c r="T56" s="31" t="s">
        <v>226</v>
      </c>
      <c r="U56" s="31" t="s">
        <v>226</v>
      </c>
      <c r="V56" s="31" t="s">
        <v>226</v>
      </c>
      <c r="W56" s="31" t="s">
        <v>226</v>
      </c>
      <c r="X56" s="31" t="s">
        <v>226</v>
      </c>
      <c r="Y56" s="31" t="s">
        <v>226</v>
      </c>
      <c r="Z56" s="31" t="s">
        <v>226</v>
      </c>
      <c r="AA56" s="31" t="s">
        <v>226</v>
      </c>
      <c r="AB56" s="31" t="s">
        <v>226</v>
      </c>
      <c r="AC56" s="31" t="s">
        <v>226</v>
      </c>
      <c r="AD56" s="31" t="s">
        <v>226</v>
      </c>
      <c r="AE56" s="31" t="s">
        <v>226</v>
      </c>
      <c r="AF56" s="31" t="s">
        <v>226</v>
      </c>
      <c r="AG56" s="31" t="s">
        <v>226</v>
      </c>
      <c r="AH56" s="31" t="s">
        <v>226</v>
      </c>
      <c r="AI56" s="31" t="s">
        <v>226</v>
      </c>
      <c r="AJ56" s="31" t="s">
        <v>226</v>
      </c>
      <c r="AK56" s="31" t="s">
        <v>226</v>
      </c>
      <c r="AL56" s="31" t="s">
        <v>226</v>
      </c>
      <c r="AM56" s="31"/>
      <c r="AN56" s="31"/>
      <c r="AO56" s="96">
        <v>20.5</v>
      </c>
      <c r="AP56" s="33">
        <f t="shared" si="145"/>
        <v>1.7083333333333333</v>
      </c>
      <c r="AQ56" s="34">
        <f t="shared" si="146"/>
        <v>20.5</v>
      </c>
      <c r="AR56" s="35"/>
      <c r="AS56" s="36">
        <f t="shared" si="3"/>
        <v>1.7083333333333333</v>
      </c>
      <c r="AT56" s="36">
        <f t="shared" si="3"/>
        <v>20.5</v>
      </c>
      <c r="AU56" s="36">
        <f t="shared" si="144"/>
        <v>1.8620833333333333</v>
      </c>
      <c r="AV56" s="36">
        <f t="shared" si="147"/>
        <v>22.344999999999999</v>
      </c>
      <c r="AW56" s="37">
        <v>2.75</v>
      </c>
      <c r="AX56" s="38">
        <f t="shared" si="148"/>
        <v>33</v>
      </c>
      <c r="AY56" s="38">
        <f t="shared" si="7"/>
        <v>0.88791666666666669</v>
      </c>
      <c r="AZ56" s="38">
        <f t="shared" si="149"/>
        <v>10.655000000000001</v>
      </c>
      <c r="BA56" s="39">
        <f t="shared" si="9"/>
        <v>0.32287878787878788</v>
      </c>
      <c r="BB56" s="42"/>
      <c r="BC56" s="119">
        <f t="shared" si="10"/>
        <v>2.75</v>
      </c>
      <c r="BD56" s="108">
        <v>0.16350000000000001</v>
      </c>
      <c r="BE56" s="120">
        <f t="shared" si="11"/>
        <v>3.1996250000000002</v>
      </c>
      <c r="BF56" s="121">
        <f t="shared" si="12"/>
        <v>0.44962500000000016</v>
      </c>
      <c r="BG56" s="121">
        <f t="shared" si="13"/>
        <v>3.7125000000000012E-2</v>
      </c>
      <c r="BH56" s="122">
        <f t="shared" si="14"/>
        <v>0.44962500000000016</v>
      </c>
      <c r="BI56" s="121">
        <f t="shared" si="15"/>
        <v>2.75</v>
      </c>
      <c r="BJ56" s="123">
        <f t="shared" si="16"/>
        <v>0.32287878787878788</v>
      </c>
      <c r="BK56" s="124">
        <f t="shared" si="17"/>
        <v>0</v>
      </c>
      <c r="BL56" s="125" t="s">
        <v>226</v>
      </c>
    </row>
    <row r="57" spans="1:64" ht="45" customHeight="1" x14ac:dyDescent="0.25">
      <c r="A57" s="30">
        <v>51</v>
      </c>
      <c r="B57" s="103" t="s">
        <v>51</v>
      </c>
      <c r="C57" s="31">
        <v>1</v>
      </c>
      <c r="D57" s="32" t="s">
        <v>73</v>
      </c>
      <c r="E57" s="31">
        <f t="shared" si="0"/>
        <v>12</v>
      </c>
      <c r="F57" s="31" t="s">
        <v>226</v>
      </c>
      <c r="G57" s="31" t="s">
        <v>226</v>
      </c>
      <c r="H57" s="31" t="s">
        <v>226</v>
      </c>
      <c r="I57" s="31" t="s">
        <v>226</v>
      </c>
      <c r="J57" s="31" t="s">
        <v>226</v>
      </c>
      <c r="K57" s="31" t="s">
        <v>226</v>
      </c>
      <c r="L57" s="31" t="s">
        <v>226</v>
      </c>
      <c r="M57" s="31" t="s">
        <v>226</v>
      </c>
      <c r="N57" s="31" t="s">
        <v>226</v>
      </c>
      <c r="O57" s="31" t="s">
        <v>226</v>
      </c>
      <c r="P57" s="31" t="s">
        <v>226</v>
      </c>
      <c r="Q57" s="31" t="s">
        <v>226</v>
      </c>
      <c r="R57" s="31" t="s">
        <v>226</v>
      </c>
      <c r="S57" s="31" t="s">
        <v>226</v>
      </c>
      <c r="T57" s="31" t="s">
        <v>226</v>
      </c>
      <c r="U57" s="31" t="s">
        <v>226</v>
      </c>
      <c r="V57" s="31" t="s">
        <v>226</v>
      </c>
      <c r="W57" s="31" t="s">
        <v>226</v>
      </c>
      <c r="X57" s="31" t="s">
        <v>226</v>
      </c>
      <c r="Y57" s="31" t="s">
        <v>226</v>
      </c>
      <c r="Z57" s="31" t="s">
        <v>226</v>
      </c>
      <c r="AA57" s="31" t="s">
        <v>226</v>
      </c>
      <c r="AB57" s="31" t="s">
        <v>226</v>
      </c>
      <c r="AC57" s="31" t="s">
        <v>226</v>
      </c>
      <c r="AD57" s="31" t="s">
        <v>226</v>
      </c>
      <c r="AE57" s="31" t="s">
        <v>226</v>
      </c>
      <c r="AF57" s="31" t="s">
        <v>226</v>
      </c>
      <c r="AG57" s="31" t="s">
        <v>226</v>
      </c>
      <c r="AH57" s="31" t="s">
        <v>226</v>
      </c>
      <c r="AI57" s="31" t="s">
        <v>226</v>
      </c>
      <c r="AJ57" s="31" t="s">
        <v>226</v>
      </c>
      <c r="AK57" s="31" t="s">
        <v>226</v>
      </c>
      <c r="AL57" s="31" t="s">
        <v>226</v>
      </c>
      <c r="AM57" s="31"/>
      <c r="AN57" s="31"/>
      <c r="AO57" s="96">
        <v>18.850000000000001</v>
      </c>
      <c r="AP57" s="33">
        <f t="shared" si="145"/>
        <v>1.5708333333333335</v>
      </c>
      <c r="AQ57" s="34">
        <f t="shared" si="146"/>
        <v>18.850000000000001</v>
      </c>
      <c r="AR57" s="35"/>
      <c r="AS57" s="36">
        <f t="shared" si="3"/>
        <v>1.5708333333333335</v>
      </c>
      <c r="AT57" s="36">
        <f t="shared" si="3"/>
        <v>18.850000000000001</v>
      </c>
      <c r="AU57" s="36">
        <f t="shared" si="144"/>
        <v>1.7122083333333338</v>
      </c>
      <c r="AV57" s="36">
        <f t="shared" si="147"/>
        <v>20.546500000000005</v>
      </c>
      <c r="AW57" s="37">
        <v>2.75</v>
      </c>
      <c r="AX57" s="38">
        <f t="shared" si="148"/>
        <v>33</v>
      </c>
      <c r="AY57" s="38">
        <f t="shared" si="7"/>
        <v>1.0377916666666662</v>
      </c>
      <c r="AZ57" s="38">
        <f t="shared" si="149"/>
        <v>12.453499999999995</v>
      </c>
      <c r="BA57" s="39">
        <f t="shared" si="9"/>
        <v>0.3773787878787877</v>
      </c>
      <c r="BB57" s="43"/>
      <c r="BC57" s="119">
        <f t="shared" si="10"/>
        <v>2.75</v>
      </c>
      <c r="BD57" s="108">
        <v>0.16350000000000001</v>
      </c>
      <c r="BE57" s="120">
        <f t="shared" si="11"/>
        <v>3.1996250000000002</v>
      </c>
      <c r="BF57" s="121">
        <f t="shared" si="12"/>
        <v>0.44962500000000016</v>
      </c>
      <c r="BG57" s="121">
        <f t="shared" si="13"/>
        <v>3.7125000000000012E-2</v>
      </c>
      <c r="BH57" s="122">
        <f t="shared" si="14"/>
        <v>0.44962500000000016</v>
      </c>
      <c r="BI57" s="121">
        <f t="shared" si="15"/>
        <v>2.75</v>
      </c>
      <c r="BJ57" s="123">
        <f t="shared" si="16"/>
        <v>0.3773787878787877</v>
      </c>
      <c r="BK57" s="124">
        <f t="shared" si="17"/>
        <v>0</v>
      </c>
      <c r="BL57" s="125" t="s">
        <v>226</v>
      </c>
    </row>
    <row r="58" spans="1:64" ht="45" customHeight="1" x14ac:dyDescent="0.25">
      <c r="A58" s="30">
        <v>52</v>
      </c>
      <c r="B58" s="100" t="s">
        <v>52</v>
      </c>
      <c r="C58" s="31">
        <v>1</v>
      </c>
      <c r="D58" s="32" t="s">
        <v>73</v>
      </c>
      <c r="E58" s="31">
        <f t="shared" si="0"/>
        <v>12</v>
      </c>
      <c r="F58" s="31" t="s">
        <v>226</v>
      </c>
      <c r="G58" s="31" t="s">
        <v>226</v>
      </c>
      <c r="H58" s="31" t="s">
        <v>226</v>
      </c>
      <c r="I58" s="31" t="s">
        <v>226</v>
      </c>
      <c r="J58" s="31" t="s">
        <v>226</v>
      </c>
      <c r="K58" s="31" t="s">
        <v>226</v>
      </c>
      <c r="L58" s="31" t="s">
        <v>226</v>
      </c>
      <c r="M58" s="31" t="s">
        <v>226</v>
      </c>
      <c r="N58" s="31" t="s">
        <v>226</v>
      </c>
      <c r="O58" s="31" t="s">
        <v>226</v>
      </c>
      <c r="P58" s="31" t="s">
        <v>226</v>
      </c>
      <c r="Q58" s="31" t="s">
        <v>226</v>
      </c>
      <c r="R58" s="31" t="s">
        <v>226</v>
      </c>
      <c r="S58" s="31" t="s">
        <v>226</v>
      </c>
      <c r="T58" s="31" t="s">
        <v>226</v>
      </c>
      <c r="U58" s="31" t="s">
        <v>226</v>
      </c>
      <c r="V58" s="31" t="s">
        <v>226</v>
      </c>
      <c r="W58" s="31" t="s">
        <v>226</v>
      </c>
      <c r="X58" s="31" t="s">
        <v>226</v>
      </c>
      <c r="Y58" s="31" t="s">
        <v>226</v>
      </c>
      <c r="Z58" s="31" t="s">
        <v>226</v>
      </c>
      <c r="AA58" s="31" t="s">
        <v>226</v>
      </c>
      <c r="AB58" s="31" t="s">
        <v>226</v>
      </c>
      <c r="AC58" s="31" t="s">
        <v>226</v>
      </c>
      <c r="AD58" s="31" t="s">
        <v>226</v>
      </c>
      <c r="AE58" s="31" t="s">
        <v>226</v>
      </c>
      <c r="AF58" s="31" t="s">
        <v>226</v>
      </c>
      <c r="AG58" s="31" t="s">
        <v>226</v>
      </c>
      <c r="AH58" s="31" t="s">
        <v>226</v>
      </c>
      <c r="AI58" s="31" t="s">
        <v>226</v>
      </c>
      <c r="AJ58" s="31" t="s">
        <v>226</v>
      </c>
      <c r="AK58" s="31" t="s">
        <v>226</v>
      </c>
      <c r="AL58" s="31" t="s">
        <v>226</v>
      </c>
      <c r="AM58" s="31"/>
      <c r="AN58" s="31"/>
      <c r="AO58" s="96">
        <v>20.5</v>
      </c>
      <c r="AP58" s="33">
        <f t="shared" si="145"/>
        <v>1.7083333333333333</v>
      </c>
      <c r="AQ58" s="34">
        <f t="shared" si="146"/>
        <v>20.5</v>
      </c>
      <c r="AR58" s="35"/>
      <c r="AS58" s="36">
        <f t="shared" si="3"/>
        <v>1.7083333333333333</v>
      </c>
      <c r="AT58" s="36">
        <f t="shared" si="3"/>
        <v>20.5</v>
      </c>
      <c r="AU58" s="36">
        <f t="shared" si="144"/>
        <v>1.8620833333333333</v>
      </c>
      <c r="AV58" s="36">
        <f t="shared" si="147"/>
        <v>22.344999999999999</v>
      </c>
      <c r="AW58" s="37">
        <v>2.75</v>
      </c>
      <c r="AX58" s="38">
        <f t="shared" si="148"/>
        <v>33</v>
      </c>
      <c r="AY58" s="38">
        <f t="shared" si="7"/>
        <v>0.88791666666666669</v>
      </c>
      <c r="AZ58" s="38">
        <f t="shared" si="149"/>
        <v>10.655000000000001</v>
      </c>
      <c r="BA58" s="39">
        <f t="shared" si="9"/>
        <v>0.32287878787878788</v>
      </c>
      <c r="BB58" s="40"/>
      <c r="BC58" s="119">
        <f t="shared" si="10"/>
        <v>2.75</v>
      </c>
      <c r="BD58" s="108">
        <v>0.16350000000000001</v>
      </c>
      <c r="BE58" s="120">
        <f t="shared" si="11"/>
        <v>3.1996250000000002</v>
      </c>
      <c r="BF58" s="121">
        <f t="shared" si="12"/>
        <v>0.44962500000000016</v>
      </c>
      <c r="BG58" s="121">
        <f t="shared" si="13"/>
        <v>3.7125000000000012E-2</v>
      </c>
      <c r="BH58" s="122">
        <f t="shared" si="14"/>
        <v>0.44962500000000016</v>
      </c>
      <c r="BI58" s="121">
        <f t="shared" si="15"/>
        <v>2.75</v>
      </c>
      <c r="BJ58" s="123">
        <f t="shared" si="16"/>
        <v>0.32287878787878788</v>
      </c>
      <c r="BK58" s="124">
        <f t="shared" si="17"/>
        <v>0</v>
      </c>
      <c r="BL58" s="125" t="s">
        <v>226</v>
      </c>
    </row>
    <row r="59" spans="1:64" ht="45" customHeight="1" x14ac:dyDescent="0.25">
      <c r="A59" s="30">
        <v>53</v>
      </c>
      <c r="B59" s="100" t="s">
        <v>180</v>
      </c>
      <c r="C59" s="31">
        <v>1</v>
      </c>
      <c r="D59" s="32" t="s">
        <v>73</v>
      </c>
      <c r="E59" s="31">
        <f t="shared" ref="E59" si="150">D59*C59</f>
        <v>12</v>
      </c>
      <c r="F59" s="31" t="s">
        <v>226</v>
      </c>
      <c r="G59" s="31" t="s">
        <v>226</v>
      </c>
      <c r="H59" s="31" t="s">
        <v>226</v>
      </c>
      <c r="I59" s="31" t="s">
        <v>226</v>
      </c>
      <c r="J59" s="31" t="s">
        <v>226</v>
      </c>
      <c r="K59" s="31" t="s">
        <v>226</v>
      </c>
      <c r="L59" s="31" t="s">
        <v>226</v>
      </c>
      <c r="M59" s="31" t="s">
        <v>226</v>
      </c>
      <c r="N59" s="31" t="s">
        <v>226</v>
      </c>
      <c r="O59" s="31" t="s">
        <v>226</v>
      </c>
      <c r="P59" s="31" t="s">
        <v>226</v>
      </c>
      <c r="Q59" s="31" t="s">
        <v>226</v>
      </c>
      <c r="R59" s="31" t="s">
        <v>226</v>
      </c>
      <c r="S59" s="31" t="s">
        <v>226</v>
      </c>
      <c r="T59" s="31" t="s">
        <v>226</v>
      </c>
      <c r="U59" s="31" t="s">
        <v>226</v>
      </c>
      <c r="V59" s="31" t="s">
        <v>226</v>
      </c>
      <c r="W59" s="31" t="s">
        <v>226</v>
      </c>
      <c r="X59" s="31" t="s">
        <v>226</v>
      </c>
      <c r="Y59" s="31" t="s">
        <v>226</v>
      </c>
      <c r="Z59" s="31" t="s">
        <v>226</v>
      </c>
      <c r="AA59" s="31" t="s">
        <v>226</v>
      </c>
      <c r="AB59" s="31" t="s">
        <v>226</v>
      </c>
      <c r="AC59" s="31" t="s">
        <v>226</v>
      </c>
      <c r="AD59" s="31" t="s">
        <v>226</v>
      </c>
      <c r="AE59" s="31" t="s">
        <v>226</v>
      </c>
      <c r="AF59" s="31" t="s">
        <v>226</v>
      </c>
      <c r="AG59" s="31" t="s">
        <v>226</v>
      </c>
      <c r="AH59" s="31" t="s">
        <v>226</v>
      </c>
      <c r="AI59" s="31" t="s">
        <v>226</v>
      </c>
      <c r="AJ59" s="31" t="s">
        <v>226</v>
      </c>
      <c r="AK59" s="31" t="s">
        <v>226</v>
      </c>
      <c r="AL59" s="31" t="s">
        <v>226</v>
      </c>
      <c r="AM59" s="31"/>
      <c r="AN59" s="31"/>
      <c r="AO59" s="96">
        <v>20.5</v>
      </c>
      <c r="AP59" s="33">
        <f t="shared" si="145"/>
        <v>1.7083333333333333</v>
      </c>
      <c r="AQ59" s="34">
        <f t="shared" si="146"/>
        <v>20.5</v>
      </c>
      <c r="AR59" s="35"/>
      <c r="AS59" s="36">
        <f t="shared" ref="AS59" si="151">AP59/$AZ$2</f>
        <v>1.7083333333333333</v>
      </c>
      <c r="AT59" s="36">
        <f t="shared" ref="AT59" si="152">AQ59/$AZ$2</f>
        <v>20.5</v>
      </c>
      <c r="AU59" s="36">
        <f t="shared" si="144"/>
        <v>1.8620833333333333</v>
      </c>
      <c r="AV59" s="36">
        <f t="shared" si="147"/>
        <v>22.344999999999999</v>
      </c>
      <c r="AW59" s="37">
        <v>2.75</v>
      </c>
      <c r="AX59" s="38">
        <f t="shared" si="148"/>
        <v>33</v>
      </c>
      <c r="AY59" s="38">
        <f t="shared" ref="AY59" si="153">AW59-AU59</f>
        <v>0.88791666666666669</v>
      </c>
      <c r="AZ59" s="38">
        <f t="shared" si="149"/>
        <v>10.655000000000001</v>
      </c>
      <c r="BA59" s="39">
        <f t="shared" ref="BA59" si="154">AY59/AW59</f>
        <v>0.32287878787878788</v>
      </c>
      <c r="BB59" s="41"/>
      <c r="BC59" s="119">
        <f t="shared" si="10"/>
        <v>2.75</v>
      </c>
      <c r="BD59" s="108">
        <v>0.16350000000000001</v>
      </c>
      <c r="BE59" s="120">
        <f t="shared" si="11"/>
        <v>3.1996250000000002</v>
      </c>
      <c r="BF59" s="121">
        <f t="shared" si="12"/>
        <v>0.44962500000000016</v>
      </c>
      <c r="BG59" s="121">
        <f t="shared" si="13"/>
        <v>3.7125000000000012E-2</v>
      </c>
      <c r="BH59" s="122">
        <f t="shared" si="14"/>
        <v>0.44962500000000016</v>
      </c>
      <c r="BI59" s="121">
        <f t="shared" si="15"/>
        <v>2.75</v>
      </c>
      <c r="BJ59" s="123">
        <f t="shared" si="16"/>
        <v>0.32287878787878788</v>
      </c>
      <c r="BK59" s="124">
        <f t="shared" si="17"/>
        <v>0</v>
      </c>
      <c r="BL59" s="125" t="s">
        <v>226</v>
      </c>
    </row>
    <row r="60" spans="1:64" ht="45" customHeight="1" x14ac:dyDescent="0.25">
      <c r="A60" s="30">
        <v>54</v>
      </c>
      <c r="B60" s="100" t="s">
        <v>53</v>
      </c>
      <c r="C60" s="31">
        <v>1</v>
      </c>
      <c r="D60" s="32" t="s">
        <v>73</v>
      </c>
      <c r="E60" s="31">
        <f t="shared" si="0"/>
        <v>12</v>
      </c>
      <c r="F60" s="31" t="s">
        <v>226</v>
      </c>
      <c r="G60" s="31" t="s">
        <v>226</v>
      </c>
      <c r="H60" s="31" t="s">
        <v>226</v>
      </c>
      <c r="I60" s="31" t="s">
        <v>226</v>
      </c>
      <c r="J60" s="31" t="s">
        <v>226</v>
      </c>
      <c r="K60" s="31" t="s">
        <v>226</v>
      </c>
      <c r="L60" s="31" t="s">
        <v>226</v>
      </c>
      <c r="M60" s="31" t="s">
        <v>226</v>
      </c>
      <c r="N60" s="31" t="s">
        <v>226</v>
      </c>
      <c r="O60" s="31" t="s">
        <v>226</v>
      </c>
      <c r="P60" s="31" t="s">
        <v>226</v>
      </c>
      <c r="Q60" s="31" t="s">
        <v>226</v>
      </c>
      <c r="R60" s="31" t="s">
        <v>226</v>
      </c>
      <c r="S60" s="31" t="s">
        <v>226</v>
      </c>
      <c r="T60" s="31" t="s">
        <v>226</v>
      </c>
      <c r="U60" s="31" t="s">
        <v>226</v>
      </c>
      <c r="V60" s="31" t="s">
        <v>226</v>
      </c>
      <c r="W60" s="31" t="s">
        <v>226</v>
      </c>
      <c r="X60" s="31" t="s">
        <v>226</v>
      </c>
      <c r="Y60" s="31" t="s">
        <v>226</v>
      </c>
      <c r="Z60" s="31" t="s">
        <v>226</v>
      </c>
      <c r="AA60" s="31" t="s">
        <v>226</v>
      </c>
      <c r="AB60" s="31" t="s">
        <v>226</v>
      </c>
      <c r="AC60" s="31" t="s">
        <v>226</v>
      </c>
      <c r="AD60" s="31" t="s">
        <v>226</v>
      </c>
      <c r="AE60" s="31" t="s">
        <v>226</v>
      </c>
      <c r="AF60" s="31" t="s">
        <v>226</v>
      </c>
      <c r="AG60" s="31" t="s">
        <v>226</v>
      </c>
      <c r="AH60" s="31" t="s">
        <v>226</v>
      </c>
      <c r="AI60" s="31" t="s">
        <v>226</v>
      </c>
      <c r="AJ60" s="31" t="s">
        <v>226</v>
      </c>
      <c r="AK60" s="31" t="s">
        <v>226</v>
      </c>
      <c r="AL60" s="31" t="s">
        <v>226</v>
      </c>
      <c r="AM60" s="31"/>
      <c r="AN60" s="31"/>
      <c r="AO60" s="96">
        <v>20.5</v>
      </c>
      <c r="AP60" s="33">
        <f t="shared" si="145"/>
        <v>1.7083333333333333</v>
      </c>
      <c r="AQ60" s="34">
        <f t="shared" si="146"/>
        <v>20.5</v>
      </c>
      <c r="AR60" s="35"/>
      <c r="AS60" s="36">
        <f t="shared" si="3"/>
        <v>1.7083333333333333</v>
      </c>
      <c r="AT60" s="36">
        <f t="shared" si="3"/>
        <v>20.5</v>
      </c>
      <c r="AU60" s="36">
        <f t="shared" si="144"/>
        <v>1.8620833333333333</v>
      </c>
      <c r="AV60" s="36">
        <f t="shared" si="147"/>
        <v>22.344999999999999</v>
      </c>
      <c r="AW60" s="37">
        <v>2.75</v>
      </c>
      <c r="AX60" s="38">
        <f t="shared" si="148"/>
        <v>33</v>
      </c>
      <c r="AY60" s="38">
        <f t="shared" si="7"/>
        <v>0.88791666666666669</v>
      </c>
      <c r="AZ60" s="38">
        <f t="shared" si="149"/>
        <v>10.655000000000001</v>
      </c>
      <c r="BA60" s="39">
        <f t="shared" si="9"/>
        <v>0.32287878787878788</v>
      </c>
      <c r="BB60" s="41"/>
      <c r="BC60" s="119">
        <f t="shared" si="10"/>
        <v>2.75</v>
      </c>
      <c r="BD60" s="108">
        <v>0.16350000000000001</v>
      </c>
      <c r="BE60" s="120">
        <f t="shared" si="11"/>
        <v>3.1996250000000002</v>
      </c>
      <c r="BF60" s="121">
        <f t="shared" si="12"/>
        <v>0.44962500000000016</v>
      </c>
      <c r="BG60" s="121">
        <f t="shared" si="13"/>
        <v>3.7125000000000012E-2</v>
      </c>
      <c r="BH60" s="122">
        <f t="shared" si="14"/>
        <v>0.44962500000000016</v>
      </c>
      <c r="BI60" s="121">
        <f t="shared" si="15"/>
        <v>2.75</v>
      </c>
      <c r="BJ60" s="123">
        <f t="shared" si="16"/>
        <v>0.32287878787878788</v>
      </c>
      <c r="BK60" s="124">
        <f t="shared" si="17"/>
        <v>0</v>
      </c>
      <c r="BL60" s="125" t="s">
        <v>226</v>
      </c>
    </row>
    <row r="61" spans="1:64" ht="45" customHeight="1" x14ac:dyDescent="0.25">
      <c r="A61" s="30">
        <v>55</v>
      </c>
      <c r="B61" s="100" t="s">
        <v>54</v>
      </c>
      <c r="C61" s="31">
        <v>1</v>
      </c>
      <c r="D61" s="32" t="s">
        <v>73</v>
      </c>
      <c r="E61" s="31">
        <f t="shared" si="0"/>
        <v>12</v>
      </c>
      <c r="F61" s="31" t="s">
        <v>226</v>
      </c>
      <c r="G61" s="31" t="s">
        <v>226</v>
      </c>
      <c r="H61" s="31" t="s">
        <v>226</v>
      </c>
      <c r="I61" s="31" t="s">
        <v>226</v>
      </c>
      <c r="J61" s="31" t="s">
        <v>226</v>
      </c>
      <c r="K61" s="31" t="s">
        <v>226</v>
      </c>
      <c r="L61" s="31" t="s">
        <v>226</v>
      </c>
      <c r="M61" s="31" t="s">
        <v>226</v>
      </c>
      <c r="N61" s="31" t="s">
        <v>226</v>
      </c>
      <c r="O61" s="31" t="s">
        <v>226</v>
      </c>
      <c r="P61" s="31" t="s">
        <v>226</v>
      </c>
      <c r="Q61" s="31" t="s">
        <v>226</v>
      </c>
      <c r="R61" s="31" t="s">
        <v>226</v>
      </c>
      <c r="S61" s="31" t="s">
        <v>226</v>
      </c>
      <c r="T61" s="31" t="s">
        <v>226</v>
      </c>
      <c r="U61" s="31" t="s">
        <v>226</v>
      </c>
      <c r="V61" s="31" t="s">
        <v>226</v>
      </c>
      <c r="W61" s="31" t="s">
        <v>226</v>
      </c>
      <c r="X61" s="31" t="s">
        <v>226</v>
      </c>
      <c r="Y61" s="31" t="s">
        <v>226</v>
      </c>
      <c r="Z61" s="31" t="s">
        <v>226</v>
      </c>
      <c r="AA61" s="31" t="s">
        <v>226</v>
      </c>
      <c r="AB61" s="31" t="s">
        <v>226</v>
      </c>
      <c r="AC61" s="31" t="s">
        <v>226</v>
      </c>
      <c r="AD61" s="31" t="s">
        <v>226</v>
      </c>
      <c r="AE61" s="31" t="s">
        <v>226</v>
      </c>
      <c r="AF61" s="31" t="s">
        <v>226</v>
      </c>
      <c r="AG61" s="31" t="s">
        <v>226</v>
      </c>
      <c r="AH61" s="31" t="s">
        <v>226</v>
      </c>
      <c r="AI61" s="31" t="s">
        <v>226</v>
      </c>
      <c r="AJ61" s="31" t="s">
        <v>226</v>
      </c>
      <c r="AK61" s="31" t="s">
        <v>226</v>
      </c>
      <c r="AL61" s="31" t="s">
        <v>226</v>
      </c>
      <c r="AM61" s="31"/>
      <c r="AN61" s="31"/>
      <c r="AO61" s="96">
        <v>20.5</v>
      </c>
      <c r="AP61" s="33">
        <f t="shared" si="145"/>
        <v>1.7083333333333333</v>
      </c>
      <c r="AQ61" s="34">
        <f t="shared" si="146"/>
        <v>20.5</v>
      </c>
      <c r="AR61" s="35"/>
      <c r="AS61" s="36">
        <f t="shared" si="3"/>
        <v>1.7083333333333333</v>
      </c>
      <c r="AT61" s="36">
        <f t="shared" si="3"/>
        <v>20.5</v>
      </c>
      <c r="AU61" s="36">
        <f t="shared" si="144"/>
        <v>1.8620833333333333</v>
      </c>
      <c r="AV61" s="36">
        <f t="shared" si="147"/>
        <v>22.344999999999999</v>
      </c>
      <c r="AW61" s="37">
        <v>2.75</v>
      </c>
      <c r="AX61" s="38">
        <f t="shared" si="148"/>
        <v>33</v>
      </c>
      <c r="AY61" s="38">
        <f t="shared" si="7"/>
        <v>0.88791666666666669</v>
      </c>
      <c r="AZ61" s="38">
        <f t="shared" si="149"/>
        <v>10.655000000000001</v>
      </c>
      <c r="BA61" s="39">
        <f t="shared" si="9"/>
        <v>0.32287878787878788</v>
      </c>
      <c r="BB61" s="42"/>
      <c r="BC61" s="119">
        <f t="shared" si="10"/>
        <v>2.75</v>
      </c>
      <c r="BD61" s="108">
        <v>0.16350000000000001</v>
      </c>
      <c r="BE61" s="120">
        <f t="shared" si="11"/>
        <v>3.1996250000000002</v>
      </c>
      <c r="BF61" s="121">
        <f t="shared" si="12"/>
        <v>0.44962500000000016</v>
      </c>
      <c r="BG61" s="121">
        <f t="shared" si="13"/>
        <v>3.7125000000000012E-2</v>
      </c>
      <c r="BH61" s="122">
        <f t="shared" si="14"/>
        <v>0.44962500000000016</v>
      </c>
      <c r="BI61" s="121">
        <f t="shared" si="15"/>
        <v>2.75</v>
      </c>
      <c r="BJ61" s="123">
        <f t="shared" si="16"/>
        <v>0.32287878787878788</v>
      </c>
      <c r="BK61" s="124">
        <f t="shared" si="17"/>
        <v>0</v>
      </c>
      <c r="BL61" s="125" t="s">
        <v>226</v>
      </c>
    </row>
    <row r="62" spans="1:64" ht="45" customHeight="1" x14ac:dyDescent="0.25">
      <c r="A62" s="30">
        <v>56</v>
      </c>
      <c r="B62" s="105" t="s">
        <v>188</v>
      </c>
      <c r="C62" s="31">
        <v>1</v>
      </c>
      <c r="D62" s="32" t="s">
        <v>73</v>
      </c>
      <c r="E62" s="31">
        <f t="shared" si="0"/>
        <v>12</v>
      </c>
      <c r="F62" s="127">
        <v>33.200000000000003</v>
      </c>
      <c r="G62" s="31" t="s">
        <v>226</v>
      </c>
      <c r="H62" s="31" t="s">
        <v>226</v>
      </c>
      <c r="I62" s="31" t="s">
        <v>226</v>
      </c>
      <c r="J62" s="31" t="s">
        <v>226</v>
      </c>
      <c r="K62" s="31" t="s">
        <v>226</v>
      </c>
      <c r="L62" s="31" t="s">
        <v>226</v>
      </c>
      <c r="M62" s="31" t="s">
        <v>226</v>
      </c>
      <c r="N62" s="31" t="s">
        <v>226</v>
      </c>
      <c r="O62" s="31" t="s">
        <v>226</v>
      </c>
      <c r="P62" s="31" t="s">
        <v>226</v>
      </c>
      <c r="Q62" s="31" t="s">
        <v>226</v>
      </c>
      <c r="R62" s="31" t="s">
        <v>226</v>
      </c>
      <c r="S62" s="31" t="s">
        <v>226</v>
      </c>
      <c r="T62" s="31" t="s">
        <v>226</v>
      </c>
      <c r="U62" s="31" t="s">
        <v>226</v>
      </c>
      <c r="V62" s="31" t="s">
        <v>226</v>
      </c>
      <c r="W62" s="31" t="s">
        <v>226</v>
      </c>
      <c r="X62" s="31" t="s">
        <v>226</v>
      </c>
      <c r="Y62" s="31" t="s">
        <v>226</v>
      </c>
      <c r="Z62" s="31" t="s">
        <v>226</v>
      </c>
      <c r="AA62" s="31" t="s">
        <v>226</v>
      </c>
      <c r="AB62" s="31" t="s">
        <v>226</v>
      </c>
      <c r="AC62" s="31" t="s">
        <v>226</v>
      </c>
      <c r="AD62" s="31" t="s">
        <v>226</v>
      </c>
      <c r="AE62" s="31" t="s">
        <v>226</v>
      </c>
      <c r="AF62" s="31" t="s">
        <v>226</v>
      </c>
      <c r="AG62" s="31" t="s">
        <v>226</v>
      </c>
      <c r="AH62" s="31" t="s">
        <v>226</v>
      </c>
      <c r="AI62" s="31" t="s">
        <v>226</v>
      </c>
      <c r="AJ62" s="31" t="s">
        <v>226</v>
      </c>
      <c r="AK62" s="31" t="s">
        <v>226</v>
      </c>
      <c r="AL62" s="31" t="s">
        <v>226</v>
      </c>
      <c r="AM62" s="31"/>
      <c r="AN62" s="31"/>
      <c r="AO62" s="96">
        <v>36.5</v>
      </c>
      <c r="AP62" s="33">
        <f t="shared" si="145"/>
        <v>3.0416666666666665</v>
      </c>
      <c r="AQ62" s="34">
        <f t="shared" si="146"/>
        <v>36.5</v>
      </c>
      <c r="AR62" s="35"/>
      <c r="AS62" s="36">
        <f t="shared" si="3"/>
        <v>3.0416666666666665</v>
      </c>
      <c r="AT62" s="36">
        <f t="shared" si="3"/>
        <v>36.5</v>
      </c>
      <c r="AU62" s="36">
        <f t="shared" si="144"/>
        <v>3.3154166666666667</v>
      </c>
      <c r="AV62" s="36">
        <f t="shared" si="147"/>
        <v>39.784999999999997</v>
      </c>
      <c r="AW62" s="37">
        <v>4.95</v>
      </c>
      <c r="AX62" s="38">
        <f t="shared" si="148"/>
        <v>59.400000000000006</v>
      </c>
      <c r="AY62" s="38">
        <f t="shared" ref="AY62" si="155">AW62-AU62</f>
        <v>1.6345833333333335</v>
      </c>
      <c r="AZ62" s="38">
        <f t="shared" si="149"/>
        <v>19.615000000000002</v>
      </c>
      <c r="BA62" s="39">
        <f t="shared" ref="BA62" si="156">AY62/AW62</f>
        <v>0.33021885521885525</v>
      </c>
      <c r="BB62" s="42"/>
      <c r="BC62" s="119">
        <f t="shared" si="10"/>
        <v>4.95</v>
      </c>
      <c r="BD62" s="108">
        <v>0.16350000000000001</v>
      </c>
      <c r="BE62" s="120">
        <f t="shared" si="11"/>
        <v>5.7593250000000005</v>
      </c>
      <c r="BF62" s="121">
        <f t="shared" si="12"/>
        <v>0.80932500000000029</v>
      </c>
      <c r="BG62" s="121">
        <f t="shared" si="13"/>
        <v>6.6825000000000023E-2</v>
      </c>
      <c r="BH62" s="122">
        <f t="shared" si="14"/>
        <v>0.80932500000000029</v>
      </c>
      <c r="BI62" s="121">
        <f t="shared" si="15"/>
        <v>4.95</v>
      </c>
      <c r="BJ62" s="123">
        <f t="shared" si="16"/>
        <v>0.33021885521885525</v>
      </c>
      <c r="BK62" s="124">
        <f t="shared" si="17"/>
        <v>0</v>
      </c>
      <c r="BL62" s="125" t="s">
        <v>226</v>
      </c>
    </row>
    <row r="63" spans="1:64" ht="45" customHeight="1" x14ac:dyDescent="0.25">
      <c r="A63" s="30">
        <v>57</v>
      </c>
      <c r="B63" s="101" t="s">
        <v>55</v>
      </c>
      <c r="C63" s="31">
        <v>1</v>
      </c>
      <c r="D63" s="32" t="s">
        <v>73</v>
      </c>
      <c r="E63" s="31">
        <f t="shared" si="0"/>
        <v>12</v>
      </c>
      <c r="F63" s="127">
        <v>33.200000000000003</v>
      </c>
      <c r="G63" s="31" t="s">
        <v>226</v>
      </c>
      <c r="H63" s="31" t="s">
        <v>226</v>
      </c>
      <c r="I63" s="31" t="s">
        <v>226</v>
      </c>
      <c r="J63" s="31" t="s">
        <v>226</v>
      </c>
      <c r="K63" s="31" t="s">
        <v>226</v>
      </c>
      <c r="L63" s="31" t="s">
        <v>226</v>
      </c>
      <c r="M63" s="31" t="s">
        <v>226</v>
      </c>
      <c r="N63" s="31" t="s">
        <v>226</v>
      </c>
      <c r="O63" s="31" t="s">
        <v>226</v>
      </c>
      <c r="P63" s="31" t="s">
        <v>226</v>
      </c>
      <c r="Q63" s="31" t="s">
        <v>226</v>
      </c>
      <c r="R63" s="31" t="s">
        <v>226</v>
      </c>
      <c r="S63" s="31" t="s">
        <v>226</v>
      </c>
      <c r="T63" s="31" t="s">
        <v>226</v>
      </c>
      <c r="U63" s="31" t="s">
        <v>226</v>
      </c>
      <c r="V63" s="31" t="s">
        <v>226</v>
      </c>
      <c r="W63" s="31" t="s">
        <v>226</v>
      </c>
      <c r="X63" s="31" t="s">
        <v>226</v>
      </c>
      <c r="Y63" s="31" t="s">
        <v>226</v>
      </c>
      <c r="Z63" s="31" t="s">
        <v>226</v>
      </c>
      <c r="AA63" s="31" t="s">
        <v>226</v>
      </c>
      <c r="AB63" s="31" t="s">
        <v>226</v>
      </c>
      <c r="AC63" s="31" t="s">
        <v>226</v>
      </c>
      <c r="AD63" s="31" t="s">
        <v>226</v>
      </c>
      <c r="AE63" s="31" t="s">
        <v>226</v>
      </c>
      <c r="AF63" s="31" t="s">
        <v>226</v>
      </c>
      <c r="AG63" s="31" t="s">
        <v>226</v>
      </c>
      <c r="AH63" s="31" t="s">
        <v>226</v>
      </c>
      <c r="AI63" s="31" t="s">
        <v>226</v>
      </c>
      <c r="AJ63" s="31" t="s">
        <v>226</v>
      </c>
      <c r="AK63" s="31" t="s">
        <v>226</v>
      </c>
      <c r="AL63" s="31" t="s">
        <v>226</v>
      </c>
      <c r="AM63" s="31"/>
      <c r="AN63" s="31"/>
      <c r="AO63" s="96">
        <v>36.5</v>
      </c>
      <c r="AP63" s="33">
        <f t="shared" si="145"/>
        <v>3.0416666666666665</v>
      </c>
      <c r="AQ63" s="34">
        <f t="shared" si="146"/>
        <v>36.5</v>
      </c>
      <c r="AR63" s="35"/>
      <c r="AS63" s="36">
        <f t="shared" si="3"/>
        <v>3.0416666666666665</v>
      </c>
      <c r="AT63" s="36">
        <f t="shared" si="3"/>
        <v>36.5</v>
      </c>
      <c r="AU63" s="36">
        <f t="shared" si="144"/>
        <v>3.3154166666666667</v>
      </c>
      <c r="AV63" s="36">
        <f t="shared" si="147"/>
        <v>39.784999999999997</v>
      </c>
      <c r="AW63" s="37">
        <v>4.95</v>
      </c>
      <c r="AX63" s="38">
        <f t="shared" si="148"/>
        <v>59.400000000000006</v>
      </c>
      <c r="AY63" s="38">
        <f t="shared" si="7"/>
        <v>1.6345833333333335</v>
      </c>
      <c r="AZ63" s="38">
        <f t="shared" si="149"/>
        <v>19.615000000000002</v>
      </c>
      <c r="BA63" s="39">
        <f t="shared" si="9"/>
        <v>0.33021885521885525</v>
      </c>
      <c r="BB63" s="42"/>
      <c r="BC63" s="119">
        <f t="shared" si="10"/>
        <v>4.95</v>
      </c>
      <c r="BD63" s="108">
        <v>0.16350000000000001</v>
      </c>
      <c r="BE63" s="120">
        <f t="shared" si="11"/>
        <v>5.7593250000000005</v>
      </c>
      <c r="BF63" s="121">
        <f t="shared" si="12"/>
        <v>0.80932500000000029</v>
      </c>
      <c r="BG63" s="121">
        <f t="shared" si="13"/>
        <v>6.6825000000000023E-2</v>
      </c>
      <c r="BH63" s="122">
        <f t="shared" si="14"/>
        <v>0.80932500000000029</v>
      </c>
      <c r="BI63" s="121">
        <f t="shared" si="15"/>
        <v>4.95</v>
      </c>
      <c r="BJ63" s="123">
        <f t="shared" si="16"/>
        <v>0.33021885521885525</v>
      </c>
      <c r="BK63" s="124">
        <f t="shared" si="17"/>
        <v>0</v>
      </c>
      <c r="BL63" s="125" t="s">
        <v>226</v>
      </c>
    </row>
    <row r="64" spans="1:64" ht="45" customHeight="1" x14ac:dyDescent="0.25">
      <c r="A64" s="30">
        <v>58</v>
      </c>
      <c r="B64" s="102" t="s">
        <v>56</v>
      </c>
      <c r="C64" s="31">
        <v>1</v>
      </c>
      <c r="D64" s="32" t="s">
        <v>73</v>
      </c>
      <c r="E64" s="31">
        <f t="shared" si="0"/>
        <v>12</v>
      </c>
      <c r="F64" s="127">
        <v>33.200000000000003</v>
      </c>
      <c r="G64" s="31" t="s">
        <v>226</v>
      </c>
      <c r="H64" s="31" t="s">
        <v>226</v>
      </c>
      <c r="I64" s="31" t="s">
        <v>226</v>
      </c>
      <c r="J64" s="31" t="s">
        <v>226</v>
      </c>
      <c r="K64" s="31" t="s">
        <v>226</v>
      </c>
      <c r="L64" s="31" t="s">
        <v>226</v>
      </c>
      <c r="M64" s="31" t="s">
        <v>226</v>
      </c>
      <c r="N64" s="31" t="s">
        <v>226</v>
      </c>
      <c r="O64" s="31" t="s">
        <v>226</v>
      </c>
      <c r="P64" s="31" t="s">
        <v>226</v>
      </c>
      <c r="Q64" s="31" t="s">
        <v>226</v>
      </c>
      <c r="R64" s="31" t="s">
        <v>226</v>
      </c>
      <c r="S64" s="31" t="s">
        <v>226</v>
      </c>
      <c r="T64" s="31" t="s">
        <v>226</v>
      </c>
      <c r="U64" s="31" t="s">
        <v>226</v>
      </c>
      <c r="V64" s="31" t="s">
        <v>226</v>
      </c>
      <c r="W64" s="31" t="s">
        <v>226</v>
      </c>
      <c r="X64" s="31" t="s">
        <v>226</v>
      </c>
      <c r="Y64" s="31" t="s">
        <v>226</v>
      </c>
      <c r="Z64" s="31" t="s">
        <v>226</v>
      </c>
      <c r="AA64" s="31" t="s">
        <v>226</v>
      </c>
      <c r="AB64" s="31" t="s">
        <v>226</v>
      </c>
      <c r="AC64" s="31" t="s">
        <v>226</v>
      </c>
      <c r="AD64" s="31" t="s">
        <v>226</v>
      </c>
      <c r="AE64" s="31" t="s">
        <v>226</v>
      </c>
      <c r="AF64" s="31" t="s">
        <v>226</v>
      </c>
      <c r="AG64" s="31" t="s">
        <v>226</v>
      </c>
      <c r="AH64" s="31" t="s">
        <v>226</v>
      </c>
      <c r="AI64" s="31" t="s">
        <v>226</v>
      </c>
      <c r="AJ64" s="31" t="s">
        <v>226</v>
      </c>
      <c r="AK64" s="31" t="s">
        <v>226</v>
      </c>
      <c r="AL64" s="31" t="s">
        <v>226</v>
      </c>
      <c r="AM64" s="31"/>
      <c r="AN64" s="31"/>
      <c r="AO64" s="96">
        <v>36.5</v>
      </c>
      <c r="AP64" s="33">
        <f t="shared" si="145"/>
        <v>3.0416666666666665</v>
      </c>
      <c r="AQ64" s="34">
        <f t="shared" si="146"/>
        <v>36.5</v>
      </c>
      <c r="AR64" s="35"/>
      <c r="AS64" s="36">
        <f t="shared" ref="AS64:AT86" si="157">AP64/$AZ$2</f>
        <v>3.0416666666666665</v>
      </c>
      <c r="AT64" s="36">
        <f t="shared" si="157"/>
        <v>36.5</v>
      </c>
      <c r="AU64" s="36">
        <f t="shared" si="144"/>
        <v>3.3154166666666667</v>
      </c>
      <c r="AV64" s="36">
        <f t="shared" si="147"/>
        <v>39.784999999999997</v>
      </c>
      <c r="AW64" s="37">
        <v>4.95</v>
      </c>
      <c r="AX64" s="38">
        <f t="shared" si="148"/>
        <v>59.400000000000006</v>
      </c>
      <c r="AY64" s="38">
        <f t="shared" si="7"/>
        <v>1.6345833333333335</v>
      </c>
      <c r="AZ64" s="38">
        <f t="shared" si="149"/>
        <v>19.615000000000002</v>
      </c>
      <c r="BA64" s="39">
        <f t="shared" si="9"/>
        <v>0.33021885521885525</v>
      </c>
      <c r="BB64" s="42"/>
      <c r="BC64" s="119">
        <f t="shared" si="10"/>
        <v>4.95</v>
      </c>
      <c r="BD64" s="108">
        <v>0.16350000000000001</v>
      </c>
      <c r="BE64" s="120">
        <f t="shared" si="11"/>
        <v>5.7593250000000005</v>
      </c>
      <c r="BF64" s="121">
        <f t="shared" si="12"/>
        <v>0.80932500000000029</v>
      </c>
      <c r="BG64" s="121">
        <f t="shared" si="13"/>
        <v>6.6825000000000023E-2</v>
      </c>
      <c r="BH64" s="122">
        <f t="shared" si="14"/>
        <v>0.80932500000000029</v>
      </c>
      <c r="BI64" s="121">
        <f t="shared" si="15"/>
        <v>4.95</v>
      </c>
      <c r="BJ64" s="123">
        <f t="shared" si="16"/>
        <v>0.33021885521885525</v>
      </c>
      <c r="BK64" s="124">
        <f t="shared" si="17"/>
        <v>0</v>
      </c>
      <c r="BL64" s="125" t="s">
        <v>226</v>
      </c>
    </row>
    <row r="65" spans="1:64" ht="45" customHeight="1" x14ac:dyDescent="0.25">
      <c r="A65" s="30">
        <v>59</v>
      </c>
      <c r="B65" s="103" t="s">
        <v>142</v>
      </c>
      <c r="C65" s="31">
        <v>1</v>
      </c>
      <c r="D65" s="32" t="s">
        <v>144</v>
      </c>
      <c r="E65" s="31">
        <f t="shared" si="0"/>
        <v>30</v>
      </c>
      <c r="F65" s="31" t="s">
        <v>226</v>
      </c>
      <c r="G65" s="31" t="s">
        <v>226</v>
      </c>
      <c r="H65" s="31" t="s">
        <v>226</v>
      </c>
      <c r="I65" s="31" t="s">
        <v>226</v>
      </c>
      <c r="J65" s="31" t="s">
        <v>226</v>
      </c>
      <c r="K65" s="31" t="s">
        <v>226</v>
      </c>
      <c r="L65" s="31" t="s">
        <v>226</v>
      </c>
      <c r="M65" s="31" t="s">
        <v>226</v>
      </c>
      <c r="N65" s="31" t="s">
        <v>226</v>
      </c>
      <c r="O65" s="31" t="s">
        <v>226</v>
      </c>
      <c r="P65" s="31" t="s">
        <v>226</v>
      </c>
      <c r="Q65" s="31" t="s">
        <v>226</v>
      </c>
      <c r="R65" s="31" t="s">
        <v>226</v>
      </c>
      <c r="S65" s="31" t="s">
        <v>226</v>
      </c>
      <c r="T65" s="31" t="s">
        <v>226</v>
      </c>
      <c r="U65" s="31" t="s">
        <v>226</v>
      </c>
      <c r="V65" s="31" t="s">
        <v>226</v>
      </c>
      <c r="W65" s="31" t="s">
        <v>226</v>
      </c>
      <c r="X65" s="31" t="s">
        <v>226</v>
      </c>
      <c r="Y65" s="31" t="s">
        <v>226</v>
      </c>
      <c r="Z65" s="31" t="s">
        <v>226</v>
      </c>
      <c r="AA65" s="31" t="s">
        <v>226</v>
      </c>
      <c r="AB65" s="31" t="s">
        <v>226</v>
      </c>
      <c r="AC65" s="31" t="s">
        <v>226</v>
      </c>
      <c r="AD65" s="31" t="s">
        <v>226</v>
      </c>
      <c r="AE65" s="31" t="s">
        <v>226</v>
      </c>
      <c r="AF65" s="31" t="s">
        <v>226</v>
      </c>
      <c r="AG65" s="31" t="s">
        <v>226</v>
      </c>
      <c r="AH65" s="31" t="s">
        <v>226</v>
      </c>
      <c r="AI65" s="31" t="s">
        <v>226</v>
      </c>
      <c r="AJ65" s="31" t="s">
        <v>226</v>
      </c>
      <c r="AK65" s="31" t="s">
        <v>226</v>
      </c>
      <c r="AL65" s="31" t="s">
        <v>226</v>
      </c>
      <c r="AM65" s="31"/>
      <c r="AN65" s="31"/>
      <c r="AO65" s="96">
        <v>16.2</v>
      </c>
      <c r="AP65" s="33">
        <f t="shared" si="145"/>
        <v>0.53999999999999992</v>
      </c>
      <c r="AQ65" s="34">
        <f t="shared" si="146"/>
        <v>16.2</v>
      </c>
      <c r="AR65" s="35"/>
      <c r="AS65" s="36">
        <f t="shared" si="157"/>
        <v>0.53999999999999992</v>
      </c>
      <c r="AT65" s="36">
        <f t="shared" si="157"/>
        <v>16.2</v>
      </c>
      <c r="AU65" s="36">
        <f t="shared" si="144"/>
        <v>0.58860000000000001</v>
      </c>
      <c r="AV65" s="36">
        <f t="shared" si="147"/>
        <v>17.658000000000001</v>
      </c>
      <c r="AW65" s="37">
        <v>1.35</v>
      </c>
      <c r="AX65" s="38">
        <f t="shared" si="148"/>
        <v>40.5</v>
      </c>
      <c r="AY65" s="38">
        <f t="shared" si="7"/>
        <v>0.76140000000000008</v>
      </c>
      <c r="AZ65" s="38">
        <f t="shared" si="149"/>
        <v>22.842000000000002</v>
      </c>
      <c r="BA65" s="39">
        <f t="shared" si="9"/>
        <v>0.56400000000000006</v>
      </c>
      <c r="BB65" s="43"/>
      <c r="BC65" s="119">
        <f t="shared" si="10"/>
        <v>1.35</v>
      </c>
      <c r="BD65" s="108">
        <v>0.16350000000000001</v>
      </c>
      <c r="BE65" s="120">
        <f t="shared" si="11"/>
        <v>1.5707250000000001</v>
      </c>
      <c r="BF65" s="121">
        <f t="shared" si="12"/>
        <v>0.22072500000000006</v>
      </c>
      <c r="BG65" s="121">
        <f t="shared" si="13"/>
        <v>1.8225000000000005E-2</v>
      </c>
      <c r="BH65" s="122">
        <f t="shared" si="14"/>
        <v>0.22072500000000006</v>
      </c>
      <c r="BI65" s="121">
        <f t="shared" si="15"/>
        <v>1.35</v>
      </c>
      <c r="BJ65" s="123">
        <f t="shared" si="16"/>
        <v>0.56400000000000006</v>
      </c>
      <c r="BK65" s="124">
        <f t="shared" si="17"/>
        <v>0</v>
      </c>
      <c r="BL65" s="125" t="s">
        <v>226</v>
      </c>
    </row>
    <row r="66" spans="1:64" ht="45" customHeight="1" x14ac:dyDescent="0.25">
      <c r="A66" s="30">
        <v>60</v>
      </c>
      <c r="B66" s="103" t="s">
        <v>143</v>
      </c>
      <c r="C66" s="31">
        <v>1</v>
      </c>
      <c r="D66" s="32" t="s">
        <v>177</v>
      </c>
      <c r="E66" s="31">
        <f t="shared" si="0"/>
        <v>40</v>
      </c>
      <c r="F66" s="31" t="s">
        <v>226</v>
      </c>
      <c r="G66" s="31" t="s">
        <v>226</v>
      </c>
      <c r="H66" s="31" t="s">
        <v>226</v>
      </c>
      <c r="I66" s="31" t="s">
        <v>226</v>
      </c>
      <c r="J66" s="31" t="s">
        <v>226</v>
      </c>
      <c r="K66" s="31" t="s">
        <v>226</v>
      </c>
      <c r="L66" s="31" t="s">
        <v>226</v>
      </c>
      <c r="M66" s="31" t="s">
        <v>226</v>
      </c>
      <c r="N66" s="31" t="s">
        <v>226</v>
      </c>
      <c r="O66" s="31" t="s">
        <v>226</v>
      </c>
      <c r="P66" s="31" t="s">
        <v>226</v>
      </c>
      <c r="Q66" s="31" t="s">
        <v>226</v>
      </c>
      <c r="R66" s="31" t="s">
        <v>226</v>
      </c>
      <c r="S66" s="31" t="s">
        <v>226</v>
      </c>
      <c r="T66" s="31" t="s">
        <v>226</v>
      </c>
      <c r="U66" s="31" t="s">
        <v>226</v>
      </c>
      <c r="V66" s="31" t="s">
        <v>226</v>
      </c>
      <c r="W66" s="31" t="s">
        <v>226</v>
      </c>
      <c r="X66" s="31" t="s">
        <v>226</v>
      </c>
      <c r="Y66" s="31" t="s">
        <v>226</v>
      </c>
      <c r="Z66" s="31" t="s">
        <v>226</v>
      </c>
      <c r="AA66" s="31" t="s">
        <v>226</v>
      </c>
      <c r="AB66" s="31" t="s">
        <v>226</v>
      </c>
      <c r="AC66" s="31" t="s">
        <v>226</v>
      </c>
      <c r="AD66" s="31" t="s">
        <v>226</v>
      </c>
      <c r="AE66" s="31" t="s">
        <v>226</v>
      </c>
      <c r="AF66" s="31" t="s">
        <v>226</v>
      </c>
      <c r="AG66" s="31" t="s">
        <v>226</v>
      </c>
      <c r="AH66" s="31" t="s">
        <v>226</v>
      </c>
      <c r="AI66" s="31" t="s">
        <v>226</v>
      </c>
      <c r="AJ66" s="31" t="s">
        <v>226</v>
      </c>
      <c r="AK66" s="31" t="s">
        <v>226</v>
      </c>
      <c r="AL66" s="31" t="s">
        <v>226</v>
      </c>
      <c r="AM66" s="31"/>
      <c r="AN66" s="31"/>
      <c r="AO66" s="96">
        <v>21.6</v>
      </c>
      <c r="AP66" s="33">
        <f t="shared" si="145"/>
        <v>0.54</v>
      </c>
      <c r="AQ66" s="34">
        <f t="shared" si="146"/>
        <v>21.6</v>
      </c>
      <c r="AR66" s="35"/>
      <c r="AS66" s="36">
        <f t="shared" si="157"/>
        <v>0.54</v>
      </c>
      <c r="AT66" s="36">
        <f t="shared" si="157"/>
        <v>21.6</v>
      </c>
      <c r="AU66" s="36">
        <f t="shared" si="144"/>
        <v>0.58860000000000012</v>
      </c>
      <c r="AV66" s="36">
        <f t="shared" si="147"/>
        <v>23.544000000000004</v>
      </c>
      <c r="AW66" s="37">
        <v>1.35</v>
      </c>
      <c r="AX66" s="38">
        <f t="shared" si="148"/>
        <v>54</v>
      </c>
      <c r="AY66" s="38">
        <f t="shared" si="7"/>
        <v>0.76139999999999997</v>
      </c>
      <c r="AZ66" s="38">
        <f t="shared" si="149"/>
        <v>30.456</v>
      </c>
      <c r="BA66" s="39">
        <f t="shared" si="9"/>
        <v>0.56399999999999995</v>
      </c>
      <c r="BB66" s="43"/>
      <c r="BC66" s="119">
        <f t="shared" si="10"/>
        <v>1.35</v>
      </c>
      <c r="BD66" s="108">
        <v>0.16350000000000001</v>
      </c>
      <c r="BE66" s="120">
        <f t="shared" si="11"/>
        <v>1.5707250000000001</v>
      </c>
      <c r="BF66" s="121">
        <f t="shared" si="12"/>
        <v>0.22072500000000006</v>
      </c>
      <c r="BG66" s="121">
        <f t="shared" si="13"/>
        <v>1.8225000000000005E-2</v>
      </c>
      <c r="BH66" s="122">
        <f t="shared" si="14"/>
        <v>0.22072500000000006</v>
      </c>
      <c r="BI66" s="121">
        <f t="shared" si="15"/>
        <v>1.35</v>
      </c>
      <c r="BJ66" s="123">
        <f t="shared" si="16"/>
        <v>0.56399999999999995</v>
      </c>
      <c r="BK66" s="124">
        <f t="shared" si="17"/>
        <v>0</v>
      </c>
      <c r="BL66" s="125" t="s">
        <v>226</v>
      </c>
    </row>
    <row r="67" spans="1:64" ht="45" customHeight="1" x14ac:dyDescent="0.25">
      <c r="A67" s="30">
        <v>61</v>
      </c>
      <c r="B67" s="103" t="s">
        <v>137</v>
      </c>
      <c r="C67" s="31">
        <v>1</v>
      </c>
      <c r="D67" s="32" t="s">
        <v>24</v>
      </c>
      <c r="E67" s="31">
        <f t="shared" ref="E67" si="158">D67*C67</f>
        <v>24</v>
      </c>
      <c r="F67" s="31" t="s">
        <v>226</v>
      </c>
      <c r="G67" s="31" t="s">
        <v>226</v>
      </c>
      <c r="H67" s="31" t="s">
        <v>226</v>
      </c>
      <c r="I67" s="31" t="s">
        <v>226</v>
      </c>
      <c r="J67" s="31" t="s">
        <v>226</v>
      </c>
      <c r="K67" s="31" t="s">
        <v>226</v>
      </c>
      <c r="L67" s="31" t="s">
        <v>226</v>
      </c>
      <c r="M67" s="31" t="s">
        <v>226</v>
      </c>
      <c r="N67" s="31" t="s">
        <v>226</v>
      </c>
      <c r="O67" s="31" t="s">
        <v>226</v>
      </c>
      <c r="P67" s="31" t="s">
        <v>226</v>
      </c>
      <c r="Q67" s="31" t="s">
        <v>226</v>
      </c>
      <c r="R67" s="31" t="s">
        <v>226</v>
      </c>
      <c r="S67" s="31" t="s">
        <v>226</v>
      </c>
      <c r="T67" s="31" t="s">
        <v>226</v>
      </c>
      <c r="U67" s="31" t="s">
        <v>226</v>
      </c>
      <c r="V67" s="31" t="s">
        <v>226</v>
      </c>
      <c r="W67" s="31" t="s">
        <v>226</v>
      </c>
      <c r="X67" s="31" t="s">
        <v>226</v>
      </c>
      <c r="Y67" s="31" t="s">
        <v>226</v>
      </c>
      <c r="Z67" s="31" t="s">
        <v>226</v>
      </c>
      <c r="AA67" s="31" t="s">
        <v>226</v>
      </c>
      <c r="AB67" s="31" t="s">
        <v>226</v>
      </c>
      <c r="AC67" s="31" t="s">
        <v>226</v>
      </c>
      <c r="AD67" s="31" t="s">
        <v>226</v>
      </c>
      <c r="AE67" s="31" t="s">
        <v>226</v>
      </c>
      <c r="AF67" s="31" t="s">
        <v>226</v>
      </c>
      <c r="AG67" s="31" t="s">
        <v>226</v>
      </c>
      <c r="AH67" s="31" t="s">
        <v>226</v>
      </c>
      <c r="AI67" s="31" t="s">
        <v>226</v>
      </c>
      <c r="AJ67" s="31" t="s">
        <v>226</v>
      </c>
      <c r="AK67" s="31" t="s">
        <v>226</v>
      </c>
      <c r="AL67" s="31" t="s">
        <v>226</v>
      </c>
      <c r="AM67" s="31"/>
      <c r="AN67" s="31"/>
      <c r="AO67" s="96">
        <v>34.5</v>
      </c>
      <c r="AP67" s="33">
        <f t="shared" si="145"/>
        <v>1.4375</v>
      </c>
      <c r="AQ67" s="34">
        <f t="shared" si="146"/>
        <v>34.5</v>
      </c>
      <c r="AR67" s="35"/>
      <c r="AS67" s="36">
        <f t="shared" ref="AS67" si="159">AP67/$AZ$2</f>
        <v>1.4375</v>
      </c>
      <c r="AT67" s="36">
        <f t="shared" ref="AT67" si="160">AQ67/$AZ$2</f>
        <v>34.5</v>
      </c>
      <c r="AU67" s="36">
        <f t="shared" si="144"/>
        <v>1.566875</v>
      </c>
      <c r="AV67" s="36">
        <f t="shared" si="147"/>
        <v>37.605000000000004</v>
      </c>
      <c r="AW67" s="37">
        <v>2.25</v>
      </c>
      <c r="AX67" s="38">
        <f t="shared" si="148"/>
        <v>54</v>
      </c>
      <c r="AY67" s="38">
        <f t="shared" ref="AY67" si="161">AW67-AU67</f>
        <v>0.68312499999999998</v>
      </c>
      <c r="AZ67" s="38">
        <f t="shared" si="149"/>
        <v>16.395</v>
      </c>
      <c r="BA67" s="39">
        <f t="shared" ref="BA67" si="162">AY67/AW67</f>
        <v>0.30361111111111111</v>
      </c>
      <c r="BB67" s="43"/>
      <c r="BC67" s="119">
        <f t="shared" si="10"/>
        <v>2.25</v>
      </c>
      <c r="BD67" s="108">
        <v>0.16350000000000001</v>
      </c>
      <c r="BE67" s="120">
        <f t="shared" si="11"/>
        <v>2.6178750000000002</v>
      </c>
      <c r="BF67" s="121">
        <f t="shared" si="12"/>
        <v>0.36787500000000017</v>
      </c>
      <c r="BG67" s="121">
        <f t="shared" si="13"/>
        <v>3.0375000000000017E-2</v>
      </c>
      <c r="BH67" s="122">
        <f t="shared" si="14"/>
        <v>0.36787500000000017</v>
      </c>
      <c r="BI67" s="121">
        <f t="shared" si="15"/>
        <v>2.25</v>
      </c>
      <c r="BJ67" s="123">
        <f t="shared" si="16"/>
        <v>0.30361111111111111</v>
      </c>
      <c r="BK67" s="124">
        <f t="shared" si="17"/>
        <v>0</v>
      </c>
      <c r="BL67" s="125" t="s">
        <v>226</v>
      </c>
    </row>
    <row r="68" spans="1:64" ht="45" customHeight="1" x14ac:dyDescent="0.25">
      <c r="A68" s="30">
        <v>62</v>
      </c>
      <c r="B68" s="103" t="s">
        <v>57</v>
      </c>
      <c r="C68" s="31">
        <v>1</v>
      </c>
      <c r="D68" s="32" t="s">
        <v>73</v>
      </c>
      <c r="E68" s="31">
        <f t="shared" si="0"/>
        <v>12</v>
      </c>
      <c r="F68" s="31" t="s">
        <v>226</v>
      </c>
      <c r="G68" s="31" t="s">
        <v>226</v>
      </c>
      <c r="H68" s="31" t="s">
        <v>226</v>
      </c>
      <c r="I68" s="31" t="s">
        <v>226</v>
      </c>
      <c r="J68" s="31" t="s">
        <v>226</v>
      </c>
      <c r="K68" s="31" t="s">
        <v>226</v>
      </c>
      <c r="L68" s="31" t="s">
        <v>226</v>
      </c>
      <c r="M68" s="31" t="s">
        <v>226</v>
      </c>
      <c r="N68" s="31" t="s">
        <v>226</v>
      </c>
      <c r="O68" s="31" t="s">
        <v>226</v>
      </c>
      <c r="P68" s="31" t="s">
        <v>226</v>
      </c>
      <c r="Q68" s="31" t="s">
        <v>226</v>
      </c>
      <c r="R68" s="31" t="s">
        <v>226</v>
      </c>
      <c r="S68" s="31" t="s">
        <v>226</v>
      </c>
      <c r="T68" s="31" t="s">
        <v>226</v>
      </c>
      <c r="U68" s="31" t="s">
        <v>226</v>
      </c>
      <c r="V68" s="31" t="s">
        <v>226</v>
      </c>
      <c r="W68" s="31" t="s">
        <v>226</v>
      </c>
      <c r="X68" s="31" t="s">
        <v>226</v>
      </c>
      <c r="Y68" s="31" t="s">
        <v>226</v>
      </c>
      <c r="Z68" s="31" t="s">
        <v>226</v>
      </c>
      <c r="AA68" s="31" t="s">
        <v>226</v>
      </c>
      <c r="AB68" s="31" t="s">
        <v>226</v>
      </c>
      <c r="AC68" s="31" t="s">
        <v>226</v>
      </c>
      <c r="AD68" s="31" t="s">
        <v>226</v>
      </c>
      <c r="AE68" s="31" t="s">
        <v>226</v>
      </c>
      <c r="AF68" s="31" t="s">
        <v>226</v>
      </c>
      <c r="AG68" s="31" t="s">
        <v>226</v>
      </c>
      <c r="AH68" s="31" t="s">
        <v>226</v>
      </c>
      <c r="AI68" s="31" t="s">
        <v>226</v>
      </c>
      <c r="AJ68" s="31" t="s">
        <v>226</v>
      </c>
      <c r="AK68" s="31" t="s">
        <v>226</v>
      </c>
      <c r="AL68" s="31" t="s">
        <v>226</v>
      </c>
      <c r="AM68" s="31"/>
      <c r="AN68" s="31"/>
      <c r="AO68" s="96">
        <v>34.5</v>
      </c>
      <c r="AP68" s="33">
        <f t="shared" si="145"/>
        <v>2.875</v>
      </c>
      <c r="AQ68" s="34">
        <f t="shared" si="146"/>
        <v>34.5</v>
      </c>
      <c r="AR68" s="35"/>
      <c r="AS68" s="36">
        <f t="shared" si="157"/>
        <v>2.875</v>
      </c>
      <c r="AT68" s="36">
        <f t="shared" si="157"/>
        <v>34.5</v>
      </c>
      <c r="AU68" s="36">
        <f t="shared" si="144"/>
        <v>3.13375</v>
      </c>
      <c r="AV68" s="36">
        <f t="shared" si="147"/>
        <v>37.605000000000004</v>
      </c>
      <c r="AW68" s="37">
        <v>4.95</v>
      </c>
      <c r="AX68" s="38">
        <f t="shared" si="148"/>
        <v>59.400000000000006</v>
      </c>
      <c r="AY68" s="38">
        <f t="shared" si="7"/>
        <v>1.8162500000000001</v>
      </c>
      <c r="AZ68" s="38">
        <f t="shared" si="149"/>
        <v>21.795000000000002</v>
      </c>
      <c r="BA68" s="39">
        <f t="shared" si="9"/>
        <v>0.36691919191919192</v>
      </c>
      <c r="BB68" s="43"/>
      <c r="BC68" s="119">
        <f t="shared" si="10"/>
        <v>4.95</v>
      </c>
      <c r="BD68" s="108">
        <v>0.16350000000000001</v>
      </c>
      <c r="BE68" s="120">
        <f t="shared" si="11"/>
        <v>5.7593250000000005</v>
      </c>
      <c r="BF68" s="121">
        <f t="shared" si="12"/>
        <v>0.80932500000000029</v>
      </c>
      <c r="BG68" s="121">
        <f t="shared" si="13"/>
        <v>6.6825000000000023E-2</v>
      </c>
      <c r="BH68" s="122">
        <f t="shared" si="14"/>
        <v>0.80932500000000029</v>
      </c>
      <c r="BI68" s="121">
        <f t="shared" si="15"/>
        <v>4.95</v>
      </c>
      <c r="BJ68" s="123">
        <f t="shared" si="16"/>
        <v>0.36691919191919192</v>
      </c>
      <c r="BK68" s="124">
        <f t="shared" si="17"/>
        <v>0</v>
      </c>
      <c r="BL68" s="125" t="s">
        <v>226</v>
      </c>
    </row>
    <row r="69" spans="1:64" ht="45" customHeight="1" x14ac:dyDescent="0.25">
      <c r="A69" s="30">
        <v>63</v>
      </c>
      <c r="B69" s="100" t="s">
        <v>58</v>
      </c>
      <c r="C69" s="31">
        <v>1</v>
      </c>
      <c r="D69" s="32" t="s">
        <v>73</v>
      </c>
      <c r="E69" s="31">
        <f t="shared" si="0"/>
        <v>12</v>
      </c>
      <c r="F69" s="31" t="s">
        <v>226</v>
      </c>
      <c r="G69" s="31" t="s">
        <v>226</v>
      </c>
      <c r="H69" s="31" t="s">
        <v>226</v>
      </c>
      <c r="I69" s="31" t="s">
        <v>226</v>
      </c>
      <c r="J69" s="31" t="s">
        <v>226</v>
      </c>
      <c r="K69" s="31" t="s">
        <v>226</v>
      </c>
      <c r="L69" s="31" t="s">
        <v>226</v>
      </c>
      <c r="M69" s="31" t="s">
        <v>226</v>
      </c>
      <c r="N69" s="31" t="s">
        <v>226</v>
      </c>
      <c r="O69" s="31" t="s">
        <v>226</v>
      </c>
      <c r="P69" s="31" t="s">
        <v>226</v>
      </c>
      <c r="Q69" s="31" t="s">
        <v>226</v>
      </c>
      <c r="R69" s="31" t="s">
        <v>226</v>
      </c>
      <c r="S69" s="31" t="s">
        <v>226</v>
      </c>
      <c r="T69" s="31" t="s">
        <v>226</v>
      </c>
      <c r="U69" s="31" t="s">
        <v>226</v>
      </c>
      <c r="V69" s="31" t="s">
        <v>226</v>
      </c>
      <c r="W69" s="31" t="s">
        <v>226</v>
      </c>
      <c r="X69" s="31" t="s">
        <v>226</v>
      </c>
      <c r="Y69" s="31" t="s">
        <v>226</v>
      </c>
      <c r="Z69" s="31" t="s">
        <v>226</v>
      </c>
      <c r="AA69" s="31" t="s">
        <v>226</v>
      </c>
      <c r="AB69" s="31" t="s">
        <v>226</v>
      </c>
      <c r="AC69" s="31" t="s">
        <v>226</v>
      </c>
      <c r="AD69" s="31" t="s">
        <v>226</v>
      </c>
      <c r="AE69" s="31" t="s">
        <v>226</v>
      </c>
      <c r="AF69" s="31" t="s">
        <v>226</v>
      </c>
      <c r="AG69" s="31" t="s">
        <v>226</v>
      </c>
      <c r="AH69" s="31" t="s">
        <v>226</v>
      </c>
      <c r="AI69" s="31" t="s">
        <v>226</v>
      </c>
      <c r="AJ69" s="31" t="s">
        <v>226</v>
      </c>
      <c r="AK69" s="31" t="s">
        <v>226</v>
      </c>
      <c r="AL69" s="31" t="s">
        <v>226</v>
      </c>
      <c r="AM69" s="31"/>
      <c r="AN69" s="31"/>
      <c r="AO69" s="96">
        <v>34.200000000000003</v>
      </c>
      <c r="AP69" s="33">
        <f t="shared" si="145"/>
        <v>2.85</v>
      </c>
      <c r="AQ69" s="34">
        <f t="shared" si="146"/>
        <v>34.200000000000003</v>
      </c>
      <c r="AR69" s="35"/>
      <c r="AS69" s="36">
        <f t="shared" si="157"/>
        <v>2.85</v>
      </c>
      <c r="AT69" s="36">
        <f t="shared" si="157"/>
        <v>34.200000000000003</v>
      </c>
      <c r="AU69" s="36">
        <f t="shared" si="144"/>
        <v>3.1065000000000005</v>
      </c>
      <c r="AV69" s="36">
        <f t="shared" si="147"/>
        <v>37.278000000000006</v>
      </c>
      <c r="AW69" s="37">
        <v>4.5</v>
      </c>
      <c r="AX69" s="38">
        <f t="shared" si="148"/>
        <v>54</v>
      </c>
      <c r="AY69" s="38">
        <f t="shared" si="7"/>
        <v>1.3934999999999995</v>
      </c>
      <c r="AZ69" s="38">
        <f t="shared" si="149"/>
        <v>16.721999999999994</v>
      </c>
      <c r="BA69" s="39">
        <f t="shared" si="9"/>
        <v>0.30966666666666653</v>
      </c>
      <c r="BB69" s="40"/>
      <c r="BC69" s="119">
        <f t="shared" si="10"/>
        <v>4.5</v>
      </c>
      <c r="BD69" s="108">
        <v>0.16350000000000001</v>
      </c>
      <c r="BE69" s="120">
        <f t="shared" si="11"/>
        <v>5.2357500000000003</v>
      </c>
      <c r="BF69" s="121">
        <f t="shared" si="12"/>
        <v>0.73575000000000035</v>
      </c>
      <c r="BG69" s="121">
        <f t="shared" si="13"/>
        <v>6.0750000000000033E-2</v>
      </c>
      <c r="BH69" s="122">
        <f t="shared" si="14"/>
        <v>0.73575000000000035</v>
      </c>
      <c r="BI69" s="121">
        <f t="shared" si="15"/>
        <v>4.5</v>
      </c>
      <c r="BJ69" s="123">
        <f t="shared" si="16"/>
        <v>0.30966666666666653</v>
      </c>
      <c r="BK69" s="124">
        <f t="shared" si="17"/>
        <v>0</v>
      </c>
      <c r="BL69" s="125" t="s">
        <v>226</v>
      </c>
    </row>
    <row r="70" spans="1:64" ht="45" customHeight="1" x14ac:dyDescent="0.25">
      <c r="A70" s="30">
        <v>64</v>
      </c>
      <c r="B70" s="100" t="s">
        <v>154</v>
      </c>
      <c r="C70" s="31">
        <v>1</v>
      </c>
      <c r="D70" s="32" t="s">
        <v>24</v>
      </c>
      <c r="E70" s="31">
        <f t="shared" ref="E70:E74" si="163">D70*C70</f>
        <v>24</v>
      </c>
      <c r="F70" s="31" t="s">
        <v>226</v>
      </c>
      <c r="G70" s="31" t="s">
        <v>226</v>
      </c>
      <c r="H70" s="31" t="s">
        <v>226</v>
      </c>
      <c r="I70" s="31" t="s">
        <v>226</v>
      </c>
      <c r="J70" s="31" t="s">
        <v>226</v>
      </c>
      <c r="K70" s="31" t="s">
        <v>226</v>
      </c>
      <c r="L70" s="31" t="s">
        <v>226</v>
      </c>
      <c r="M70" s="31" t="s">
        <v>226</v>
      </c>
      <c r="N70" s="31" t="s">
        <v>226</v>
      </c>
      <c r="O70" s="31" t="s">
        <v>226</v>
      </c>
      <c r="P70" s="31" t="s">
        <v>226</v>
      </c>
      <c r="Q70" s="31" t="s">
        <v>226</v>
      </c>
      <c r="R70" s="31" t="s">
        <v>226</v>
      </c>
      <c r="S70" s="31" t="s">
        <v>226</v>
      </c>
      <c r="T70" s="31" t="s">
        <v>226</v>
      </c>
      <c r="U70" s="31" t="s">
        <v>226</v>
      </c>
      <c r="V70" s="31" t="s">
        <v>226</v>
      </c>
      <c r="W70" s="31" t="s">
        <v>226</v>
      </c>
      <c r="X70" s="31" t="s">
        <v>226</v>
      </c>
      <c r="Y70" s="31" t="s">
        <v>226</v>
      </c>
      <c r="Z70" s="31" t="s">
        <v>226</v>
      </c>
      <c r="AA70" s="31" t="s">
        <v>226</v>
      </c>
      <c r="AB70" s="31" t="s">
        <v>226</v>
      </c>
      <c r="AC70" s="31" t="s">
        <v>226</v>
      </c>
      <c r="AD70" s="31" t="s">
        <v>226</v>
      </c>
      <c r="AE70" s="31" t="s">
        <v>226</v>
      </c>
      <c r="AF70" s="31" t="s">
        <v>226</v>
      </c>
      <c r="AG70" s="31" t="s">
        <v>226</v>
      </c>
      <c r="AH70" s="31" t="s">
        <v>226</v>
      </c>
      <c r="AI70" s="31" t="s">
        <v>226</v>
      </c>
      <c r="AJ70" s="31" t="s">
        <v>226</v>
      </c>
      <c r="AK70" s="31" t="s">
        <v>226</v>
      </c>
      <c r="AL70" s="31" t="s">
        <v>226</v>
      </c>
      <c r="AM70" s="31"/>
      <c r="AN70" s="31"/>
      <c r="AO70" s="96">
        <v>54.5</v>
      </c>
      <c r="AP70" s="33">
        <f t="shared" si="145"/>
        <v>2.2708333333333335</v>
      </c>
      <c r="AQ70" s="34">
        <f t="shared" si="146"/>
        <v>54.5</v>
      </c>
      <c r="AR70" s="35"/>
      <c r="AS70" s="36">
        <f t="shared" ref="AS70:AS74" si="164">AP70/$AZ$2</f>
        <v>2.2708333333333335</v>
      </c>
      <c r="AT70" s="36">
        <f t="shared" ref="AT70:AT74" si="165">AQ70/$AZ$2</f>
        <v>54.5</v>
      </c>
      <c r="AU70" s="36">
        <f t="shared" si="144"/>
        <v>2.4752083333333337</v>
      </c>
      <c r="AV70" s="36">
        <f t="shared" si="147"/>
        <v>59.405000000000008</v>
      </c>
      <c r="AW70" s="37">
        <v>2.95</v>
      </c>
      <c r="AX70" s="38">
        <f t="shared" si="148"/>
        <v>70.800000000000011</v>
      </c>
      <c r="AY70" s="38">
        <f t="shared" ref="AY70:AY74" si="166">AW70-AU70</f>
        <v>0.4747916666666665</v>
      </c>
      <c r="AZ70" s="38">
        <f t="shared" si="149"/>
        <v>11.394999999999996</v>
      </c>
      <c r="BA70" s="99">
        <f t="shared" ref="BA70:BA74" si="167">AY70/AW70</f>
        <v>0.16094632768361575</v>
      </c>
      <c r="BB70" s="41"/>
      <c r="BC70" s="119">
        <f t="shared" si="10"/>
        <v>2.95</v>
      </c>
      <c r="BD70" s="108">
        <v>0.16350000000000001</v>
      </c>
      <c r="BE70" s="120">
        <f t="shared" si="11"/>
        <v>3.4323250000000001</v>
      </c>
      <c r="BF70" s="121">
        <f t="shared" si="12"/>
        <v>0.48232499999999989</v>
      </c>
      <c r="BG70" s="121">
        <f t="shared" si="13"/>
        <v>3.9824999999999992E-2</v>
      </c>
      <c r="BH70" s="122">
        <f t="shared" si="14"/>
        <v>0.48232499999999989</v>
      </c>
      <c r="BI70" s="121">
        <f t="shared" si="15"/>
        <v>2.95</v>
      </c>
      <c r="BJ70" s="123">
        <f t="shared" si="16"/>
        <v>0.16094632768361575</v>
      </c>
      <c r="BK70" s="124">
        <f t="shared" si="17"/>
        <v>0</v>
      </c>
      <c r="BL70" s="125" t="s">
        <v>226</v>
      </c>
    </row>
    <row r="71" spans="1:64" ht="45" customHeight="1" x14ac:dyDescent="0.25">
      <c r="A71" s="30">
        <v>65</v>
      </c>
      <c r="B71" s="100" t="s">
        <v>155</v>
      </c>
      <c r="C71" s="31">
        <v>1</v>
      </c>
      <c r="D71" s="32" t="s">
        <v>24</v>
      </c>
      <c r="E71" s="31">
        <f t="shared" si="163"/>
        <v>24</v>
      </c>
      <c r="F71" s="31" t="s">
        <v>226</v>
      </c>
      <c r="G71" s="31" t="s">
        <v>226</v>
      </c>
      <c r="H71" s="31" t="s">
        <v>226</v>
      </c>
      <c r="I71" s="31" t="s">
        <v>226</v>
      </c>
      <c r="J71" s="31" t="s">
        <v>226</v>
      </c>
      <c r="K71" s="31" t="s">
        <v>226</v>
      </c>
      <c r="L71" s="31" t="s">
        <v>226</v>
      </c>
      <c r="M71" s="31" t="s">
        <v>226</v>
      </c>
      <c r="N71" s="31" t="s">
        <v>226</v>
      </c>
      <c r="O71" s="31" t="s">
        <v>226</v>
      </c>
      <c r="P71" s="31" t="s">
        <v>226</v>
      </c>
      <c r="Q71" s="31" t="s">
        <v>226</v>
      </c>
      <c r="R71" s="31" t="s">
        <v>226</v>
      </c>
      <c r="S71" s="31" t="s">
        <v>226</v>
      </c>
      <c r="T71" s="31" t="s">
        <v>226</v>
      </c>
      <c r="U71" s="31" t="s">
        <v>226</v>
      </c>
      <c r="V71" s="31" t="s">
        <v>226</v>
      </c>
      <c r="W71" s="31" t="s">
        <v>226</v>
      </c>
      <c r="X71" s="31" t="s">
        <v>226</v>
      </c>
      <c r="Y71" s="31" t="s">
        <v>226</v>
      </c>
      <c r="Z71" s="31" t="s">
        <v>226</v>
      </c>
      <c r="AA71" s="31" t="s">
        <v>226</v>
      </c>
      <c r="AB71" s="31" t="s">
        <v>226</v>
      </c>
      <c r="AC71" s="31" t="s">
        <v>226</v>
      </c>
      <c r="AD71" s="31" t="s">
        <v>226</v>
      </c>
      <c r="AE71" s="31" t="s">
        <v>226</v>
      </c>
      <c r="AF71" s="31" t="s">
        <v>226</v>
      </c>
      <c r="AG71" s="31" t="s">
        <v>226</v>
      </c>
      <c r="AH71" s="31" t="s">
        <v>226</v>
      </c>
      <c r="AI71" s="31" t="s">
        <v>226</v>
      </c>
      <c r="AJ71" s="31" t="s">
        <v>226</v>
      </c>
      <c r="AK71" s="31" t="s">
        <v>226</v>
      </c>
      <c r="AL71" s="31" t="s">
        <v>226</v>
      </c>
      <c r="AM71" s="31"/>
      <c r="AN71" s="31"/>
      <c r="AO71" s="96">
        <v>54.5</v>
      </c>
      <c r="AP71" s="33">
        <f t="shared" si="145"/>
        <v>2.2708333333333335</v>
      </c>
      <c r="AQ71" s="34">
        <f t="shared" si="146"/>
        <v>54.5</v>
      </c>
      <c r="AR71" s="35"/>
      <c r="AS71" s="36">
        <f t="shared" si="164"/>
        <v>2.2708333333333335</v>
      </c>
      <c r="AT71" s="36">
        <f t="shared" si="165"/>
        <v>54.5</v>
      </c>
      <c r="AU71" s="36">
        <f t="shared" si="144"/>
        <v>2.4752083333333337</v>
      </c>
      <c r="AV71" s="36">
        <f t="shared" si="147"/>
        <v>59.405000000000008</v>
      </c>
      <c r="AW71" s="37">
        <v>2.95</v>
      </c>
      <c r="AX71" s="38">
        <f t="shared" si="148"/>
        <v>70.800000000000011</v>
      </c>
      <c r="AY71" s="38">
        <f t="shared" si="166"/>
        <v>0.4747916666666665</v>
      </c>
      <c r="AZ71" s="38">
        <f t="shared" si="149"/>
        <v>11.394999999999996</v>
      </c>
      <c r="BA71" s="39">
        <f t="shared" si="167"/>
        <v>0.16094632768361575</v>
      </c>
      <c r="BB71" s="41"/>
      <c r="BC71" s="119">
        <f t="shared" si="10"/>
        <v>2.95</v>
      </c>
      <c r="BD71" s="108">
        <v>0.16350000000000001</v>
      </c>
      <c r="BE71" s="120">
        <f t="shared" si="11"/>
        <v>3.4323250000000001</v>
      </c>
      <c r="BF71" s="121">
        <f t="shared" si="12"/>
        <v>0.48232499999999989</v>
      </c>
      <c r="BG71" s="121">
        <f t="shared" si="13"/>
        <v>3.9824999999999992E-2</v>
      </c>
      <c r="BH71" s="122">
        <f t="shared" si="14"/>
        <v>0.48232499999999989</v>
      </c>
      <c r="BI71" s="121">
        <f t="shared" si="15"/>
        <v>2.95</v>
      </c>
      <c r="BJ71" s="123">
        <f t="shared" si="16"/>
        <v>0.16094632768361575</v>
      </c>
      <c r="BK71" s="124">
        <f t="shared" si="17"/>
        <v>0</v>
      </c>
      <c r="BL71" s="125" t="s">
        <v>226</v>
      </c>
    </row>
    <row r="72" spans="1:64" ht="45" customHeight="1" x14ac:dyDescent="0.25">
      <c r="A72" s="30">
        <v>66</v>
      </c>
      <c r="B72" s="100" t="s">
        <v>240</v>
      </c>
      <c r="C72" s="31">
        <v>1</v>
      </c>
      <c r="D72" s="32" t="s">
        <v>73</v>
      </c>
      <c r="E72" s="31">
        <v>12</v>
      </c>
      <c r="F72" s="31" t="s">
        <v>226</v>
      </c>
      <c r="G72" s="31" t="s">
        <v>226</v>
      </c>
      <c r="H72" s="31" t="s">
        <v>226</v>
      </c>
      <c r="I72" s="31" t="s">
        <v>226</v>
      </c>
      <c r="J72" s="31" t="s">
        <v>226</v>
      </c>
      <c r="K72" s="31" t="s">
        <v>226</v>
      </c>
      <c r="L72" s="31" t="s">
        <v>226</v>
      </c>
      <c r="M72" s="31" t="s">
        <v>226</v>
      </c>
      <c r="N72" s="31" t="s">
        <v>226</v>
      </c>
      <c r="O72" s="31" t="s">
        <v>226</v>
      </c>
      <c r="P72" s="31" t="s">
        <v>226</v>
      </c>
      <c r="Q72" s="31" t="s">
        <v>226</v>
      </c>
      <c r="R72" s="31" t="s">
        <v>226</v>
      </c>
      <c r="S72" s="31" t="s">
        <v>226</v>
      </c>
      <c r="T72" s="31" t="s">
        <v>226</v>
      </c>
      <c r="U72" s="31" t="s">
        <v>226</v>
      </c>
      <c r="V72" s="31" t="s">
        <v>226</v>
      </c>
      <c r="W72" s="31" t="s">
        <v>226</v>
      </c>
      <c r="X72" s="31" t="s">
        <v>226</v>
      </c>
      <c r="Y72" s="31" t="s">
        <v>226</v>
      </c>
      <c r="Z72" s="31" t="s">
        <v>226</v>
      </c>
      <c r="AA72" s="31" t="s">
        <v>226</v>
      </c>
      <c r="AB72" s="31" t="s">
        <v>226</v>
      </c>
      <c r="AC72" s="31" t="s">
        <v>226</v>
      </c>
      <c r="AD72" s="31" t="s">
        <v>226</v>
      </c>
      <c r="AE72" s="31" t="s">
        <v>226</v>
      </c>
      <c r="AF72" s="31" t="s">
        <v>226</v>
      </c>
      <c r="AG72" s="31" t="s">
        <v>226</v>
      </c>
      <c r="AH72" s="31" t="s">
        <v>226</v>
      </c>
      <c r="AI72" s="31" t="s">
        <v>226</v>
      </c>
      <c r="AJ72" s="31" t="s">
        <v>226</v>
      </c>
      <c r="AK72" s="31" t="s">
        <v>226</v>
      </c>
      <c r="AL72" s="31" t="s">
        <v>226</v>
      </c>
      <c r="AM72" s="31"/>
      <c r="AN72" s="31"/>
      <c r="AO72" s="96">
        <v>27.2</v>
      </c>
      <c r="AP72" s="33">
        <f t="shared" ref="AP72:AP73" si="168">AO72/D72</f>
        <v>2.2666666666666666</v>
      </c>
      <c r="AQ72" s="34">
        <f t="shared" ref="AQ72:AQ73" si="169">AP72*E72</f>
        <v>27.2</v>
      </c>
      <c r="AR72" s="35"/>
      <c r="AS72" s="36">
        <f t="shared" si="164"/>
        <v>2.2666666666666666</v>
      </c>
      <c r="AT72" s="36">
        <f t="shared" si="165"/>
        <v>27.2</v>
      </c>
      <c r="AU72" s="36">
        <f t="shared" si="144"/>
        <v>2.4706666666666668</v>
      </c>
      <c r="AV72" s="36">
        <f t="shared" ref="AV72:AV73" si="170">AU72*E72</f>
        <v>29.648000000000003</v>
      </c>
      <c r="AW72" s="37">
        <v>4.5</v>
      </c>
      <c r="AX72" s="38">
        <f t="shared" ref="AX72:AX73" si="171">AW72*E72</f>
        <v>54</v>
      </c>
      <c r="AY72" s="38">
        <f t="shared" si="166"/>
        <v>2.0293333333333332</v>
      </c>
      <c r="AZ72" s="38">
        <f t="shared" ref="AZ72:AZ73" si="172">AY72*E72</f>
        <v>24.351999999999997</v>
      </c>
      <c r="BA72" s="39">
        <f t="shared" si="167"/>
        <v>0.45096296296296295</v>
      </c>
      <c r="BB72" s="40"/>
      <c r="BC72" s="119">
        <f t="shared" ref="BC72:BC73" si="173">AW72</f>
        <v>4.5</v>
      </c>
      <c r="BD72" s="108">
        <v>0.16350000000000001</v>
      </c>
      <c r="BE72" s="120">
        <f t="shared" ref="BE72:BE135" si="174">BC72+(BD72*BC72)</f>
        <v>5.2357500000000003</v>
      </c>
      <c r="BF72" s="121">
        <f t="shared" ref="BF72:BF73" si="175">BE72-BC72</f>
        <v>0.73575000000000035</v>
      </c>
      <c r="BG72" s="121">
        <f t="shared" ref="BG72:BG135" si="176">(9/109)*BH72</f>
        <v>6.0750000000000033E-2</v>
      </c>
      <c r="BH72" s="122">
        <f t="shared" ref="BH72:BH135" si="177">BE72-BC72</f>
        <v>0.73575000000000035</v>
      </c>
      <c r="BI72" s="121">
        <f t="shared" ref="BI72:BI135" si="178">BE72-BH72</f>
        <v>4.5</v>
      </c>
      <c r="BJ72" s="123">
        <f t="shared" ref="BJ72:BJ73" si="179">(BI72-AU72)/BI72</f>
        <v>0.45096296296296295</v>
      </c>
      <c r="BK72" s="124">
        <f t="shared" ref="BK72:BK73" si="180">BJ72-BA72</f>
        <v>0</v>
      </c>
      <c r="BL72" s="125"/>
    </row>
    <row r="73" spans="1:64" ht="45" customHeight="1" x14ac:dyDescent="0.25">
      <c r="A73" s="30">
        <v>67</v>
      </c>
      <c r="B73" s="100" t="s">
        <v>241</v>
      </c>
      <c r="C73" s="31">
        <v>1</v>
      </c>
      <c r="D73" s="32" t="s">
        <v>73</v>
      </c>
      <c r="E73" s="31">
        <v>12</v>
      </c>
      <c r="F73" s="31" t="s">
        <v>226</v>
      </c>
      <c r="G73" s="31" t="s">
        <v>226</v>
      </c>
      <c r="H73" s="31" t="s">
        <v>226</v>
      </c>
      <c r="I73" s="31" t="s">
        <v>226</v>
      </c>
      <c r="J73" s="31" t="s">
        <v>226</v>
      </c>
      <c r="K73" s="31" t="s">
        <v>226</v>
      </c>
      <c r="L73" s="31" t="s">
        <v>226</v>
      </c>
      <c r="M73" s="31" t="s">
        <v>226</v>
      </c>
      <c r="N73" s="31" t="s">
        <v>226</v>
      </c>
      <c r="O73" s="31" t="s">
        <v>226</v>
      </c>
      <c r="P73" s="31" t="s">
        <v>226</v>
      </c>
      <c r="Q73" s="31" t="s">
        <v>226</v>
      </c>
      <c r="R73" s="31" t="s">
        <v>226</v>
      </c>
      <c r="S73" s="31" t="s">
        <v>226</v>
      </c>
      <c r="T73" s="31" t="s">
        <v>226</v>
      </c>
      <c r="U73" s="31" t="s">
        <v>226</v>
      </c>
      <c r="V73" s="31" t="s">
        <v>226</v>
      </c>
      <c r="W73" s="31" t="s">
        <v>226</v>
      </c>
      <c r="X73" s="31" t="s">
        <v>226</v>
      </c>
      <c r="Y73" s="31" t="s">
        <v>226</v>
      </c>
      <c r="Z73" s="31" t="s">
        <v>226</v>
      </c>
      <c r="AA73" s="31" t="s">
        <v>226</v>
      </c>
      <c r="AB73" s="31" t="s">
        <v>226</v>
      </c>
      <c r="AC73" s="31" t="s">
        <v>226</v>
      </c>
      <c r="AD73" s="31" t="s">
        <v>226</v>
      </c>
      <c r="AE73" s="31" t="s">
        <v>226</v>
      </c>
      <c r="AF73" s="31" t="s">
        <v>226</v>
      </c>
      <c r="AG73" s="31" t="s">
        <v>226</v>
      </c>
      <c r="AH73" s="31" t="s">
        <v>226</v>
      </c>
      <c r="AI73" s="31" t="s">
        <v>226</v>
      </c>
      <c r="AJ73" s="31" t="s">
        <v>226</v>
      </c>
      <c r="AK73" s="31" t="s">
        <v>226</v>
      </c>
      <c r="AL73" s="31" t="s">
        <v>226</v>
      </c>
      <c r="AM73" s="31"/>
      <c r="AN73" s="31"/>
      <c r="AO73" s="96">
        <v>34.200000000000003</v>
      </c>
      <c r="AP73" s="33">
        <f t="shared" si="168"/>
        <v>2.85</v>
      </c>
      <c r="AQ73" s="34">
        <f t="shared" si="169"/>
        <v>34.200000000000003</v>
      </c>
      <c r="AR73" s="35"/>
      <c r="AS73" s="36">
        <f t="shared" si="164"/>
        <v>2.85</v>
      </c>
      <c r="AT73" s="36">
        <f t="shared" si="165"/>
        <v>34.200000000000003</v>
      </c>
      <c r="AU73" s="36">
        <f t="shared" si="144"/>
        <v>3.1065000000000005</v>
      </c>
      <c r="AV73" s="36">
        <f t="shared" si="170"/>
        <v>37.278000000000006</v>
      </c>
      <c r="AW73" s="37">
        <v>4.5</v>
      </c>
      <c r="AX73" s="38">
        <f t="shared" si="171"/>
        <v>54</v>
      </c>
      <c r="AY73" s="38">
        <f t="shared" si="166"/>
        <v>1.3934999999999995</v>
      </c>
      <c r="AZ73" s="38">
        <f t="shared" si="172"/>
        <v>16.721999999999994</v>
      </c>
      <c r="BA73" s="39">
        <f t="shared" si="167"/>
        <v>0.30966666666666653</v>
      </c>
      <c r="BB73" s="40"/>
      <c r="BC73" s="119">
        <f t="shared" si="173"/>
        <v>4.5</v>
      </c>
      <c r="BD73" s="108">
        <v>0.16350000000000001</v>
      </c>
      <c r="BE73" s="120">
        <f t="shared" si="174"/>
        <v>5.2357500000000003</v>
      </c>
      <c r="BF73" s="121">
        <f t="shared" si="175"/>
        <v>0.73575000000000035</v>
      </c>
      <c r="BG73" s="121">
        <f t="shared" si="176"/>
        <v>6.0750000000000033E-2</v>
      </c>
      <c r="BH73" s="122">
        <f t="shared" si="177"/>
        <v>0.73575000000000035</v>
      </c>
      <c r="BI73" s="121">
        <f t="shared" si="178"/>
        <v>4.5</v>
      </c>
      <c r="BJ73" s="123">
        <f t="shared" si="179"/>
        <v>0.30966666666666653</v>
      </c>
      <c r="BK73" s="124">
        <f t="shared" si="180"/>
        <v>0</v>
      </c>
      <c r="BL73" s="125"/>
    </row>
    <row r="74" spans="1:64" ht="45" customHeight="1" x14ac:dyDescent="0.25">
      <c r="A74" s="30">
        <v>68</v>
      </c>
      <c r="B74" s="100" t="s">
        <v>196</v>
      </c>
      <c r="C74" s="31">
        <v>1</v>
      </c>
      <c r="D74" s="32" t="s">
        <v>73</v>
      </c>
      <c r="E74" s="31">
        <f t="shared" si="163"/>
        <v>12</v>
      </c>
      <c r="F74" s="31" t="s">
        <v>226</v>
      </c>
      <c r="G74" s="31" t="s">
        <v>226</v>
      </c>
      <c r="H74" s="31" t="s">
        <v>226</v>
      </c>
      <c r="I74" s="31" t="s">
        <v>226</v>
      </c>
      <c r="J74" s="31" t="s">
        <v>226</v>
      </c>
      <c r="K74" s="31" t="s">
        <v>226</v>
      </c>
      <c r="L74" s="31" t="s">
        <v>226</v>
      </c>
      <c r="M74" s="31" t="s">
        <v>226</v>
      </c>
      <c r="N74" s="31" t="s">
        <v>226</v>
      </c>
      <c r="O74" s="31" t="s">
        <v>226</v>
      </c>
      <c r="P74" s="31" t="s">
        <v>226</v>
      </c>
      <c r="Q74" s="31" t="s">
        <v>226</v>
      </c>
      <c r="R74" s="31" t="s">
        <v>226</v>
      </c>
      <c r="S74" s="31" t="s">
        <v>226</v>
      </c>
      <c r="T74" s="31" t="s">
        <v>226</v>
      </c>
      <c r="U74" s="31" t="s">
        <v>226</v>
      </c>
      <c r="V74" s="31" t="s">
        <v>226</v>
      </c>
      <c r="W74" s="31" t="s">
        <v>226</v>
      </c>
      <c r="X74" s="31" t="s">
        <v>226</v>
      </c>
      <c r="Y74" s="31" t="s">
        <v>226</v>
      </c>
      <c r="Z74" s="31" t="s">
        <v>226</v>
      </c>
      <c r="AA74" s="31" t="s">
        <v>226</v>
      </c>
      <c r="AB74" s="31" t="s">
        <v>226</v>
      </c>
      <c r="AC74" s="31" t="s">
        <v>226</v>
      </c>
      <c r="AD74" s="31" t="s">
        <v>226</v>
      </c>
      <c r="AE74" s="31" t="s">
        <v>226</v>
      </c>
      <c r="AF74" s="31" t="s">
        <v>226</v>
      </c>
      <c r="AG74" s="31" t="s">
        <v>226</v>
      </c>
      <c r="AH74" s="31" t="s">
        <v>226</v>
      </c>
      <c r="AI74" s="31" t="s">
        <v>226</v>
      </c>
      <c r="AJ74" s="31" t="s">
        <v>226</v>
      </c>
      <c r="AK74" s="31" t="s">
        <v>226</v>
      </c>
      <c r="AL74" s="31" t="s">
        <v>226</v>
      </c>
      <c r="AM74" s="31"/>
      <c r="AN74" s="31"/>
      <c r="AO74" s="96">
        <v>34.200000000000003</v>
      </c>
      <c r="AP74" s="33">
        <f t="shared" si="145"/>
        <v>2.85</v>
      </c>
      <c r="AQ74" s="34">
        <f t="shared" si="146"/>
        <v>34.200000000000003</v>
      </c>
      <c r="AR74" s="35"/>
      <c r="AS74" s="36">
        <f t="shared" si="164"/>
        <v>2.85</v>
      </c>
      <c r="AT74" s="36">
        <f t="shared" si="165"/>
        <v>34.200000000000003</v>
      </c>
      <c r="AU74" s="36">
        <f t="shared" si="144"/>
        <v>3.1065000000000005</v>
      </c>
      <c r="AV74" s="36">
        <f t="shared" si="147"/>
        <v>37.278000000000006</v>
      </c>
      <c r="AW74" s="37">
        <v>4.5</v>
      </c>
      <c r="AX74" s="38">
        <f t="shared" si="148"/>
        <v>54</v>
      </c>
      <c r="AY74" s="38">
        <f t="shared" si="166"/>
        <v>1.3934999999999995</v>
      </c>
      <c r="AZ74" s="38">
        <f t="shared" si="149"/>
        <v>16.721999999999994</v>
      </c>
      <c r="BA74" s="39">
        <f t="shared" si="167"/>
        <v>0.30966666666666653</v>
      </c>
      <c r="BB74" s="41"/>
      <c r="BC74" s="119">
        <f t="shared" si="10"/>
        <v>4.5</v>
      </c>
      <c r="BD74" s="108">
        <v>0.16350000000000001</v>
      </c>
      <c r="BE74" s="120">
        <f t="shared" si="174"/>
        <v>5.2357500000000003</v>
      </c>
      <c r="BF74" s="121">
        <f t="shared" si="12"/>
        <v>0.73575000000000035</v>
      </c>
      <c r="BG74" s="121">
        <f t="shared" si="176"/>
        <v>6.0750000000000033E-2</v>
      </c>
      <c r="BH74" s="122">
        <f t="shared" si="177"/>
        <v>0.73575000000000035</v>
      </c>
      <c r="BI74" s="121">
        <f t="shared" si="178"/>
        <v>4.5</v>
      </c>
      <c r="BJ74" s="123">
        <f t="shared" si="16"/>
        <v>0.30966666666666653</v>
      </c>
      <c r="BK74" s="124">
        <f t="shared" si="17"/>
        <v>0</v>
      </c>
      <c r="BL74" s="125" t="s">
        <v>226</v>
      </c>
    </row>
    <row r="75" spans="1:64" ht="45" customHeight="1" x14ac:dyDescent="0.25">
      <c r="A75" s="30">
        <v>69</v>
      </c>
      <c r="B75" s="100" t="s">
        <v>59</v>
      </c>
      <c r="C75" s="31">
        <v>1</v>
      </c>
      <c r="D75" s="32" t="s">
        <v>73</v>
      </c>
      <c r="E75" s="31">
        <f t="shared" si="0"/>
        <v>12</v>
      </c>
      <c r="F75" s="31" t="s">
        <v>226</v>
      </c>
      <c r="G75" s="31" t="s">
        <v>226</v>
      </c>
      <c r="H75" s="31" t="s">
        <v>226</v>
      </c>
      <c r="I75" s="31" t="s">
        <v>226</v>
      </c>
      <c r="J75" s="31" t="s">
        <v>226</v>
      </c>
      <c r="K75" s="31" t="s">
        <v>226</v>
      </c>
      <c r="L75" s="31" t="s">
        <v>226</v>
      </c>
      <c r="M75" s="31" t="s">
        <v>226</v>
      </c>
      <c r="N75" s="31" t="s">
        <v>226</v>
      </c>
      <c r="O75" s="31" t="s">
        <v>226</v>
      </c>
      <c r="P75" s="31" t="s">
        <v>226</v>
      </c>
      <c r="Q75" s="31" t="s">
        <v>226</v>
      </c>
      <c r="R75" s="31" t="s">
        <v>226</v>
      </c>
      <c r="S75" s="31" t="s">
        <v>226</v>
      </c>
      <c r="T75" s="31" t="s">
        <v>226</v>
      </c>
      <c r="U75" s="31" t="s">
        <v>226</v>
      </c>
      <c r="V75" s="31" t="s">
        <v>226</v>
      </c>
      <c r="W75" s="31" t="s">
        <v>226</v>
      </c>
      <c r="X75" s="31" t="s">
        <v>226</v>
      </c>
      <c r="Y75" s="31" t="s">
        <v>226</v>
      </c>
      <c r="Z75" s="31" t="s">
        <v>226</v>
      </c>
      <c r="AA75" s="31" t="s">
        <v>226</v>
      </c>
      <c r="AB75" s="31" t="s">
        <v>226</v>
      </c>
      <c r="AC75" s="31" t="s">
        <v>226</v>
      </c>
      <c r="AD75" s="31" t="s">
        <v>226</v>
      </c>
      <c r="AE75" s="31" t="s">
        <v>226</v>
      </c>
      <c r="AF75" s="31" t="s">
        <v>226</v>
      </c>
      <c r="AG75" s="31" t="s">
        <v>226</v>
      </c>
      <c r="AH75" s="31" t="s">
        <v>226</v>
      </c>
      <c r="AI75" s="31" t="s">
        <v>226</v>
      </c>
      <c r="AJ75" s="31" t="s">
        <v>226</v>
      </c>
      <c r="AK75" s="31" t="s">
        <v>226</v>
      </c>
      <c r="AL75" s="31" t="s">
        <v>226</v>
      </c>
      <c r="AM75" s="31"/>
      <c r="AN75" s="31"/>
      <c r="AO75" s="96">
        <v>34.200000000000003</v>
      </c>
      <c r="AP75" s="33">
        <f t="shared" si="145"/>
        <v>2.85</v>
      </c>
      <c r="AQ75" s="34">
        <f t="shared" si="146"/>
        <v>34.200000000000003</v>
      </c>
      <c r="AR75" s="35"/>
      <c r="AS75" s="36">
        <f t="shared" si="157"/>
        <v>2.85</v>
      </c>
      <c r="AT75" s="36">
        <f t="shared" si="157"/>
        <v>34.200000000000003</v>
      </c>
      <c r="AU75" s="36">
        <f t="shared" si="144"/>
        <v>3.1065000000000005</v>
      </c>
      <c r="AV75" s="36">
        <f t="shared" si="147"/>
        <v>37.278000000000006</v>
      </c>
      <c r="AW75" s="37">
        <v>4.5</v>
      </c>
      <c r="AX75" s="38">
        <f t="shared" si="148"/>
        <v>54</v>
      </c>
      <c r="AY75" s="38">
        <f t="shared" si="7"/>
        <v>1.3934999999999995</v>
      </c>
      <c r="AZ75" s="38">
        <f t="shared" si="149"/>
        <v>16.721999999999994</v>
      </c>
      <c r="BA75" s="39">
        <f t="shared" si="9"/>
        <v>0.30966666666666653</v>
      </c>
      <c r="BB75" s="41"/>
      <c r="BC75" s="119">
        <f t="shared" si="10"/>
        <v>4.5</v>
      </c>
      <c r="BD75" s="108">
        <v>0.16350000000000001</v>
      </c>
      <c r="BE75" s="120">
        <f t="shared" si="174"/>
        <v>5.2357500000000003</v>
      </c>
      <c r="BF75" s="121">
        <f t="shared" si="12"/>
        <v>0.73575000000000035</v>
      </c>
      <c r="BG75" s="121">
        <f t="shared" si="176"/>
        <v>6.0750000000000033E-2</v>
      </c>
      <c r="BH75" s="122">
        <f t="shared" si="177"/>
        <v>0.73575000000000035</v>
      </c>
      <c r="BI75" s="121">
        <f t="shared" si="178"/>
        <v>4.5</v>
      </c>
      <c r="BJ75" s="123">
        <f t="shared" si="16"/>
        <v>0.30966666666666653</v>
      </c>
      <c r="BK75" s="124">
        <f t="shared" si="17"/>
        <v>0</v>
      </c>
      <c r="BL75" s="125" t="s">
        <v>226</v>
      </c>
    </row>
    <row r="76" spans="1:64" ht="45" customHeight="1" x14ac:dyDescent="0.25">
      <c r="A76" s="30">
        <v>70</v>
      </c>
      <c r="B76" s="100" t="s">
        <v>176</v>
      </c>
      <c r="C76" s="31">
        <v>1</v>
      </c>
      <c r="D76" s="32" t="s">
        <v>24</v>
      </c>
      <c r="E76" s="31">
        <f t="shared" ref="E76" si="181">D76*C76</f>
        <v>24</v>
      </c>
      <c r="F76" s="31" t="s">
        <v>226</v>
      </c>
      <c r="G76" s="31" t="s">
        <v>226</v>
      </c>
      <c r="H76" s="31" t="s">
        <v>226</v>
      </c>
      <c r="I76" s="31" t="s">
        <v>226</v>
      </c>
      <c r="J76" s="31" t="s">
        <v>226</v>
      </c>
      <c r="K76" s="31" t="s">
        <v>226</v>
      </c>
      <c r="L76" s="31" t="s">
        <v>226</v>
      </c>
      <c r="M76" s="31" t="s">
        <v>226</v>
      </c>
      <c r="N76" s="31" t="s">
        <v>226</v>
      </c>
      <c r="O76" s="31" t="s">
        <v>226</v>
      </c>
      <c r="P76" s="31" t="s">
        <v>226</v>
      </c>
      <c r="Q76" s="31" t="s">
        <v>226</v>
      </c>
      <c r="R76" s="31" t="s">
        <v>226</v>
      </c>
      <c r="S76" s="31" t="s">
        <v>226</v>
      </c>
      <c r="T76" s="31" t="s">
        <v>226</v>
      </c>
      <c r="U76" s="31" t="s">
        <v>226</v>
      </c>
      <c r="V76" s="31" t="s">
        <v>226</v>
      </c>
      <c r="W76" s="31" t="s">
        <v>226</v>
      </c>
      <c r="X76" s="31" t="s">
        <v>226</v>
      </c>
      <c r="Y76" s="31" t="s">
        <v>226</v>
      </c>
      <c r="Z76" s="31" t="s">
        <v>226</v>
      </c>
      <c r="AA76" s="31" t="s">
        <v>226</v>
      </c>
      <c r="AB76" s="31" t="s">
        <v>226</v>
      </c>
      <c r="AC76" s="31" t="s">
        <v>226</v>
      </c>
      <c r="AD76" s="31" t="s">
        <v>226</v>
      </c>
      <c r="AE76" s="31" t="s">
        <v>226</v>
      </c>
      <c r="AF76" s="31" t="s">
        <v>226</v>
      </c>
      <c r="AG76" s="31" t="s">
        <v>226</v>
      </c>
      <c r="AH76" s="31" t="s">
        <v>226</v>
      </c>
      <c r="AI76" s="31" t="s">
        <v>226</v>
      </c>
      <c r="AJ76" s="31" t="s">
        <v>226</v>
      </c>
      <c r="AK76" s="31" t="s">
        <v>226</v>
      </c>
      <c r="AL76" s="31" t="s">
        <v>226</v>
      </c>
      <c r="AM76" s="31"/>
      <c r="AN76" s="31"/>
      <c r="AO76" s="96">
        <v>22.5</v>
      </c>
      <c r="AP76" s="33">
        <f t="shared" si="145"/>
        <v>0.9375</v>
      </c>
      <c r="AQ76" s="34">
        <f t="shared" si="146"/>
        <v>22.5</v>
      </c>
      <c r="AR76" s="35"/>
      <c r="AS76" s="36">
        <f t="shared" ref="AS76" si="182">AP76/$AZ$2</f>
        <v>0.9375</v>
      </c>
      <c r="AT76" s="36">
        <f t="shared" ref="AT76" si="183">AQ76/$AZ$2</f>
        <v>22.5</v>
      </c>
      <c r="AU76" s="36">
        <f t="shared" si="144"/>
        <v>1.0218750000000001</v>
      </c>
      <c r="AV76" s="36">
        <f t="shared" si="147"/>
        <v>24.525000000000002</v>
      </c>
      <c r="AW76" s="37"/>
      <c r="AX76" s="38">
        <f t="shared" si="148"/>
        <v>0</v>
      </c>
      <c r="AY76" s="38">
        <f t="shared" ref="AY76" si="184">AW76-AU76</f>
        <v>-1.0218750000000001</v>
      </c>
      <c r="AZ76" s="38">
        <f t="shared" si="149"/>
        <v>-24.525000000000002</v>
      </c>
      <c r="BA76" s="39" t="e">
        <f t="shared" ref="BA76" si="185">AY76/AW76</f>
        <v>#DIV/0!</v>
      </c>
      <c r="BB76" s="42"/>
      <c r="BC76" s="119">
        <f t="shared" si="10"/>
        <v>0</v>
      </c>
      <c r="BD76" s="108">
        <v>0.16350000000000001</v>
      </c>
      <c r="BE76" s="120">
        <f t="shared" si="174"/>
        <v>0</v>
      </c>
      <c r="BF76" s="121">
        <f t="shared" si="12"/>
        <v>0</v>
      </c>
      <c r="BG76" s="121">
        <f t="shared" si="176"/>
        <v>0</v>
      </c>
      <c r="BH76" s="122">
        <f t="shared" si="177"/>
        <v>0</v>
      </c>
      <c r="BI76" s="121">
        <f t="shared" si="178"/>
        <v>0</v>
      </c>
      <c r="BJ76" s="123" t="e">
        <f t="shared" si="16"/>
        <v>#DIV/0!</v>
      </c>
      <c r="BK76" s="124" t="e">
        <f t="shared" si="17"/>
        <v>#DIV/0!</v>
      </c>
      <c r="BL76" s="125" t="s">
        <v>226</v>
      </c>
    </row>
    <row r="77" spans="1:64" ht="45" customHeight="1" x14ac:dyDescent="0.25">
      <c r="A77" s="30">
        <v>71</v>
      </c>
      <c r="B77" s="100" t="s">
        <v>60</v>
      </c>
      <c r="C77" s="31">
        <v>1</v>
      </c>
      <c r="D77" s="32" t="s">
        <v>157</v>
      </c>
      <c r="E77" s="31">
        <f t="shared" si="0"/>
        <v>60</v>
      </c>
      <c r="F77" s="31" t="s">
        <v>226</v>
      </c>
      <c r="G77" s="31" t="s">
        <v>226</v>
      </c>
      <c r="H77" s="31" t="s">
        <v>226</v>
      </c>
      <c r="I77" s="31" t="s">
        <v>226</v>
      </c>
      <c r="J77" s="31" t="s">
        <v>226</v>
      </c>
      <c r="K77" s="31" t="s">
        <v>226</v>
      </c>
      <c r="L77" s="31" t="s">
        <v>226</v>
      </c>
      <c r="M77" s="31" t="s">
        <v>226</v>
      </c>
      <c r="N77" s="31" t="s">
        <v>226</v>
      </c>
      <c r="O77" s="31" t="s">
        <v>226</v>
      </c>
      <c r="P77" s="31" t="s">
        <v>226</v>
      </c>
      <c r="Q77" s="31" t="s">
        <v>226</v>
      </c>
      <c r="R77" s="31" t="s">
        <v>226</v>
      </c>
      <c r="S77" s="31" t="s">
        <v>226</v>
      </c>
      <c r="T77" s="31" t="s">
        <v>226</v>
      </c>
      <c r="U77" s="31" t="s">
        <v>226</v>
      </c>
      <c r="V77" s="31" t="s">
        <v>226</v>
      </c>
      <c r="W77" s="31" t="s">
        <v>226</v>
      </c>
      <c r="X77" s="31" t="s">
        <v>226</v>
      </c>
      <c r="Y77" s="31" t="s">
        <v>226</v>
      </c>
      <c r="Z77" s="31" t="s">
        <v>226</v>
      </c>
      <c r="AA77" s="31" t="s">
        <v>226</v>
      </c>
      <c r="AB77" s="31" t="s">
        <v>226</v>
      </c>
      <c r="AC77" s="31" t="s">
        <v>226</v>
      </c>
      <c r="AD77" s="31" t="s">
        <v>226</v>
      </c>
      <c r="AE77" s="31" t="s">
        <v>226</v>
      </c>
      <c r="AF77" s="31" t="s">
        <v>226</v>
      </c>
      <c r="AG77" s="31" t="s">
        <v>226</v>
      </c>
      <c r="AH77" s="31" t="s">
        <v>226</v>
      </c>
      <c r="AI77" s="31" t="s">
        <v>226</v>
      </c>
      <c r="AJ77" s="31" t="s">
        <v>226</v>
      </c>
      <c r="AK77" s="31" t="s">
        <v>226</v>
      </c>
      <c r="AL77" s="31" t="s">
        <v>226</v>
      </c>
      <c r="AM77" s="31"/>
      <c r="AN77" s="31"/>
      <c r="AO77" s="96">
        <v>28</v>
      </c>
      <c r="AP77" s="33">
        <f t="shared" si="145"/>
        <v>0.46666666666666667</v>
      </c>
      <c r="AQ77" s="34">
        <f t="shared" si="146"/>
        <v>28</v>
      </c>
      <c r="AR77" s="35"/>
      <c r="AS77" s="36">
        <f t="shared" si="157"/>
        <v>0.46666666666666667</v>
      </c>
      <c r="AT77" s="36">
        <f t="shared" si="157"/>
        <v>28</v>
      </c>
      <c r="AU77" s="36">
        <f t="shared" si="144"/>
        <v>0.50866666666666671</v>
      </c>
      <c r="AV77" s="36">
        <f t="shared" si="147"/>
        <v>30.520000000000003</v>
      </c>
      <c r="AW77" s="37">
        <v>0.85</v>
      </c>
      <c r="AX77" s="38">
        <f t="shared" si="148"/>
        <v>51</v>
      </c>
      <c r="AY77" s="38">
        <f t="shared" si="7"/>
        <v>0.34133333333333327</v>
      </c>
      <c r="AZ77" s="38">
        <f t="shared" si="149"/>
        <v>20.479999999999997</v>
      </c>
      <c r="BA77" s="39">
        <f t="shared" si="9"/>
        <v>0.40156862745098032</v>
      </c>
      <c r="BB77" s="42"/>
      <c r="BC77" s="119">
        <f t="shared" si="10"/>
        <v>0.85</v>
      </c>
      <c r="BD77" s="108">
        <v>0.16350000000000001</v>
      </c>
      <c r="BE77" s="120">
        <f t="shared" si="174"/>
        <v>0.98897499999999994</v>
      </c>
      <c r="BF77" s="121">
        <f t="shared" si="12"/>
        <v>0.13897499999999996</v>
      </c>
      <c r="BG77" s="121">
        <f t="shared" si="176"/>
        <v>1.1474999999999997E-2</v>
      </c>
      <c r="BH77" s="122">
        <f t="shared" si="177"/>
        <v>0.13897499999999996</v>
      </c>
      <c r="BI77" s="121">
        <f t="shared" si="178"/>
        <v>0.85</v>
      </c>
      <c r="BJ77" s="123">
        <f t="shared" si="16"/>
        <v>0.40156862745098032</v>
      </c>
      <c r="BK77" s="124">
        <f t="shared" si="17"/>
        <v>0</v>
      </c>
      <c r="BL77" s="125" t="s">
        <v>226</v>
      </c>
    </row>
    <row r="78" spans="1:64" ht="45" customHeight="1" x14ac:dyDescent="0.25">
      <c r="A78" s="30">
        <v>72</v>
      </c>
      <c r="B78" s="101" t="s">
        <v>61</v>
      </c>
      <c r="C78" s="31">
        <v>1</v>
      </c>
      <c r="D78" s="32" t="s">
        <v>136</v>
      </c>
      <c r="E78" s="31">
        <f t="shared" si="0"/>
        <v>10</v>
      </c>
      <c r="F78" s="31" t="s">
        <v>226</v>
      </c>
      <c r="G78" s="31" t="s">
        <v>226</v>
      </c>
      <c r="H78" s="31" t="s">
        <v>226</v>
      </c>
      <c r="I78" s="31" t="s">
        <v>226</v>
      </c>
      <c r="J78" s="31" t="s">
        <v>226</v>
      </c>
      <c r="K78" s="31" t="s">
        <v>226</v>
      </c>
      <c r="L78" s="31" t="s">
        <v>226</v>
      </c>
      <c r="M78" s="31" t="s">
        <v>226</v>
      </c>
      <c r="N78" s="31" t="s">
        <v>226</v>
      </c>
      <c r="O78" s="31" t="s">
        <v>226</v>
      </c>
      <c r="P78" s="31" t="s">
        <v>226</v>
      </c>
      <c r="Q78" s="31" t="s">
        <v>226</v>
      </c>
      <c r="R78" s="31" t="s">
        <v>226</v>
      </c>
      <c r="S78" s="31" t="s">
        <v>226</v>
      </c>
      <c r="T78" s="31" t="s">
        <v>226</v>
      </c>
      <c r="U78" s="31" t="s">
        <v>226</v>
      </c>
      <c r="V78" s="31" t="s">
        <v>226</v>
      </c>
      <c r="W78" s="31" t="s">
        <v>226</v>
      </c>
      <c r="X78" s="31" t="s">
        <v>226</v>
      </c>
      <c r="Y78" s="31" t="s">
        <v>226</v>
      </c>
      <c r="Z78" s="31" t="s">
        <v>226</v>
      </c>
      <c r="AA78" s="31" t="s">
        <v>226</v>
      </c>
      <c r="AB78" s="31" t="s">
        <v>226</v>
      </c>
      <c r="AC78" s="31" t="s">
        <v>226</v>
      </c>
      <c r="AD78" s="31" t="s">
        <v>226</v>
      </c>
      <c r="AE78" s="31" t="s">
        <v>226</v>
      </c>
      <c r="AF78" s="31" t="s">
        <v>226</v>
      </c>
      <c r="AG78" s="31" t="s">
        <v>226</v>
      </c>
      <c r="AH78" s="31" t="s">
        <v>226</v>
      </c>
      <c r="AI78" s="31" t="s">
        <v>226</v>
      </c>
      <c r="AJ78" s="31" t="s">
        <v>226</v>
      </c>
      <c r="AK78" s="31" t="s">
        <v>226</v>
      </c>
      <c r="AL78" s="31" t="s">
        <v>226</v>
      </c>
      <c r="AM78" s="31"/>
      <c r="AN78" s="31"/>
      <c r="AO78" s="96">
        <v>8.5</v>
      </c>
      <c r="AP78" s="33">
        <f t="shared" si="145"/>
        <v>0.85</v>
      </c>
      <c r="AQ78" s="34">
        <f t="shared" si="146"/>
        <v>8.5</v>
      </c>
      <c r="AR78" s="35"/>
      <c r="AS78" s="36">
        <f t="shared" si="157"/>
        <v>0.85</v>
      </c>
      <c r="AT78" s="36">
        <f t="shared" si="157"/>
        <v>8.5</v>
      </c>
      <c r="AU78" s="36">
        <f t="shared" si="144"/>
        <v>0.92649999999999999</v>
      </c>
      <c r="AV78" s="36">
        <f t="shared" si="147"/>
        <v>9.2650000000000006</v>
      </c>
      <c r="AW78" s="37">
        <v>1.5</v>
      </c>
      <c r="AX78" s="38">
        <f t="shared" si="148"/>
        <v>15</v>
      </c>
      <c r="AY78" s="38">
        <f t="shared" si="7"/>
        <v>0.57350000000000001</v>
      </c>
      <c r="AZ78" s="38">
        <f t="shared" si="149"/>
        <v>5.7350000000000003</v>
      </c>
      <c r="BA78" s="39">
        <f t="shared" si="9"/>
        <v>0.38233333333333336</v>
      </c>
      <c r="BB78" s="42"/>
      <c r="BC78" s="119">
        <f t="shared" si="10"/>
        <v>1.5</v>
      </c>
      <c r="BD78" s="108">
        <v>0.16350000000000001</v>
      </c>
      <c r="BE78" s="120">
        <f t="shared" si="174"/>
        <v>1.74525</v>
      </c>
      <c r="BF78" s="121">
        <f t="shared" si="12"/>
        <v>0.24524999999999997</v>
      </c>
      <c r="BG78" s="121">
        <f t="shared" si="176"/>
        <v>2.0249999999999997E-2</v>
      </c>
      <c r="BH78" s="122">
        <f t="shared" si="177"/>
        <v>0.24524999999999997</v>
      </c>
      <c r="BI78" s="121">
        <f t="shared" si="178"/>
        <v>1.5</v>
      </c>
      <c r="BJ78" s="123">
        <f t="shared" si="16"/>
        <v>0.38233333333333336</v>
      </c>
      <c r="BK78" s="124">
        <f t="shared" si="17"/>
        <v>0</v>
      </c>
      <c r="BL78" s="125">
        <v>1.5</v>
      </c>
    </row>
    <row r="79" spans="1:64" ht="45" customHeight="1" x14ac:dyDescent="0.25">
      <c r="A79" s="30">
        <v>73</v>
      </c>
      <c r="B79" s="103" t="s">
        <v>62</v>
      </c>
      <c r="C79" s="31">
        <v>1</v>
      </c>
      <c r="D79" s="32" t="s">
        <v>136</v>
      </c>
      <c r="E79" s="31">
        <f t="shared" si="0"/>
        <v>10</v>
      </c>
      <c r="F79" s="31" t="s">
        <v>226</v>
      </c>
      <c r="G79" s="31" t="s">
        <v>226</v>
      </c>
      <c r="H79" s="31" t="s">
        <v>226</v>
      </c>
      <c r="I79" s="31" t="s">
        <v>226</v>
      </c>
      <c r="J79" s="31" t="s">
        <v>226</v>
      </c>
      <c r="K79" s="31" t="s">
        <v>226</v>
      </c>
      <c r="L79" s="31" t="s">
        <v>226</v>
      </c>
      <c r="M79" s="31" t="s">
        <v>226</v>
      </c>
      <c r="N79" s="31" t="s">
        <v>226</v>
      </c>
      <c r="O79" s="31" t="s">
        <v>226</v>
      </c>
      <c r="P79" s="31" t="s">
        <v>226</v>
      </c>
      <c r="Q79" s="31" t="s">
        <v>226</v>
      </c>
      <c r="R79" s="31" t="s">
        <v>226</v>
      </c>
      <c r="S79" s="31" t="s">
        <v>226</v>
      </c>
      <c r="T79" s="31" t="s">
        <v>226</v>
      </c>
      <c r="U79" s="31" t="s">
        <v>226</v>
      </c>
      <c r="V79" s="31" t="s">
        <v>226</v>
      </c>
      <c r="W79" s="31" t="s">
        <v>226</v>
      </c>
      <c r="X79" s="31" t="s">
        <v>226</v>
      </c>
      <c r="Y79" s="31" t="s">
        <v>226</v>
      </c>
      <c r="Z79" s="31" t="s">
        <v>226</v>
      </c>
      <c r="AA79" s="31" t="s">
        <v>226</v>
      </c>
      <c r="AB79" s="31" t="s">
        <v>226</v>
      </c>
      <c r="AC79" s="31" t="s">
        <v>226</v>
      </c>
      <c r="AD79" s="31" t="s">
        <v>226</v>
      </c>
      <c r="AE79" s="31" t="s">
        <v>226</v>
      </c>
      <c r="AF79" s="31" t="s">
        <v>226</v>
      </c>
      <c r="AG79" s="31" t="s">
        <v>226</v>
      </c>
      <c r="AH79" s="31" t="s">
        <v>226</v>
      </c>
      <c r="AI79" s="31" t="s">
        <v>226</v>
      </c>
      <c r="AJ79" s="31" t="s">
        <v>226</v>
      </c>
      <c r="AK79" s="31" t="s">
        <v>226</v>
      </c>
      <c r="AL79" s="31" t="s">
        <v>226</v>
      </c>
      <c r="AM79" s="31"/>
      <c r="AN79" s="31"/>
      <c r="AO79" s="96">
        <v>13.5</v>
      </c>
      <c r="AP79" s="33">
        <f t="shared" si="145"/>
        <v>1.35</v>
      </c>
      <c r="AQ79" s="34">
        <f t="shared" si="146"/>
        <v>13.5</v>
      </c>
      <c r="AR79" s="35"/>
      <c r="AS79" s="36">
        <f t="shared" si="157"/>
        <v>1.35</v>
      </c>
      <c r="AT79" s="36">
        <f t="shared" si="157"/>
        <v>13.5</v>
      </c>
      <c r="AU79" s="36">
        <f t="shared" si="144"/>
        <v>1.4715000000000003</v>
      </c>
      <c r="AV79" s="36">
        <f t="shared" si="147"/>
        <v>14.715000000000003</v>
      </c>
      <c r="AW79" s="37">
        <v>1.95</v>
      </c>
      <c r="AX79" s="38">
        <f t="shared" si="148"/>
        <v>19.5</v>
      </c>
      <c r="AY79" s="38">
        <f t="shared" si="7"/>
        <v>0.4784999999999997</v>
      </c>
      <c r="AZ79" s="38">
        <f t="shared" si="149"/>
        <v>4.7849999999999966</v>
      </c>
      <c r="BA79" s="39">
        <f t="shared" si="9"/>
        <v>0.24538461538461523</v>
      </c>
      <c r="BB79" s="43"/>
      <c r="BC79" s="119">
        <f t="shared" si="10"/>
        <v>1.95</v>
      </c>
      <c r="BD79" s="108">
        <v>0.16350000000000001</v>
      </c>
      <c r="BE79" s="120">
        <f t="shared" si="174"/>
        <v>2.2688250000000001</v>
      </c>
      <c r="BF79" s="121">
        <f t="shared" si="12"/>
        <v>0.31882500000000014</v>
      </c>
      <c r="BG79" s="121">
        <f t="shared" si="176"/>
        <v>2.6325000000000012E-2</v>
      </c>
      <c r="BH79" s="122">
        <f t="shared" si="177"/>
        <v>0.31882500000000014</v>
      </c>
      <c r="BI79" s="121">
        <f t="shared" si="178"/>
        <v>1.95</v>
      </c>
      <c r="BJ79" s="123">
        <f t="shared" si="16"/>
        <v>0.24538461538461523</v>
      </c>
      <c r="BK79" s="124">
        <f t="shared" si="17"/>
        <v>0</v>
      </c>
      <c r="BL79" s="125">
        <v>1.5</v>
      </c>
    </row>
    <row r="80" spans="1:64" ht="45" customHeight="1" x14ac:dyDescent="0.25">
      <c r="A80" s="30">
        <v>74</v>
      </c>
      <c r="B80" s="100" t="s">
        <v>63</v>
      </c>
      <c r="C80" s="31">
        <v>1</v>
      </c>
      <c r="D80" s="32" t="s">
        <v>157</v>
      </c>
      <c r="E80" s="31">
        <f t="shared" si="0"/>
        <v>60</v>
      </c>
      <c r="F80" s="31" t="s">
        <v>226</v>
      </c>
      <c r="G80" s="31" t="s">
        <v>226</v>
      </c>
      <c r="H80" s="31" t="s">
        <v>226</v>
      </c>
      <c r="I80" s="31" t="s">
        <v>226</v>
      </c>
      <c r="J80" s="31" t="s">
        <v>226</v>
      </c>
      <c r="K80" s="31" t="s">
        <v>226</v>
      </c>
      <c r="L80" s="31" t="s">
        <v>226</v>
      </c>
      <c r="M80" s="31" t="s">
        <v>226</v>
      </c>
      <c r="N80" s="31" t="s">
        <v>226</v>
      </c>
      <c r="O80" s="31" t="s">
        <v>226</v>
      </c>
      <c r="P80" s="31" t="s">
        <v>226</v>
      </c>
      <c r="Q80" s="31" t="s">
        <v>226</v>
      </c>
      <c r="R80" s="31" t="s">
        <v>226</v>
      </c>
      <c r="S80" s="31" t="s">
        <v>226</v>
      </c>
      <c r="T80" s="31" t="s">
        <v>226</v>
      </c>
      <c r="U80" s="31" t="s">
        <v>226</v>
      </c>
      <c r="V80" s="31" t="s">
        <v>226</v>
      </c>
      <c r="W80" s="31" t="s">
        <v>226</v>
      </c>
      <c r="X80" s="31" t="s">
        <v>226</v>
      </c>
      <c r="Y80" s="31" t="s">
        <v>226</v>
      </c>
      <c r="Z80" s="31" t="s">
        <v>226</v>
      </c>
      <c r="AA80" s="31" t="s">
        <v>226</v>
      </c>
      <c r="AB80" s="31" t="s">
        <v>226</v>
      </c>
      <c r="AC80" s="31" t="s">
        <v>226</v>
      </c>
      <c r="AD80" s="31" t="s">
        <v>226</v>
      </c>
      <c r="AE80" s="31" t="s">
        <v>226</v>
      </c>
      <c r="AF80" s="31" t="s">
        <v>226</v>
      </c>
      <c r="AG80" s="31" t="s">
        <v>226</v>
      </c>
      <c r="AH80" s="31" t="s">
        <v>226</v>
      </c>
      <c r="AI80" s="31" t="s">
        <v>226</v>
      </c>
      <c r="AJ80" s="31" t="s">
        <v>226</v>
      </c>
      <c r="AK80" s="31" t="s">
        <v>226</v>
      </c>
      <c r="AL80" s="31" t="s">
        <v>226</v>
      </c>
      <c r="AM80" s="31"/>
      <c r="AN80" s="31"/>
      <c r="AO80" s="96">
        <v>34</v>
      </c>
      <c r="AP80" s="33">
        <f t="shared" si="145"/>
        <v>0.56666666666666665</v>
      </c>
      <c r="AQ80" s="34">
        <f t="shared" si="146"/>
        <v>34</v>
      </c>
      <c r="AR80" s="35"/>
      <c r="AS80" s="36">
        <f t="shared" si="157"/>
        <v>0.56666666666666665</v>
      </c>
      <c r="AT80" s="36">
        <f t="shared" si="157"/>
        <v>34</v>
      </c>
      <c r="AU80" s="36">
        <f t="shared" si="144"/>
        <v>0.6176666666666667</v>
      </c>
      <c r="AV80" s="36">
        <f t="shared" si="147"/>
        <v>37.06</v>
      </c>
      <c r="AW80" s="37">
        <v>0.85</v>
      </c>
      <c r="AX80" s="38">
        <f t="shared" si="148"/>
        <v>51</v>
      </c>
      <c r="AY80" s="38">
        <f t="shared" si="7"/>
        <v>0.23233333333333328</v>
      </c>
      <c r="AZ80" s="38">
        <f t="shared" si="149"/>
        <v>13.939999999999998</v>
      </c>
      <c r="BA80" s="39">
        <f t="shared" si="9"/>
        <v>0.27333333333333326</v>
      </c>
      <c r="BB80" s="40"/>
      <c r="BC80" s="119">
        <f t="shared" si="10"/>
        <v>0.85</v>
      </c>
      <c r="BD80" s="108">
        <v>0.16350000000000001</v>
      </c>
      <c r="BE80" s="120">
        <f t="shared" si="174"/>
        <v>0.98897499999999994</v>
      </c>
      <c r="BF80" s="121">
        <f t="shared" si="12"/>
        <v>0.13897499999999996</v>
      </c>
      <c r="BG80" s="121">
        <f t="shared" si="176"/>
        <v>1.1474999999999997E-2</v>
      </c>
      <c r="BH80" s="122">
        <f t="shared" si="177"/>
        <v>0.13897499999999996</v>
      </c>
      <c r="BI80" s="121">
        <f t="shared" si="178"/>
        <v>0.85</v>
      </c>
      <c r="BJ80" s="123">
        <f t="shared" si="16"/>
        <v>0.27333333333333326</v>
      </c>
      <c r="BK80" s="124">
        <f t="shared" si="17"/>
        <v>0</v>
      </c>
      <c r="BL80" s="125" t="s">
        <v>226</v>
      </c>
    </row>
    <row r="81" spans="1:64" ht="45" customHeight="1" x14ac:dyDescent="0.25">
      <c r="A81" s="30">
        <v>75</v>
      </c>
      <c r="B81" s="100" t="s">
        <v>64</v>
      </c>
      <c r="C81" s="31">
        <v>1</v>
      </c>
      <c r="D81" s="32" t="s">
        <v>144</v>
      </c>
      <c r="E81" s="31">
        <f t="shared" si="0"/>
        <v>30</v>
      </c>
      <c r="F81" s="127">
        <v>35.5</v>
      </c>
      <c r="G81" s="31" t="s">
        <v>226</v>
      </c>
      <c r="H81" s="31" t="s">
        <v>226</v>
      </c>
      <c r="I81" s="31" t="s">
        <v>226</v>
      </c>
      <c r="J81" s="31" t="s">
        <v>226</v>
      </c>
      <c r="K81" s="31" t="s">
        <v>226</v>
      </c>
      <c r="L81" s="31" t="s">
        <v>226</v>
      </c>
      <c r="M81" s="31" t="s">
        <v>226</v>
      </c>
      <c r="N81" s="31" t="s">
        <v>226</v>
      </c>
      <c r="O81" s="31" t="s">
        <v>226</v>
      </c>
      <c r="P81" s="31">
        <v>37</v>
      </c>
      <c r="Q81" s="31" t="s">
        <v>226</v>
      </c>
      <c r="R81" s="31" t="s">
        <v>226</v>
      </c>
      <c r="S81" s="31" t="s">
        <v>226</v>
      </c>
      <c r="T81" s="31" t="s">
        <v>226</v>
      </c>
      <c r="U81" s="31" t="s">
        <v>226</v>
      </c>
      <c r="V81" s="31" t="s">
        <v>226</v>
      </c>
      <c r="W81" s="31" t="s">
        <v>226</v>
      </c>
      <c r="X81" s="31" t="s">
        <v>226</v>
      </c>
      <c r="Y81" s="31" t="s">
        <v>226</v>
      </c>
      <c r="Z81" s="31" t="s">
        <v>226</v>
      </c>
      <c r="AA81" s="31" t="s">
        <v>226</v>
      </c>
      <c r="AB81" s="31" t="s">
        <v>226</v>
      </c>
      <c r="AC81" s="31" t="s">
        <v>226</v>
      </c>
      <c r="AD81" s="31" t="s">
        <v>226</v>
      </c>
      <c r="AE81" s="31" t="s">
        <v>226</v>
      </c>
      <c r="AF81" s="31" t="s">
        <v>226</v>
      </c>
      <c r="AG81" s="31" t="s">
        <v>226</v>
      </c>
      <c r="AH81" s="31" t="s">
        <v>226</v>
      </c>
      <c r="AI81" s="31" t="s">
        <v>226</v>
      </c>
      <c r="AJ81" s="31" t="s">
        <v>226</v>
      </c>
      <c r="AK81" s="31" t="s">
        <v>226</v>
      </c>
      <c r="AL81" s="31" t="s">
        <v>226</v>
      </c>
      <c r="AM81" s="31"/>
      <c r="AN81" s="31"/>
      <c r="AO81" s="96">
        <v>37</v>
      </c>
      <c r="AP81" s="33">
        <f t="shared" si="145"/>
        <v>1.2333333333333334</v>
      </c>
      <c r="AQ81" s="34">
        <f t="shared" si="146"/>
        <v>37</v>
      </c>
      <c r="AR81" s="35"/>
      <c r="AS81" s="36">
        <f t="shared" si="157"/>
        <v>1.2333333333333334</v>
      </c>
      <c r="AT81" s="36">
        <f t="shared" si="157"/>
        <v>37</v>
      </c>
      <c r="AU81" s="36">
        <f t="shared" si="144"/>
        <v>1.3443333333333336</v>
      </c>
      <c r="AV81" s="36">
        <f t="shared" si="147"/>
        <v>40.330000000000005</v>
      </c>
      <c r="AW81" s="37">
        <v>1.95</v>
      </c>
      <c r="AX81" s="38">
        <f t="shared" si="148"/>
        <v>58.5</v>
      </c>
      <c r="AY81" s="38">
        <f t="shared" si="7"/>
        <v>0.60566666666666635</v>
      </c>
      <c r="AZ81" s="38">
        <f t="shared" si="149"/>
        <v>18.169999999999991</v>
      </c>
      <c r="BA81" s="39">
        <f t="shared" si="9"/>
        <v>0.31059829059829047</v>
      </c>
      <c r="BB81" s="41"/>
      <c r="BC81" s="119">
        <f t="shared" si="10"/>
        <v>1.95</v>
      </c>
      <c r="BD81" s="108">
        <v>0.16350000000000001</v>
      </c>
      <c r="BE81" s="120">
        <f t="shared" si="174"/>
        <v>2.2688250000000001</v>
      </c>
      <c r="BF81" s="121">
        <f t="shared" si="12"/>
        <v>0.31882500000000014</v>
      </c>
      <c r="BG81" s="121">
        <f t="shared" si="176"/>
        <v>2.6325000000000012E-2</v>
      </c>
      <c r="BH81" s="122">
        <f t="shared" si="177"/>
        <v>0.31882500000000014</v>
      </c>
      <c r="BI81" s="121">
        <f t="shared" si="178"/>
        <v>1.95</v>
      </c>
      <c r="BJ81" s="123">
        <f t="shared" si="16"/>
        <v>0.31059829059829047</v>
      </c>
      <c r="BK81" s="124">
        <f t="shared" si="17"/>
        <v>0</v>
      </c>
      <c r="BL81" s="125" t="s">
        <v>226</v>
      </c>
    </row>
    <row r="82" spans="1:64" ht="45" customHeight="1" x14ac:dyDescent="0.25">
      <c r="A82" s="30">
        <v>76</v>
      </c>
      <c r="B82" s="100" t="s">
        <v>147</v>
      </c>
      <c r="C82" s="31">
        <v>1</v>
      </c>
      <c r="D82" s="32" t="s">
        <v>144</v>
      </c>
      <c r="E82" s="31">
        <f t="shared" ref="E82" si="186">D82*C82</f>
        <v>30</v>
      </c>
      <c r="F82" s="127">
        <v>35.5</v>
      </c>
      <c r="G82" s="31" t="s">
        <v>226</v>
      </c>
      <c r="H82" s="31" t="s">
        <v>226</v>
      </c>
      <c r="I82" s="31" t="s">
        <v>226</v>
      </c>
      <c r="J82" s="31" t="s">
        <v>226</v>
      </c>
      <c r="K82" s="31" t="s">
        <v>226</v>
      </c>
      <c r="L82" s="31" t="s">
        <v>226</v>
      </c>
      <c r="M82" s="31" t="s">
        <v>226</v>
      </c>
      <c r="N82" s="31" t="s">
        <v>226</v>
      </c>
      <c r="O82" s="31" t="s">
        <v>226</v>
      </c>
      <c r="P82" s="31">
        <v>37</v>
      </c>
      <c r="Q82" s="31" t="s">
        <v>226</v>
      </c>
      <c r="R82" s="31" t="s">
        <v>226</v>
      </c>
      <c r="S82" s="31" t="s">
        <v>226</v>
      </c>
      <c r="T82" s="31" t="s">
        <v>226</v>
      </c>
      <c r="U82" s="31" t="s">
        <v>226</v>
      </c>
      <c r="V82" s="31" t="s">
        <v>226</v>
      </c>
      <c r="W82" s="31" t="s">
        <v>226</v>
      </c>
      <c r="X82" s="31" t="s">
        <v>226</v>
      </c>
      <c r="Y82" s="31" t="s">
        <v>226</v>
      </c>
      <c r="Z82" s="31" t="s">
        <v>226</v>
      </c>
      <c r="AA82" s="31" t="s">
        <v>226</v>
      </c>
      <c r="AB82" s="31" t="s">
        <v>226</v>
      </c>
      <c r="AC82" s="31" t="s">
        <v>226</v>
      </c>
      <c r="AD82" s="31" t="s">
        <v>226</v>
      </c>
      <c r="AE82" s="31" t="s">
        <v>226</v>
      </c>
      <c r="AF82" s="31" t="s">
        <v>226</v>
      </c>
      <c r="AG82" s="31" t="s">
        <v>226</v>
      </c>
      <c r="AH82" s="31" t="s">
        <v>226</v>
      </c>
      <c r="AI82" s="31" t="s">
        <v>226</v>
      </c>
      <c r="AJ82" s="31" t="s">
        <v>226</v>
      </c>
      <c r="AK82" s="31" t="s">
        <v>226</v>
      </c>
      <c r="AL82" s="31" t="s">
        <v>226</v>
      </c>
      <c r="AM82" s="31"/>
      <c r="AN82" s="31"/>
      <c r="AO82" s="96">
        <v>37</v>
      </c>
      <c r="AP82" s="33">
        <f t="shared" si="145"/>
        <v>1.2333333333333334</v>
      </c>
      <c r="AQ82" s="34">
        <f t="shared" si="146"/>
        <v>37</v>
      </c>
      <c r="AR82" s="35"/>
      <c r="AS82" s="36">
        <f t="shared" ref="AS82" si="187">AP82/$AZ$2</f>
        <v>1.2333333333333334</v>
      </c>
      <c r="AT82" s="36">
        <f t="shared" ref="AT82" si="188">AQ82/$AZ$2</f>
        <v>37</v>
      </c>
      <c r="AU82" s="36">
        <f t="shared" si="144"/>
        <v>1.3443333333333336</v>
      </c>
      <c r="AV82" s="36">
        <f t="shared" si="147"/>
        <v>40.330000000000005</v>
      </c>
      <c r="AW82" s="37">
        <v>1.95</v>
      </c>
      <c r="AX82" s="38">
        <f t="shared" si="148"/>
        <v>58.5</v>
      </c>
      <c r="AY82" s="38">
        <f t="shared" ref="AY82" si="189">AW82-AU82</f>
        <v>0.60566666666666635</v>
      </c>
      <c r="AZ82" s="38">
        <f t="shared" si="149"/>
        <v>18.169999999999991</v>
      </c>
      <c r="BA82" s="39">
        <f t="shared" ref="BA82" si="190">AY82/AW82</f>
        <v>0.31059829059829047</v>
      </c>
      <c r="BB82" s="42"/>
      <c r="BC82" s="119">
        <f t="shared" si="10"/>
        <v>1.95</v>
      </c>
      <c r="BD82" s="108">
        <v>0.16350000000000001</v>
      </c>
      <c r="BE82" s="120">
        <f t="shared" si="174"/>
        <v>2.2688250000000001</v>
      </c>
      <c r="BF82" s="121">
        <f t="shared" si="12"/>
        <v>0.31882500000000014</v>
      </c>
      <c r="BG82" s="121">
        <f t="shared" si="176"/>
        <v>2.6325000000000012E-2</v>
      </c>
      <c r="BH82" s="122">
        <f t="shared" si="177"/>
        <v>0.31882500000000014</v>
      </c>
      <c r="BI82" s="121">
        <f t="shared" si="178"/>
        <v>1.95</v>
      </c>
      <c r="BJ82" s="123">
        <f t="shared" si="16"/>
        <v>0.31059829059829047</v>
      </c>
      <c r="BK82" s="124">
        <f t="shared" si="17"/>
        <v>0</v>
      </c>
      <c r="BL82" s="125" t="s">
        <v>226</v>
      </c>
    </row>
    <row r="83" spans="1:64" ht="45" customHeight="1" x14ac:dyDescent="0.25">
      <c r="A83" s="30">
        <v>77</v>
      </c>
      <c r="B83" s="100" t="s">
        <v>65</v>
      </c>
      <c r="C83" s="31">
        <v>1</v>
      </c>
      <c r="D83" s="32" t="s">
        <v>144</v>
      </c>
      <c r="E83" s="31">
        <f t="shared" si="0"/>
        <v>30</v>
      </c>
      <c r="F83" s="127">
        <v>35.5</v>
      </c>
      <c r="G83" s="31" t="s">
        <v>226</v>
      </c>
      <c r="H83" s="31" t="s">
        <v>226</v>
      </c>
      <c r="I83" s="31" t="s">
        <v>226</v>
      </c>
      <c r="J83" s="31" t="s">
        <v>226</v>
      </c>
      <c r="K83" s="31" t="s">
        <v>226</v>
      </c>
      <c r="L83" s="31" t="s">
        <v>226</v>
      </c>
      <c r="M83" s="31" t="s">
        <v>226</v>
      </c>
      <c r="N83" s="31" t="s">
        <v>226</v>
      </c>
      <c r="O83" s="31" t="s">
        <v>226</v>
      </c>
      <c r="P83" s="31">
        <v>37</v>
      </c>
      <c r="Q83" s="31" t="s">
        <v>226</v>
      </c>
      <c r="R83" s="31" t="s">
        <v>226</v>
      </c>
      <c r="S83" s="31" t="s">
        <v>226</v>
      </c>
      <c r="T83" s="31" t="s">
        <v>226</v>
      </c>
      <c r="U83" s="31" t="s">
        <v>226</v>
      </c>
      <c r="V83" s="31" t="s">
        <v>226</v>
      </c>
      <c r="W83" s="31" t="s">
        <v>226</v>
      </c>
      <c r="X83" s="31" t="s">
        <v>226</v>
      </c>
      <c r="Y83" s="31" t="s">
        <v>226</v>
      </c>
      <c r="Z83" s="31" t="s">
        <v>226</v>
      </c>
      <c r="AA83" s="31" t="s">
        <v>226</v>
      </c>
      <c r="AB83" s="31" t="s">
        <v>226</v>
      </c>
      <c r="AC83" s="31" t="s">
        <v>226</v>
      </c>
      <c r="AD83" s="31" t="s">
        <v>226</v>
      </c>
      <c r="AE83" s="31" t="s">
        <v>226</v>
      </c>
      <c r="AF83" s="31" t="s">
        <v>226</v>
      </c>
      <c r="AG83" s="31" t="s">
        <v>226</v>
      </c>
      <c r="AH83" s="31" t="s">
        <v>226</v>
      </c>
      <c r="AI83" s="31" t="s">
        <v>226</v>
      </c>
      <c r="AJ83" s="31" t="s">
        <v>226</v>
      </c>
      <c r="AK83" s="31" t="s">
        <v>226</v>
      </c>
      <c r="AL83" s="31" t="s">
        <v>226</v>
      </c>
      <c r="AM83" s="31"/>
      <c r="AN83" s="31"/>
      <c r="AO83" s="96">
        <v>37</v>
      </c>
      <c r="AP83" s="33">
        <f t="shared" si="145"/>
        <v>1.2333333333333334</v>
      </c>
      <c r="AQ83" s="34">
        <f t="shared" si="146"/>
        <v>37</v>
      </c>
      <c r="AR83" s="35"/>
      <c r="AS83" s="36">
        <f t="shared" si="157"/>
        <v>1.2333333333333334</v>
      </c>
      <c r="AT83" s="36">
        <f t="shared" si="157"/>
        <v>37</v>
      </c>
      <c r="AU83" s="36">
        <f t="shared" ref="AU83:AU114" si="191">AS83*(1+$AV$189+9%)</f>
        <v>1.3443333333333336</v>
      </c>
      <c r="AV83" s="36">
        <f t="shared" si="147"/>
        <v>40.330000000000005</v>
      </c>
      <c r="AW83" s="37">
        <v>1.95</v>
      </c>
      <c r="AX83" s="38">
        <f t="shared" si="148"/>
        <v>58.5</v>
      </c>
      <c r="AY83" s="38">
        <f t="shared" si="7"/>
        <v>0.60566666666666635</v>
      </c>
      <c r="AZ83" s="38">
        <f t="shared" si="149"/>
        <v>18.169999999999991</v>
      </c>
      <c r="BA83" s="39">
        <f t="shared" si="9"/>
        <v>0.31059829059829047</v>
      </c>
      <c r="BB83" s="42"/>
      <c r="BC83" s="119">
        <f t="shared" si="10"/>
        <v>1.95</v>
      </c>
      <c r="BD83" s="108">
        <v>0.16350000000000001</v>
      </c>
      <c r="BE83" s="120">
        <f t="shared" si="174"/>
        <v>2.2688250000000001</v>
      </c>
      <c r="BF83" s="121">
        <f t="shared" si="12"/>
        <v>0.31882500000000014</v>
      </c>
      <c r="BG83" s="121">
        <f t="shared" si="176"/>
        <v>2.6325000000000012E-2</v>
      </c>
      <c r="BH83" s="122">
        <f t="shared" si="177"/>
        <v>0.31882500000000014</v>
      </c>
      <c r="BI83" s="121">
        <f t="shared" si="178"/>
        <v>1.95</v>
      </c>
      <c r="BJ83" s="123">
        <f t="shared" si="16"/>
        <v>0.31059829059829047</v>
      </c>
      <c r="BK83" s="124">
        <f t="shared" si="17"/>
        <v>0</v>
      </c>
      <c r="BL83" s="125" t="s">
        <v>226</v>
      </c>
    </row>
    <row r="84" spans="1:64" ht="45" customHeight="1" x14ac:dyDescent="0.25">
      <c r="A84" s="30">
        <v>78</v>
      </c>
      <c r="B84" s="101" t="s">
        <v>66</v>
      </c>
      <c r="C84" s="31">
        <v>1</v>
      </c>
      <c r="D84" s="32" t="s">
        <v>144</v>
      </c>
      <c r="E84" s="31">
        <f t="shared" si="0"/>
        <v>30</v>
      </c>
      <c r="F84" s="31" t="s">
        <v>226</v>
      </c>
      <c r="G84" s="127">
        <v>35.5</v>
      </c>
      <c r="H84" s="31" t="s">
        <v>226</v>
      </c>
      <c r="I84" s="31" t="s">
        <v>226</v>
      </c>
      <c r="J84" s="31" t="s">
        <v>226</v>
      </c>
      <c r="K84" s="31" t="s">
        <v>226</v>
      </c>
      <c r="L84" s="31" t="s">
        <v>226</v>
      </c>
      <c r="M84" s="31" t="s">
        <v>226</v>
      </c>
      <c r="N84" s="31" t="s">
        <v>226</v>
      </c>
      <c r="O84" s="31" t="s">
        <v>226</v>
      </c>
      <c r="P84" s="31">
        <v>37</v>
      </c>
      <c r="Q84" s="31" t="s">
        <v>226</v>
      </c>
      <c r="R84" s="31" t="s">
        <v>226</v>
      </c>
      <c r="S84" s="31" t="s">
        <v>226</v>
      </c>
      <c r="T84" s="31" t="s">
        <v>226</v>
      </c>
      <c r="U84" s="31" t="s">
        <v>226</v>
      </c>
      <c r="V84" s="31" t="s">
        <v>226</v>
      </c>
      <c r="W84" s="31" t="s">
        <v>226</v>
      </c>
      <c r="X84" s="31" t="s">
        <v>226</v>
      </c>
      <c r="Y84" s="31" t="s">
        <v>226</v>
      </c>
      <c r="Z84" s="31" t="s">
        <v>226</v>
      </c>
      <c r="AA84" s="31" t="s">
        <v>226</v>
      </c>
      <c r="AB84" s="31" t="s">
        <v>226</v>
      </c>
      <c r="AC84" s="129" t="s">
        <v>226</v>
      </c>
      <c r="AD84" s="129" t="s">
        <v>226</v>
      </c>
      <c r="AE84" s="31" t="s">
        <v>226</v>
      </c>
      <c r="AF84" s="31" t="s">
        <v>226</v>
      </c>
      <c r="AG84" s="31" t="s">
        <v>226</v>
      </c>
      <c r="AH84" s="31" t="s">
        <v>226</v>
      </c>
      <c r="AI84" s="31" t="s">
        <v>226</v>
      </c>
      <c r="AJ84" s="31" t="s">
        <v>226</v>
      </c>
      <c r="AK84" s="31" t="s">
        <v>226</v>
      </c>
      <c r="AL84" s="31" t="s">
        <v>226</v>
      </c>
      <c r="AM84" s="31"/>
      <c r="AN84" s="31"/>
      <c r="AO84" s="96">
        <v>37</v>
      </c>
      <c r="AP84" s="33">
        <f t="shared" si="145"/>
        <v>1.2333333333333334</v>
      </c>
      <c r="AQ84" s="34">
        <f t="shared" si="146"/>
        <v>37</v>
      </c>
      <c r="AR84" s="35"/>
      <c r="AS84" s="36">
        <f t="shared" si="157"/>
        <v>1.2333333333333334</v>
      </c>
      <c r="AT84" s="36">
        <f t="shared" si="157"/>
        <v>37</v>
      </c>
      <c r="AU84" s="36">
        <f t="shared" si="191"/>
        <v>1.3443333333333336</v>
      </c>
      <c r="AV84" s="36">
        <f t="shared" si="147"/>
        <v>40.330000000000005</v>
      </c>
      <c r="AW84" s="37">
        <v>1.95</v>
      </c>
      <c r="AX84" s="38">
        <f t="shared" si="148"/>
        <v>58.5</v>
      </c>
      <c r="AY84" s="38">
        <f t="shared" si="7"/>
        <v>0.60566666666666635</v>
      </c>
      <c r="AZ84" s="38">
        <f t="shared" si="149"/>
        <v>18.169999999999991</v>
      </c>
      <c r="BA84" s="39">
        <f t="shared" si="9"/>
        <v>0.31059829059829047</v>
      </c>
      <c r="BB84" s="42"/>
      <c r="BC84" s="119">
        <f t="shared" si="10"/>
        <v>1.95</v>
      </c>
      <c r="BD84" s="108">
        <v>0.16350000000000001</v>
      </c>
      <c r="BE84" s="120">
        <f t="shared" si="174"/>
        <v>2.2688250000000001</v>
      </c>
      <c r="BF84" s="121">
        <f t="shared" si="12"/>
        <v>0.31882500000000014</v>
      </c>
      <c r="BG84" s="121">
        <f t="shared" si="176"/>
        <v>2.6325000000000012E-2</v>
      </c>
      <c r="BH84" s="122">
        <f t="shared" si="177"/>
        <v>0.31882500000000014</v>
      </c>
      <c r="BI84" s="121">
        <f t="shared" si="178"/>
        <v>1.95</v>
      </c>
      <c r="BJ84" s="123">
        <f t="shared" si="16"/>
        <v>0.31059829059829047</v>
      </c>
      <c r="BK84" s="124">
        <f t="shared" si="17"/>
        <v>0</v>
      </c>
      <c r="BL84" s="125" t="s">
        <v>226</v>
      </c>
    </row>
    <row r="85" spans="1:64" ht="45" customHeight="1" x14ac:dyDescent="0.25">
      <c r="A85" s="30">
        <v>79</v>
      </c>
      <c r="B85" s="102" t="s">
        <v>67</v>
      </c>
      <c r="C85" s="31">
        <v>1</v>
      </c>
      <c r="D85" s="32" t="s">
        <v>141</v>
      </c>
      <c r="E85" s="31">
        <f t="shared" si="0"/>
        <v>20</v>
      </c>
      <c r="F85" s="31">
        <v>29</v>
      </c>
      <c r="G85" s="31" t="s">
        <v>226</v>
      </c>
      <c r="H85" s="31" t="s">
        <v>226</v>
      </c>
      <c r="I85" s="31" t="s">
        <v>226</v>
      </c>
      <c r="J85" s="31" t="s">
        <v>226</v>
      </c>
      <c r="K85" s="31" t="s">
        <v>226</v>
      </c>
      <c r="L85" s="31" t="s">
        <v>226</v>
      </c>
      <c r="M85" s="31" t="s">
        <v>226</v>
      </c>
      <c r="N85" s="31" t="s">
        <v>226</v>
      </c>
      <c r="O85" s="31" t="s">
        <v>226</v>
      </c>
      <c r="P85" s="31" t="s">
        <v>226</v>
      </c>
      <c r="Q85" s="31" t="s">
        <v>226</v>
      </c>
      <c r="R85" s="31" t="s">
        <v>226</v>
      </c>
      <c r="S85" s="31" t="s">
        <v>226</v>
      </c>
      <c r="T85" s="31" t="s">
        <v>226</v>
      </c>
      <c r="U85" s="31" t="s">
        <v>226</v>
      </c>
      <c r="V85" s="31" t="s">
        <v>226</v>
      </c>
      <c r="W85" s="31" t="s">
        <v>226</v>
      </c>
      <c r="X85" s="31" t="s">
        <v>226</v>
      </c>
      <c r="Y85" s="31" t="s">
        <v>226</v>
      </c>
      <c r="Z85" s="31" t="s">
        <v>226</v>
      </c>
      <c r="AA85" s="31" t="s">
        <v>226</v>
      </c>
      <c r="AB85" s="128">
        <v>30.5</v>
      </c>
      <c r="AC85" s="125" t="s">
        <v>226</v>
      </c>
      <c r="AD85" s="125" t="s">
        <v>226</v>
      </c>
      <c r="AE85" s="31" t="s">
        <v>226</v>
      </c>
      <c r="AF85" s="31" t="s">
        <v>226</v>
      </c>
      <c r="AG85" s="31" t="s">
        <v>226</v>
      </c>
      <c r="AH85" s="31" t="s">
        <v>226</v>
      </c>
      <c r="AI85" s="31" t="s">
        <v>226</v>
      </c>
      <c r="AJ85" s="31" t="s">
        <v>226</v>
      </c>
      <c r="AK85" s="31" t="s">
        <v>226</v>
      </c>
      <c r="AL85" s="31" t="s">
        <v>226</v>
      </c>
      <c r="AM85" s="31"/>
      <c r="AN85" s="31"/>
      <c r="AO85" s="96">
        <v>30.5</v>
      </c>
      <c r="AP85" s="33">
        <f t="shared" si="145"/>
        <v>1.5249999999999999</v>
      </c>
      <c r="AQ85" s="34">
        <f t="shared" si="146"/>
        <v>30.5</v>
      </c>
      <c r="AR85" s="35"/>
      <c r="AS85" s="36">
        <f t="shared" si="157"/>
        <v>1.5249999999999999</v>
      </c>
      <c r="AT85" s="36">
        <f t="shared" si="157"/>
        <v>30.5</v>
      </c>
      <c r="AU85" s="36">
        <f t="shared" si="191"/>
        <v>1.66225</v>
      </c>
      <c r="AV85" s="36">
        <f t="shared" si="147"/>
        <v>33.244999999999997</v>
      </c>
      <c r="AW85" s="37">
        <v>2.5</v>
      </c>
      <c r="AX85" s="38">
        <f t="shared" si="148"/>
        <v>50</v>
      </c>
      <c r="AY85" s="38">
        <f t="shared" si="7"/>
        <v>0.83774999999999999</v>
      </c>
      <c r="AZ85" s="38">
        <f t="shared" si="149"/>
        <v>16.754999999999999</v>
      </c>
      <c r="BA85" s="39">
        <f t="shared" si="9"/>
        <v>0.33510000000000001</v>
      </c>
      <c r="BB85" s="42"/>
      <c r="BC85" s="119">
        <f t="shared" si="10"/>
        <v>2.5</v>
      </c>
      <c r="BD85" s="108">
        <v>0.16350000000000001</v>
      </c>
      <c r="BE85" s="120">
        <f t="shared" si="174"/>
        <v>2.9087499999999999</v>
      </c>
      <c r="BF85" s="121">
        <f t="shared" si="12"/>
        <v>0.40874999999999995</v>
      </c>
      <c r="BG85" s="121">
        <f t="shared" si="176"/>
        <v>3.3749999999999995E-2</v>
      </c>
      <c r="BH85" s="122">
        <f t="shared" si="177"/>
        <v>0.40874999999999995</v>
      </c>
      <c r="BI85" s="121">
        <f t="shared" si="178"/>
        <v>2.5</v>
      </c>
      <c r="BJ85" s="123">
        <f t="shared" si="16"/>
        <v>0.33510000000000001</v>
      </c>
      <c r="BK85" s="124">
        <f t="shared" si="17"/>
        <v>0</v>
      </c>
      <c r="BL85" s="125" t="s">
        <v>226</v>
      </c>
    </row>
    <row r="86" spans="1:64" ht="45" customHeight="1" x14ac:dyDescent="0.25">
      <c r="A86" s="30">
        <v>80</v>
      </c>
      <c r="B86" s="103" t="s">
        <v>68</v>
      </c>
      <c r="C86" s="31">
        <v>1</v>
      </c>
      <c r="D86" s="32" t="s">
        <v>141</v>
      </c>
      <c r="E86" s="31">
        <f t="shared" si="0"/>
        <v>20</v>
      </c>
      <c r="F86" s="31">
        <v>29</v>
      </c>
      <c r="G86" s="31" t="s">
        <v>226</v>
      </c>
      <c r="H86" s="31" t="s">
        <v>226</v>
      </c>
      <c r="I86" s="31" t="s">
        <v>226</v>
      </c>
      <c r="J86" s="31" t="s">
        <v>226</v>
      </c>
      <c r="K86" s="31" t="s">
        <v>226</v>
      </c>
      <c r="L86" s="31" t="s">
        <v>226</v>
      </c>
      <c r="M86" s="31" t="s">
        <v>226</v>
      </c>
      <c r="N86" s="31" t="s">
        <v>226</v>
      </c>
      <c r="O86" s="31" t="s">
        <v>226</v>
      </c>
      <c r="P86" s="31" t="s">
        <v>226</v>
      </c>
      <c r="Q86" s="31" t="s">
        <v>226</v>
      </c>
      <c r="R86" s="31" t="s">
        <v>226</v>
      </c>
      <c r="S86" s="31" t="s">
        <v>226</v>
      </c>
      <c r="T86" s="31" t="s">
        <v>226</v>
      </c>
      <c r="U86" s="31" t="s">
        <v>226</v>
      </c>
      <c r="V86" s="31" t="s">
        <v>226</v>
      </c>
      <c r="W86" s="31" t="s">
        <v>226</v>
      </c>
      <c r="X86" s="31" t="s">
        <v>226</v>
      </c>
      <c r="Y86" s="31" t="s">
        <v>226</v>
      </c>
      <c r="Z86" s="31" t="s">
        <v>226</v>
      </c>
      <c r="AA86" s="31" t="s">
        <v>226</v>
      </c>
      <c r="AB86" s="128">
        <v>30.5</v>
      </c>
      <c r="AC86" s="125" t="s">
        <v>226</v>
      </c>
      <c r="AD86" s="125" t="s">
        <v>226</v>
      </c>
      <c r="AE86" s="31" t="s">
        <v>226</v>
      </c>
      <c r="AF86" s="31" t="s">
        <v>226</v>
      </c>
      <c r="AG86" s="31" t="s">
        <v>226</v>
      </c>
      <c r="AH86" s="31" t="s">
        <v>226</v>
      </c>
      <c r="AI86" s="31" t="s">
        <v>226</v>
      </c>
      <c r="AJ86" s="31" t="s">
        <v>226</v>
      </c>
      <c r="AK86" s="31" t="s">
        <v>226</v>
      </c>
      <c r="AL86" s="31" t="s">
        <v>226</v>
      </c>
      <c r="AM86" s="31"/>
      <c r="AN86" s="31"/>
      <c r="AO86" s="96">
        <v>30.5</v>
      </c>
      <c r="AP86" s="33">
        <f t="shared" ref="AP86:AP117" si="192">AO86/D86</f>
        <v>1.5249999999999999</v>
      </c>
      <c r="AQ86" s="34">
        <f t="shared" ref="AQ86:AQ117" si="193">AP86*E86</f>
        <v>30.5</v>
      </c>
      <c r="AR86" s="35"/>
      <c r="AS86" s="36">
        <f t="shared" si="157"/>
        <v>1.5249999999999999</v>
      </c>
      <c r="AT86" s="36">
        <f t="shared" si="157"/>
        <v>30.5</v>
      </c>
      <c r="AU86" s="36">
        <f t="shared" si="191"/>
        <v>1.66225</v>
      </c>
      <c r="AV86" s="36">
        <f t="shared" ref="AV86:AV117" si="194">AU86*E86</f>
        <v>33.244999999999997</v>
      </c>
      <c r="AW86" s="37">
        <v>2.5</v>
      </c>
      <c r="AX86" s="38">
        <f t="shared" ref="AX86:AX103" si="195">AW86*E86</f>
        <v>50</v>
      </c>
      <c r="AY86" s="38">
        <f t="shared" si="7"/>
        <v>0.83774999999999999</v>
      </c>
      <c r="AZ86" s="38">
        <f t="shared" ref="AZ86:AZ103" si="196">AY86*E86</f>
        <v>16.754999999999999</v>
      </c>
      <c r="BA86" s="39">
        <f t="shared" si="9"/>
        <v>0.33510000000000001</v>
      </c>
      <c r="BB86" s="43"/>
      <c r="BC86" s="119">
        <f t="shared" si="10"/>
        <v>2.5</v>
      </c>
      <c r="BD86" s="108">
        <v>0.16350000000000001</v>
      </c>
      <c r="BE86" s="120">
        <f t="shared" si="174"/>
        <v>2.9087499999999999</v>
      </c>
      <c r="BF86" s="121">
        <f t="shared" si="12"/>
        <v>0.40874999999999995</v>
      </c>
      <c r="BG86" s="121">
        <f t="shared" si="176"/>
        <v>3.3749999999999995E-2</v>
      </c>
      <c r="BH86" s="122">
        <f t="shared" si="177"/>
        <v>0.40874999999999995</v>
      </c>
      <c r="BI86" s="121">
        <f t="shared" si="178"/>
        <v>2.5</v>
      </c>
      <c r="BJ86" s="123">
        <f t="shared" si="16"/>
        <v>0.33510000000000001</v>
      </c>
      <c r="BK86" s="124">
        <f t="shared" si="17"/>
        <v>0</v>
      </c>
      <c r="BL86" s="125" t="s">
        <v>226</v>
      </c>
    </row>
    <row r="87" spans="1:64" ht="45" customHeight="1" x14ac:dyDescent="0.25">
      <c r="A87" s="30">
        <v>81</v>
      </c>
      <c r="B87" s="100" t="s">
        <v>69</v>
      </c>
      <c r="C87" s="31">
        <v>1</v>
      </c>
      <c r="D87" s="32" t="s">
        <v>75</v>
      </c>
      <c r="E87" s="31">
        <f t="shared" si="0"/>
        <v>48</v>
      </c>
      <c r="F87" s="31" t="s">
        <v>226</v>
      </c>
      <c r="G87" s="31" t="s">
        <v>226</v>
      </c>
      <c r="H87" s="31" t="s">
        <v>226</v>
      </c>
      <c r="I87" s="31" t="s">
        <v>226</v>
      </c>
      <c r="J87" s="31" t="s">
        <v>226</v>
      </c>
      <c r="K87" s="31" t="s">
        <v>226</v>
      </c>
      <c r="L87" s="31" t="s">
        <v>226</v>
      </c>
      <c r="M87" s="31" t="s">
        <v>226</v>
      </c>
      <c r="N87" s="31" t="s">
        <v>226</v>
      </c>
      <c r="O87" s="31" t="s">
        <v>226</v>
      </c>
      <c r="P87" s="31" t="s">
        <v>226</v>
      </c>
      <c r="Q87" s="31" t="s">
        <v>226</v>
      </c>
      <c r="R87" s="31" t="s">
        <v>226</v>
      </c>
      <c r="S87" s="31" t="s">
        <v>226</v>
      </c>
      <c r="T87" s="31" t="s">
        <v>226</v>
      </c>
      <c r="U87" s="31" t="s">
        <v>226</v>
      </c>
      <c r="V87" s="31" t="s">
        <v>226</v>
      </c>
      <c r="W87" s="31" t="s">
        <v>226</v>
      </c>
      <c r="X87" s="31" t="s">
        <v>226</v>
      </c>
      <c r="Y87" s="31" t="s">
        <v>226</v>
      </c>
      <c r="Z87" s="31" t="s">
        <v>226</v>
      </c>
      <c r="AA87" s="31" t="s">
        <v>226</v>
      </c>
      <c r="AB87" s="31" t="s">
        <v>226</v>
      </c>
      <c r="AC87" s="125" t="s">
        <v>226</v>
      </c>
      <c r="AD87" s="125" t="s">
        <v>226</v>
      </c>
      <c r="AE87" s="31" t="s">
        <v>226</v>
      </c>
      <c r="AF87" s="31" t="s">
        <v>226</v>
      </c>
      <c r="AG87" s="31" t="s">
        <v>226</v>
      </c>
      <c r="AH87" s="31" t="s">
        <v>226</v>
      </c>
      <c r="AI87" s="31" t="s">
        <v>226</v>
      </c>
      <c r="AJ87" s="31" t="s">
        <v>226</v>
      </c>
      <c r="AK87" s="31" t="s">
        <v>226</v>
      </c>
      <c r="AL87" s="31" t="s">
        <v>226</v>
      </c>
      <c r="AM87" s="31"/>
      <c r="AN87" s="31"/>
      <c r="AO87" s="96">
        <v>33.5</v>
      </c>
      <c r="AP87" s="33">
        <f t="shared" si="192"/>
        <v>0.69791666666666663</v>
      </c>
      <c r="AQ87" s="34">
        <f t="shared" si="193"/>
        <v>33.5</v>
      </c>
      <c r="AR87" s="35"/>
      <c r="AS87" s="36">
        <f t="shared" ref="AS87:AT185" si="197">AP87/$AZ$2</f>
        <v>0.69791666666666663</v>
      </c>
      <c r="AT87" s="36">
        <f t="shared" si="197"/>
        <v>33.5</v>
      </c>
      <c r="AU87" s="36">
        <f t="shared" si="191"/>
        <v>0.76072916666666668</v>
      </c>
      <c r="AV87" s="36">
        <f t="shared" si="194"/>
        <v>36.515000000000001</v>
      </c>
      <c r="AW87" s="37">
        <v>1.25</v>
      </c>
      <c r="AX87" s="38">
        <f t="shared" si="195"/>
        <v>60</v>
      </c>
      <c r="AY87" s="38">
        <f t="shared" si="7"/>
        <v>0.48927083333333332</v>
      </c>
      <c r="AZ87" s="38">
        <f t="shared" si="196"/>
        <v>23.484999999999999</v>
      </c>
      <c r="BA87" s="39">
        <f t="shared" si="9"/>
        <v>0.39141666666666663</v>
      </c>
      <c r="BB87" s="41"/>
      <c r="BC87" s="119">
        <f t="shared" ref="BC87:BC149" si="198">AW87</f>
        <v>1.25</v>
      </c>
      <c r="BD87" s="108">
        <v>0.16350000000000001</v>
      </c>
      <c r="BE87" s="120">
        <f t="shared" si="174"/>
        <v>1.454375</v>
      </c>
      <c r="BF87" s="121">
        <f t="shared" ref="BF87:BF149" si="199">BE87-BC87</f>
        <v>0.20437499999999997</v>
      </c>
      <c r="BG87" s="121">
        <f t="shared" si="176"/>
        <v>1.6874999999999998E-2</v>
      </c>
      <c r="BH87" s="122">
        <f t="shared" si="177"/>
        <v>0.20437499999999997</v>
      </c>
      <c r="BI87" s="121">
        <f t="shared" si="178"/>
        <v>1.25</v>
      </c>
      <c r="BJ87" s="123">
        <f t="shared" ref="BJ87:BJ149" si="200">(BI87-AU87)/BI87</f>
        <v>0.39141666666666663</v>
      </c>
      <c r="BK87" s="124">
        <f t="shared" ref="BK87:BK149" si="201">BJ87-BA87</f>
        <v>0</v>
      </c>
      <c r="BL87" s="125">
        <v>1.05</v>
      </c>
    </row>
    <row r="88" spans="1:64" ht="45" customHeight="1" x14ac:dyDescent="0.25">
      <c r="A88" s="30">
        <v>82</v>
      </c>
      <c r="B88" s="100" t="s">
        <v>203</v>
      </c>
      <c r="C88" s="31">
        <v>1</v>
      </c>
      <c r="D88" s="32" t="s">
        <v>75</v>
      </c>
      <c r="E88" s="31">
        <f t="shared" si="0"/>
        <v>48</v>
      </c>
      <c r="F88" s="31" t="s">
        <v>226</v>
      </c>
      <c r="G88" s="31" t="s">
        <v>226</v>
      </c>
      <c r="H88" s="31" t="s">
        <v>226</v>
      </c>
      <c r="I88" s="31" t="s">
        <v>226</v>
      </c>
      <c r="J88" s="31" t="s">
        <v>226</v>
      </c>
      <c r="K88" s="31" t="s">
        <v>226</v>
      </c>
      <c r="L88" s="31" t="s">
        <v>226</v>
      </c>
      <c r="M88" s="31" t="s">
        <v>226</v>
      </c>
      <c r="N88" s="31" t="s">
        <v>226</v>
      </c>
      <c r="O88" s="31" t="s">
        <v>226</v>
      </c>
      <c r="P88" s="31" t="s">
        <v>226</v>
      </c>
      <c r="Q88" s="31" t="s">
        <v>226</v>
      </c>
      <c r="R88" s="31" t="s">
        <v>226</v>
      </c>
      <c r="S88" s="31" t="s">
        <v>226</v>
      </c>
      <c r="T88" s="31" t="s">
        <v>226</v>
      </c>
      <c r="U88" s="31" t="s">
        <v>226</v>
      </c>
      <c r="V88" s="31" t="s">
        <v>226</v>
      </c>
      <c r="W88" s="31" t="s">
        <v>226</v>
      </c>
      <c r="X88" s="31" t="s">
        <v>226</v>
      </c>
      <c r="Y88" s="31" t="s">
        <v>226</v>
      </c>
      <c r="Z88" s="31" t="s">
        <v>226</v>
      </c>
      <c r="AA88" s="31" t="s">
        <v>226</v>
      </c>
      <c r="AB88" s="31" t="s">
        <v>226</v>
      </c>
      <c r="AC88" s="125" t="s">
        <v>226</v>
      </c>
      <c r="AD88" s="125" t="s">
        <v>226</v>
      </c>
      <c r="AE88" s="31" t="s">
        <v>226</v>
      </c>
      <c r="AF88" s="31" t="s">
        <v>226</v>
      </c>
      <c r="AG88" s="31" t="s">
        <v>226</v>
      </c>
      <c r="AH88" s="31" t="s">
        <v>226</v>
      </c>
      <c r="AI88" s="31" t="s">
        <v>226</v>
      </c>
      <c r="AJ88" s="31" t="s">
        <v>226</v>
      </c>
      <c r="AK88" s="31" t="s">
        <v>226</v>
      </c>
      <c r="AL88" s="31" t="s">
        <v>226</v>
      </c>
      <c r="AM88" s="31"/>
      <c r="AN88" s="31"/>
      <c r="AO88" s="96">
        <v>33.5</v>
      </c>
      <c r="AP88" s="33">
        <f t="shared" si="192"/>
        <v>0.69791666666666663</v>
      </c>
      <c r="AQ88" s="34">
        <f t="shared" si="193"/>
        <v>33.5</v>
      </c>
      <c r="AR88" s="35"/>
      <c r="AS88" s="36">
        <f t="shared" si="197"/>
        <v>0.69791666666666663</v>
      </c>
      <c r="AT88" s="36">
        <f t="shared" si="197"/>
        <v>33.5</v>
      </c>
      <c r="AU88" s="36">
        <f t="shared" si="191"/>
        <v>0.76072916666666668</v>
      </c>
      <c r="AV88" s="36">
        <f t="shared" si="194"/>
        <v>36.515000000000001</v>
      </c>
      <c r="AW88" s="37">
        <v>1.25</v>
      </c>
      <c r="AX88" s="38">
        <f t="shared" si="195"/>
        <v>60</v>
      </c>
      <c r="AY88" s="38">
        <f t="shared" si="7"/>
        <v>0.48927083333333332</v>
      </c>
      <c r="AZ88" s="38">
        <f t="shared" si="196"/>
        <v>23.484999999999999</v>
      </c>
      <c r="BA88" s="39">
        <f t="shared" si="9"/>
        <v>0.39141666666666663</v>
      </c>
      <c r="BB88" s="42"/>
      <c r="BC88" s="119">
        <f t="shared" si="198"/>
        <v>1.25</v>
      </c>
      <c r="BD88" s="108">
        <v>0.16350000000000001</v>
      </c>
      <c r="BE88" s="120">
        <f t="shared" si="174"/>
        <v>1.454375</v>
      </c>
      <c r="BF88" s="121">
        <f t="shared" si="199"/>
        <v>0.20437499999999997</v>
      </c>
      <c r="BG88" s="121">
        <f t="shared" si="176"/>
        <v>1.6874999999999998E-2</v>
      </c>
      <c r="BH88" s="122">
        <f t="shared" si="177"/>
        <v>0.20437499999999997</v>
      </c>
      <c r="BI88" s="121">
        <f t="shared" si="178"/>
        <v>1.25</v>
      </c>
      <c r="BJ88" s="123">
        <f t="shared" si="200"/>
        <v>0.39141666666666663</v>
      </c>
      <c r="BK88" s="124">
        <f t="shared" si="201"/>
        <v>0</v>
      </c>
      <c r="BL88" s="125">
        <v>1.05</v>
      </c>
    </row>
    <row r="89" spans="1:64" ht="45" customHeight="1" x14ac:dyDescent="0.25">
      <c r="A89" s="30">
        <v>83</v>
      </c>
      <c r="B89" s="100" t="s">
        <v>215</v>
      </c>
      <c r="C89" s="31">
        <v>1</v>
      </c>
      <c r="D89" s="32" t="s">
        <v>75</v>
      </c>
      <c r="E89" s="31">
        <f t="shared" si="0"/>
        <v>48</v>
      </c>
      <c r="F89" s="31" t="s">
        <v>226</v>
      </c>
      <c r="G89" s="31" t="s">
        <v>226</v>
      </c>
      <c r="H89" s="31" t="s">
        <v>226</v>
      </c>
      <c r="I89" s="31" t="s">
        <v>226</v>
      </c>
      <c r="J89" s="31" t="s">
        <v>226</v>
      </c>
      <c r="K89" s="31" t="s">
        <v>226</v>
      </c>
      <c r="L89" s="31" t="s">
        <v>226</v>
      </c>
      <c r="M89" s="31" t="s">
        <v>226</v>
      </c>
      <c r="N89" s="31" t="s">
        <v>226</v>
      </c>
      <c r="O89" s="31" t="s">
        <v>226</v>
      </c>
      <c r="P89" s="31" t="s">
        <v>226</v>
      </c>
      <c r="Q89" s="31" t="s">
        <v>226</v>
      </c>
      <c r="R89" s="31" t="s">
        <v>226</v>
      </c>
      <c r="S89" s="31" t="s">
        <v>226</v>
      </c>
      <c r="T89" s="31" t="s">
        <v>226</v>
      </c>
      <c r="U89" s="31" t="s">
        <v>226</v>
      </c>
      <c r="V89" s="31" t="s">
        <v>226</v>
      </c>
      <c r="W89" s="31" t="s">
        <v>226</v>
      </c>
      <c r="X89" s="31" t="s">
        <v>226</v>
      </c>
      <c r="Y89" s="31" t="s">
        <v>226</v>
      </c>
      <c r="Z89" s="31" t="s">
        <v>226</v>
      </c>
      <c r="AA89" s="31" t="s">
        <v>226</v>
      </c>
      <c r="AB89" s="31" t="s">
        <v>226</v>
      </c>
      <c r="AC89" s="125" t="s">
        <v>226</v>
      </c>
      <c r="AD89" s="125" t="s">
        <v>226</v>
      </c>
      <c r="AE89" s="31" t="s">
        <v>226</v>
      </c>
      <c r="AF89" s="31" t="s">
        <v>226</v>
      </c>
      <c r="AG89" s="31" t="s">
        <v>226</v>
      </c>
      <c r="AH89" s="31" t="s">
        <v>226</v>
      </c>
      <c r="AI89" s="31" t="s">
        <v>226</v>
      </c>
      <c r="AJ89" s="31" t="s">
        <v>226</v>
      </c>
      <c r="AK89" s="31" t="s">
        <v>226</v>
      </c>
      <c r="AL89" s="31" t="s">
        <v>226</v>
      </c>
      <c r="AM89" s="31"/>
      <c r="AN89" s="31"/>
      <c r="AO89" s="96">
        <v>33.5</v>
      </c>
      <c r="AP89" s="33">
        <f t="shared" si="192"/>
        <v>0.69791666666666663</v>
      </c>
      <c r="AQ89" s="34">
        <f t="shared" si="193"/>
        <v>33.5</v>
      </c>
      <c r="AR89" s="35"/>
      <c r="AS89" s="36">
        <f t="shared" si="197"/>
        <v>0.69791666666666663</v>
      </c>
      <c r="AT89" s="36">
        <f t="shared" si="197"/>
        <v>33.5</v>
      </c>
      <c r="AU89" s="36">
        <f t="shared" si="191"/>
        <v>0.76072916666666668</v>
      </c>
      <c r="AV89" s="36">
        <f t="shared" si="194"/>
        <v>36.515000000000001</v>
      </c>
      <c r="AW89" s="37">
        <v>1.25</v>
      </c>
      <c r="AX89" s="38">
        <f t="shared" si="195"/>
        <v>60</v>
      </c>
      <c r="AY89" s="38">
        <f t="shared" si="7"/>
        <v>0.48927083333333332</v>
      </c>
      <c r="AZ89" s="38">
        <f t="shared" si="196"/>
        <v>23.484999999999999</v>
      </c>
      <c r="BA89" s="39">
        <f t="shared" si="9"/>
        <v>0.39141666666666663</v>
      </c>
      <c r="BB89" s="42"/>
      <c r="BC89" s="119">
        <f t="shared" si="198"/>
        <v>1.25</v>
      </c>
      <c r="BD89" s="108">
        <v>0.16350000000000001</v>
      </c>
      <c r="BE89" s="120">
        <f t="shared" si="174"/>
        <v>1.454375</v>
      </c>
      <c r="BF89" s="121">
        <f t="shared" si="199"/>
        <v>0.20437499999999997</v>
      </c>
      <c r="BG89" s="121">
        <f t="shared" si="176"/>
        <v>1.6874999999999998E-2</v>
      </c>
      <c r="BH89" s="122">
        <f t="shared" si="177"/>
        <v>0.20437499999999997</v>
      </c>
      <c r="BI89" s="121">
        <f t="shared" si="178"/>
        <v>1.25</v>
      </c>
      <c r="BJ89" s="123">
        <f t="shared" si="200"/>
        <v>0.39141666666666663</v>
      </c>
      <c r="BK89" s="124">
        <f t="shared" si="201"/>
        <v>0</v>
      </c>
      <c r="BL89" s="125">
        <v>1.05</v>
      </c>
    </row>
    <row r="90" spans="1:64" ht="45" customHeight="1" x14ac:dyDescent="0.25">
      <c r="A90" s="30">
        <v>84</v>
      </c>
      <c r="B90" s="100" t="s">
        <v>202</v>
      </c>
      <c r="C90" s="31">
        <v>1</v>
      </c>
      <c r="D90" s="32" t="s">
        <v>75</v>
      </c>
      <c r="E90" s="31">
        <f t="shared" ref="E90" si="202">D90*C90</f>
        <v>48</v>
      </c>
      <c r="F90" s="31" t="s">
        <v>226</v>
      </c>
      <c r="G90" s="31" t="s">
        <v>226</v>
      </c>
      <c r="H90" s="31" t="s">
        <v>226</v>
      </c>
      <c r="I90" s="31" t="s">
        <v>226</v>
      </c>
      <c r="J90" s="31" t="s">
        <v>226</v>
      </c>
      <c r="K90" s="31" t="s">
        <v>226</v>
      </c>
      <c r="L90" s="31" t="s">
        <v>226</v>
      </c>
      <c r="M90" s="31" t="s">
        <v>226</v>
      </c>
      <c r="N90" s="31" t="s">
        <v>226</v>
      </c>
      <c r="O90" s="31" t="s">
        <v>226</v>
      </c>
      <c r="P90" s="31" t="s">
        <v>226</v>
      </c>
      <c r="Q90" s="31" t="s">
        <v>226</v>
      </c>
      <c r="R90" s="31" t="s">
        <v>226</v>
      </c>
      <c r="S90" s="31" t="s">
        <v>226</v>
      </c>
      <c r="T90" s="31" t="s">
        <v>226</v>
      </c>
      <c r="U90" s="31" t="s">
        <v>226</v>
      </c>
      <c r="V90" s="31" t="s">
        <v>226</v>
      </c>
      <c r="W90" s="31" t="s">
        <v>226</v>
      </c>
      <c r="X90" s="31" t="s">
        <v>226</v>
      </c>
      <c r="Y90" s="31" t="s">
        <v>226</v>
      </c>
      <c r="Z90" s="31" t="s">
        <v>226</v>
      </c>
      <c r="AA90" s="31" t="s">
        <v>226</v>
      </c>
      <c r="AB90" s="31" t="s">
        <v>226</v>
      </c>
      <c r="AC90" s="125" t="s">
        <v>226</v>
      </c>
      <c r="AD90" s="125" t="s">
        <v>226</v>
      </c>
      <c r="AE90" s="31" t="s">
        <v>226</v>
      </c>
      <c r="AF90" s="31" t="s">
        <v>226</v>
      </c>
      <c r="AG90" s="31" t="s">
        <v>226</v>
      </c>
      <c r="AH90" s="31" t="s">
        <v>226</v>
      </c>
      <c r="AI90" s="31" t="s">
        <v>226</v>
      </c>
      <c r="AJ90" s="31" t="s">
        <v>226</v>
      </c>
      <c r="AK90" s="31" t="s">
        <v>226</v>
      </c>
      <c r="AL90" s="31" t="s">
        <v>226</v>
      </c>
      <c r="AM90" s="31"/>
      <c r="AN90" s="31"/>
      <c r="AO90" s="96">
        <v>33.5</v>
      </c>
      <c r="AP90" s="33">
        <f t="shared" si="192"/>
        <v>0.69791666666666663</v>
      </c>
      <c r="AQ90" s="34">
        <f t="shared" si="193"/>
        <v>33.5</v>
      </c>
      <c r="AR90" s="35"/>
      <c r="AS90" s="36">
        <f t="shared" ref="AS90" si="203">AP90/$AZ$2</f>
        <v>0.69791666666666663</v>
      </c>
      <c r="AT90" s="36">
        <f t="shared" ref="AT90" si="204">AQ90/$AZ$2</f>
        <v>33.5</v>
      </c>
      <c r="AU90" s="36">
        <f t="shared" si="191"/>
        <v>0.76072916666666668</v>
      </c>
      <c r="AV90" s="36">
        <f t="shared" si="194"/>
        <v>36.515000000000001</v>
      </c>
      <c r="AW90" s="37">
        <v>1.25</v>
      </c>
      <c r="AX90" s="38">
        <f t="shared" si="195"/>
        <v>60</v>
      </c>
      <c r="AY90" s="38">
        <f t="shared" ref="AY90" si="205">AW90-AU90</f>
        <v>0.48927083333333332</v>
      </c>
      <c r="AZ90" s="38">
        <f t="shared" si="196"/>
        <v>23.484999999999999</v>
      </c>
      <c r="BA90" s="39">
        <f t="shared" ref="BA90" si="206">AY90/AW90</f>
        <v>0.39141666666666663</v>
      </c>
      <c r="BB90" s="42"/>
      <c r="BC90" s="119">
        <f t="shared" si="198"/>
        <v>1.25</v>
      </c>
      <c r="BD90" s="108">
        <v>0.16350000000000001</v>
      </c>
      <c r="BE90" s="120">
        <f t="shared" si="174"/>
        <v>1.454375</v>
      </c>
      <c r="BF90" s="121">
        <f t="shared" si="199"/>
        <v>0.20437499999999997</v>
      </c>
      <c r="BG90" s="121">
        <f t="shared" si="176"/>
        <v>1.6874999999999998E-2</v>
      </c>
      <c r="BH90" s="122">
        <f t="shared" si="177"/>
        <v>0.20437499999999997</v>
      </c>
      <c r="BI90" s="121">
        <f t="shared" si="178"/>
        <v>1.25</v>
      </c>
      <c r="BJ90" s="123">
        <f t="shared" si="200"/>
        <v>0.39141666666666663</v>
      </c>
      <c r="BK90" s="124">
        <f t="shared" si="201"/>
        <v>0</v>
      </c>
      <c r="BL90" s="125">
        <v>1.05</v>
      </c>
    </row>
    <row r="91" spans="1:64" ht="45" customHeight="1" x14ac:dyDescent="0.25">
      <c r="A91" s="30">
        <v>85</v>
      </c>
      <c r="B91" s="100" t="s">
        <v>70</v>
      </c>
      <c r="C91" s="31">
        <v>1</v>
      </c>
      <c r="D91" s="32" t="s">
        <v>75</v>
      </c>
      <c r="E91" s="31">
        <f t="shared" si="0"/>
        <v>48</v>
      </c>
      <c r="F91" s="31" t="s">
        <v>226</v>
      </c>
      <c r="G91" s="31" t="s">
        <v>226</v>
      </c>
      <c r="H91" s="31" t="s">
        <v>226</v>
      </c>
      <c r="I91" s="31" t="s">
        <v>226</v>
      </c>
      <c r="J91" s="31" t="s">
        <v>226</v>
      </c>
      <c r="K91" s="31" t="s">
        <v>226</v>
      </c>
      <c r="L91" s="31" t="s">
        <v>226</v>
      </c>
      <c r="M91" s="31" t="s">
        <v>226</v>
      </c>
      <c r="N91" s="31" t="s">
        <v>226</v>
      </c>
      <c r="O91" s="31" t="s">
        <v>226</v>
      </c>
      <c r="P91" s="31" t="s">
        <v>226</v>
      </c>
      <c r="Q91" s="31" t="s">
        <v>226</v>
      </c>
      <c r="R91" s="31" t="s">
        <v>226</v>
      </c>
      <c r="S91" s="31" t="s">
        <v>226</v>
      </c>
      <c r="T91" s="31" t="s">
        <v>226</v>
      </c>
      <c r="U91" s="31" t="s">
        <v>226</v>
      </c>
      <c r="V91" s="31" t="s">
        <v>226</v>
      </c>
      <c r="W91" s="31" t="s">
        <v>226</v>
      </c>
      <c r="X91" s="31" t="s">
        <v>226</v>
      </c>
      <c r="Y91" s="31" t="s">
        <v>226</v>
      </c>
      <c r="Z91" s="31" t="s">
        <v>226</v>
      </c>
      <c r="AA91" s="31" t="s">
        <v>226</v>
      </c>
      <c r="AB91" s="31" t="s">
        <v>226</v>
      </c>
      <c r="AC91" s="125" t="s">
        <v>226</v>
      </c>
      <c r="AD91" s="125" t="s">
        <v>226</v>
      </c>
      <c r="AE91" s="31" t="s">
        <v>226</v>
      </c>
      <c r="AF91" s="31" t="s">
        <v>226</v>
      </c>
      <c r="AG91" s="31" t="s">
        <v>226</v>
      </c>
      <c r="AH91" s="31" t="s">
        <v>226</v>
      </c>
      <c r="AI91" s="31" t="s">
        <v>226</v>
      </c>
      <c r="AJ91" s="31" t="s">
        <v>226</v>
      </c>
      <c r="AK91" s="31" t="s">
        <v>226</v>
      </c>
      <c r="AL91" s="31" t="s">
        <v>226</v>
      </c>
      <c r="AM91" s="31"/>
      <c r="AN91" s="31"/>
      <c r="AO91" s="96">
        <v>33.5</v>
      </c>
      <c r="AP91" s="33">
        <f t="shared" si="192"/>
        <v>0.69791666666666663</v>
      </c>
      <c r="AQ91" s="34">
        <f t="shared" si="193"/>
        <v>33.5</v>
      </c>
      <c r="AR91" s="35"/>
      <c r="AS91" s="36">
        <f t="shared" si="197"/>
        <v>0.69791666666666663</v>
      </c>
      <c r="AT91" s="36">
        <f t="shared" si="197"/>
        <v>33.5</v>
      </c>
      <c r="AU91" s="36">
        <f t="shared" si="191"/>
        <v>0.76072916666666668</v>
      </c>
      <c r="AV91" s="36">
        <f t="shared" si="194"/>
        <v>36.515000000000001</v>
      </c>
      <c r="AW91" s="37">
        <v>1.25</v>
      </c>
      <c r="AX91" s="38">
        <f t="shared" si="195"/>
        <v>60</v>
      </c>
      <c r="AY91" s="38">
        <f t="shared" si="7"/>
        <v>0.48927083333333332</v>
      </c>
      <c r="AZ91" s="38">
        <f t="shared" si="196"/>
        <v>23.484999999999999</v>
      </c>
      <c r="BA91" s="39">
        <f t="shared" si="9"/>
        <v>0.39141666666666663</v>
      </c>
      <c r="BB91" s="42"/>
      <c r="BC91" s="119">
        <f t="shared" si="198"/>
        <v>1.25</v>
      </c>
      <c r="BD91" s="108">
        <v>0.16350000000000001</v>
      </c>
      <c r="BE91" s="120">
        <f t="shared" si="174"/>
        <v>1.454375</v>
      </c>
      <c r="BF91" s="121">
        <f t="shared" si="199"/>
        <v>0.20437499999999997</v>
      </c>
      <c r="BG91" s="121">
        <f t="shared" si="176"/>
        <v>1.6874999999999998E-2</v>
      </c>
      <c r="BH91" s="122">
        <f t="shared" si="177"/>
        <v>0.20437499999999997</v>
      </c>
      <c r="BI91" s="121">
        <f t="shared" si="178"/>
        <v>1.25</v>
      </c>
      <c r="BJ91" s="123">
        <f t="shared" si="200"/>
        <v>0.39141666666666663</v>
      </c>
      <c r="BK91" s="124">
        <f t="shared" si="201"/>
        <v>0</v>
      </c>
      <c r="BL91" s="125">
        <v>1.05</v>
      </c>
    </row>
    <row r="92" spans="1:64" ht="45" customHeight="1" x14ac:dyDescent="0.25">
      <c r="A92" s="30">
        <v>86</v>
      </c>
      <c r="B92" s="101" t="s">
        <v>216</v>
      </c>
      <c r="C92" s="31">
        <v>1</v>
      </c>
      <c r="D92" s="32" t="s">
        <v>164</v>
      </c>
      <c r="E92" s="31">
        <f t="shared" ref="E92" si="207">D92*C92</f>
        <v>120</v>
      </c>
      <c r="F92" s="31" t="s">
        <v>226</v>
      </c>
      <c r="G92" s="31" t="s">
        <v>226</v>
      </c>
      <c r="H92" s="31" t="s">
        <v>226</v>
      </c>
      <c r="I92" s="31" t="s">
        <v>226</v>
      </c>
      <c r="J92" s="31" t="s">
        <v>226</v>
      </c>
      <c r="K92" s="31" t="s">
        <v>226</v>
      </c>
      <c r="L92" s="31" t="s">
        <v>226</v>
      </c>
      <c r="M92" s="31" t="s">
        <v>226</v>
      </c>
      <c r="N92" s="31" t="s">
        <v>226</v>
      </c>
      <c r="O92" s="31" t="s">
        <v>226</v>
      </c>
      <c r="P92" s="31" t="s">
        <v>226</v>
      </c>
      <c r="Q92" s="31" t="s">
        <v>226</v>
      </c>
      <c r="R92" s="31" t="s">
        <v>226</v>
      </c>
      <c r="S92" s="31" t="s">
        <v>226</v>
      </c>
      <c r="T92" s="31" t="s">
        <v>226</v>
      </c>
      <c r="U92" s="31" t="s">
        <v>226</v>
      </c>
      <c r="V92" s="31" t="s">
        <v>226</v>
      </c>
      <c r="W92" s="31" t="s">
        <v>226</v>
      </c>
      <c r="X92" s="31" t="s">
        <v>226</v>
      </c>
      <c r="Y92" s="31" t="s">
        <v>226</v>
      </c>
      <c r="Z92" s="31" t="s">
        <v>226</v>
      </c>
      <c r="AA92" s="31" t="s">
        <v>226</v>
      </c>
      <c r="AB92" s="31" t="s">
        <v>226</v>
      </c>
      <c r="AC92" s="125" t="s">
        <v>226</v>
      </c>
      <c r="AD92" s="125" t="s">
        <v>226</v>
      </c>
      <c r="AE92" s="31" t="s">
        <v>226</v>
      </c>
      <c r="AF92" s="31" t="s">
        <v>226</v>
      </c>
      <c r="AG92" s="31" t="s">
        <v>226</v>
      </c>
      <c r="AH92" s="31" t="s">
        <v>226</v>
      </c>
      <c r="AI92" s="31" t="s">
        <v>226</v>
      </c>
      <c r="AJ92" s="31" t="s">
        <v>226</v>
      </c>
      <c r="AK92" s="31" t="s">
        <v>226</v>
      </c>
      <c r="AL92" s="31" t="s">
        <v>226</v>
      </c>
      <c r="AM92" s="31"/>
      <c r="AN92" s="31">
        <v>97</v>
      </c>
      <c r="AO92" s="96">
        <v>97</v>
      </c>
      <c r="AP92" s="33">
        <f t="shared" si="192"/>
        <v>0.80833333333333335</v>
      </c>
      <c r="AQ92" s="34">
        <f t="shared" si="193"/>
        <v>97</v>
      </c>
      <c r="AR92" s="35"/>
      <c r="AS92" s="36">
        <f t="shared" ref="AS92" si="208">AP92/$AZ$2</f>
        <v>0.80833333333333335</v>
      </c>
      <c r="AT92" s="36">
        <f t="shared" ref="AT92" si="209">AQ92/$AZ$2</f>
        <v>97</v>
      </c>
      <c r="AU92" s="36">
        <f t="shared" si="191"/>
        <v>0.88108333333333344</v>
      </c>
      <c r="AV92" s="36">
        <f t="shared" si="194"/>
        <v>105.73000000000002</v>
      </c>
      <c r="AW92" s="37">
        <v>1.25</v>
      </c>
      <c r="AX92" s="38">
        <f t="shared" si="195"/>
        <v>150</v>
      </c>
      <c r="AY92" s="38">
        <f t="shared" ref="AY92" si="210">AW92-AU92</f>
        <v>0.36891666666666656</v>
      </c>
      <c r="AZ92" s="38">
        <f t="shared" si="196"/>
        <v>44.269999999999989</v>
      </c>
      <c r="BA92" s="39">
        <f t="shared" ref="BA92" si="211">AY92/AW92</f>
        <v>0.29513333333333325</v>
      </c>
      <c r="BB92" s="42"/>
      <c r="BC92" s="119">
        <f t="shared" si="198"/>
        <v>1.25</v>
      </c>
      <c r="BD92" s="108">
        <v>0.16350000000000001</v>
      </c>
      <c r="BE92" s="120">
        <f t="shared" si="174"/>
        <v>1.454375</v>
      </c>
      <c r="BF92" s="121">
        <f t="shared" si="199"/>
        <v>0.20437499999999997</v>
      </c>
      <c r="BG92" s="121">
        <f t="shared" si="176"/>
        <v>1.6874999999999998E-2</v>
      </c>
      <c r="BH92" s="122">
        <f t="shared" si="177"/>
        <v>0.20437499999999997</v>
      </c>
      <c r="BI92" s="121">
        <f t="shared" si="178"/>
        <v>1.25</v>
      </c>
      <c r="BJ92" s="123">
        <f t="shared" si="200"/>
        <v>0.29513333333333325</v>
      </c>
      <c r="BK92" s="124">
        <f t="shared" si="201"/>
        <v>0</v>
      </c>
      <c r="BL92" s="125">
        <v>1.5</v>
      </c>
    </row>
    <row r="93" spans="1:64" ht="45" customHeight="1" x14ac:dyDescent="0.25">
      <c r="A93" s="30">
        <v>87</v>
      </c>
      <c r="B93" s="101" t="s">
        <v>71</v>
      </c>
      <c r="C93" s="31">
        <v>1</v>
      </c>
      <c r="D93" s="32" t="s">
        <v>164</v>
      </c>
      <c r="E93" s="31">
        <f t="shared" si="0"/>
        <v>120</v>
      </c>
      <c r="F93" s="31" t="s">
        <v>226</v>
      </c>
      <c r="G93" s="31" t="s">
        <v>226</v>
      </c>
      <c r="H93" s="31" t="s">
        <v>226</v>
      </c>
      <c r="I93" s="31" t="s">
        <v>226</v>
      </c>
      <c r="J93" s="31" t="s">
        <v>226</v>
      </c>
      <c r="K93" s="31" t="s">
        <v>226</v>
      </c>
      <c r="L93" s="31" t="s">
        <v>226</v>
      </c>
      <c r="M93" s="31" t="s">
        <v>226</v>
      </c>
      <c r="N93" s="31" t="s">
        <v>226</v>
      </c>
      <c r="O93" s="31" t="s">
        <v>226</v>
      </c>
      <c r="P93" s="31" t="s">
        <v>226</v>
      </c>
      <c r="Q93" s="31" t="s">
        <v>226</v>
      </c>
      <c r="R93" s="31" t="s">
        <v>226</v>
      </c>
      <c r="S93" s="31" t="s">
        <v>226</v>
      </c>
      <c r="T93" s="31" t="s">
        <v>226</v>
      </c>
      <c r="U93" s="31" t="s">
        <v>226</v>
      </c>
      <c r="V93" s="31" t="s">
        <v>226</v>
      </c>
      <c r="W93" s="31" t="s">
        <v>226</v>
      </c>
      <c r="X93" s="31" t="s">
        <v>226</v>
      </c>
      <c r="Y93" s="31" t="s">
        <v>226</v>
      </c>
      <c r="Z93" s="31" t="s">
        <v>226</v>
      </c>
      <c r="AA93" s="31" t="s">
        <v>226</v>
      </c>
      <c r="AB93" s="31" t="s">
        <v>226</v>
      </c>
      <c r="AC93" s="125" t="s">
        <v>226</v>
      </c>
      <c r="AD93" s="125" t="s">
        <v>226</v>
      </c>
      <c r="AE93" s="31" t="s">
        <v>226</v>
      </c>
      <c r="AF93" s="31" t="s">
        <v>226</v>
      </c>
      <c r="AG93" s="31" t="s">
        <v>226</v>
      </c>
      <c r="AH93" s="31" t="s">
        <v>226</v>
      </c>
      <c r="AI93" s="31" t="s">
        <v>226</v>
      </c>
      <c r="AJ93" s="31" t="s">
        <v>226</v>
      </c>
      <c r="AK93" s="31" t="s">
        <v>226</v>
      </c>
      <c r="AL93" s="31" t="s">
        <v>226</v>
      </c>
      <c r="AM93" s="31"/>
      <c r="AN93" s="31"/>
      <c r="AO93" s="96">
        <v>94</v>
      </c>
      <c r="AP93" s="33">
        <f t="shared" si="192"/>
        <v>0.78333333333333333</v>
      </c>
      <c r="AQ93" s="34">
        <f t="shared" si="193"/>
        <v>94</v>
      </c>
      <c r="AR93" s="35"/>
      <c r="AS93" s="36">
        <f t="shared" si="197"/>
        <v>0.78333333333333333</v>
      </c>
      <c r="AT93" s="36">
        <f t="shared" si="197"/>
        <v>94</v>
      </c>
      <c r="AU93" s="36">
        <f t="shared" si="191"/>
        <v>0.85383333333333333</v>
      </c>
      <c r="AV93" s="36">
        <f t="shared" si="194"/>
        <v>102.46</v>
      </c>
      <c r="AW93" s="37">
        <v>1.25</v>
      </c>
      <c r="AX93" s="38">
        <f t="shared" si="195"/>
        <v>150</v>
      </c>
      <c r="AY93" s="38">
        <f t="shared" si="7"/>
        <v>0.39616666666666667</v>
      </c>
      <c r="AZ93" s="38">
        <f t="shared" si="196"/>
        <v>47.54</v>
      </c>
      <c r="BA93" s="39">
        <f t="shared" si="9"/>
        <v>0.31693333333333334</v>
      </c>
      <c r="BB93" s="42"/>
      <c r="BC93" s="119">
        <f t="shared" si="198"/>
        <v>1.25</v>
      </c>
      <c r="BD93" s="108">
        <v>0.16350000000000001</v>
      </c>
      <c r="BE93" s="120">
        <f t="shared" si="174"/>
        <v>1.454375</v>
      </c>
      <c r="BF93" s="121">
        <f t="shared" si="199"/>
        <v>0.20437499999999997</v>
      </c>
      <c r="BG93" s="121">
        <f t="shared" si="176"/>
        <v>1.6874999999999998E-2</v>
      </c>
      <c r="BH93" s="122">
        <f t="shared" si="177"/>
        <v>0.20437499999999997</v>
      </c>
      <c r="BI93" s="121">
        <f t="shared" si="178"/>
        <v>1.25</v>
      </c>
      <c r="BJ93" s="123">
        <f t="shared" si="200"/>
        <v>0.31693333333333334</v>
      </c>
      <c r="BK93" s="124">
        <f t="shared" si="201"/>
        <v>0</v>
      </c>
      <c r="BL93" s="125">
        <v>1.5</v>
      </c>
    </row>
    <row r="94" spans="1:64" ht="45" customHeight="1" x14ac:dyDescent="0.25">
      <c r="A94" s="30">
        <v>88</v>
      </c>
      <c r="B94" s="102" t="s">
        <v>72</v>
      </c>
      <c r="C94" s="31">
        <v>1</v>
      </c>
      <c r="D94" s="32" t="s">
        <v>164</v>
      </c>
      <c r="E94" s="31">
        <f t="shared" si="0"/>
        <v>120</v>
      </c>
      <c r="F94" s="31" t="s">
        <v>226</v>
      </c>
      <c r="G94" s="31" t="s">
        <v>226</v>
      </c>
      <c r="H94" s="31" t="s">
        <v>226</v>
      </c>
      <c r="I94" s="31" t="s">
        <v>226</v>
      </c>
      <c r="J94" s="31" t="s">
        <v>226</v>
      </c>
      <c r="K94" s="31" t="s">
        <v>226</v>
      </c>
      <c r="L94" s="31" t="s">
        <v>226</v>
      </c>
      <c r="M94" s="31" t="s">
        <v>226</v>
      </c>
      <c r="N94" s="31" t="s">
        <v>226</v>
      </c>
      <c r="O94" s="31" t="s">
        <v>226</v>
      </c>
      <c r="P94" s="31" t="s">
        <v>226</v>
      </c>
      <c r="Q94" s="31" t="s">
        <v>226</v>
      </c>
      <c r="R94" s="31" t="s">
        <v>226</v>
      </c>
      <c r="S94" s="31" t="s">
        <v>226</v>
      </c>
      <c r="T94" s="31" t="s">
        <v>226</v>
      </c>
      <c r="U94" s="31" t="s">
        <v>226</v>
      </c>
      <c r="V94" s="31" t="s">
        <v>226</v>
      </c>
      <c r="W94" s="31" t="s">
        <v>226</v>
      </c>
      <c r="X94" s="31" t="s">
        <v>226</v>
      </c>
      <c r="Y94" s="31" t="s">
        <v>226</v>
      </c>
      <c r="Z94" s="31" t="s">
        <v>226</v>
      </c>
      <c r="AA94" s="31" t="s">
        <v>226</v>
      </c>
      <c r="AB94" s="31" t="s">
        <v>226</v>
      </c>
      <c r="AC94" s="125" t="s">
        <v>226</v>
      </c>
      <c r="AD94" s="125" t="s">
        <v>226</v>
      </c>
      <c r="AE94" s="31" t="s">
        <v>226</v>
      </c>
      <c r="AF94" s="31" t="s">
        <v>226</v>
      </c>
      <c r="AG94" s="31" t="s">
        <v>226</v>
      </c>
      <c r="AH94" s="31" t="s">
        <v>226</v>
      </c>
      <c r="AI94" s="31" t="s">
        <v>226</v>
      </c>
      <c r="AJ94" s="31" t="s">
        <v>226</v>
      </c>
      <c r="AK94" s="31" t="s">
        <v>226</v>
      </c>
      <c r="AL94" s="31" t="s">
        <v>226</v>
      </c>
      <c r="AM94" s="31"/>
      <c r="AN94" s="31"/>
      <c r="AO94" s="96">
        <v>94</v>
      </c>
      <c r="AP94" s="33">
        <f t="shared" si="192"/>
        <v>0.78333333333333333</v>
      </c>
      <c r="AQ94" s="34">
        <f t="shared" si="193"/>
        <v>94</v>
      </c>
      <c r="AR94" s="35"/>
      <c r="AS94" s="36">
        <f t="shared" si="197"/>
        <v>0.78333333333333333</v>
      </c>
      <c r="AT94" s="36">
        <f t="shared" si="197"/>
        <v>94</v>
      </c>
      <c r="AU94" s="36">
        <f t="shared" si="191"/>
        <v>0.85383333333333333</v>
      </c>
      <c r="AV94" s="36">
        <f t="shared" si="194"/>
        <v>102.46</v>
      </c>
      <c r="AW94" s="37">
        <v>1.25</v>
      </c>
      <c r="AX94" s="38">
        <f t="shared" si="195"/>
        <v>150</v>
      </c>
      <c r="AY94" s="38">
        <f t="shared" si="7"/>
        <v>0.39616666666666667</v>
      </c>
      <c r="AZ94" s="38">
        <f t="shared" si="196"/>
        <v>47.54</v>
      </c>
      <c r="BA94" s="39">
        <f t="shared" si="9"/>
        <v>0.31693333333333334</v>
      </c>
      <c r="BB94" s="42"/>
      <c r="BC94" s="119">
        <f t="shared" si="198"/>
        <v>1.25</v>
      </c>
      <c r="BD94" s="108">
        <v>0.16350000000000001</v>
      </c>
      <c r="BE94" s="120">
        <f t="shared" si="174"/>
        <v>1.454375</v>
      </c>
      <c r="BF94" s="121">
        <f t="shared" si="199"/>
        <v>0.20437499999999997</v>
      </c>
      <c r="BG94" s="121">
        <f t="shared" si="176"/>
        <v>1.6874999999999998E-2</v>
      </c>
      <c r="BH94" s="122">
        <f t="shared" si="177"/>
        <v>0.20437499999999997</v>
      </c>
      <c r="BI94" s="121">
        <f t="shared" si="178"/>
        <v>1.25</v>
      </c>
      <c r="BJ94" s="123">
        <f t="shared" si="200"/>
        <v>0.31693333333333334</v>
      </c>
      <c r="BK94" s="124">
        <f t="shared" si="201"/>
        <v>0</v>
      </c>
      <c r="BL94" s="125">
        <v>1.5</v>
      </c>
    </row>
    <row r="95" spans="1:64" ht="45" customHeight="1" x14ac:dyDescent="0.25">
      <c r="A95" s="30">
        <v>89</v>
      </c>
      <c r="B95" s="100" t="s">
        <v>135</v>
      </c>
      <c r="C95" s="31">
        <v>1</v>
      </c>
      <c r="D95" s="32" t="s">
        <v>73</v>
      </c>
      <c r="E95" s="31">
        <f t="shared" si="0"/>
        <v>12</v>
      </c>
      <c r="F95" s="31" t="s">
        <v>226</v>
      </c>
      <c r="G95" s="31" t="s">
        <v>226</v>
      </c>
      <c r="H95" s="31" t="s">
        <v>226</v>
      </c>
      <c r="I95" s="31" t="s">
        <v>226</v>
      </c>
      <c r="J95" s="31" t="s">
        <v>226</v>
      </c>
      <c r="K95" s="31" t="s">
        <v>226</v>
      </c>
      <c r="L95" s="31" t="s">
        <v>226</v>
      </c>
      <c r="M95" s="31" t="s">
        <v>226</v>
      </c>
      <c r="N95" s="31" t="s">
        <v>226</v>
      </c>
      <c r="O95" s="31" t="s">
        <v>226</v>
      </c>
      <c r="P95" s="31" t="s">
        <v>226</v>
      </c>
      <c r="Q95" s="31" t="s">
        <v>226</v>
      </c>
      <c r="R95" s="31" t="s">
        <v>226</v>
      </c>
      <c r="S95" s="31" t="s">
        <v>226</v>
      </c>
      <c r="T95" s="31" t="s">
        <v>226</v>
      </c>
      <c r="U95" s="31" t="s">
        <v>226</v>
      </c>
      <c r="V95" s="31" t="s">
        <v>226</v>
      </c>
      <c r="W95" s="31" t="s">
        <v>226</v>
      </c>
      <c r="X95" s="31" t="s">
        <v>226</v>
      </c>
      <c r="Y95" s="31" t="s">
        <v>226</v>
      </c>
      <c r="Z95" s="31" t="s">
        <v>226</v>
      </c>
      <c r="AA95" s="31" t="s">
        <v>226</v>
      </c>
      <c r="AB95" s="31" t="s">
        <v>226</v>
      </c>
      <c r="AC95" s="125" t="s">
        <v>226</v>
      </c>
      <c r="AD95" s="125" t="s">
        <v>226</v>
      </c>
      <c r="AE95" s="31" t="s">
        <v>226</v>
      </c>
      <c r="AF95" s="31" t="s">
        <v>226</v>
      </c>
      <c r="AG95" s="31" t="s">
        <v>226</v>
      </c>
      <c r="AH95" s="31" t="s">
        <v>226</v>
      </c>
      <c r="AI95" s="31" t="s">
        <v>226</v>
      </c>
      <c r="AJ95" s="31" t="s">
        <v>226</v>
      </c>
      <c r="AK95" s="31" t="s">
        <v>226</v>
      </c>
      <c r="AL95" s="31" t="s">
        <v>226</v>
      </c>
      <c r="AM95" s="31"/>
      <c r="AN95" s="31"/>
      <c r="AO95" s="96">
        <v>8.9</v>
      </c>
      <c r="AP95" s="33">
        <f t="shared" si="192"/>
        <v>0.7416666666666667</v>
      </c>
      <c r="AQ95" s="34">
        <f t="shared" si="193"/>
        <v>8.9</v>
      </c>
      <c r="AR95" s="35"/>
      <c r="AS95" s="36">
        <f t="shared" si="197"/>
        <v>0.7416666666666667</v>
      </c>
      <c r="AT95" s="36">
        <f t="shared" si="197"/>
        <v>8.9</v>
      </c>
      <c r="AU95" s="36">
        <f t="shared" si="191"/>
        <v>0.80841666666666678</v>
      </c>
      <c r="AV95" s="36">
        <f t="shared" si="194"/>
        <v>9.7010000000000005</v>
      </c>
      <c r="AW95" s="37">
        <v>1.25</v>
      </c>
      <c r="AX95" s="38">
        <f t="shared" si="195"/>
        <v>15</v>
      </c>
      <c r="AY95" s="38">
        <f t="shared" si="7"/>
        <v>0.44158333333333322</v>
      </c>
      <c r="AZ95" s="38">
        <f t="shared" si="196"/>
        <v>5.2989999999999986</v>
      </c>
      <c r="BA95" s="39">
        <f t="shared" si="9"/>
        <v>0.35326666666666656</v>
      </c>
      <c r="BB95" s="40"/>
      <c r="BC95" s="119">
        <f t="shared" si="198"/>
        <v>1.25</v>
      </c>
      <c r="BD95" s="108">
        <v>0.16350000000000001</v>
      </c>
      <c r="BE95" s="120">
        <f t="shared" si="174"/>
        <v>1.454375</v>
      </c>
      <c r="BF95" s="121">
        <f t="shared" si="199"/>
        <v>0.20437499999999997</v>
      </c>
      <c r="BG95" s="121">
        <f t="shared" si="176"/>
        <v>1.6874999999999998E-2</v>
      </c>
      <c r="BH95" s="122">
        <f t="shared" si="177"/>
        <v>0.20437499999999997</v>
      </c>
      <c r="BI95" s="121">
        <f t="shared" si="178"/>
        <v>1.25</v>
      </c>
      <c r="BJ95" s="123">
        <f t="shared" si="200"/>
        <v>0.35326666666666656</v>
      </c>
      <c r="BK95" s="124">
        <f t="shared" si="201"/>
        <v>0</v>
      </c>
      <c r="BL95" s="125" t="s">
        <v>226</v>
      </c>
    </row>
    <row r="96" spans="1:64" ht="45" customHeight="1" x14ac:dyDescent="0.25">
      <c r="A96" s="30">
        <v>90</v>
      </c>
      <c r="B96" s="100" t="s">
        <v>128</v>
      </c>
      <c r="C96" s="31">
        <v>1</v>
      </c>
      <c r="D96" s="32" t="s">
        <v>73</v>
      </c>
      <c r="E96" s="31">
        <f t="shared" si="0"/>
        <v>12</v>
      </c>
      <c r="F96" s="31" t="s">
        <v>226</v>
      </c>
      <c r="G96" s="31" t="s">
        <v>226</v>
      </c>
      <c r="H96" s="31" t="s">
        <v>226</v>
      </c>
      <c r="I96" s="31" t="s">
        <v>226</v>
      </c>
      <c r="J96" s="31" t="s">
        <v>226</v>
      </c>
      <c r="K96" s="31" t="s">
        <v>226</v>
      </c>
      <c r="L96" s="31" t="s">
        <v>226</v>
      </c>
      <c r="M96" s="31" t="s">
        <v>226</v>
      </c>
      <c r="N96" s="31" t="s">
        <v>226</v>
      </c>
      <c r="O96" s="31" t="s">
        <v>226</v>
      </c>
      <c r="P96" s="31" t="s">
        <v>226</v>
      </c>
      <c r="Q96" s="31" t="s">
        <v>226</v>
      </c>
      <c r="R96" s="31" t="s">
        <v>226</v>
      </c>
      <c r="S96" s="31" t="s">
        <v>226</v>
      </c>
      <c r="T96" s="31" t="s">
        <v>226</v>
      </c>
      <c r="U96" s="31" t="s">
        <v>226</v>
      </c>
      <c r="V96" s="31" t="s">
        <v>226</v>
      </c>
      <c r="W96" s="31" t="s">
        <v>226</v>
      </c>
      <c r="X96" s="31" t="s">
        <v>226</v>
      </c>
      <c r="Y96" s="31" t="s">
        <v>226</v>
      </c>
      <c r="Z96" s="31" t="s">
        <v>226</v>
      </c>
      <c r="AA96" s="31" t="s">
        <v>226</v>
      </c>
      <c r="AB96" s="31" t="s">
        <v>226</v>
      </c>
      <c r="AC96" s="125" t="s">
        <v>226</v>
      </c>
      <c r="AD96" s="125" t="s">
        <v>226</v>
      </c>
      <c r="AE96" s="31" t="s">
        <v>226</v>
      </c>
      <c r="AF96" s="31" t="s">
        <v>226</v>
      </c>
      <c r="AG96" s="31" t="s">
        <v>226</v>
      </c>
      <c r="AH96" s="31" t="s">
        <v>226</v>
      </c>
      <c r="AI96" s="31" t="s">
        <v>226</v>
      </c>
      <c r="AJ96" s="31" t="s">
        <v>226</v>
      </c>
      <c r="AK96" s="31" t="s">
        <v>226</v>
      </c>
      <c r="AL96" s="31" t="s">
        <v>226</v>
      </c>
      <c r="AM96" s="31"/>
      <c r="AN96" s="31"/>
      <c r="AO96" s="96">
        <v>8.9</v>
      </c>
      <c r="AP96" s="33">
        <f t="shared" si="192"/>
        <v>0.7416666666666667</v>
      </c>
      <c r="AQ96" s="34">
        <f t="shared" si="193"/>
        <v>8.9</v>
      </c>
      <c r="AR96" s="35"/>
      <c r="AS96" s="36">
        <f t="shared" si="197"/>
        <v>0.7416666666666667</v>
      </c>
      <c r="AT96" s="36">
        <f t="shared" si="197"/>
        <v>8.9</v>
      </c>
      <c r="AU96" s="36">
        <f t="shared" si="191"/>
        <v>0.80841666666666678</v>
      </c>
      <c r="AV96" s="36">
        <f t="shared" si="194"/>
        <v>9.7010000000000005</v>
      </c>
      <c r="AW96" s="37">
        <v>1.25</v>
      </c>
      <c r="AX96" s="38">
        <f t="shared" si="195"/>
        <v>15</v>
      </c>
      <c r="AY96" s="38">
        <f t="shared" si="7"/>
        <v>0.44158333333333322</v>
      </c>
      <c r="AZ96" s="38">
        <f t="shared" si="196"/>
        <v>5.2989999999999986</v>
      </c>
      <c r="BA96" s="39">
        <f t="shared" si="9"/>
        <v>0.35326666666666656</v>
      </c>
      <c r="BB96" s="41"/>
      <c r="BC96" s="119">
        <f t="shared" si="198"/>
        <v>1.25</v>
      </c>
      <c r="BD96" s="108">
        <v>0.16350000000000001</v>
      </c>
      <c r="BE96" s="120">
        <f t="shared" si="174"/>
        <v>1.454375</v>
      </c>
      <c r="BF96" s="121">
        <f t="shared" si="199"/>
        <v>0.20437499999999997</v>
      </c>
      <c r="BG96" s="121">
        <f t="shared" si="176"/>
        <v>1.6874999999999998E-2</v>
      </c>
      <c r="BH96" s="122">
        <f t="shared" si="177"/>
        <v>0.20437499999999997</v>
      </c>
      <c r="BI96" s="121">
        <f t="shared" si="178"/>
        <v>1.25</v>
      </c>
      <c r="BJ96" s="123">
        <f t="shared" si="200"/>
        <v>0.35326666666666656</v>
      </c>
      <c r="BK96" s="124">
        <f t="shared" si="201"/>
        <v>0</v>
      </c>
      <c r="BL96" s="125" t="s">
        <v>226</v>
      </c>
    </row>
    <row r="97" spans="1:64" ht="45" customHeight="1" x14ac:dyDescent="0.25">
      <c r="A97" s="30">
        <v>91</v>
      </c>
      <c r="B97" s="100" t="s">
        <v>129</v>
      </c>
      <c r="C97" s="31">
        <v>1</v>
      </c>
      <c r="D97" s="32" t="s">
        <v>73</v>
      </c>
      <c r="E97" s="31">
        <f t="shared" si="0"/>
        <v>12</v>
      </c>
      <c r="F97" s="31" t="s">
        <v>226</v>
      </c>
      <c r="G97" s="31" t="s">
        <v>226</v>
      </c>
      <c r="H97" s="31" t="s">
        <v>226</v>
      </c>
      <c r="I97" s="31" t="s">
        <v>226</v>
      </c>
      <c r="J97" s="31" t="s">
        <v>226</v>
      </c>
      <c r="K97" s="31" t="s">
        <v>226</v>
      </c>
      <c r="L97" s="31" t="s">
        <v>226</v>
      </c>
      <c r="M97" s="31" t="s">
        <v>226</v>
      </c>
      <c r="N97" s="31" t="s">
        <v>226</v>
      </c>
      <c r="O97" s="31" t="s">
        <v>226</v>
      </c>
      <c r="P97" s="31" t="s">
        <v>226</v>
      </c>
      <c r="Q97" s="31" t="s">
        <v>226</v>
      </c>
      <c r="R97" s="31" t="s">
        <v>226</v>
      </c>
      <c r="S97" s="31" t="s">
        <v>226</v>
      </c>
      <c r="T97" s="31" t="s">
        <v>226</v>
      </c>
      <c r="U97" s="31" t="s">
        <v>226</v>
      </c>
      <c r="V97" s="31" t="s">
        <v>226</v>
      </c>
      <c r="W97" s="31" t="s">
        <v>226</v>
      </c>
      <c r="X97" s="31" t="s">
        <v>226</v>
      </c>
      <c r="Y97" s="31" t="s">
        <v>226</v>
      </c>
      <c r="Z97" s="31" t="s">
        <v>226</v>
      </c>
      <c r="AA97" s="31" t="s">
        <v>226</v>
      </c>
      <c r="AB97" s="31" t="s">
        <v>226</v>
      </c>
      <c r="AC97" s="125" t="s">
        <v>226</v>
      </c>
      <c r="AD97" s="125" t="s">
        <v>226</v>
      </c>
      <c r="AE97" s="31" t="s">
        <v>226</v>
      </c>
      <c r="AF97" s="31" t="s">
        <v>226</v>
      </c>
      <c r="AG97" s="31" t="s">
        <v>226</v>
      </c>
      <c r="AH97" s="31" t="s">
        <v>226</v>
      </c>
      <c r="AI97" s="31" t="s">
        <v>226</v>
      </c>
      <c r="AJ97" s="31" t="s">
        <v>226</v>
      </c>
      <c r="AK97" s="31" t="s">
        <v>226</v>
      </c>
      <c r="AL97" s="31" t="s">
        <v>226</v>
      </c>
      <c r="AM97" s="31"/>
      <c r="AN97" s="31"/>
      <c r="AO97" s="96">
        <v>8.9</v>
      </c>
      <c r="AP97" s="33">
        <f t="shared" si="192"/>
        <v>0.7416666666666667</v>
      </c>
      <c r="AQ97" s="34">
        <f t="shared" si="193"/>
        <v>8.9</v>
      </c>
      <c r="AR97" s="35"/>
      <c r="AS97" s="36">
        <f t="shared" si="197"/>
        <v>0.7416666666666667</v>
      </c>
      <c r="AT97" s="36">
        <f t="shared" si="197"/>
        <v>8.9</v>
      </c>
      <c r="AU97" s="36">
        <f t="shared" si="191"/>
        <v>0.80841666666666678</v>
      </c>
      <c r="AV97" s="36">
        <f t="shared" si="194"/>
        <v>9.7010000000000005</v>
      </c>
      <c r="AW97" s="37">
        <v>1.25</v>
      </c>
      <c r="AX97" s="38">
        <f t="shared" si="195"/>
        <v>15</v>
      </c>
      <c r="AY97" s="38">
        <f t="shared" si="7"/>
        <v>0.44158333333333322</v>
      </c>
      <c r="AZ97" s="38">
        <f t="shared" si="196"/>
        <v>5.2989999999999986</v>
      </c>
      <c r="BA97" s="39">
        <f t="shared" si="9"/>
        <v>0.35326666666666656</v>
      </c>
      <c r="BB97" s="42"/>
      <c r="BC97" s="119">
        <f t="shared" si="198"/>
        <v>1.25</v>
      </c>
      <c r="BD97" s="108">
        <v>0.16350000000000001</v>
      </c>
      <c r="BE97" s="120">
        <f t="shared" si="174"/>
        <v>1.454375</v>
      </c>
      <c r="BF97" s="121">
        <f t="shared" si="199"/>
        <v>0.20437499999999997</v>
      </c>
      <c r="BG97" s="121">
        <f t="shared" si="176"/>
        <v>1.6874999999999998E-2</v>
      </c>
      <c r="BH97" s="122">
        <f t="shared" si="177"/>
        <v>0.20437499999999997</v>
      </c>
      <c r="BI97" s="121">
        <f t="shared" si="178"/>
        <v>1.25</v>
      </c>
      <c r="BJ97" s="123">
        <f t="shared" si="200"/>
        <v>0.35326666666666656</v>
      </c>
      <c r="BK97" s="124">
        <f t="shared" si="201"/>
        <v>0</v>
      </c>
      <c r="BL97" s="125">
        <v>1.25</v>
      </c>
    </row>
    <row r="98" spans="1:64" ht="45" customHeight="1" x14ac:dyDescent="0.25">
      <c r="A98" s="30">
        <v>92</v>
      </c>
      <c r="B98" s="100" t="s">
        <v>205</v>
      </c>
      <c r="C98" s="31">
        <v>1</v>
      </c>
      <c r="D98" s="32" t="s">
        <v>24</v>
      </c>
      <c r="E98" s="31">
        <f t="shared" ref="E98" si="212">D98*C98</f>
        <v>24</v>
      </c>
      <c r="F98" s="31" t="s">
        <v>226</v>
      </c>
      <c r="G98" s="31" t="s">
        <v>226</v>
      </c>
      <c r="H98" s="31" t="s">
        <v>226</v>
      </c>
      <c r="I98" s="31" t="s">
        <v>226</v>
      </c>
      <c r="J98" s="31" t="s">
        <v>226</v>
      </c>
      <c r="K98" s="31" t="s">
        <v>226</v>
      </c>
      <c r="L98" s="31" t="s">
        <v>226</v>
      </c>
      <c r="M98" s="31" t="s">
        <v>226</v>
      </c>
      <c r="N98" s="31" t="s">
        <v>226</v>
      </c>
      <c r="O98" s="31" t="s">
        <v>226</v>
      </c>
      <c r="P98" s="31" t="s">
        <v>226</v>
      </c>
      <c r="Q98" s="31" t="s">
        <v>226</v>
      </c>
      <c r="R98" s="31" t="s">
        <v>226</v>
      </c>
      <c r="S98" s="31" t="s">
        <v>226</v>
      </c>
      <c r="T98" s="31" t="s">
        <v>226</v>
      </c>
      <c r="U98" s="31" t="s">
        <v>226</v>
      </c>
      <c r="V98" s="31" t="s">
        <v>226</v>
      </c>
      <c r="W98" s="31" t="s">
        <v>226</v>
      </c>
      <c r="X98" s="31" t="s">
        <v>226</v>
      </c>
      <c r="Y98" s="31" t="s">
        <v>226</v>
      </c>
      <c r="Z98" s="31" t="s">
        <v>226</v>
      </c>
      <c r="AA98" s="31" t="s">
        <v>226</v>
      </c>
      <c r="AB98" s="31" t="s">
        <v>226</v>
      </c>
      <c r="AC98" s="125" t="s">
        <v>226</v>
      </c>
      <c r="AD98" s="125" t="s">
        <v>226</v>
      </c>
      <c r="AE98" s="31" t="s">
        <v>226</v>
      </c>
      <c r="AF98" s="31" t="s">
        <v>226</v>
      </c>
      <c r="AG98" s="31" t="s">
        <v>226</v>
      </c>
      <c r="AH98" s="31" t="s">
        <v>226</v>
      </c>
      <c r="AI98" s="31" t="s">
        <v>226</v>
      </c>
      <c r="AJ98" s="31" t="s">
        <v>226</v>
      </c>
      <c r="AK98" s="31" t="s">
        <v>226</v>
      </c>
      <c r="AL98" s="31" t="s">
        <v>226</v>
      </c>
      <c r="AM98" s="31"/>
      <c r="AN98" s="31"/>
      <c r="AO98" s="96">
        <v>9.1999999999999993</v>
      </c>
      <c r="AP98" s="33">
        <f t="shared" si="192"/>
        <v>0.3833333333333333</v>
      </c>
      <c r="AQ98" s="34">
        <f t="shared" si="193"/>
        <v>9.1999999999999993</v>
      </c>
      <c r="AR98" s="35"/>
      <c r="AS98" s="36">
        <f t="shared" ref="AS98" si="213">AP98/$AZ$2</f>
        <v>0.3833333333333333</v>
      </c>
      <c r="AT98" s="36">
        <f t="shared" ref="AT98" si="214">AQ98/$AZ$2</f>
        <v>9.1999999999999993</v>
      </c>
      <c r="AU98" s="36">
        <f t="shared" si="191"/>
        <v>0.41783333333333333</v>
      </c>
      <c r="AV98" s="36">
        <f t="shared" si="194"/>
        <v>10.028</v>
      </c>
      <c r="AW98" s="37">
        <v>0.6</v>
      </c>
      <c r="AX98" s="38">
        <f t="shared" si="195"/>
        <v>14.399999999999999</v>
      </c>
      <c r="AY98" s="38">
        <f t="shared" ref="AY98" si="215">AW98-AU98</f>
        <v>0.18216666666666664</v>
      </c>
      <c r="AZ98" s="38">
        <f t="shared" si="196"/>
        <v>4.3719999999999999</v>
      </c>
      <c r="BA98" s="39">
        <f t="shared" ref="BA98" si="216">AY98/AW98</f>
        <v>0.30361111111111111</v>
      </c>
      <c r="BB98" s="41"/>
      <c r="BC98" s="119">
        <f t="shared" si="198"/>
        <v>0.6</v>
      </c>
      <c r="BD98" s="108">
        <v>0.16350000000000001</v>
      </c>
      <c r="BE98" s="120">
        <f t="shared" si="174"/>
        <v>0.69809999999999994</v>
      </c>
      <c r="BF98" s="121">
        <f t="shared" si="199"/>
        <v>9.8099999999999965E-2</v>
      </c>
      <c r="BG98" s="121">
        <f t="shared" si="176"/>
        <v>8.0999999999999978E-3</v>
      </c>
      <c r="BH98" s="122">
        <f t="shared" si="177"/>
        <v>9.8099999999999965E-2</v>
      </c>
      <c r="BI98" s="121">
        <f t="shared" si="178"/>
        <v>0.6</v>
      </c>
      <c r="BJ98" s="123">
        <f t="shared" si="200"/>
        <v>0.30361111111111111</v>
      </c>
      <c r="BK98" s="124">
        <f t="shared" si="201"/>
        <v>0</v>
      </c>
      <c r="BL98" s="125">
        <v>0.95</v>
      </c>
    </row>
    <row r="99" spans="1:64" ht="45" customHeight="1" x14ac:dyDescent="0.25">
      <c r="A99" s="30">
        <v>93</v>
      </c>
      <c r="B99" s="104" t="s">
        <v>77</v>
      </c>
      <c r="C99" s="31">
        <v>1</v>
      </c>
      <c r="D99" s="32" t="s">
        <v>84</v>
      </c>
      <c r="E99" s="31">
        <f t="shared" si="0"/>
        <v>8</v>
      </c>
      <c r="F99" s="31" t="s">
        <v>226</v>
      </c>
      <c r="G99" s="31" t="s">
        <v>226</v>
      </c>
      <c r="H99" s="31" t="s">
        <v>226</v>
      </c>
      <c r="I99" s="31" t="s">
        <v>226</v>
      </c>
      <c r="J99" s="31" t="s">
        <v>226</v>
      </c>
      <c r="K99" s="31" t="s">
        <v>226</v>
      </c>
      <c r="L99" s="31" t="s">
        <v>226</v>
      </c>
      <c r="M99" s="31" t="s">
        <v>226</v>
      </c>
      <c r="N99" s="31" t="s">
        <v>226</v>
      </c>
      <c r="O99" s="31" t="s">
        <v>226</v>
      </c>
      <c r="P99" s="31" t="s">
        <v>226</v>
      </c>
      <c r="Q99" s="31" t="s">
        <v>226</v>
      </c>
      <c r="R99" s="31" t="s">
        <v>226</v>
      </c>
      <c r="S99" s="31" t="s">
        <v>226</v>
      </c>
      <c r="T99" s="31" t="s">
        <v>226</v>
      </c>
      <c r="U99" s="31" t="s">
        <v>226</v>
      </c>
      <c r="V99" s="31" t="s">
        <v>226</v>
      </c>
      <c r="W99" s="31" t="s">
        <v>226</v>
      </c>
      <c r="X99" s="31" t="s">
        <v>226</v>
      </c>
      <c r="Y99" s="31" t="s">
        <v>226</v>
      </c>
      <c r="Z99" s="31" t="s">
        <v>226</v>
      </c>
      <c r="AA99" s="31" t="s">
        <v>226</v>
      </c>
      <c r="AB99" s="31" t="s">
        <v>226</v>
      </c>
      <c r="AC99" s="125" t="s">
        <v>226</v>
      </c>
      <c r="AD99" s="125" t="s">
        <v>226</v>
      </c>
      <c r="AE99" s="31" t="s">
        <v>226</v>
      </c>
      <c r="AF99" s="31" t="s">
        <v>226</v>
      </c>
      <c r="AG99" s="31" t="s">
        <v>226</v>
      </c>
      <c r="AH99" s="31" t="s">
        <v>226</v>
      </c>
      <c r="AI99" s="31" t="s">
        <v>226</v>
      </c>
      <c r="AJ99" s="31" t="s">
        <v>226</v>
      </c>
      <c r="AK99" s="31" t="s">
        <v>226</v>
      </c>
      <c r="AL99" s="31" t="s">
        <v>226</v>
      </c>
      <c r="AM99" s="31"/>
      <c r="AN99" s="31"/>
      <c r="AO99" s="96">
        <v>11.5</v>
      </c>
      <c r="AP99" s="33">
        <f t="shared" si="192"/>
        <v>1.4375</v>
      </c>
      <c r="AQ99" s="34">
        <f t="shared" si="193"/>
        <v>11.5</v>
      </c>
      <c r="AR99" s="35"/>
      <c r="AS99" s="36">
        <f t="shared" si="197"/>
        <v>1.4375</v>
      </c>
      <c r="AT99" s="36">
        <f t="shared" si="197"/>
        <v>11.5</v>
      </c>
      <c r="AU99" s="36">
        <f t="shared" si="191"/>
        <v>1.566875</v>
      </c>
      <c r="AV99" s="36">
        <f t="shared" si="194"/>
        <v>12.535</v>
      </c>
      <c r="AW99" s="37">
        <v>1.95</v>
      </c>
      <c r="AX99" s="38">
        <f t="shared" si="195"/>
        <v>15.6</v>
      </c>
      <c r="AY99" s="38">
        <f t="shared" si="7"/>
        <v>0.38312499999999994</v>
      </c>
      <c r="AZ99" s="38">
        <f t="shared" si="196"/>
        <v>3.0649999999999995</v>
      </c>
      <c r="BA99" s="39">
        <f t="shared" si="9"/>
        <v>0.19647435897435894</v>
      </c>
      <c r="BB99" s="43"/>
      <c r="BC99" s="119">
        <f t="shared" si="198"/>
        <v>1.95</v>
      </c>
      <c r="BD99" s="108">
        <v>0.16350000000000001</v>
      </c>
      <c r="BE99" s="120">
        <f t="shared" si="174"/>
        <v>2.2688250000000001</v>
      </c>
      <c r="BF99" s="121">
        <f t="shared" si="199"/>
        <v>0.31882500000000014</v>
      </c>
      <c r="BG99" s="121">
        <f t="shared" si="176"/>
        <v>2.6325000000000012E-2</v>
      </c>
      <c r="BH99" s="122">
        <f t="shared" si="177"/>
        <v>0.31882500000000014</v>
      </c>
      <c r="BI99" s="121">
        <f t="shared" si="178"/>
        <v>1.95</v>
      </c>
      <c r="BJ99" s="123">
        <f t="shared" si="200"/>
        <v>0.19647435897435894</v>
      </c>
      <c r="BK99" s="124">
        <f t="shared" si="201"/>
        <v>0</v>
      </c>
      <c r="BL99" s="125" t="s">
        <v>226</v>
      </c>
    </row>
    <row r="100" spans="1:64" ht="45" customHeight="1" x14ac:dyDescent="0.25">
      <c r="A100" s="30">
        <v>94</v>
      </c>
      <c r="B100" s="100" t="s">
        <v>78</v>
      </c>
      <c r="C100" s="31">
        <v>1</v>
      </c>
      <c r="D100" s="32" t="s">
        <v>141</v>
      </c>
      <c r="E100" s="31">
        <f t="shared" si="0"/>
        <v>20</v>
      </c>
      <c r="F100" s="31">
        <v>29</v>
      </c>
      <c r="G100" s="31" t="s">
        <v>226</v>
      </c>
      <c r="H100" s="31" t="s">
        <v>226</v>
      </c>
      <c r="I100" s="31" t="s">
        <v>226</v>
      </c>
      <c r="J100" s="31" t="s">
        <v>226</v>
      </c>
      <c r="K100" s="31" t="s">
        <v>226</v>
      </c>
      <c r="L100" s="31" t="s">
        <v>226</v>
      </c>
      <c r="M100" s="31" t="s">
        <v>226</v>
      </c>
      <c r="N100" s="31" t="s">
        <v>226</v>
      </c>
      <c r="O100" s="31" t="s">
        <v>226</v>
      </c>
      <c r="P100" s="31" t="s">
        <v>226</v>
      </c>
      <c r="Q100" s="31" t="s">
        <v>226</v>
      </c>
      <c r="R100" s="31" t="s">
        <v>226</v>
      </c>
      <c r="S100" s="31" t="s">
        <v>226</v>
      </c>
      <c r="T100" s="31" t="s">
        <v>226</v>
      </c>
      <c r="U100" s="31" t="s">
        <v>226</v>
      </c>
      <c r="V100" s="31" t="s">
        <v>226</v>
      </c>
      <c r="W100" s="31" t="s">
        <v>226</v>
      </c>
      <c r="X100" s="31" t="s">
        <v>226</v>
      </c>
      <c r="Y100" s="31" t="s">
        <v>226</v>
      </c>
      <c r="Z100" s="31" t="s">
        <v>226</v>
      </c>
      <c r="AA100" s="31" t="s">
        <v>226</v>
      </c>
      <c r="AB100" s="128">
        <v>30.5</v>
      </c>
      <c r="AC100" s="125" t="s">
        <v>226</v>
      </c>
      <c r="AD100" s="125" t="s">
        <v>226</v>
      </c>
      <c r="AE100" s="31" t="s">
        <v>226</v>
      </c>
      <c r="AF100" s="31" t="s">
        <v>226</v>
      </c>
      <c r="AG100" s="31" t="s">
        <v>226</v>
      </c>
      <c r="AH100" s="31" t="s">
        <v>226</v>
      </c>
      <c r="AI100" s="31" t="s">
        <v>226</v>
      </c>
      <c r="AJ100" s="31" t="s">
        <v>226</v>
      </c>
      <c r="AK100" s="31" t="s">
        <v>226</v>
      </c>
      <c r="AL100" s="31" t="s">
        <v>226</v>
      </c>
      <c r="AM100" s="31"/>
      <c r="AN100" s="31"/>
      <c r="AO100" s="96">
        <v>30.5</v>
      </c>
      <c r="AP100" s="33">
        <f t="shared" si="192"/>
        <v>1.5249999999999999</v>
      </c>
      <c r="AQ100" s="34">
        <f t="shared" si="193"/>
        <v>30.5</v>
      </c>
      <c r="AR100" s="35"/>
      <c r="AS100" s="36">
        <f t="shared" si="197"/>
        <v>1.5249999999999999</v>
      </c>
      <c r="AT100" s="36">
        <f t="shared" si="197"/>
        <v>30.5</v>
      </c>
      <c r="AU100" s="36">
        <f t="shared" si="191"/>
        <v>1.66225</v>
      </c>
      <c r="AV100" s="36">
        <f t="shared" si="194"/>
        <v>33.244999999999997</v>
      </c>
      <c r="AW100" s="37">
        <v>2.5</v>
      </c>
      <c r="AX100" s="38">
        <f t="shared" si="195"/>
        <v>50</v>
      </c>
      <c r="AY100" s="38">
        <f t="shared" si="7"/>
        <v>0.83774999999999999</v>
      </c>
      <c r="AZ100" s="38">
        <f t="shared" si="196"/>
        <v>16.754999999999999</v>
      </c>
      <c r="BA100" s="39">
        <f t="shared" si="9"/>
        <v>0.33510000000000001</v>
      </c>
      <c r="BB100" s="41"/>
      <c r="BC100" s="119">
        <f t="shared" si="198"/>
        <v>2.5</v>
      </c>
      <c r="BD100" s="108">
        <v>0.16350000000000001</v>
      </c>
      <c r="BE100" s="120">
        <f t="shared" si="174"/>
        <v>2.9087499999999999</v>
      </c>
      <c r="BF100" s="121">
        <f t="shared" si="199"/>
        <v>0.40874999999999995</v>
      </c>
      <c r="BG100" s="121">
        <f t="shared" si="176"/>
        <v>3.3749999999999995E-2</v>
      </c>
      <c r="BH100" s="122">
        <f t="shared" si="177"/>
        <v>0.40874999999999995</v>
      </c>
      <c r="BI100" s="121">
        <f t="shared" si="178"/>
        <v>2.5</v>
      </c>
      <c r="BJ100" s="123">
        <f t="shared" si="200"/>
        <v>0.33510000000000001</v>
      </c>
      <c r="BK100" s="124">
        <f t="shared" si="201"/>
        <v>0</v>
      </c>
      <c r="BL100" s="125" t="s">
        <v>226</v>
      </c>
    </row>
    <row r="101" spans="1:64" ht="45" customHeight="1" x14ac:dyDescent="0.25">
      <c r="A101" s="30">
        <v>95</v>
      </c>
      <c r="B101" s="106" t="s">
        <v>79</v>
      </c>
      <c r="C101" s="31">
        <v>1</v>
      </c>
      <c r="D101" s="32" t="s">
        <v>141</v>
      </c>
      <c r="E101" s="31">
        <f t="shared" si="0"/>
        <v>20</v>
      </c>
      <c r="F101" s="31">
        <v>29</v>
      </c>
      <c r="G101" s="31" t="s">
        <v>226</v>
      </c>
      <c r="H101" s="31" t="s">
        <v>226</v>
      </c>
      <c r="I101" s="31" t="s">
        <v>226</v>
      </c>
      <c r="J101" s="31" t="s">
        <v>226</v>
      </c>
      <c r="K101" s="31" t="s">
        <v>226</v>
      </c>
      <c r="L101" s="31" t="s">
        <v>226</v>
      </c>
      <c r="M101" s="31" t="s">
        <v>226</v>
      </c>
      <c r="N101" s="31" t="s">
        <v>226</v>
      </c>
      <c r="O101" s="31" t="s">
        <v>226</v>
      </c>
      <c r="P101" s="31" t="s">
        <v>226</v>
      </c>
      <c r="Q101" s="31" t="s">
        <v>226</v>
      </c>
      <c r="R101" s="31" t="s">
        <v>226</v>
      </c>
      <c r="S101" s="31" t="s">
        <v>226</v>
      </c>
      <c r="T101" s="31" t="s">
        <v>226</v>
      </c>
      <c r="U101" s="31" t="s">
        <v>226</v>
      </c>
      <c r="V101" s="31" t="s">
        <v>226</v>
      </c>
      <c r="W101" s="31" t="s">
        <v>226</v>
      </c>
      <c r="X101" s="31" t="s">
        <v>226</v>
      </c>
      <c r="Y101" s="31" t="s">
        <v>226</v>
      </c>
      <c r="Z101" s="31" t="s">
        <v>226</v>
      </c>
      <c r="AA101" s="31" t="s">
        <v>226</v>
      </c>
      <c r="AB101" s="128">
        <v>30.5</v>
      </c>
      <c r="AC101" s="125" t="s">
        <v>226</v>
      </c>
      <c r="AD101" s="125" t="s">
        <v>226</v>
      </c>
      <c r="AE101" s="31" t="s">
        <v>226</v>
      </c>
      <c r="AF101" s="31" t="s">
        <v>226</v>
      </c>
      <c r="AG101" s="31" t="s">
        <v>226</v>
      </c>
      <c r="AH101" s="31" t="s">
        <v>226</v>
      </c>
      <c r="AI101" s="31" t="s">
        <v>226</v>
      </c>
      <c r="AJ101" s="31" t="s">
        <v>226</v>
      </c>
      <c r="AK101" s="31" t="s">
        <v>226</v>
      </c>
      <c r="AL101" s="31" t="s">
        <v>226</v>
      </c>
      <c r="AM101" s="31"/>
      <c r="AN101" s="31"/>
      <c r="AO101" s="96">
        <v>30.5</v>
      </c>
      <c r="AP101" s="33">
        <f t="shared" si="192"/>
        <v>1.5249999999999999</v>
      </c>
      <c r="AQ101" s="34">
        <f t="shared" si="193"/>
        <v>30.5</v>
      </c>
      <c r="AR101" s="35"/>
      <c r="AS101" s="36">
        <f t="shared" si="197"/>
        <v>1.5249999999999999</v>
      </c>
      <c r="AT101" s="36">
        <f t="shared" si="197"/>
        <v>30.5</v>
      </c>
      <c r="AU101" s="36">
        <f t="shared" si="191"/>
        <v>1.66225</v>
      </c>
      <c r="AV101" s="36">
        <f t="shared" si="194"/>
        <v>33.244999999999997</v>
      </c>
      <c r="AW101" s="37">
        <v>2.5</v>
      </c>
      <c r="AX101" s="38">
        <f t="shared" si="195"/>
        <v>50</v>
      </c>
      <c r="AY101" s="38">
        <f t="shared" si="7"/>
        <v>0.83774999999999999</v>
      </c>
      <c r="AZ101" s="38">
        <f t="shared" si="196"/>
        <v>16.754999999999999</v>
      </c>
      <c r="BA101" s="39">
        <f t="shared" si="9"/>
        <v>0.33510000000000001</v>
      </c>
      <c r="BB101" s="42"/>
      <c r="BC101" s="119">
        <f t="shared" si="198"/>
        <v>2.5</v>
      </c>
      <c r="BD101" s="108">
        <v>0.16350000000000001</v>
      </c>
      <c r="BE101" s="120">
        <f t="shared" si="174"/>
        <v>2.9087499999999999</v>
      </c>
      <c r="BF101" s="121">
        <f t="shared" si="199"/>
        <v>0.40874999999999995</v>
      </c>
      <c r="BG101" s="121">
        <f t="shared" si="176"/>
        <v>3.3749999999999995E-2</v>
      </c>
      <c r="BH101" s="122">
        <f t="shared" si="177"/>
        <v>0.40874999999999995</v>
      </c>
      <c r="BI101" s="121">
        <f t="shared" si="178"/>
        <v>2.5</v>
      </c>
      <c r="BJ101" s="123">
        <f t="shared" si="200"/>
        <v>0.33510000000000001</v>
      </c>
      <c r="BK101" s="124">
        <f t="shared" si="201"/>
        <v>0</v>
      </c>
      <c r="BL101" s="125" t="s">
        <v>226</v>
      </c>
    </row>
    <row r="102" spans="1:64" ht="45" customHeight="1" x14ac:dyDescent="0.25">
      <c r="A102" s="30">
        <v>96</v>
      </c>
      <c r="B102" s="102" t="s">
        <v>80</v>
      </c>
      <c r="C102" s="31">
        <v>1</v>
      </c>
      <c r="D102" s="32" t="s">
        <v>73</v>
      </c>
      <c r="E102" s="31">
        <f t="shared" si="0"/>
        <v>12</v>
      </c>
      <c r="F102" s="31" t="s">
        <v>226</v>
      </c>
      <c r="G102" s="31" t="s">
        <v>226</v>
      </c>
      <c r="H102" s="31" t="s">
        <v>226</v>
      </c>
      <c r="I102" s="31" t="s">
        <v>226</v>
      </c>
      <c r="J102" s="31" t="s">
        <v>226</v>
      </c>
      <c r="K102" s="31" t="s">
        <v>226</v>
      </c>
      <c r="L102" s="31" t="s">
        <v>226</v>
      </c>
      <c r="M102" s="31" t="s">
        <v>226</v>
      </c>
      <c r="N102" s="31" t="s">
        <v>226</v>
      </c>
      <c r="O102" s="31" t="s">
        <v>226</v>
      </c>
      <c r="P102" s="31" t="s">
        <v>226</v>
      </c>
      <c r="Q102" s="31" t="s">
        <v>226</v>
      </c>
      <c r="R102" s="31" t="s">
        <v>226</v>
      </c>
      <c r="S102" s="31" t="s">
        <v>226</v>
      </c>
      <c r="T102" s="31" t="s">
        <v>226</v>
      </c>
      <c r="U102" s="31" t="s">
        <v>226</v>
      </c>
      <c r="V102" s="31" t="s">
        <v>226</v>
      </c>
      <c r="W102" s="31" t="s">
        <v>226</v>
      </c>
      <c r="X102" s="31" t="s">
        <v>226</v>
      </c>
      <c r="Y102" s="31" t="s">
        <v>226</v>
      </c>
      <c r="Z102" s="31" t="s">
        <v>226</v>
      </c>
      <c r="AA102" s="31" t="s">
        <v>226</v>
      </c>
      <c r="AB102" s="31" t="s">
        <v>226</v>
      </c>
      <c r="AC102" s="130" t="s">
        <v>226</v>
      </c>
      <c r="AD102" s="130" t="s">
        <v>226</v>
      </c>
      <c r="AE102" s="31" t="s">
        <v>226</v>
      </c>
      <c r="AF102" s="31" t="s">
        <v>226</v>
      </c>
      <c r="AG102" s="31" t="s">
        <v>226</v>
      </c>
      <c r="AH102" s="31" t="s">
        <v>226</v>
      </c>
      <c r="AI102" s="31" t="s">
        <v>226</v>
      </c>
      <c r="AJ102" s="31" t="s">
        <v>226</v>
      </c>
      <c r="AK102" s="31" t="s">
        <v>226</v>
      </c>
      <c r="AL102" s="31" t="s">
        <v>226</v>
      </c>
      <c r="AM102" s="31"/>
      <c r="AN102" s="31"/>
      <c r="AO102" s="96">
        <v>34.5</v>
      </c>
      <c r="AP102" s="33">
        <f t="shared" si="192"/>
        <v>2.875</v>
      </c>
      <c r="AQ102" s="34">
        <f t="shared" si="193"/>
        <v>34.5</v>
      </c>
      <c r="AR102" s="35"/>
      <c r="AS102" s="36">
        <f t="shared" si="197"/>
        <v>2.875</v>
      </c>
      <c r="AT102" s="36">
        <f t="shared" si="197"/>
        <v>34.5</v>
      </c>
      <c r="AU102" s="36">
        <f t="shared" si="191"/>
        <v>3.13375</v>
      </c>
      <c r="AV102" s="36">
        <f t="shared" si="194"/>
        <v>37.605000000000004</v>
      </c>
      <c r="AW102" s="37">
        <v>4.9000000000000004</v>
      </c>
      <c r="AX102" s="38">
        <f t="shared" si="195"/>
        <v>58.800000000000004</v>
      </c>
      <c r="AY102" s="38">
        <f t="shared" si="7"/>
        <v>1.7662500000000003</v>
      </c>
      <c r="AZ102" s="38">
        <f t="shared" si="196"/>
        <v>21.195000000000004</v>
      </c>
      <c r="BA102" s="39">
        <f t="shared" si="9"/>
        <v>0.36045918367346941</v>
      </c>
      <c r="BB102" s="42"/>
      <c r="BC102" s="119">
        <f t="shared" si="198"/>
        <v>4.9000000000000004</v>
      </c>
      <c r="BD102" s="108">
        <v>0.16350000000000001</v>
      </c>
      <c r="BE102" s="120">
        <f t="shared" si="174"/>
        <v>5.7011500000000002</v>
      </c>
      <c r="BF102" s="121">
        <f t="shared" si="199"/>
        <v>0.80114999999999981</v>
      </c>
      <c r="BG102" s="121">
        <f t="shared" si="176"/>
        <v>6.6149999999999987E-2</v>
      </c>
      <c r="BH102" s="122">
        <f t="shared" si="177"/>
        <v>0.80114999999999981</v>
      </c>
      <c r="BI102" s="121">
        <f t="shared" si="178"/>
        <v>4.9000000000000004</v>
      </c>
      <c r="BJ102" s="123">
        <f t="shared" si="200"/>
        <v>0.36045918367346941</v>
      </c>
      <c r="BK102" s="124">
        <f t="shared" si="201"/>
        <v>0</v>
      </c>
      <c r="BL102" s="125" t="s">
        <v>226</v>
      </c>
    </row>
    <row r="103" spans="1:64" ht="45" customHeight="1" x14ac:dyDescent="0.25">
      <c r="A103" s="30">
        <v>97</v>
      </c>
      <c r="B103" s="101" t="s">
        <v>81</v>
      </c>
      <c r="C103" s="31">
        <v>1</v>
      </c>
      <c r="D103" s="32" t="s">
        <v>82</v>
      </c>
      <c r="E103" s="31">
        <f t="shared" si="0"/>
        <v>28</v>
      </c>
      <c r="F103" s="31" t="s">
        <v>226</v>
      </c>
      <c r="G103" s="31" t="s">
        <v>226</v>
      </c>
      <c r="H103" s="31" t="s">
        <v>226</v>
      </c>
      <c r="I103" s="31" t="s">
        <v>226</v>
      </c>
      <c r="J103" s="31" t="s">
        <v>226</v>
      </c>
      <c r="K103" s="31" t="s">
        <v>226</v>
      </c>
      <c r="L103" s="31" t="s">
        <v>226</v>
      </c>
      <c r="M103" s="31" t="s">
        <v>226</v>
      </c>
      <c r="N103" s="31" t="s">
        <v>226</v>
      </c>
      <c r="O103" s="31" t="s">
        <v>226</v>
      </c>
      <c r="P103" s="31" t="s">
        <v>226</v>
      </c>
      <c r="Q103" s="31" t="s">
        <v>226</v>
      </c>
      <c r="R103" s="31" t="s">
        <v>226</v>
      </c>
      <c r="S103" s="31" t="s">
        <v>226</v>
      </c>
      <c r="T103" s="31" t="s">
        <v>226</v>
      </c>
      <c r="U103" s="31" t="s">
        <v>226</v>
      </c>
      <c r="V103" s="31" t="s">
        <v>226</v>
      </c>
      <c r="W103" s="31" t="s">
        <v>226</v>
      </c>
      <c r="X103" s="31" t="s">
        <v>226</v>
      </c>
      <c r="Y103" s="31" t="s">
        <v>226</v>
      </c>
      <c r="Z103" s="31" t="s">
        <v>226</v>
      </c>
      <c r="AA103" s="31" t="s">
        <v>226</v>
      </c>
      <c r="AB103" s="31" t="s">
        <v>226</v>
      </c>
      <c r="AC103" s="31" t="s">
        <v>226</v>
      </c>
      <c r="AD103" s="31" t="s">
        <v>226</v>
      </c>
      <c r="AE103" s="31" t="s">
        <v>226</v>
      </c>
      <c r="AF103" s="31" t="s">
        <v>226</v>
      </c>
      <c r="AG103" s="31" t="s">
        <v>226</v>
      </c>
      <c r="AH103" s="31" t="s">
        <v>226</v>
      </c>
      <c r="AI103" s="31" t="s">
        <v>226</v>
      </c>
      <c r="AJ103" s="31" t="s">
        <v>226</v>
      </c>
      <c r="AK103" s="31" t="s">
        <v>226</v>
      </c>
      <c r="AL103" s="31" t="s">
        <v>226</v>
      </c>
      <c r="AM103" s="31"/>
      <c r="AN103" s="31"/>
      <c r="AO103" s="96">
        <v>9.1999999999999993</v>
      </c>
      <c r="AP103" s="33">
        <f t="shared" si="192"/>
        <v>0.32857142857142857</v>
      </c>
      <c r="AQ103" s="34">
        <f t="shared" si="193"/>
        <v>9.1999999999999993</v>
      </c>
      <c r="AR103" s="35"/>
      <c r="AS103" s="36">
        <f t="shared" si="197"/>
        <v>0.32857142857142857</v>
      </c>
      <c r="AT103" s="36">
        <f t="shared" si="197"/>
        <v>9.1999999999999993</v>
      </c>
      <c r="AU103" s="36">
        <f t="shared" si="191"/>
        <v>0.35814285714285715</v>
      </c>
      <c r="AV103" s="36">
        <f t="shared" si="194"/>
        <v>10.028</v>
      </c>
      <c r="AW103" s="37">
        <v>0.65</v>
      </c>
      <c r="AX103" s="38">
        <f t="shared" si="195"/>
        <v>18.2</v>
      </c>
      <c r="AY103" s="38">
        <f t="shared" si="7"/>
        <v>0.29185714285714287</v>
      </c>
      <c r="AZ103" s="38">
        <f t="shared" si="196"/>
        <v>8.1720000000000006</v>
      </c>
      <c r="BA103" s="39">
        <f t="shared" si="9"/>
        <v>0.44901098901098901</v>
      </c>
      <c r="BB103" s="42"/>
      <c r="BC103" s="119">
        <f t="shared" si="198"/>
        <v>0.65</v>
      </c>
      <c r="BD103" s="108">
        <v>0.16350000000000001</v>
      </c>
      <c r="BE103" s="120">
        <f t="shared" si="174"/>
        <v>0.75627500000000003</v>
      </c>
      <c r="BF103" s="121">
        <f t="shared" si="199"/>
        <v>0.10627500000000001</v>
      </c>
      <c r="BG103" s="121">
        <f t="shared" si="176"/>
        <v>8.7750000000000015E-3</v>
      </c>
      <c r="BH103" s="122">
        <f t="shared" si="177"/>
        <v>0.10627500000000001</v>
      </c>
      <c r="BI103" s="121">
        <f t="shared" si="178"/>
        <v>0.65</v>
      </c>
      <c r="BJ103" s="123">
        <f t="shared" si="200"/>
        <v>0.44901098901098901</v>
      </c>
      <c r="BK103" s="124">
        <f t="shared" si="201"/>
        <v>0</v>
      </c>
      <c r="BL103" s="125" t="s">
        <v>226</v>
      </c>
    </row>
    <row r="104" spans="1:64" ht="45" customHeight="1" x14ac:dyDescent="0.25">
      <c r="A104" s="30">
        <v>98</v>
      </c>
      <c r="B104" s="105" t="s">
        <v>169</v>
      </c>
      <c r="C104" s="31">
        <v>1</v>
      </c>
      <c r="D104" s="32" t="s">
        <v>73</v>
      </c>
      <c r="E104" s="31">
        <f t="shared" si="0"/>
        <v>12</v>
      </c>
      <c r="F104" s="31" t="s">
        <v>226</v>
      </c>
      <c r="G104" s="31" t="s">
        <v>226</v>
      </c>
      <c r="H104" s="31" t="s">
        <v>226</v>
      </c>
      <c r="I104" s="31" t="s">
        <v>226</v>
      </c>
      <c r="J104" s="31" t="s">
        <v>226</v>
      </c>
      <c r="K104" s="31" t="s">
        <v>226</v>
      </c>
      <c r="L104" s="31" t="s">
        <v>226</v>
      </c>
      <c r="M104" s="31" t="s">
        <v>226</v>
      </c>
      <c r="N104" s="31" t="s">
        <v>226</v>
      </c>
      <c r="O104" s="31" t="s">
        <v>226</v>
      </c>
      <c r="P104" s="31" t="s">
        <v>226</v>
      </c>
      <c r="Q104" s="31" t="s">
        <v>226</v>
      </c>
      <c r="R104" s="31" t="s">
        <v>226</v>
      </c>
      <c r="S104" s="31" t="s">
        <v>226</v>
      </c>
      <c r="T104" s="31" t="s">
        <v>226</v>
      </c>
      <c r="U104" s="31" t="s">
        <v>226</v>
      </c>
      <c r="V104" s="31" t="s">
        <v>226</v>
      </c>
      <c r="W104" s="31" t="s">
        <v>226</v>
      </c>
      <c r="X104" s="31" t="s">
        <v>226</v>
      </c>
      <c r="Y104" s="31" t="s">
        <v>226</v>
      </c>
      <c r="Z104" s="31" t="s">
        <v>226</v>
      </c>
      <c r="AA104" s="31" t="s">
        <v>226</v>
      </c>
      <c r="AB104" s="31" t="s">
        <v>226</v>
      </c>
      <c r="AC104" s="31" t="s">
        <v>226</v>
      </c>
      <c r="AD104" s="31" t="s">
        <v>226</v>
      </c>
      <c r="AE104" s="31" t="s">
        <v>226</v>
      </c>
      <c r="AF104" s="31" t="s">
        <v>226</v>
      </c>
      <c r="AG104" s="31" t="s">
        <v>226</v>
      </c>
      <c r="AH104" s="31" t="s">
        <v>226</v>
      </c>
      <c r="AI104" s="31" t="s">
        <v>226</v>
      </c>
      <c r="AJ104" s="31" t="s">
        <v>226</v>
      </c>
      <c r="AK104" s="31" t="s">
        <v>226</v>
      </c>
      <c r="AL104" s="31" t="s">
        <v>226</v>
      </c>
      <c r="AM104" s="31"/>
      <c r="AN104" s="31"/>
      <c r="AO104" s="96">
        <v>34.5</v>
      </c>
      <c r="AP104" s="33">
        <f t="shared" si="192"/>
        <v>2.875</v>
      </c>
      <c r="AQ104" s="34">
        <f t="shared" si="193"/>
        <v>34.5</v>
      </c>
      <c r="AR104" s="35"/>
      <c r="AS104" s="36">
        <f t="shared" ref="AS104" si="217">AP104/$AZ$2</f>
        <v>2.875</v>
      </c>
      <c r="AT104" s="36">
        <f t="shared" ref="AT104" si="218">AQ104/$AZ$2</f>
        <v>34.5</v>
      </c>
      <c r="AU104" s="36">
        <f t="shared" si="191"/>
        <v>3.13375</v>
      </c>
      <c r="AV104" s="36">
        <f t="shared" si="194"/>
        <v>37.605000000000004</v>
      </c>
      <c r="AW104" s="37"/>
      <c r="AX104" s="38"/>
      <c r="AY104" s="38"/>
      <c r="AZ104" s="38"/>
      <c r="BA104" s="39"/>
      <c r="BB104" s="43"/>
      <c r="BC104" s="119">
        <f t="shared" si="198"/>
        <v>0</v>
      </c>
      <c r="BD104" s="108">
        <v>0.16350000000000001</v>
      </c>
      <c r="BE104" s="120">
        <f t="shared" si="174"/>
        <v>0</v>
      </c>
      <c r="BF104" s="121">
        <f t="shared" si="199"/>
        <v>0</v>
      </c>
      <c r="BG104" s="121">
        <f t="shared" si="176"/>
        <v>0</v>
      </c>
      <c r="BH104" s="122">
        <f t="shared" si="177"/>
        <v>0</v>
      </c>
      <c r="BI104" s="121">
        <f t="shared" si="178"/>
        <v>0</v>
      </c>
      <c r="BJ104" s="123" t="e">
        <f t="shared" si="200"/>
        <v>#DIV/0!</v>
      </c>
      <c r="BK104" s="124" t="e">
        <f t="shared" si="201"/>
        <v>#DIV/0!</v>
      </c>
      <c r="BL104" s="125" t="s">
        <v>226</v>
      </c>
    </row>
    <row r="105" spans="1:64" ht="45" customHeight="1" x14ac:dyDescent="0.25">
      <c r="A105" s="30">
        <v>99</v>
      </c>
      <c r="B105" s="100" t="s">
        <v>85</v>
      </c>
      <c r="C105" s="31">
        <v>1</v>
      </c>
      <c r="D105" s="32" t="s">
        <v>25</v>
      </c>
      <c r="E105" s="31">
        <f t="shared" si="0"/>
        <v>6</v>
      </c>
      <c r="F105" s="31" t="s">
        <v>226</v>
      </c>
      <c r="G105" s="31" t="s">
        <v>226</v>
      </c>
      <c r="H105" s="31" t="s">
        <v>226</v>
      </c>
      <c r="I105" s="31" t="s">
        <v>226</v>
      </c>
      <c r="J105" s="31" t="s">
        <v>226</v>
      </c>
      <c r="K105" s="31" t="s">
        <v>226</v>
      </c>
      <c r="L105" s="31" t="s">
        <v>226</v>
      </c>
      <c r="M105" s="31" t="s">
        <v>226</v>
      </c>
      <c r="N105" s="31" t="s">
        <v>226</v>
      </c>
      <c r="O105" s="31" t="s">
        <v>226</v>
      </c>
      <c r="P105" s="31" t="s">
        <v>226</v>
      </c>
      <c r="Q105" s="31" t="s">
        <v>226</v>
      </c>
      <c r="R105" s="31" t="s">
        <v>226</v>
      </c>
      <c r="S105" s="31" t="s">
        <v>226</v>
      </c>
      <c r="T105" s="31" t="s">
        <v>226</v>
      </c>
      <c r="U105" s="31" t="s">
        <v>226</v>
      </c>
      <c r="V105" s="31" t="s">
        <v>226</v>
      </c>
      <c r="W105" s="31" t="s">
        <v>226</v>
      </c>
      <c r="X105" s="31" t="s">
        <v>226</v>
      </c>
      <c r="Y105" s="31" t="s">
        <v>226</v>
      </c>
      <c r="Z105" s="31" t="s">
        <v>226</v>
      </c>
      <c r="AA105" s="31" t="s">
        <v>226</v>
      </c>
      <c r="AB105" s="31" t="s">
        <v>226</v>
      </c>
      <c r="AC105" s="31" t="s">
        <v>226</v>
      </c>
      <c r="AD105" s="31" t="s">
        <v>226</v>
      </c>
      <c r="AE105" s="31" t="s">
        <v>226</v>
      </c>
      <c r="AF105" s="31" t="s">
        <v>226</v>
      </c>
      <c r="AG105" s="31" t="s">
        <v>226</v>
      </c>
      <c r="AH105" s="31" t="s">
        <v>226</v>
      </c>
      <c r="AI105" s="31" t="s">
        <v>226</v>
      </c>
      <c r="AJ105" s="31" t="s">
        <v>226</v>
      </c>
      <c r="AK105" s="31" t="s">
        <v>226</v>
      </c>
      <c r="AL105" s="31" t="s">
        <v>226</v>
      </c>
      <c r="AM105" s="31"/>
      <c r="AN105" s="31"/>
      <c r="AO105" s="96">
        <v>20.5</v>
      </c>
      <c r="AP105" s="33">
        <f t="shared" si="192"/>
        <v>3.4166666666666665</v>
      </c>
      <c r="AQ105" s="34">
        <f t="shared" si="193"/>
        <v>20.5</v>
      </c>
      <c r="AR105" s="35"/>
      <c r="AS105" s="36">
        <f t="shared" si="197"/>
        <v>3.4166666666666665</v>
      </c>
      <c r="AT105" s="36">
        <f t="shared" si="197"/>
        <v>20.5</v>
      </c>
      <c r="AU105" s="36">
        <f t="shared" si="191"/>
        <v>3.7241666666666666</v>
      </c>
      <c r="AV105" s="36">
        <f t="shared" si="194"/>
        <v>22.344999999999999</v>
      </c>
      <c r="AW105" s="37">
        <v>4.95</v>
      </c>
      <c r="AX105" s="38">
        <f t="shared" ref="AX105:AX131" si="219">AW105*E105</f>
        <v>29.700000000000003</v>
      </c>
      <c r="AY105" s="38">
        <f t="shared" si="7"/>
        <v>1.2258333333333336</v>
      </c>
      <c r="AZ105" s="38">
        <f t="shared" ref="AZ105:AZ131" si="220">AY105*E105</f>
        <v>7.3550000000000013</v>
      </c>
      <c r="BA105" s="39">
        <f t="shared" si="9"/>
        <v>0.24764309764309766</v>
      </c>
      <c r="BB105" s="40"/>
      <c r="BC105" s="119">
        <f t="shared" si="198"/>
        <v>4.95</v>
      </c>
      <c r="BD105" s="108">
        <v>0.16350000000000001</v>
      </c>
      <c r="BE105" s="120">
        <f t="shared" si="174"/>
        <v>5.7593250000000005</v>
      </c>
      <c r="BF105" s="121">
        <f t="shared" si="199"/>
        <v>0.80932500000000029</v>
      </c>
      <c r="BG105" s="121">
        <f t="shared" si="176"/>
        <v>6.6825000000000023E-2</v>
      </c>
      <c r="BH105" s="122">
        <f t="shared" si="177"/>
        <v>0.80932500000000029</v>
      </c>
      <c r="BI105" s="121">
        <f t="shared" si="178"/>
        <v>4.95</v>
      </c>
      <c r="BJ105" s="123">
        <f t="shared" si="200"/>
        <v>0.24764309764309766</v>
      </c>
      <c r="BK105" s="124">
        <f t="shared" si="201"/>
        <v>0</v>
      </c>
      <c r="BL105" s="125" t="s">
        <v>226</v>
      </c>
    </row>
    <row r="106" spans="1:64" ht="45" customHeight="1" x14ac:dyDescent="0.25">
      <c r="A106" s="30">
        <v>100</v>
      </c>
      <c r="B106" s="100" t="s">
        <v>87</v>
      </c>
      <c r="C106" s="31">
        <v>1</v>
      </c>
      <c r="D106" s="32" t="s">
        <v>83</v>
      </c>
      <c r="E106" s="31">
        <f t="shared" si="0"/>
        <v>4</v>
      </c>
      <c r="F106" s="31" t="s">
        <v>226</v>
      </c>
      <c r="G106" s="127">
        <v>24.5</v>
      </c>
      <c r="H106" s="31" t="s">
        <v>226</v>
      </c>
      <c r="I106" s="31" t="s">
        <v>226</v>
      </c>
      <c r="J106" s="31" t="s">
        <v>226</v>
      </c>
      <c r="K106" s="31" t="s">
        <v>226</v>
      </c>
      <c r="L106" s="31" t="s">
        <v>226</v>
      </c>
      <c r="M106" s="31" t="s">
        <v>226</v>
      </c>
      <c r="N106" s="31" t="s">
        <v>226</v>
      </c>
      <c r="O106" s="31" t="s">
        <v>226</v>
      </c>
      <c r="P106" s="127">
        <v>25.7</v>
      </c>
      <c r="Q106" s="31" t="s">
        <v>226</v>
      </c>
      <c r="R106" s="31" t="s">
        <v>226</v>
      </c>
      <c r="S106" s="31" t="s">
        <v>226</v>
      </c>
      <c r="T106" s="31" t="s">
        <v>226</v>
      </c>
      <c r="U106" s="31" t="s">
        <v>226</v>
      </c>
      <c r="V106" s="31" t="s">
        <v>226</v>
      </c>
      <c r="W106" s="31" t="s">
        <v>226</v>
      </c>
      <c r="X106" s="31" t="s">
        <v>226</v>
      </c>
      <c r="Y106" s="31" t="s">
        <v>226</v>
      </c>
      <c r="Z106" s="31" t="s">
        <v>226</v>
      </c>
      <c r="AA106" s="31" t="s">
        <v>226</v>
      </c>
      <c r="AB106" s="31" t="s">
        <v>226</v>
      </c>
      <c r="AC106" s="31" t="s">
        <v>226</v>
      </c>
      <c r="AD106" s="31" t="s">
        <v>226</v>
      </c>
      <c r="AE106" s="31" t="s">
        <v>226</v>
      </c>
      <c r="AF106" s="31" t="s">
        <v>226</v>
      </c>
      <c r="AG106" s="31" t="s">
        <v>226</v>
      </c>
      <c r="AH106" s="31" t="s">
        <v>226</v>
      </c>
      <c r="AI106" s="31" t="s">
        <v>226</v>
      </c>
      <c r="AJ106" s="31" t="s">
        <v>226</v>
      </c>
      <c r="AK106" s="31" t="s">
        <v>226</v>
      </c>
      <c r="AL106" s="31" t="s">
        <v>226</v>
      </c>
      <c r="AM106" s="31"/>
      <c r="AN106" s="31"/>
      <c r="AO106" s="96">
        <v>25.7</v>
      </c>
      <c r="AP106" s="33">
        <f t="shared" si="192"/>
        <v>6.4249999999999998</v>
      </c>
      <c r="AQ106" s="34">
        <f t="shared" si="193"/>
        <v>25.7</v>
      </c>
      <c r="AR106" s="35"/>
      <c r="AS106" s="36">
        <f t="shared" si="197"/>
        <v>6.4249999999999998</v>
      </c>
      <c r="AT106" s="36">
        <f t="shared" si="197"/>
        <v>25.7</v>
      </c>
      <c r="AU106" s="36">
        <f t="shared" si="191"/>
        <v>7.0032500000000004</v>
      </c>
      <c r="AV106" s="36">
        <f t="shared" si="194"/>
        <v>28.013000000000002</v>
      </c>
      <c r="AW106" s="37">
        <v>8.5</v>
      </c>
      <c r="AX106" s="38">
        <f t="shared" si="219"/>
        <v>34</v>
      </c>
      <c r="AY106" s="38">
        <f>AW106-AU106</f>
        <v>1.4967499999999996</v>
      </c>
      <c r="AZ106" s="38">
        <f t="shared" si="220"/>
        <v>5.9869999999999983</v>
      </c>
      <c r="BA106" s="39">
        <f t="shared" si="9"/>
        <v>0.1760882352941176</v>
      </c>
      <c r="BB106" s="40"/>
      <c r="BC106" s="119">
        <f t="shared" si="198"/>
        <v>8.5</v>
      </c>
      <c r="BD106" s="108">
        <v>0.16350000000000001</v>
      </c>
      <c r="BE106" s="120">
        <f t="shared" si="174"/>
        <v>9.8897499999999994</v>
      </c>
      <c r="BF106" s="121">
        <f t="shared" si="199"/>
        <v>1.3897499999999994</v>
      </c>
      <c r="BG106" s="121">
        <f t="shared" si="176"/>
        <v>0.11474999999999995</v>
      </c>
      <c r="BH106" s="122">
        <f t="shared" si="177"/>
        <v>1.3897499999999994</v>
      </c>
      <c r="BI106" s="121">
        <f t="shared" si="178"/>
        <v>8.5</v>
      </c>
      <c r="BJ106" s="123">
        <f t="shared" si="200"/>
        <v>0.1760882352941176</v>
      </c>
      <c r="BK106" s="124">
        <f t="shared" si="201"/>
        <v>0</v>
      </c>
      <c r="BL106" s="125">
        <v>9.9</v>
      </c>
    </row>
    <row r="107" spans="1:64" ht="45" customHeight="1" x14ac:dyDescent="0.25">
      <c r="A107" s="30">
        <v>101</v>
      </c>
      <c r="B107" s="100" t="s">
        <v>86</v>
      </c>
      <c r="C107" s="31">
        <v>1</v>
      </c>
      <c r="D107" s="32" t="s">
        <v>83</v>
      </c>
      <c r="E107" s="31">
        <f t="shared" si="0"/>
        <v>4</v>
      </c>
      <c r="F107" s="31" t="s">
        <v>226</v>
      </c>
      <c r="G107" s="127">
        <v>24.5</v>
      </c>
      <c r="H107" s="31" t="s">
        <v>226</v>
      </c>
      <c r="I107" s="31" t="s">
        <v>226</v>
      </c>
      <c r="J107" s="31" t="s">
        <v>226</v>
      </c>
      <c r="K107" s="31" t="s">
        <v>226</v>
      </c>
      <c r="L107" s="31" t="s">
        <v>226</v>
      </c>
      <c r="M107" s="31" t="s">
        <v>226</v>
      </c>
      <c r="N107" s="31" t="s">
        <v>226</v>
      </c>
      <c r="O107" s="31" t="s">
        <v>226</v>
      </c>
      <c r="P107" s="127">
        <v>25.7</v>
      </c>
      <c r="Q107" s="31" t="s">
        <v>226</v>
      </c>
      <c r="R107" s="31" t="s">
        <v>226</v>
      </c>
      <c r="S107" s="31" t="s">
        <v>226</v>
      </c>
      <c r="T107" s="31" t="s">
        <v>226</v>
      </c>
      <c r="U107" s="31" t="s">
        <v>226</v>
      </c>
      <c r="V107" s="31" t="s">
        <v>226</v>
      </c>
      <c r="W107" s="31" t="s">
        <v>226</v>
      </c>
      <c r="X107" s="31" t="s">
        <v>226</v>
      </c>
      <c r="Y107" s="31" t="s">
        <v>226</v>
      </c>
      <c r="Z107" s="31" t="s">
        <v>226</v>
      </c>
      <c r="AA107" s="31" t="s">
        <v>226</v>
      </c>
      <c r="AB107" s="31" t="s">
        <v>226</v>
      </c>
      <c r="AC107" s="31" t="s">
        <v>226</v>
      </c>
      <c r="AD107" s="31" t="s">
        <v>226</v>
      </c>
      <c r="AE107" s="31" t="s">
        <v>226</v>
      </c>
      <c r="AF107" s="31" t="s">
        <v>226</v>
      </c>
      <c r="AG107" s="31" t="s">
        <v>226</v>
      </c>
      <c r="AH107" s="31" t="s">
        <v>226</v>
      </c>
      <c r="AI107" s="31" t="s">
        <v>226</v>
      </c>
      <c r="AJ107" s="31" t="s">
        <v>226</v>
      </c>
      <c r="AK107" s="31" t="s">
        <v>226</v>
      </c>
      <c r="AL107" s="31" t="s">
        <v>226</v>
      </c>
      <c r="AM107" s="31"/>
      <c r="AN107" s="31"/>
      <c r="AO107" s="96">
        <v>25.7</v>
      </c>
      <c r="AP107" s="33">
        <f t="shared" si="192"/>
        <v>6.4249999999999998</v>
      </c>
      <c r="AQ107" s="34">
        <f t="shared" si="193"/>
        <v>25.7</v>
      </c>
      <c r="AR107" s="35"/>
      <c r="AS107" s="36">
        <f t="shared" si="197"/>
        <v>6.4249999999999998</v>
      </c>
      <c r="AT107" s="36">
        <f t="shared" si="197"/>
        <v>25.7</v>
      </c>
      <c r="AU107" s="36">
        <f t="shared" si="191"/>
        <v>7.0032500000000004</v>
      </c>
      <c r="AV107" s="36">
        <f t="shared" si="194"/>
        <v>28.013000000000002</v>
      </c>
      <c r="AW107" s="37">
        <v>8.5</v>
      </c>
      <c r="AX107" s="38">
        <f t="shared" si="219"/>
        <v>34</v>
      </c>
      <c r="AY107" s="38">
        <f t="shared" si="7"/>
        <v>1.4967499999999996</v>
      </c>
      <c r="AZ107" s="38">
        <f t="shared" si="220"/>
        <v>5.9869999999999983</v>
      </c>
      <c r="BA107" s="39">
        <f t="shared" si="9"/>
        <v>0.1760882352941176</v>
      </c>
      <c r="BB107" s="41"/>
      <c r="BC107" s="119">
        <f t="shared" si="198"/>
        <v>8.5</v>
      </c>
      <c r="BD107" s="108">
        <v>0.16350000000000001</v>
      </c>
      <c r="BE107" s="120">
        <f t="shared" si="174"/>
        <v>9.8897499999999994</v>
      </c>
      <c r="BF107" s="121">
        <f t="shared" si="199"/>
        <v>1.3897499999999994</v>
      </c>
      <c r="BG107" s="121">
        <f t="shared" si="176"/>
        <v>0.11474999999999995</v>
      </c>
      <c r="BH107" s="122">
        <f t="shared" si="177"/>
        <v>1.3897499999999994</v>
      </c>
      <c r="BI107" s="121">
        <f t="shared" si="178"/>
        <v>8.5</v>
      </c>
      <c r="BJ107" s="123">
        <f t="shared" si="200"/>
        <v>0.1760882352941176</v>
      </c>
      <c r="BK107" s="124">
        <f t="shared" si="201"/>
        <v>0</v>
      </c>
      <c r="BL107" s="125">
        <v>9.9</v>
      </c>
    </row>
    <row r="108" spans="1:64" ht="45" customHeight="1" x14ac:dyDescent="0.25">
      <c r="A108" s="30">
        <v>102</v>
      </c>
      <c r="B108" s="100" t="s">
        <v>182</v>
      </c>
      <c r="C108" s="31">
        <v>1</v>
      </c>
      <c r="D108" s="32" t="s">
        <v>83</v>
      </c>
      <c r="E108" s="31">
        <f t="shared" ref="E108" si="221">D108*C108</f>
        <v>4</v>
      </c>
      <c r="F108" s="31" t="s">
        <v>226</v>
      </c>
      <c r="G108" s="127">
        <v>24.5</v>
      </c>
      <c r="H108" s="31" t="s">
        <v>226</v>
      </c>
      <c r="I108" s="31" t="s">
        <v>226</v>
      </c>
      <c r="J108" s="31" t="s">
        <v>226</v>
      </c>
      <c r="K108" s="31" t="s">
        <v>226</v>
      </c>
      <c r="L108" s="31" t="s">
        <v>226</v>
      </c>
      <c r="M108" s="31" t="s">
        <v>226</v>
      </c>
      <c r="N108" s="31" t="s">
        <v>226</v>
      </c>
      <c r="O108" s="31" t="s">
        <v>226</v>
      </c>
      <c r="P108" s="127">
        <v>25.7</v>
      </c>
      <c r="Q108" s="31" t="s">
        <v>226</v>
      </c>
      <c r="R108" s="31" t="s">
        <v>226</v>
      </c>
      <c r="S108" s="31" t="s">
        <v>226</v>
      </c>
      <c r="T108" s="31" t="s">
        <v>226</v>
      </c>
      <c r="U108" s="31" t="s">
        <v>226</v>
      </c>
      <c r="V108" s="31" t="s">
        <v>226</v>
      </c>
      <c r="W108" s="31" t="s">
        <v>226</v>
      </c>
      <c r="X108" s="31" t="s">
        <v>226</v>
      </c>
      <c r="Y108" s="31" t="s">
        <v>226</v>
      </c>
      <c r="Z108" s="31" t="s">
        <v>226</v>
      </c>
      <c r="AA108" s="31" t="s">
        <v>226</v>
      </c>
      <c r="AB108" s="31" t="s">
        <v>226</v>
      </c>
      <c r="AC108" s="31" t="s">
        <v>226</v>
      </c>
      <c r="AD108" s="31" t="s">
        <v>226</v>
      </c>
      <c r="AE108" s="31" t="s">
        <v>226</v>
      </c>
      <c r="AF108" s="31" t="s">
        <v>226</v>
      </c>
      <c r="AG108" s="31" t="s">
        <v>226</v>
      </c>
      <c r="AH108" s="31" t="s">
        <v>226</v>
      </c>
      <c r="AI108" s="31" t="s">
        <v>226</v>
      </c>
      <c r="AJ108" s="31" t="s">
        <v>226</v>
      </c>
      <c r="AK108" s="31" t="s">
        <v>226</v>
      </c>
      <c r="AL108" s="31" t="s">
        <v>226</v>
      </c>
      <c r="AM108" s="31"/>
      <c r="AN108" s="31"/>
      <c r="AO108" s="96">
        <v>25.7</v>
      </c>
      <c r="AP108" s="33">
        <f t="shared" si="192"/>
        <v>6.4249999999999998</v>
      </c>
      <c r="AQ108" s="34">
        <f t="shared" si="193"/>
        <v>25.7</v>
      </c>
      <c r="AR108" s="35"/>
      <c r="AS108" s="36">
        <f t="shared" ref="AS108" si="222">AP108/$AZ$2</f>
        <v>6.4249999999999998</v>
      </c>
      <c r="AT108" s="36">
        <f t="shared" ref="AT108" si="223">AQ108/$AZ$2</f>
        <v>25.7</v>
      </c>
      <c r="AU108" s="36">
        <f t="shared" si="191"/>
        <v>7.0032500000000004</v>
      </c>
      <c r="AV108" s="36">
        <f t="shared" si="194"/>
        <v>28.013000000000002</v>
      </c>
      <c r="AW108" s="37">
        <v>8.5</v>
      </c>
      <c r="AX108" s="38">
        <f t="shared" si="219"/>
        <v>34</v>
      </c>
      <c r="AY108" s="38">
        <f t="shared" ref="AY108" si="224">AW108-AU108</f>
        <v>1.4967499999999996</v>
      </c>
      <c r="AZ108" s="38">
        <f t="shared" si="220"/>
        <v>5.9869999999999983</v>
      </c>
      <c r="BA108" s="39">
        <f t="shared" ref="BA108" si="225">AY108/AW108</f>
        <v>0.1760882352941176</v>
      </c>
      <c r="BB108" s="41"/>
      <c r="BC108" s="119">
        <f t="shared" si="198"/>
        <v>8.5</v>
      </c>
      <c r="BD108" s="108">
        <v>0.16350000000000001</v>
      </c>
      <c r="BE108" s="120">
        <f t="shared" si="174"/>
        <v>9.8897499999999994</v>
      </c>
      <c r="BF108" s="121">
        <f t="shared" si="199"/>
        <v>1.3897499999999994</v>
      </c>
      <c r="BG108" s="121">
        <f t="shared" si="176"/>
        <v>0.11474999999999995</v>
      </c>
      <c r="BH108" s="122">
        <f t="shared" si="177"/>
        <v>1.3897499999999994</v>
      </c>
      <c r="BI108" s="121">
        <f t="shared" si="178"/>
        <v>8.5</v>
      </c>
      <c r="BJ108" s="123">
        <f t="shared" si="200"/>
        <v>0.1760882352941176</v>
      </c>
      <c r="BK108" s="124">
        <f t="shared" si="201"/>
        <v>0</v>
      </c>
      <c r="BL108" s="125">
        <v>9.9</v>
      </c>
    </row>
    <row r="109" spans="1:64" ht="45" customHeight="1" x14ac:dyDescent="0.25">
      <c r="A109" s="30">
        <v>103</v>
      </c>
      <c r="B109" s="106" t="s">
        <v>88</v>
      </c>
      <c r="C109" s="31">
        <v>1</v>
      </c>
      <c r="D109" s="32" t="s">
        <v>83</v>
      </c>
      <c r="E109" s="31">
        <f t="shared" si="0"/>
        <v>4</v>
      </c>
      <c r="F109" s="31" t="s">
        <v>226</v>
      </c>
      <c r="G109" s="127">
        <v>24.5</v>
      </c>
      <c r="H109" s="31" t="s">
        <v>226</v>
      </c>
      <c r="I109" s="31" t="s">
        <v>226</v>
      </c>
      <c r="J109" s="31" t="s">
        <v>226</v>
      </c>
      <c r="K109" s="31" t="s">
        <v>226</v>
      </c>
      <c r="L109" s="31" t="s">
        <v>226</v>
      </c>
      <c r="M109" s="31" t="s">
        <v>226</v>
      </c>
      <c r="N109" s="31" t="s">
        <v>226</v>
      </c>
      <c r="O109" s="31" t="s">
        <v>226</v>
      </c>
      <c r="P109" s="127">
        <v>25.7</v>
      </c>
      <c r="Q109" s="31" t="s">
        <v>226</v>
      </c>
      <c r="R109" s="31" t="s">
        <v>226</v>
      </c>
      <c r="S109" s="31" t="s">
        <v>226</v>
      </c>
      <c r="T109" s="31" t="s">
        <v>226</v>
      </c>
      <c r="U109" s="31" t="s">
        <v>226</v>
      </c>
      <c r="V109" s="31" t="s">
        <v>226</v>
      </c>
      <c r="W109" s="31" t="s">
        <v>226</v>
      </c>
      <c r="X109" s="31" t="s">
        <v>226</v>
      </c>
      <c r="Y109" s="31" t="s">
        <v>226</v>
      </c>
      <c r="Z109" s="31" t="s">
        <v>226</v>
      </c>
      <c r="AA109" s="31" t="s">
        <v>226</v>
      </c>
      <c r="AB109" s="31" t="s">
        <v>226</v>
      </c>
      <c r="AC109" s="31" t="s">
        <v>226</v>
      </c>
      <c r="AD109" s="31" t="s">
        <v>226</v>
      </c>
      <c r="AE109" s="31" t="s">
        <v>226</v>
      </c>
      <c r="AF109" s="31" t="s">
        <v>226</v>
      </c>
      <c r="AG109" s="31" t="s">
        <v>226</v>
      </c>
      <c r="AH109" s="31" t="s">
        <v>226</v>
      </c>
      <c r="AI109" s="31" t="s">
        <v>226</v>
      </c>
      <c r="AJ109" s="31" t="s">
        <v>226</v>
      </c>
      <c r="AK109" s="31" t="s">
        <v>226</v>
      </c>
      <c r="AL109" s="31" t="s">
        <v>226</v>
      </c>
      <c r="AM109" s="31"/>
      <c r="AN109" s="31"/>
      <c r="AO109" s="96">
        <v>25.7</v>
      </c>
      <c r="AP109" s="33">
        <f t="shared" si="192"/>
        <v>6.4249999999999998</v>
      </c>
      <c r="AQ109" s="34">
        <f t="shared" si="193"/>
        <v>25.7</v>
      </c>
      <c r="AR109" s="35"/>
      <c r="AS109" s="36">
        <f t="shared" si="197"/>
        <v>6.4249999999999998</v>
      </c>
      <c r="AT109" s="36">
        <f t="shared" si="197"/>
        <v>25.7</v>
      </c>
      <c r="AU109" s="36">
        <f t="shared" si="191"/>
        <v>7.0032500000000004</v>
      </c>
      <c r="AV109" s="36">
        <f t="shared" si="194"/>
        <v>28.013000000000002</v>
      </c>
      <c r="AW109" s="37">
        <v>8.5</v>
      </c>
      <c r="AX109" s="38">
        <f t="shared" si="219"/>
        <v>34</v>
      </c>
      <c r="AY109" s="38">
        <f t="shared" si="7"/>
        <v>1.4967499999999996</v>
      </c>
      <c r="AZ109" s="38">
        <f t="shared" si="220"/>
        <v>5.9869999999999983</v>
      </c>
      <c r="BA109" s="39">
        <f t="shared" si="9"/>
        <v>0.1760882352941176</v>
      </c>
      <c r="BB109" s="42"/>
      <c r="BC109" s="119">
        <f t="shared" si="198"/>
        <v>8.5</v>
      </c>
      <c r="BD109" s="108">
        <v>0.16350000000000001</v>
      </c>
      <c r="BE109" s="120">
        <f t="shared" si="174"/>
        <v>9.8897499999999994</v>
      </c>
      <c r="BF109" s="121">
        <f t="shared" si="199"/>
        <v>1.3897499999999994</v>
      </c>
      <c r="BG109" s="121">
        <f t="shared" si="176"/>
        <v>0.11474999999999995</v>
      </c>
      <c r="BH109" s="122">
        <f t="shared" si="177"/>
        <v>1.3897499999999994</v>
      </c>
      <c r="BI109" s="121">
        <f t="shared" si="178"/>
        <v>8.5</v>
      </c>
      <c r="BJ109" s="123">
        <f t="shared" si="200"/>
        <v>0.1760882352941176</v>
      </c>
      <c r="BK109" s="124">
        <f t="shared" si="201"/>
        <v>0</v>
      </c>
      <c r="BL109" s="125">
        <v>9.9</v>
      </c>
    </row>
    <row r="110" spans="1:64" ht="45" customHeight="1" x14ac:dyDescent="0.25">
      <c r="A110" s="30">
        <v>104</v>
      </c>
      <c r="B110" s="102" t="s">
        <v>162</v>
      </c>
      <c r="C110" s="31">
        <v>1</v>
      </c>
      <c r="D110" s="32" t="s">
        <v>84</v>
      </c>
      <c r="E110" s="31">
        <f t="shared" ref="E110" si="226">D110*C110</f>
        <v>8</v>
      </c>
      <c r="F110" s="31" t="s">
        <v>226</v>
      </c>
      <c r="G110" s="31" t="s">
        <v>226</v>
      </c>
      <c r="H110" s="31" t="s">
        <v>226</v>
      </c>
      <c r="I110" s="31" t="s">
        <v>226</v>
      </c>
      <c r="J110" s="31" t="s">
        <v>226</v>
      </c>
      <c r="K110" s="31" t="s">
        <v>226</v>
      </c>
      <c r="L110" s="31" t="s">
        <v>226</v>
      </c>
      <c r="M110" s="31" t="s">
        <v>226</v>
      </c>
      <c r="N110" s="31" t="s">
        <v>226</v>
      </c>
      <c r="O110" s="31" t="s">
        <v>226</v>
      </c>
      <c r="P110" s="31" t="s">
        <v>226</v>
      </c>
      <c r="Q110" s="31" t="s">
        <v>226</v>
      </c>
      <c r="R110" s="31" t="s">
        <v>226</v>
      </c>
      <c r="S110" s="31" t="s">
        <v>226</v>
      </c>
      <c r="T110" s="31" t="s">
        <v>226</v>
      </c>
      <c r="U110" s="31" t="s">
        <v>226</v>
      </c>
      <c r="V110" s="31" t="s">
        <v>226</v>
      </c>
      <c r="W110" s="31" t="s">
        <v>226</v>
      </c>
      <c r="X110" s="31" t="s">
        <v>226</v>
      </c>
      <c r="Y110" s="31" t="s">
        <v>226</v>
      </c>
      <c r="Z110" s="31" t="s">
        <v>226</v>
      </c>
      <c r="AA110" s="31" t="s">
        <v>226</v>
      </c>
      <c r="AB110" s="31" t="s">
        <v>226</v>
      </c>
      <c r="AC110" s="31" t="s">
        <v>226</v>
      </c>
      <c r="AD110" s="31" t="s">
        <v>226</v>
      </c>
      <c r="AE110" s="31" t="s">
        <v>226</v>
      </c>
      <c r="AF110" s="31" t="s">
        <v>226</v>
      </c>
      <c r="AG110" s="31" t="s">
        <v>226</v>
      </c>
      <c r="AH110" s="31" t="s">
        <v>226</v>
      </c>
      <c r="AI110" s="31" t="s">
        <v>226</v>
      </c>
      <c r="AJ110" s="31" t="s">
        <v>226</v>
      </c>
      <c r="AK110" s="31" t="s">
        <v>226</v>
      </c>
      <c r="AL110" s="31" t="s">
        <v>226</v>
      </c>
      <c r="AM110" s="31"/>
      <c r="AN110" s="31"/>
      <c r="AO110" s="96">
        <v>13.6</v>
      </c>
      <c r="AP110" s="33">
        <f t="shared" si="192"/>
        <v>1.7</v>
      </c>
      <c r="AQ110" s="34">
        <f t="shared" si="193"/>
        <v>13.6</v>
      </c>
      <c r="AR110" s="35"/>
      <c r="AS110" s="36">
        <f t="shared" ref="AS110" si="227">AP110/$AZ$2</f>
        <v>1.7</v>
      </c>
      <c r="AT110" s="36">
        <f t="shared" ref="AT110" si="228">AQ110/$AZ$2</f>
        <v>13.6</v>
      </c>
      <c r="AU110" s="36">
        <f t="shared" si="191"/>
        <v>1.853</v>
      </c>
      <c r="AV110" s="36">
        <f t="shared" si="194"/>
        <v>14.824</v>
      </c>
      <c r="AW110" s="37">
        <v>2.5</v>
      </c>
      <c r="AX110" s="38">
        <f t="shared" si="219"/>
        <v>20</v>
      </c>
      <c r="AY110" s="38">
        <f t="shared" ref="AY110" si="229">AW110-AU110</f>
        <v>0.64700000000000002</v>
      </c>
      <c r="AZ110" s="38">
        <f t="shared" si="220"/>
        <v>5.1760000000000002</v>
      </c>
      <c r="BA110" s="39">
        <f t="shared" ref="BA110" si="230">AY110/AW110</f>
        <v>0.25880000000000003</v>
      </c>
      <c r="BB110" s="42"/>
      <c r="BC110" s="119">
        <f t="shared" si="198"/>
        <v>2.5</v>
      </c>
      <c r="BD110" s="108">
        <v>0.16350000000000001</v>
      </c>
      <c r="BE110" s="120">
        <f t="shared" si="174"/>
        <v>2.9087499999999999</v>
      </c>
      <c r="BF110" s="121">
        <f t="shared" si="199"/>
        <v>0.40874999999999995</v>
      </c>
      <c r="BG110" s="121">
        <f t="shared" si="176"/>
        <v>3.3749999999999995E-2</v>
      </c>
      <c r="BH110" s="122">
        <f t="shared" si="177"/>
        <v>0.40874999999999995</v>
      </c>
      <c r="BI110" s="121">
        <f t="shared" si="178"/>
        <v>2.5</v>
      </c>
      <c r="BJ110" s="123">
        <f t="shared" si="200"/>
        <v>0.25880000000000003</v>
      </c>
      <c r="BK110" s="124">
        <f t="shared" si="201"/>
        <v>0</v>
      </c>
      <c r="BL110" s="125">
        <v>2.95</v>
      </c>
    </row>
    <row r="111" spans="1:64" ht="45" customHeight="1" x14ac:dyDescent="0.25">
      <c r="A111" s="30">
        <v>105</v>
      </c>
      <c r="B111" s="102" t="s">
        <v>175</v>
      </c>
      <c r="C111" s="31">
        <v>1</v>
      </c>
      <c r="D111" s="32" t="s">
        <v>84</v>
      </c>
      <c r="E111" s="31">
        <f t="shared" ref="E111" si="231">D111*C111</f>
        <v>8</v>
      </c>
      <c r="F111" s="31" t="s">
        <v>226</v>
      </c>
      <c r="G111" s="31" t="s">
        <v>226</v>
      </c>
      <c r="H111" s="31" t="s">
        <v>226</v>
      </c>
      <c r="I111" s="31" t="s">
        <v>226</v>
      </c>
      <c r="J111" s="31" t="s">
        <v>226</v>
      </c>
      <c r="K111" s="31" t="s">
        <v>226</v>
      </c>
      <c r="L111" s="31" t="s">
        <v>226</v>
      </c>
      <c r="M111" s="31" t="s">
        <v>226</v>
      </c>
      <c r="N111" s="31" t="s">
        <v>226</v>
      </c>
      <c r="O111" s="31" t="s">
        <v>226</v>
      </c>
      <c r="P111" s="31" t="s">
        <v>226</v>
      </c>
      <c r="Q111" s="31" t="s">
        <v>226</v>
      </c>
      <c r="R111" s="31" t="s">
        <v>226</v>
      </c>
      <c r="S111" s="31" t="s">
        <v>226</v>
      </c>
      <c r="T111" s="31" t="s">
        <v>226</v>
      </c>
      <c r="U111" s="31" t="s">
        <v>226</v>
      </c>
      <c r="V111" s="31" t="s">
        <v>226</v>
      </c>
      <c r="W111" s="31" t="s">
        <v>226</v>
      </c>
      <c r="X111" s="31" t="s">
        <v>226</v>
      </c>
      <c r="Y111" s="31" t="s">
        <v>226</v>
      </c>
      <c r="Z111" s="31" t="s">
        <v>226</v>
      </c>
      <c r="AA111" s="31" t="s">
        <v>226</v>
      </c>
      <c r="AB111" s="31" t="s">
        <v>226</v>
      </c>
      <c r="AC111" s="31" t="s">
        <v>226</v>
      </c>
      <c r="AD111" s="31" t="s">
        <v>226</v>
      </c>
      <c r="AE111" s="31" t="s">
        <v>226</v>
      </c>
      <c r="AF111" s="31" t="s">
        <v>226</v>
      </c>
      <c r="AG111" s="31" t="s">
        <v>226</v>
      </c>
      <c r="AH111" s="31" t="s">
        <v>226</v>
      </c>
      <c r="AI111" s="31" t="s">
        <v>226</v>
      </c>
      <c r="AJ111" s="31" t="s">
        <v>226</v>
      </c>
      <c r="AK111" s="31" t="s">
        <v>226</v>
      </c>
      <c r="AL111" s="31" t="s">
        <v>226</v>
      </c>
      <c r="AM111" s="31"/>
      <c r="AN111" s="31"/>
      <c r="AO111" s="96">
        <v>13.6</v>
      </c>
      <c r="AP111" s="33">
        <f t="shared" si="192"/>
        <v>1.7</v>
      </c>
      <c r="AQ111" s="34">
        <f t="shared" si="193"/>
        <v>13.6</v>
      </c>
      <c r="AR111" s="35"/>
      <c r="AS111" s="36">
        <f t="shared" ref="AS111" si="232">AP111/$AZ$2</f>
        <v>1.7</v>
      </c>
      <c r="AT111" s="36">
        <f t="shared" ref="AT111" si="233">AQ111/$AZ$2</f>
        <v>13.6</v>
      </c>
      <c r="AU111" s="36">
        <f t="shared" si="191"/>
        <v>1.853</v>
      </c>
      <c r="AV111" s="36">
        <f t="shared" si="194"/>
        <v>14.824</v>
      </c>
      <c r="AW111" s="37">
        <v>2.5</v>
      </c>
      <c r="AX111" s="38">
        <f t="shared" si="219"/>
        <v>20</v>
      </c>
      <c r="AY111" s="38">
        <f t="shared" ref="AY111" si="234">AW111-AU111</f>
        <v>0.64700000000000002</v>
      </c>
      <c r="AZ111" s="38">
        <f t="shared" si="220"/>
        <v>5.1760000000000002</v>
      </c>
      <c r="BA111" s="39">
        <f t="shared" ref="BA111" si="235">AY111/AW111</f>
        <v>0.25880000000000003</v>
      </c>
      <c r="BB111" s="42"/>
      <c r="BC111" s="119">
        <f t="shared" si="198"/>
        <v>2.5</v>
      </c>
      <c r="BD111" s="108">
        <v>0.16350000000000001</v>
      </c>
      <c r="BE111" s="120">
        <f t="shared" si="174"/>
        <v>2.9087499999999999</v>
      </c>
      <c r="BF111" s="121">
        <f t="shared" si="199"/>
        <v>0.40874999999999995</v>
      </c>
      <c r="BG111" s="121">
        <f t="shared" si="176"/>
        <v>3.3749999999999995E-2</v>
      </c>
      <c r="BH111" s="122">
        <f t="shared" si="177"/>
        <v>0.40874999999999995</v>
      </c>
      <c r="BI111" s="121">
        <f t="shared" si="178"/>
        <v>2.5</v>
      </c>
      <c r="BJ111" s="123">
        <f t="shared" si="200"/>
        <v>0.25880000000000003</v>
      </c>
      <c r="BK111" s="124">
        <f t="shared" si="201"/>
        <v>0</v>
      </c>
      <c r="BL111" s="125">
        <v>2.95</v>
      </c>
    </row>
    <row r="112" spans="1:64" ht="45" customHeight="1" x14ac:dyDescent="0.25">
      <c r="A112" s="30">
        <v>106</v>
      </c>
      <c r="B112" s="102" t="s">
        <v>134</v>
      </c>
      <c r="C112" s="31">
        <v>1</v>
      </c>
      <c r="D112" s="32" t="s">
        <v>84</v>
      </c>
      <c r="E112" s="31">
        <f t="shared" si="0"/>
        <v>8</v>
      </c>
      <c r="F112" s="31" t="s">
        <v>226</v>
      </c>
      <c r="G112" s="31" t="s">
        <v>226</v>
      </c>
      <c r="H112" s="31" t="s">
        <v>226</v>
      </c>
      <c r="I112" s="31" t="s">
        <v>226</v>
      </c>
      <c r="J112" s="31" t="s">
        <v>226</v>
      </c>
      <c r="K112" s="31" t="s">
        <v>226</v>
      </c>
      <c r="L112" s="31" t="s">
        <v>226</v>
      </c>
      <c r="M112" s="31" t="s">
        <v>226</v>
      </c>
      <c r="N112" s="31" t="s">
        <v>226</v>
      </c>
      <c r="O112" s="31" t="s">
        <v>226</v>
      </c>
      <c r="P112" s="31" t="s">
        <v>226</v>
      </c>
      <c r="Q112" s="31" t="s">
        <v>226</v>
      </c>
      <c r="R112" s="31" t="s">
        <v>226</v>
      </c>
      <c r="S112" s="31" t="s">
        <v>226</v>
      </c>
      <c r="T112" s="31" t="s">
        <v>226</v>
      </c>
      <c r="U112" s="31" t="s">
        <v>226</v>
      </c>
      <c r="V112" s="31" t="s">
        <v>226</v>
      </c>
      <c r="W112" s="31" t="s">
        <v>226</v>
      </c>
      <c r="X112" s="31" t="s">
        <v>226</v>
      </c>
      <c r="Y112" s="31" t="s">
        <v>226</v>
      </c>
      <c r="Z112" s="31" t="s">
        <v>226</v>
      </c>
      <c r="AA112" s="31" t="s">
        <v>226</v>
      </c>
      <c r="AB112" s="31" t="s">
        <v>226</v>
      </c>
      <c r="AC112" s="31" t="s">
        <v>226</v>
      </c>
      <c r="AD112" s="31" t="s">
        <v>226</v>
      </c>
      <c r="AE112" s="31" t="s">
        <v>226</v>
      </c>
      <c r="AF112" s="31" t="s">
        <v>226</v>
      </c>
      <c r="AG112" s="31" t="s">
        <v>226</v>
      </c>
      <c r="AH112" s="31" t="s">
        <v>226</v>
      </c>
      <c r="AI112" s="31" t="s">
        <v>226</v>
      </c>
      <c r="AJ112" s="31" t="s">
        <v>226</v>
      </c>
      <c r="AK112" s="31" t="s">
        <v>226</v>
      </c>
      <c r="AL112" s="31" t="s">
        <v>226</v>
      </c>
      <c r="AM112" s="31"/>
      <c r="AN112" s="31"/>
      <c r="AO112" s="96">
        <v>13.6</v>
      </c>
      <c r="AP112" s="33">
        <f t="shared" si="192"/>
        <v>1.7</v>
      </c>
      <c r="AQ112" s="34">
        <f t="shared" si="193"/>
        <v>13.6</v>
      </c>
      <c r="AR112" s="35"/>
      <c r="AS112" s="36">
        <f t="shared" si="197"/>
        <v>1.7</v>
      </c>
      <c r="AT112" s="36">
        <f t="shared" si="197"/>
        <v>13.6</v>
      </c>
      <c r="AU112" s="36">
        <f t="shared" si="191"/>
        <v>1.853</v>
      </c>
      <c r="AV112" s="36">
        <f t="shared" si="194"/>
        <v>14.824</v>
      </c>
      <c r="AW112" s="37">
        <v>2.5</v>
      </c>
      <c r="AX112" s="38">
        <f t="shared" si="219"/>
        <v>20</v>
      </c>
      <c r="AY112" s="38">
        <f t="shared" si="7"/>
        <v>0.64700000000000002</v>
      </c>
      <c r="AZ112" s="38">
        <f t="shared" si="220"/>
        <v>5.1760000000000002</v>
      </c>
      <c r="BA112" s="39">
        <f t="shared" si="9"/>
        <v>0.25880000000000003</v>
      </c>
      <c r="BB112" s="42"/>
      <c r="BC112" s="119">
        <f t="shared" si="198"/>
        <v>2.5</v>
      </c>
      <c r="BD112" s="108">
        <v>0.16350000000000001</v>
      </c>
      <c r="BE112" s="120">
        <f t="shared" si="174"/>
        <v>2.9087499999999999</v>
      </c>
      <c r="BF112" s="121">
        <f t="shared" si="199"/>
        <v>0.40874999999999995</v>
      </c>
      <c r="BG112" s="121">
        <f t="shared" si="176"/>
        <v>3.3749999999999995E-2</v>
      </c>
      <c r="BH112" s="122">
        <f t="shared" si="177"/>
        <v>0.40874999999999995</v>
      </c>
      <c r="BI112" s="121">
        <f t="shared" si="178"/>
        <v>2.5</v>
      </c>
      <c r="BJ112" s="123">
        <f t="shared" si="200"/>
        <v>0.25880000000000003</v>
      </c>
      <c r="BK112" s="124">
        <f t="shared" si="201"/>
        <v>0</v>
      </c>
      <c r="BL112" s="125">
        <v>2.95</v>
      </c>
    </row>
    <row r="113" spans="1:64" ht="45" customHeight="1" x14ac:dyDescent="0.25">
      <c r="A113" s="30">
        <v>107</v>
      </c>
      <c r="B113" s="101" t="s">
        <v>130</v>
      </c>
      <c r="C113" s="31">
        <v>1</v>
      </c>
      <c r="D113" s="32" t="s">
        <v>73</v>
      </c>
      <c r="E113" s="31">
        <f t="shared" si="0"/>
        <v>12</v>
      </c>
      <c r="F113" s="31" t="s">
        <v>226</v>
      </c>
      <c r="G113" s="31" t="s">
        <v>226</v>
      </c>
      <c r="H113" s="31" t="s">
        <v>226</v>
      </c>
      <c r="I113" s="31" t="s">
        <v>226</v>
      </c>
      <c r="J113" s="31" t="s">
        <v>226</v>
      </c>
      <c r="K113" s="31" t="s">
        <v>226</v>
      </c>
      <c r="L113" s="31" t="s">
        <v>226</v>
      </c>
      <c r="M113" s="31" t="s">
        <v>226</v>
      </c>
      <c r="N113" s="31" t="s">
        <v>226</v>
      </c>
      <c r="O113" s="31" t="s">
        <v>226</v>
      </c>
      <c r="P113" s="31" t="s">
        <v>226</v>
      </c>
      <c r="Q113" s="31" t="s">
        <v>226</v>
      </c>
      <c r="R113" s="31" t="s">
        <v>226</v>
      </c>
      <c r="S113" s="31" t="s">
        <v>226</v>
      </c>
      <c r="T113" s="31" t="s">
        <v>226</v>
      </c>
      <c r="U113" s="31" t="s">
        <v>226</v>
      </c>
      <c r="V113" s="31" t="s">
        <v>226</v>
      </c>
      <c r="W113" s="31" t="s">
        <v>226</v>
      </c>
      <c r="X113" s="31" t="s">
        <v>226</v>
      </c>
      <c r="Y113" s="31" t="s">
        <v>226</v>
      </c>
      <c r="Z113" s="31" t="s">
        <v>226</v>
      </c>
      <c r="AA113" s="31" t="s">
        <v>226</v>
      </c>
      <c r="AB113" s="31" t="s">
        <v>226</v>
      </c>
      <c r="AC113" s="31" t="s">
        <v>226</v>
      </c>
      <c r="AD113" s="31" t="s">
        <v>226</v>
      </c>
      <c r="AE113" s="31" t="s">
        <v>226</v>
      </c>
      <c r="AF113" s="31" t="s">
        <v>226</v>
      </c>
      <c r="AG113" s="31" t="s">
        <v>226</v>
      </c>
      <c r="AH113" s="31" t="s">
        <v>226</v>
      </c>
      <c r="AI113" s="31" t="s">
        <v>226</v>
      </c>
      <c r="AJ113" s="31" t="s">
        <v>226</v>
      </c>
      <c r="AK113" s="31" t="s">
        <v>226</v>
      </c>
      <c r="AL113" s="31" t="s">
        <v>226</v>
      </c>
      <c r="AM113" s="31"/>
      <c r="AN113" s="31"/>
      <c r="AO113" s="96">
        <v>8.9</v>
      </c>
      <c r="AP113" s="33">
        <f t="shared" si="192"/>
        <v>0.7416666666666667</v>
      </c>
      <c r="AQ113" s="34">
        <f t="shared" si="193"/>
        <v>8.9</v>
      </c>
      <c r="AR113" s="35"/>
      <c r="AS113" s="36">
        <f t="shared" si="197"/>
        <v>0.7416666666666667</v>
      </c>
      <c r="AT113" s="36">
        <f t="shared" si="197"/>
        <v>8.9</v>
      </c>
      <c r="AU113" s="36">
        <f t="shared" si="191"/>
        <v>0.80841666666666678</v>
      </c>
      <c r="AV113" s="36">
        <f t="shared" si="194"/>
        <v>9.7010000000000005</v>
      </c>
      <c r="AW113" s="37">
        <v>1.25</v>
      </c>
      <c r="AX113" s="38">
        <f t="shared" si="219"/>
        <v>15</v>
      </c>
      <c r="AY113" s="38">
        <f t="shared" si="7"/>
        <v>0.44158333333333322</v>
      </c>
      <c r="AZ113" s="38">
        <f t="shared" si="220"/>
        <v>5.2989999999999986</v>
      </c>
      <c r="BA113" s="39">
        <f t="shared" si="9"/>
        <v>0.35326666666666656</v>
      </c>
      <c r="BB113" s="42"/>
      <c r="BC113" s="119">
        <f t="shared" si="198"/>
        <v>1.25</v>
      </c>
      <c r="BD113" s="108">
        <v>0.16350000000000001</v>
      </c>
      <c r="BE113" s="120">
        <f t="shared" si="174"/>
        <v>1.454375</v>
      </c>
      <c r="BF113" s="121">
        <f t="shared" si="199"/>
        <v>0.20437499999999997</v>
      </c>
      <c r="BG113" s="121">
        <f t="shared" si="176"/>
        <v>1.6874999999999998E-2</v>
      </c>
      <c r="BH113" s="122">
        <f t="shared" si="177"/>
        <v>0.20437499999999997</v>
      </c>
      <c r="BI113" s="121">
        <f t="shared" si="178"/>
        <v>1.25</v>
      </c>
      <c r="BJ113" s="123">
        <f t="shared" si="200"/>
        <v>0.35326666666666656</v>
      </c>
      <c r="BK113" s="124">
        <f t="shared" si="201"/>
        <v>0</v>
      </c>
      <c r="BL113" s="125" t="s">
        <v>226</v>
      </c>
    </row>
    <row r="114" spans="1:64" ht="45" customHeight="1" x14ac:dyDescent="0.25">
      <c r="A114" s="30">
        <v>108</v>
      </c>
      <c r="B114" s="104" t="s">
        <v>89</v>
      </c>
      <c r="C114" s="31">
        <v>1</v>
      </c>
      <c r="D114" s="32" t="s">
        <v>25</v>
      </c>
      <c r="E114" s="31">
        <f t="shared" si="0"/>
        <v>6</v>
      </c>
      <c r="F114" s="31" t="s">
        <v>226</v>
      </c>
      <c r="G114" s="31" t="s">
        <v>226</v>
      </c>
      <c r="H114" s="31" t="s">
        <v>226</v>
      </c>
      <c r="I114" s="31" t="s">
        <v>226</v>
      </c>
      <c r="J114" s="31" t="s">
        <v>226</v>
      </c>
      <c r="K114" s="31" t="s">
        <v>226</v>
      </c>
      <c r="L114" s="31" t="s">
        <v>226</v>
      </c>
      <c r="M114" s="31" t="s">
        <v>226</v>
      </c>
      <c r="N114" s="31" t="s">
        <v>226</v>
      </c>
      <c r="O114" s="31" t="s">
        <v>226</v>
      </c>
      <c r="P114" s="31" t="s">
        <v>226</v>
      </c>
      <c r="Q114" s="31" t="s">
        <v>226</v>
      </c>
      <c r="R114" s="31" t="s">
        <v>226</v>
      </c>
      <c r="S114" s="31" t="s">
        <v>226</v>
      </c>
      <c r="T114" s="31" t="s">
        <v>226</v>
      </c>
      <c r="U114" s="31" t="s">
        <v>226</v>
      </c>
      <c r="V114" s="31" t="s">
        <v>226</v>
      </c>
      <c r="W114" s="31" t="s">
        <v>226</v>
      </c>
      <c r="X114" s="31" t="s">
        <v>226</v>
      </c>
      <c r="Y114" s="31" t="s">
        <v>226</v>
      </c>
      <c r="Z114" s="31" t="s">
        <v>226</v>
      </c>
      <c r="AA114" s="31" t="s">
        <v>226</v>
      </c>
      <c r="AB114" s="31" t="s">
        <v>226</v>
      </c>
      <c r="AC114" s="31" t="s">
        <v>226</v>
      </c>
      <c r="AD114" s="31" t="s">
        <v>226</v>
      </c>
      <c r="AE114" s="31" t="s">
        <v>226</v>
      </c>
      <c r="AF114" s="31" t="s">
        <v>226</v>
      </c>
      <c r="AG114" s="31" t="s">
        <v>226</v>
      </c>
      <c r="AH114" s="31" t="s">
        <v>226</v>
      </c>
      <c r="AI114" s="31" t="s">
        <v>226</v>
      </c>
      <c r="AJ114" s="31" t="s">
        <v>226</v>
      </c>
      <c r="AK114" s="31" t="s">
        <v>226</v>
      </c>
      <c r="AL114" s="31" t="s">
        <v>226</v>
      </c>
      <c r="AM114" s="31"/>
      <c r="AN114" s="31"/>
      <c r="AO114" s="96">
        <v>20.5</v>
      </c>
      <c r="AP114" s="33">
        <f t="shared" si="192"/>
        <v>3.4166666666666665</v>
      </c>
      <c r="AQ114" s="34">
        <f t="shared" si="193"/>
        <v>20.5</v>
      </c>
      <c r="AR114" s="35"/>
      <c r="AS114" s="36">
        <f t="shared" si="197"/>
        <v>3.4166666666666665</v>
      </c>
      <c r="AT114" s="36">
        <f t="shared" si="197"/>
        <v>20.5</v>
      </c>
      <c r="AU114" s="36">
        <f t="shared" si="191"/>
        <v>3.7241666666666666</v>
      </c>
      <c r="AV114" s="36">
        <f t="shared" si="194"/>
        <v>22.344999999999999</v>
      </c>
      <c r="AW114" s="37">
        <v>4.95</v>
      </c>
      <c r="AX114" s="38">
        <f t="shared" si="219"/>
        <v>29.700000000000003</v>
      </c>
      <c r="AY114" s="38">
        <f t="shared" si="7"/>
        <v>1.2258333333333336</v>
      </c>
      <c r="AZ114" s="38">
        <f t="shared" si="220"/>
        <v>7.3550000000000013</v>
      </c>
      <c r="BA114" s="39">
        <f t="shared" si="9"/>
        <v>0.24764309764309766</v>
      </c>
      <c r="BB114" s="43"/>
      <c r="BC114" s="119">
        <f t="shared" si="198"/>
        <v>4.95</v>
      </c>
      <c r="BD114" s="108">
        <v>0.16350000000000001</v>
      </c>
      <c r="BE114" s="120">
        <f t="shared" si="174"/>
        <v>5.7593250000000005</v>
      </c>
      <c r="BF114" s="121">
        <f t="shared" si="199"/>
        <v>0.80932500000000029</v>
      </c>
      <c r="BG114" s="121">
        <f t="shared" si="176"/>
        <v>6.6825000000000023E-2</v>
      </c>
      <c r="BH114" s="122">
        <f t="shared" si="177"/>
        <v>0.80932500000000029</v>
      </c>
      <c r="BI114" s="121">
        <f t="shared" si="178"/>
        <v>4.95</v>
      </c>
      <c r="BJ114" s="123">
        <f t="shared" si="200"/>
        <v>0.24764309764309766</v>
      </c>
      <c r="BK114" s="124">
        <f t="shared" si="201"/>
        <v>0</v>
      </c>
      <c r="BL114" s="125" t="s">
        <v>226</v>
      </c>
    </row>
    <row r="115" spans="1:64" ht="45" customHeight="1" x14ac:dyDescent="0.25">
      <c r="A115" s="30">
        <v>109</v>
      </c>
      <c r="B115" s="100" t="s">
        <v>199</v>
      </c>
      <c r="C115" s="31">
        <v>1</v>
      </c>
      <c r="D115" s="32" t="s">
        <v>24</v>
      </c>
      <c r="E115" s="31">
        <f t="shared" ref="E115:E116" si="236">D115*C115</f>
        <v>24</v>
      </c>
      <c r="F115" s="31" t="s">
        <v>226</v>
      </c>
      <c r="G115" s="31" t="s">
        <v>226</v>
      </c>
      <c r="H115" s="31" t="s">
        <v>226</v>
      </c>
      <c r="I115" s="31" t="s">
        <v>226</v>
      </c>
      <c r="J115" s="31" t="s">
        <v>226</v>
      </c>
      <c r="K115" s="31" t="s">
        <v>226</v>
      </c>
      <c r="L115" s="31" t="s">
        <v>226</v>
      </c>
      <c r="M115" s="31" t="s">
        <v>226</v>
      </c>
      <c r="N115" s="31" t="s">
        <v>226</v>
      </c>
      <c r="O115" s="31" t="s">
        <v>226</v>
      </c>
      <c r="P115" s="31" t="s">
        <v>226</v>
      </c>
      <c r="Q115" s="31" t="s">
        <v>226</v>
      </c>
      <c r="R115" s="31" t="s">
        <v>226</v>
      </c>
      <c r="S115" s="31" t="s">
        <v>226</v>
      </c>
      <c r="T115" s="31" t="s">
        <v>226</v>
      </c>
      <c r="U115" s="31" t="s">
        <v>226</v>
      </c>
      <c r="V115" s="31" t="s">
        <v>226</v>
      </c>
      <c r="W115" s="31" t="s">
        <v>226</v>
      </c>
      <c r="X115" s="31" t="s">
        <v>226</v>
      </c>
      <c r="Y115" s="31" t="s">
        <v>226</v>
      </c>
      <c r="Z115" s="31" t="s">
        <v>226</v>
      </c>
      <c r="AA115" s="31" t="s">
        <v>226</v>
      </c>
      <c r="AB115" s="31" t="s">
        <v>226</v>
      </c>
      <c r="AC115" s="31" t="s">
        <v>226</v>
      </c>
      <c r="AD115" s="31" t="s">
        <v>226</v>
      </c>
      <c r="AE115" s="31" t="s">
        <v>226</v>
      </c>
      <c r="AF115" s="31" t="s">
        <v>226</v>
      </c>
      <c r="AG115" s="31" t="s">
        <v>226</v>
      </c>
      <c r="AH115" s="31" t="s">
        <v>226</v>
      </c>
      <c r="AI115" s="31" t="s">
        <v>226</v>
      </c>
      <c r="AJ115" s="31" t="s">
        <v>226</v>
      </c>
      <c r="AK115" s="31" t="s">
        <v>226</v>
      </c>
      <c r="AL115" s="31" t="s">
        <v>226</v>
      </c>
      <c r="AM115" s="31"/>
      <c r="AN115" s="31"/>
      <c r="AO115" s="96">
        <v>10</v>
      </c>
      <c r="AP115" s="33">
        <f t="shared" si="192"/>
        <v>0.41666666666666669</v>
      </c>
      <c r="AQ115" s="34">
        <f t="shared" si="193"/>
        <v>10</v>
      </c>
      <c r="AR115" s="35"/>
      <c r="AS115" s="36">
        <f t="shared" ref="AS115:AS116" si="237">AP115/$AZ$2</f>
        <v>0.41666666666666669</v>
      </c>
      <c r="AT115" s="36">
        <f t="shared" ref="AT115:AT116" si="238">AQ115/$AZ$2</f>
        <v>10</v>
      </c>
      <c r="AU115" s="36">
        <f t="shared" ref="AU115:AU148" si="239">AS115*(1+$AV$189+9%)</f>
        <v>0.45416666666666672</v>
      </c>
      <c r="AV115" s="36">
        <f t="shared" si="194"/>
        <v>10.900000000000002</v>
      </c>
      <c r="AW115" s="37"/>
      <c r="AX115" s="38">
        <f t="shared" si="219"/>
        <v>0</v>
      </c>
      <c r="AY115" s="38">
        <f t="shared" ref="AY115:AY116" si="240">AW115-AU115</f>
        <v>-0.45416666666666672</v>
      </c>
      <c r="AZ115" s="38">
        <f t="shared" si="220"/>
        <v>-10.900000000000002</v>
      </c>
      <c r="BA115" s="39" t="e">
        <f t="shared" ref="BA115:BA116" si="241">AY115/AW115</f>
        <v>#DIV/0!</v>
      </c>
      <c r="BB115" s="41"/>
      <c r="BC115" s="119">
        <f t="shared" si="198"/>
        <v>0</v>
      </c>
      <c r="BD115" s="108">
        <v>0.16350000000000001</v>
      </c>
      <c r="BE115" s="120">
        <f t="shared" si="174"/>
        <v>0</v>
      </c>
      <c r="BF115" s="121">
        <f t="shared" si="199"/>
        <v>0</v>
      </c>
      <c r="BG115" s="121">
        <f t="shared" si="176"/>
        <v>0</v>
      </c>
      <c r="BH115" s="122">
        <f t="shared" si="177"/>
        <v>0</v>
      </c>
      <c r="BI115" s="121">
        <f t="shared" si="178"/>
        <v>0</v>
      </c>
      <c r="BJ115" s="123" t="e">
        <f t="shared" si="200"/>
        <v>#DIV/0!</v>
      </c>
      <c r="BK115" s="124" t="e">
        <f t="shared" si="201"/>
        <v>#DIV/0!</v>
      </c>
      <c r="BL115" s="125" t="s">
        <v>226</v>
      </c>
    </row>
    <row r="116" spans="1:64" ht="45" customHeight="1" x14ac:dyDescent="0.25">
      <c r="A116" s="30">
        <v>110</v>
      </c>
      <c r="B116" s="100" t="s">
        <v>213</v>
      </c>
      <c r="C116" s="31">
        <v>1</v>
      </c>
      <c r="D116" s="32" t="s">
        <v>73</v>
      </c>
      <c r="E116" s="31">
        <f t="shared" si="236"/>
        <v>12</v>
      </c>
      <c r="F116" s="31" t="s">
        <v>226</v>
      </c>
      <c r="G116" s="31" t="s">
        <v>226</v>
      </c>
      <c r="H116" s="31" t="s">
        <v>226</v>
      </c>
      <c r="I116" s="31" t="s">
        <v>226</v>
      </c>
      <c r="J116" s="31" t="s">
        <v>226</v>
      </c>
      <c r="K116" s="31" t="s">
        <v>226</v>
      </c>
      <c r="L116" s="31" t="s">
        <v>226</v>
      </c>
      <c r="M116" s="31" t="s">
        <v>226</v>
      </c>
      <c r="N116" s="31" t="s">
        <v>226</v>
      </c>
      <c r="O116" s="31" t="s">
        <v>226</v>
      </c>
      <c r="P116" s="31" t="s">
        <v>226</v>
      </c>
      <c r="Q116" s="31" t="s">
        <v>226</v>
      </c>
      <c r="R116" s="31" t="s">
        <v>226</v>
      </c>
      <c r="S116" s="31" t="s">
        <v>226</v>
      </c>
      <c r="T116" s="31" t="s">
        <v>226</v>
      </c>
      <c r="U116" s="31" t="s">
        <v>226</v>
      </c>
      <c r="V116" s="31" t="s">
        <v>226</v>
      </c>
      <c r="W116" s="31" t="s">
        <v>226</v>
      </c>
      <c r="X116" s="31" t="s">
        <v>226</v>
      </c>
      <c r="Y116" s="31" t="s">
        <v>226</v>
      </c>
      <c r="Z116" s="31" t="s">
        <v>226</v>
      </c>
      <c r="AA116" s="31" t="s">
        <v>226</v>
      </c>
      <c r="AB116" s="31" t="s">
        <v>226</v>
      </c>
      <c r="AC116" s="31" t="s">
        <v>226</v>
      </c>
      <c r="AD116" s="31" t="s">
        <v>226</v>
      </c>
      <c r="AE116" s="31" t="s">
        <v>226</v>
      </c>
      <c r="AF116" s="31" t="s">
        <v>226</v>
      </c>
      <c r="AG116" s="31" t="s">
        <v>226</v>
      </c>
      <c r="AH116" s="31" t="s">
        <v>226</v>
      </c>
      <c r="AI116" s="31" t="s">
        <v>226</v>
      </c>
      <c r="AJ116" s="31" t="s">
        <v>226</v>
      </c>
      <c r="AK116" s="31" t="s">
        <v>226</v>
      </c>
      <c r="AL116" s="31" t="s">
        <v>226</v>
      </c>
      <c r="AM116" s="31"/>
      <c r="AN116" s="31"/>
      <c r="AO116" s="96">
        <v>19</v>
      </c>
      <c r="AP116" s="33">
        <f t="shared" si="192"/>
        <v>1.5833333333333333</v>
      </c>
      <c r="AQ116" s="34">
        <f t="shared" si="193"/>
        <v>19</v>
      </c>
      <c r="AR116" s="35"/>
      <c r="AS116" s="36">
        <f t="shared" si="237"/>
        <v>1.5833333333333333</v>
      </c>
      <c r="AT116" s="36">
        <f t="shared" si="238"/>
        <v>19</v>
      </c>
      <c r="AU116" s="36">
        <f t="shared" si="239"/>
        <v>1.7258333333333333</v>
      </c>
      <c r="AV116" s="36">
        <f t="shared" si="194"/>
        <v>20.71</v>
      </c>
      <c r="AW116" s="37"/>
      <c r="AX116" s="38">
        <f t="shared" si="219"/>
        <v>0</v>
      </c>
      <c r="AY116" s="38">
        <f t="shared" si="240"/>
        <v>-1.7258333333333333</v>
      </c>
      <c r="AZ116" s="38">
        <f t="shared" si="220"/>
        <v>-20.71</v>
      </c>
      <c r="BA116" s="39" t="e">
        <f t="shared" si="241"/>
        <v>#DIV/0!</v>
      </c>
      <c r="BB116" s="41"/>
      <c r="BC116" s="119">
        <f t="shared" si="198"/>
        <v>0</v>
      </c>
      <c r="BD116" s="108">
        <v>0.16350000000000001</v>
      </c>
      <c r="BE116" s="120">
        <f t="shared" si="174"/>
        <v>0</v>
      </c>
      <c r="BF116" s="121">
        <f t="shared" si="199"/>
        <v>0</v>
      </c>
      <c r="BG116" s="121">
        <f t="shared" si="176"/>
        <v>0</v>
      </c>
      <c r="BH116" s="122">
        <f t="shared" si="177"/>
        <v>0</v>
      </c>
      <c r="BI116" s="121">
        <f t="shared" si="178"/>
        <v>0</v>
      </c>
      <c r="BJ116" s="123" t="e">
        <f t="shared" si="200"/>
        <v>#DIV/0!</v>
      </c>
      <c r="BK116" s="124" t="e">
        <f t="shared" si="201"/>
        <v>#DIV/0!</v>
      </c>
      <c r="BL116" s="125" t="s">
        <v>226</v>
      </c>
    </row>
    <row r="117" spans="1:64" ht="45" customHeight="1" x14ac:dyDescent="0.25">
      <c r="A117" s="30">
        <v>111</v>
      </c>
      <c r="B117" s="100" t="s">
        <v>209</v>
      </c>
      <c r="C117" s="31">
        <v>1</v>
      </c>
      <c r="D117" s="32" t="s">
        <v>24</v>
      </c>
      <c r="E117" s="31">
        <f t="shared" ref="E117" si="242">D117*C117</f>
        <v>24</v>
      </c>
      <c r="F117" s="31" t="s">
        <v>226</v>
      </c>
      <c r="G117" s="31" t="s">
        <v>226</v>
      </c>
      <c r="H117" s="31" t="s">
        <v>226</v>
      </c>
      <c r="I117" s="31" t="s">
        <v>226</v>
      </c>
      <c r="J117" s="31" t="s">
        <v>226</v>
      </c>
      <c r="K117" s="31" t="s">
        <v>226</v>
      </c>
      <c r="L117" s="31" t="s">
        <v>226</v>
      </c>
      <c r="M117" s="31" t="s">
        <v>226</v>
      </c>
      <c r="N117" s="31" t="s">
        <v>226</v>
      </c>
      <c r="O117" s="31" t="s">
        <v>226</v>
      </c>
      <c r="P117" s="31" t="s">
        <v>226</v>
      </c>
      <c r="Q117" s="31" t="s">
        <v>226</v>
      </c>
      <c r="R117" s="31" t="s">
        <v>226</v>
      </c>
      <c r="S117" s="31" t="s">
        <v>226</v>
      </c>
      <c r="T117" s="31" t="s">
        <v>226</v>
      </c>
      <c r="U117" s="31" t="s">
        <v>226</v>
      </c>
      <c r="V117" s="31" t="s">
        <v>226</v>
      </c>
      <c r="W117" s="31" t="s">
        <v>226</v>
      </c>
      <c r="X117" s="31" t="s">
        <v>226</v>
      </c>
      <c r="Y117" s="31" t="s">
        <v>226</v>
      </c>
      <c r="Z117" s="31" t="s">
        <v>226</v>
      </c>
      <c r="AA117" s="31" t="s">
        <v>226</v>
      </c>
      <c r="AB117" s="31" t="s">
        <v>226</v>
      </c>
      <c r="AC117" s="31" t="s">
        <v>226</v>
      </c>
      <c r="AD117" s="31" t="s">
        <v>226</v>
      </c>
      <c r="AE117" s="31" t="s">
        <v>226</v>
      </c>
      <c r="AF117" s="31" t="s">
        <v>226</v>
      </c>
      <c r="AG117" s="31" t="s">
        <v>226</v>
      </c>
      <c r="AH117" s="31" t="s">
        <v>226</v>
      </c>
      <c r="AI117" s="31" t="s">
        <v>226</v>
      </c>
      <c r="AJ117" s="31" t="s">
        <v>226</v>
      </c>
      <c r="AK117" s="31" t="s">
        <v>226</v>
      </c>
      <c r="AL117" s="31" t="s">
        <v>226</v>
      </c>
      <c r="AM117" s="31"/>
      <c r="AN117" s="31"/>
      <c r="AO117" s="96">
        <v>17.2</v>
      </c>
      <c r="AP117" s="33">
        <f t="shared" si="192"/>
        <v>0.71666666666666667</v>
      </c>
      <c r="AQ117" s="34">
        <f t="shared" si="193"/>
        <v>17.2</v>
      </c>
      <c r="AR117" s="35"/>
      <c r="AS117" s="36">
        <f t="shared" ref="AS117" si="243">AP117/$AZ$2</f>
        <v>0.71666666666666667</v>
      </c>
      <c r="AT117" s="36">
        <f t="shared" ref="AT117" si="244">AQ117/$AZ$2</f>
        <v>17.2</v>
      </c>
      <c r="AU117" s="36">
        <f t="shared" si="239"/>
        <v>0.78116666666666679</v>
      </c>
      <c r="AV117" s="36">
        <f t="shared" si="194"/>
        <v>18.748000000000005</v>
      </c>
      <c r="AW117" s="37"/>
      <c r="AX117" s="38">
        <f t="shared" si="219"/>
        <v>0</v>
      </c>
      <c r="AY117" s="38">
        <f t="shared" ref="AY117" si="245">AW117-AU117</f>
        <v>-0.78116666666666679</v>
      </c>
      <c r="AZ117" s="38">
        <f t="shared" si="220"/>
        <v>-18.748000000000005</v>
      </c>
      <c r="BA117" s="39" t="e">
        <f t="shared" ref="BA117" si="246">AY117/AW117</f>
        <v>#DIV/0!</v>
      </c>
      <c r="BB117" s="41"/>
      <c r="BC117" s="119">
        <f t="shared" si="198"/>
        <v>0</v>
      </c>
      <c r="BD117" s="108">
        <v>0.16350000000000001</v>
      </c>
      <c r="BE117" s="120">
        <f t="shared" si="174"/>
        <v>0</v>
      </c>
      <c r="BF117" s="121">
        <f t="shared" si="199"/>
        <v>0</v>
      </c>
      <c r="BG117" s="121">
        <f t="shared" si="176"/>
        <v>0</v>
      </c>
      <c r="BH117" s="122">
        <f t="shared" si="177"/>
        <v>0</v>
      </c>
      <c r="BI117" s="121">
        <f t="shared" si="178"/>
        <v>0</v>
      </c>
      <c r="BJ117" s="123" t="e">
        <f t="shared" si="200"/>
        <v>#DIV/0!</v>
      </c>
      <c r="BK117" s="124" t="e">
        <f t="shared" si="201"/>
        <v>#DIV/0!</v>
      </c>
      <c r="BL117" s="125">
        <v>1.05</v>
      </c>
    </row>
    <row r="118" spans="1:64" ht="45" customHeight="1" x14ac:dyDescent="0.25">
      <c r="A118" s="30">
        <v>112</v>
      </c>
      <c r="B118" s="100" t="s">
        <v>92</v>
      </c>
      <c r="C118" s="31">
        <v>1</v>
      </c>
      <c r="D118" s="32" t="s">
        <v>83</v>
      </c>
      <c r="E118" s="31">
        <f t="shared" si="0"/>
        <v>4</v>
      </c>
      <c r="F118" s="31" t="s">
        <v>226</v>
      </c>
      <c r="G118" s="31" t="s">
        <v>226</v>
      </c>
      <c r="H118" s="31" t="s">
        <v>226</v>
      </c>
      <c r="I118" s="31" t="s">
        <v>226</v>
      </c>
      <c r="J118" s="31" t="s">
        <v>226</v>
      </c>
      <c r="K118" s="31" t="s">
        <v>226</v>
      </c>
      <c r="L118" s="31" t="s">
        <v>226</v>
      </c>
      <c r="M118" s="31" t="s">
        <v>226</v>
      </c>
      <c r="N118" s="31" t="s">
        <v>226</v>
      </c>
      <c r="O118" s="31" t="s">
        <v>226</v>
      </c>
      <c r="P118" s="31" t="s">
        <v>226</v>
      </c>
      <c r="Q118" s="31" t="s">
        <v>226</v>
      </c>
      <c r="R118" s="31" t="s">
        <v>226</v>
      </c>
      <c r="S118" s="31" t="s">
        <v>226</v>
      </c>
      <c r="T118" s="31" t="s">
        <v>226</v>
      </c>
      <c r="U118" s="31" t="s">
        <v>226</v>
      </c>
      <c r="V118" s="31" t="s">
        <v>226</v>
      </c>
      <c r="W118" s="31" t="s">
        <v>226</v>
      </c>
      <c r="X118" s="31" t="s">
        <v>226</v>
      </c>
      <c r="Y118" s="31" t="s">
        <v>226</v>
      </c>
      <c r="Z118" s="31" t="s">
        <v>226</v>
      </c>
      <c r="AA118" s="31" t="s">
        <v>226</v>
      </c>
      <c r="AB118" s="31" t="s">
        <v>226</v>
      </c>
      <c r="AC118" s="31" t="s">
        <v>226</v>
      </c>
      <c r="AD118" s="31" t="s">
        <v>226</v>
      </c>
      <c r="AE118" s="31" t="s">
        <v>226</v>
      </c>
      <c r="AF118" s="31" t="s">
        <v>226</v>
      </c>
      <c r="AG118" s="31" t="s">
        <v>226</v>
      </c>
      <c r="AH118" s="31" t="s">
        <v>226</v>
      </c>
      <c r="AI118" s="31" t="s">
        <v>226</v>
      </c>
      <c r="AJ118" s="31" t="s">
        <v>226</v>
      </c>
      <c r="AK118" s="31" t="s">
        <v>226</v>
      </c>
      <c r="AL118" s="31" t="s">
        <v>226</v>
      </c>
      <c r="AM118" s="31"/>
      <c r="AN118" s="31"/>
      <c r="AO118" s="96">
        <v>8.9</v>
      </c>
      <c r="AP118" s="33">
        <f t="shared" ref="AP118:AP148" si="247">AO118/D118</f>
        <v>2.2250000000000001</v>
      </c>
      <c r="AQ118" s="34">
        <f t="shared" ref="AQ118:AQ148" si="248">AP118*E118</f>
        <v>8.9</v>
      </c>
      <c r="AR118" s="35"/>
      <c r="AS118" s="36">
        <f t="shared" si="197"/>
        <v>2.2250000000000001</v>
      </c>
      <c r="AT118" s="36">
        <f t="shared" si="197"/>
        <v>8.9</v>
      </c>
      <c r="AU118" s="36">
        <f t="shared" si="239"/>
        <v>2.4252500000000001</v>
      </c>
      <c r="AV118" s="36">
        <f t="shared" ref="AV118:AV148" si="249">AU118*E118</f>
        <v>9.7010000000000005</v>
      </c>
      <c r="AW118" s="37">
        <v>3.25</v>
      </c>
      <c r="AX118" s="38">
        <f t="shared" si="219"/>
        <v>13</v>
      </c>
      <c r="AY118" s="38">
        <f t="shared" si="7"/>
        <v>0.82474999999999987</v>
      </c>
      <c r="AZ118" s="38">
        <f t="shared" si="220"/>
        <v>3.2989999999999995</v>
      </c>
      <c r="BA118" s="39">
        <f t="shared" si="9"/>
        <v>0.25376923076923075</v>
      </c>
      <c r="BB118" s="41"/>
      <c r="BC118" s="119">
        <f t="shared" si="198"/>
        <v>3.25</v>
      </c>
      <c r="BD118" s="108">
        <v>0.16350000000000001</v>
      </c>
      <c r="BE118" s="120">
        <f t="shared" si="174"/>
        <v>3.7813750000000002</v>
      </c>
      <c r="BF118" s="121">
        <f t="shared" si="199"/>
        <v>0.53137500000000015</v>
      </c>
      <c r="BG118" s="121">
        <f t="shared" si="176"/>
        <v>4.3875000000000018E-2</v>
      </c>
      <c r="BH118" s="122">
        <f t="shared" si="177"/>
        <v>0.53137500000000015</v>
      </c>
      <c r="BI118" s="121">
        <f t="shared" si="178"/>
        <v>3.25</v>
      </c>
      <c r="BJ118" s="123">
        <f t="shared" si="200"/>
        <v>0.25376923076923075</v>
      </c>
      <c r="BK118" s="124">
        <f t="shared" si="201"/>
        <v>0</v>
      </c>
      <c r="BL118" s="125" t="s">
        <v>226</v>
      </c>
    </row>
    <row r="119" spans="1:64" ht="45" customHeight="1" x14ac:dyDescent="0.25">
      <c r="A119" s="30">
        <v>113</v>
      </c>
      <c r="B119" s="100" t="s">
        <v>93</v>
      </c>
      <c r="C119" s="31">
        <v>1</v>
      </c>
      <c r="D119" s="32" t="s">
        <v>73</v>
      </c>
      <c r="E119" s="31">
        <f t="shared" si="0"/>
        <v>12</v>
      </c>
      <c r="F119" s="31" t="s">
        <v>226</v>
      </c>
      <c r="G119" s="31" t="s">
        <v>226</v>
      </c>
      <c r="H119" s="31" t="s">
        <v>226</v>
      </c>
      <c r="I119" s="31" t="s">
        <v>226</v>
      </c>
      <c r="J119" s="31" t="s">
        <v>226</v>
      </c>
      <c r="K119" s="31" t="s">
        <v>226</v>
      </c>
      <c r="L119" s="31" t="s">
        <v>226</v>
      </c>
      <c r="M119" s="31" t="s">
        <v>226</v>
      </c>
      <c r="N119" s="31" t="s">
        <v>226</v>
      </c>
      <c r="O119" s="31" t="s">
        <v>226</v>
      </c>
      <c r="P119" s="31" t="s">
        <v>226</v>
      </c>
      <c r="Q119" s="31" t="s">
        <v>226</v>
      </c>
      <c r="R119" s="31" t="s">
        <v>226</v>
      </c>
      <c r="S119" s="31" t="s">
        <v>226</v>
      </c>
      <c r="T119" s="128">
        <v>12.7</v>
      </c>
      <c r="U119" s="31" t="s">
        <v>226</v>
      </c>
      <c r="V119" s="31" t="s">
        <v>226</v>
      </c>
      <c r="W119" s="31" t="s">
        <v>226</v>
      </c>
      <c r="X119" s="31" t="s">
        <v>226</v>
      </c>
      <c r="Y119" s="31" t="s">
        <v>226</v>
      </c>
      <c r="Z119" s="31" t="s">
        <v>226</v>
      </c>
      <c r="AA119" s="31" t="s">
        <v>226</v>
      </c>
      <c r="AB119" s="31" t="s">
        <v>226</v>
      </c>
      <c r="AC119" s="31" t="s">
        <v>226</v>
      </c>
      <c r="AD119" s="31" t="s">
        <v>226</v>
      </c>
      <c r="AE119" s="31" t="s">
        <v>226</v>
      </c>
      <c r="AF119" s="31" t="s">
        <v>226</v>
      </c>
      <c r="AG119" s="31" t="s">
        <v>226</v>
      </c>
      <c r="AH119" s="31" t="s">
        <v>226</v>
      </c>
      <c r="AI119" s="31" t="s">
        <v>226</v>
      </c>
      <c r="AJ119" s="31" t="s">
        <v>226</v>
      </c>
      <c r="AK119" s="31" t="s">
        <v>226</v>
      </c>
      <c r="AL119" s="31" t="s">
        <v>226</v>
      </c>
      <c r="AM119" s="31"/>
      <c r="AN119" s="31"/>
      <c r="AO119" s="96">
        <v>12.3</v>
      </c>
      <c r="AP119" s="33">
        <f t="shared" si="247"/>
        <v>1.0250000000000001</v>
      </c>
      <c r="AQ119" s="34">
        <f t="shared" si="248"/>
        <v>12.3</v>
      </c>
      <c r="AR119" s="35"/>
      <c r="AS119" s="36">
        <f t="shared" si="197"/>
        <v>1.0250000000000001</v>
      </c>
      <c r="AT119" s="36">
        <f t="shared" si="197"/>
        <v>12.3</v>
      </c>
      <c r="AU119" s="36">
        <f t="shared" si="239"/>
        <v>1.1172500000000003</v>
      </c>
      <c r="AV119" s="36">
        <f t="shared" si="249"/>
        <v>13.407000000000004</v>
      </c>
      <c r="AW119" s="37">
        <v>1.75</v>
      </c>
      <c r="AX119" s="38">
        <f t="shared" si="219"/>
        <v>21</v>
      </c>
      <c r="AY119" s="38">
        <f t="shared" si="7"/>
        <v>0.6327499999999997</v>
      </c>
      <c r="AZ119" s="38">
        <f t="shared" si="220"/>
        <v>7.5929999999999964</v>
      </c>
      <c r="BA119" s="39">
        <f t="shared" si="9"/>
        <v>0.36157142857142838</v>
      </c>
      <c r="BB119" s="42"/>
      <c r="BC119" s="119">
        <f t="shared" si="198"/>
        <v>1.75</v>
      </c>
      <c r="BD119" s="108">
        <v>0.16350000000000001</v>
      </c>
      <c r="BE119" s="120">
        <f t="shared" si="174"/>
        <v>2.0361250000000002</v>
      </c>
      <c r="BF119" s="121">
        <f t="shared" si="199"/>
        <v>0.28612500000000018</v>
      </c>
      <c r="BG119" s="121">
        <f t="shared" si="176"/>
        <v>2.3625000000000018E-2</v>
      </c>
      <c r="BH119" s="122">
        <f t="shared" si="177"/>
        <v>0.28612500000000018</v>
      </c>
      <c r="BI119" s="121">
        <f t="shared" si="178"/>
        <v>1.75</v>
      </c>
      <c r="BJ119" s="123">
        <f t="shared" si="200"/>
        <v>0.36157142857142838</v>
      </c>
      <c r="BK119" s="124">
        <f t="shared" si="201"/>
        <v>0</v>
      </c>
      <c r="BL119" s="125">
        <v>1.55</v>
      </c>
    </row>
    <row r="120" spans="1:64" ht="45" customHeight="1" x14ac:dyDescent="0.25">
      <c r="A120" s="30">
        <v>114</v>
      </c>
      <c r="B120" s="101" t="s">
        <v>94</v>
      </c>
      <c r="C120" s="31">
        <v>1</v>
      </c>
      <c r="D120" s="32" t="s">
        <v>24</v>
      </c>
      <c r="E120" s="31">
        <f t="shared" si="0"/>
        <v>24</v>
      </c>
      <c r="F120" s="31" t="s">
        <v>226</v>
      </c>
      <c r="G120" s="31" t="s">
        <v>226</v>
      </c>
      <c r="H120" s="31" t="s">
        <v>226</v>
      </c>
      <c r="I120" s="31" t="s">
        <v>226</v>
      </c>
      <c r="J120" s="31" t="s">
        <v>226</v>
      </c>
      <c r="K120" s="31" t="s">
        <v>226</v>
      </c>
      <c r="L120" s="31" t="s">
        <v>226</v>
      </c>
      <c r="M120" s="31" t="s">
        <v>226</v>
      </c>
      <c r="N120" s="31" t="s">
        <v>226</v>
      </c>
      <c r="O120" s="31" t="s">
        <v>226</v>
      </c>
      <c r="P120" s="31" t="s">
        <v>226</v>
      </c>
      <c r="Q120" s="31" t="s">
        <v>226</v>
      </c>
      <c r="R120" s="31" t="s">
        <v>226</v>
      </c>
      <c r="S120" s="31" t="s">
        <v>226</v>
      </c>
      <c r="T120" s="31" t="s">
        <v>226</v>
      </c>
      <c r="U120" s="31" t="s">
        <v>226</v>
      </c>
      <c r="V120" s="31" t="s">
        <v>226</v>
      </c>
      <c r="W120" s="31" t="s">
        <v>226</v>
      </c>
      <c r="X120" s="31" t="s">
        <v>226</v>
      </c>
      <c r="Y120" s="31" t="s">
        <v>226</v>
      </c>
      <c r="Z120" s="31" t="s">
        <v>226</v>
      </c>
      <c r="AA120" s="31" t="s">
        <v>226</v>
      </c>
      <c r="AB120" s="31" t="s">
        <v>226</v>
      </c>
      <c r="AC120" s="31" t="s">
        <v>226</v>
      </c>
      <c r="AD120" s="31" t="s">
        <v>226</v>
      </c>
      <c r="AE120" s="31" t="s">
        <v>226</v>
      </c>
      <c r="AF120" s="31" t="s">
        <v>226</v>
      </c>
      <c r="AG120" s="31" t="s">
        <v>226</v>
      </c>
      <c r="AH120" s="31" t="s">
        <v>226</v>
      </c>
      <c r="AI120" s="31" t="s">
        <v>226</v>
      </c>
      <c r="AJ120" s="31" t="s">
        <v>226</v>
      </c>
      <c r="AK120" s="31" t="s">
        <v>226</v>
      </c>
      <c r="AL120" s="31" t="s">
        <v>226</v>
      </c>
      <c r="AM120" s="31"/>
      <c r="AN120" s="31"/>
      <c r="AO120" s="96">
        <v>13</v>
      </c>
      <c r="AP120" s="33">
        <f t="shared" si="247"/>
        <v>0.54166666666666663</v>
      </c>
      <c r="AQ120" s="34">
        <f t="shared" si="248"/>
        <v>13</v>
      </c>
      <c r="AR120" s="35"/>
      <c r="AS120" s="36">
        <f t="shared" si="197"/>
        <v>0.54166666666666663</v>
      </c>
      <c r="AT120" s="36">
        <f t="shared" si="197"/>
        <v>13</v>
      </c>
      <c r="AU120" s="36">
        <f t="shared" si="239"/>
        <v>0.5904166666666667</v>
      </c>
      <c r="AV120" s="36">
        <f t="shared" si="249"/>
        <v>14.170000000000002</v>
      </c>
      <c r="AW120" s="37">
        <v>0.8</v>
      </c>
      <c r="AX120" s="38">
        <f t="shared" si="219"/>
        <v>19.200000000000003</v>
      </c>
      <c r="AY120" s="38">
        <f t="shared" si="7"/>
        <v>0.20958333333333334</v>
      </c>
      <c r="AZ120" s="38">
        <f t="shared" si="220"/>
        <v>5.03</v>
      </c>
      <c r="BA120" s="39">
        <f t="shared" si="9"/>
        <v>0.26197916666666665</v>
      </c>
      <c r="BB120" s="42"/>
      <c r="BC120" s="119">
        <f t="shared" si="198"/>
        <v>0.8</v>
      </c>
      <c r="BD120" s="108">
        <v>0.16350000000000001</v>
      </c>
      <c r="BE120" s="120">
        <f t="shared" si="174"/>
        <v>0.93080000000000007</v>
      </c>
      <c r="BF120" s="121">
        <f t="shared" si="199"/>
        <v>0.13080000000000003</v>
      </c>
      <c r="BG120" s="121">
        <f t="shared" si="176"/>
        <v>1.0800000000000002E-2</v>
      </c>
      <c r="BH120" s="122">
        <f t="shared" si="177"/>
        <v>0.13080000000000003</v>
      </c>
      <c r="BI120" s="121">
        <f t="shared" si="178"/>
        <v>0.8</v>
      </c>
      <c r="BJ120" s="123">
        <f t="shared" si="200"/>
        <v>0.26197916666666665</v>
      </c>
      <c r="BK120" s="124">
        <f t="shared" si="201"/>
        <v>0</v>
      </c>
      <c r="BL120" s="125">
        <v>0.7</v>
      </c>
    </row>
    <row r="121" spans="1:64" ht="45" customHeight="1" x14ac:dyDescent="0.25">
      <c r="A121" s="30">
        <v>115</v>
      </c>
      <c r="B121" s="103" t="s">
        <v>95</v>
      </c>
      <c r="C121" s="31">
        <v>1</v>
      </c>
      <c r="D121" s="32" t="s">
        <v>24</v>
      </c>
      <c r="E121" s="31">
        <f t="shared" si="0"/>
        <v>24</v>
      </c>
      <c r="F121" s="31" t="s">
        <v>226</v>
      </c>
      <c r="G121" s="31" t="s">
        <v>226</v>
      </c>
      <c r="H121" s="31" t="s">
        <v>226</v>
      </c>
      <c r="I121" s="31" t="s">
        <v>226</v>
      </c>
      <c r="J121" s="31" t="s">
        <v>226</v>
      </c>
      <c r="K121" s="31" t="s">
        <v>226</v>
      </c>
      <c r="L121" s="31" t="s">
        <v>226</v>
      </c>
      <c r="M121" s="31" t="s">
        <v>226</v>
      </c>
      <c r="N121" s="31" t="s">
        <v>226</v>
      </c>
      <c r="O121" s="31" t="s">
        <v>226</v>
      </c>
      <c r="P121" s="31" t="s">
        <v>226</v>
      </c>
      <c r="Q121" s="31" t="s">
        <v>226</v>
      </c>
      <c r="R121" s="31" t="s">
        <v>226</v>
      </c>
      <c r="S121" s="31" t="s">
        <v>226</v>
      </c>
      <c r="T121" s="31" t="s">
        <v>226</v>
      </c>
      <c r="U121" s="31" t="s">
        <v>226</v>
      </c>
      <c r="V121" s="31" t="s">
        <v>226</v>
      </c>
      <c r="W121" s="31" t="s">
        <v>226</v>
      </c>
      <c r="X121" s="31" t="s">
        <v>226</v>
      </c>
      <c r="Y121" s="31" t="s">
        <v>226</v>
      </c>
      <c r="Z121" s="31" t="s">
        <v>226</v>
      </c>
      <c r="AA121" s="31" t="s">
        <v>226</v>
      </c>
      <c r="AB121" s="31" t="s">
        <v>226</v>
      </c>
      <c r="AC121" s="31" t="s">
        <v>226</v>
      </c>
      <c r="AD121" s="31" t="s">
        <v>226</v>
      </c>
      <c r="AE121" s="31" t="s">
        <v>226</v>
      </c>
      <c r="AF121" s="31" t="s">
        <v>226</v>
      </c>
      <c r="AG121" s="31" t="s">
        <v>226</v>
      </c>
      <c r="AH121" s="31" t="s">
        <v>226</v>
      </c>
      <c r="AI121" s="31" t="s">
        <v>226</v>
      </c>
      <c r="AJ121" s="31" t="s">
        <v>226</v>
      </c>
      <c r="AK121" s="31" t="s">
        <v>226</v>
      </c>
      <c r="AL121" s="31" t="s">
        <v>226</v>
      </c>
      <c r="AM121" s="31"/>
      <c r="AN121" s="31"/>
      <c r="AO121" s="96">
        <v>13</v>
      </c>
      <c r="AP121" s="33">
        <f t="shared" si="247"/>
        <v>0.54166666666666663</v>
      </c>
      <c r="AQ121" s="34">
        <f t="shared" si="248"/>
        <v>13</v>
      </c>
      <c r="AR121" s="35"/>
      <c r="AS121" s="36">
        <f t="shared" si="197"/>
        <v>0.54166666666666663</v>
      </c>
      <c r="AT121" s="36">
        <f t="shared" si="197"/>
        <v>13</v>
      </c>
      <c r="AU121" s="36">
        <f t="shared" si="239"/>
        <v>0.5904166666666667</v>
      </c>
      <c r="AV121" s="36">
        <f t="shared" si="249"/>
        <v>14.170000000000002</v>
      </c>
      <c r="AW121" s="37">
        <v>0.8</v>
      </c>
      <c r="AX121" s="38">
        <f t="shared" si="219"/>
        <v>19.200000000000003</v>
      </c>
      <c r="AY121" s="38">
        <f t="shared" si="7"/>
        <v>0.20958333333333334</v>
      </c>
      <c r="AZ121" s="38">
        <f t="shared" si="220"/>
        <v>5.03</v>
      </c>
      <c r="BA121" s="39">
        <f t="shared" si="9"/>
        <v>0.26197916666666665</v>
      </c>
      <c r="BB121" s="43"/>
      <c r="BC121" s="119">
        <f t="shared" si="198"/>
        <v>0.8</v>
      </c>
      <c r="BD121" s="108">
        <v>0.16350000000000001</v>
      </c>
      <c r="BE121" s="120">
        <f t="shared" si="174"/>
        <v>0.93080000000000007</v>
      </c>
      <c r="BF121" s="121">
        <f t="shared" si="199"/>
        <v>0.13080000000000003</v>
      </c>
      <c r="BG121" s="121">
        <f t="shared" si="176"/>
        <v>1.0800000000000002E-2</v>
      </c>
      <c r="BH121" s="122">
        <f t="shared" si="177"/>
        <v>0.13080000000000003</v>
      </c>
      <c r="BI121" s="121">
        <f t="shared" si="178"/>
        <v>0.8</v>
      </c>
      <c r="BJ121" s="123">
        <f t="shared" si="200"/>
        <v>0.26197916666666665</v>
      </c>
      <c r="BK121" s="124">
        <f t="shared" si="201"/>
        <v>0</v>
      </c>
      <c r="BL121" s="125">
        <v>0.7</v>
      </c>
    </row>
    <row r="122" spans="1:64" ht="45" customHeight="1" x14ac:dyDescent="0.25">
      <c r="A122" s="30">
        <v>116</v>
      </c>
      <c r="B122" s="106" t="s">
        <v>96</v>
      </c>
      <c r="C122" s="31">
        <v>1</v>
      </c>
      <c r="D122" s="32" t="s">
        <v>24</v>
      </c>
      <c r="E122" s="31">
        <f t="shared" si="0"/>
        <v>24</v>
      </c>
      <c r="F122" s="31" t="s">
        <v>226</v>
      </c>
      <c r="G122" s="31" t="s">
        <v>226</v>
      </c>
      <c r="H122" s="31" t="s">
        <v>226</v>
      </c>
      <c r="I122" s="31" t="s">
        <v>226</v>
      </c>
      <c r="J122" s="31" t="s">
        <v>226</v>
      </c>
      <c r="K122" s="31" t="s">
        <v>226</v>
      </c>
      <c r="L122" s="31" t="s">
        <v>226</v>
      </c>
      <c r="M122" s="31" t="s">
        <v>226</v>
      </c>
      <c r="N122" s="31" t="s">
        <v>226</v>
      </c>
      <c r="O122" s="31" t="s">
        <v>226</v>
      </c>
      <c r="P122" s="31" t="s">
        <v>226</v>
      </c>
      <c r="Q122" s="31" t="s">
        <v>226</v>
      </c>
      <c r="R122" s="31" t="s">
        <v>226</v>
      </c>
      <c r="S122" s="31" t="s">
        <v>226</v>
      </c>
      <c r="T122" s="31" t="s">
        <v>226</v>
      </c>
      <c r="U122" s="31" t="s">
        <v>226</v>
      </c>
      <c r="V122" s="31" t="s">
        <v>226</v>
      </c>
      <c r="W122" s="31" t="s">
        <v>226</v>
      </c>
      <c r="X122" s="31" t="s">
        <v>226</v>
      </c>
      <c r="Y122" s="31" t="s">
        <v>226</v>
      </c>
      <c r="Z122" s="31" t="s">
        <v>226</v>
      </c>
      <c r="AA122" s="31" t="s">
        <v>226</v>
      </c>
      <c r="AB122" s="31" t="s">
        <v>226</v>
      </c>
      <c r="AC122" s="31" t="s">
        <v>226</v>
      </c>
      <c r="AD122" s="31" t="s">
        <v>226</v>
      </c>
      <c r="AE122" s="31" t="s">
        <v>226</v>
      </c>
      <c r="AF122" s="31" t="s">
        <v>226</v>
      </c>
      <c r="AG122" s="31" t="s">
        <v>226</v>
      </c>
      <c r="AH122" s="31" t="s">
        <v>226</v>
      </c>
      <c r="AI122" s="31" t="s">
        <v>226</v>
      </c>
      <c r="AJ122" s="31" t="s">
        <v>226</v>
      </c>
      <c r="AK122" s="31" t="s">
        <v>226</v>
      </c>
      <c r="AL122" s="31" t="s">
        <v>226</v>
      </c>
      <c r="AM122" s="31"/>
      <c r="AN122" s="31"/>
      <c r="AO122" s="96">
        <v>13</v>
      </c>
      <c r="AP122" s="33">
        <f t="shared" si="247"/>
        <v>0.54166666666666663</v>
      </c>
      <c r="AQ122" s="34">
        <f t="shared" si="248"/>
        <v>13</v>
      </c>
      <c r="AR122" s="35"/>
      <c r="AS122" s="36">
        <f t="shared" si="197"/>
        <v>0.54166666666666663</v>
      </c>
      <c r="AT122" s="36">
        <f t="shared" si="197"/>
        <v>13</v>
      </c>
      <c r="AU122" s="36">
        <f t="shared" si="239"/>
        <v>0.5904166666666667</v>
      </c>
      <c r="AV122" s="36">
        <f t="shared" si="249"/>
        <v>14.170000000000002</v>
      </c>
      <c r="AW122" s="37">
        <v>0.8</v>
      </c>
      <c r="AX122" s="38">
        <f t="shared" si="219"/>
        <v>19.200000000000003</v>
      </c>
      <c r="AY122" s="38">
        <f t="shared" si="7"/>
        <v>0.20958333333333334</v>
      </c>
      <c r="AZ122" s="38">
        <f t="shared" si="220"/>
        <v>5.03</v>
      </c>
      <c r="BA122" s="39">
        <f t="shared" si="9"/>
        <v>0.26197916666666665</v>
      </c>
      <c r="BB122" s="40"/>
      <c r="BC122" s="119">
        <f t="shared" si="198"/>
        <v>0.8</v>
      </c>
      <c r="BD122" s="108">
        <v>0.16350000000000001</v>
      </c>
      <c r="BE122" s="120">
        <f t="shared" si="174"/>
        <v>0.93080000000000007</v>
      </c>
      <c r="BF122" s="121">
        <f t="shared" si="199"/>
        <v>0.13080000000000003</v>
      </c>
      <c r="BG122" s="121">
        <f t="shared" si="176"/>
        <v>1.0800000000000002E-2</v>
      </c>
      <c r="BH122" s="122">
        <f t="shared" si="177"/>
        <v>0.13080000000000003</v>
      </c>
      <c r="BI122" s="121">
        <f t="shared" si="178"/>
        <v>0.8</v>
      </c>
      <c r="BJ122" s="123">
        <f t="shared" si="200"/>
        <v>0.26197916666666665</v>
      </c>
      <c r="BK122" s="124">
        <f t="shared" si="201"/>
        <v>0</v>
      </c>
      <c r="BL122" s="125">
        <v>0.7</v>
      </c>
    </row>
    <row r="123" spans="1:64" ht="45" customHeight="1" x14ac:dyDescent="0.25">
      <c r="A123" s="30">
        <v>117</v>
      </c>
      <c r="B123" s="106" t="s">
        <v>201</v>
      </c>
      <c r="C123" s="31">
        <v>1</v>
      </c>
      <c r="D123" s="32" t="s">
        <v>25</v>
      </c>
      <c r="E123" s="31">
        <f t="shared" ref="E123" si="250">D123*C123</f>
        <v>6</v>
      </c>
      <c r="F123" s="31" t="s">
        <v>226</v>
      </c>
      <c r="G123" s="31" t="s">
        <v>226</v>
      </c>
      <c r="H123" s="31" t="s">
        <v>226</v>
      </c>
      <c r="I123" s="31" t="s">
        <v>226</v>
      </c>
      <c r="J123" s="31" t="s">
        <v>226</v>
      </c>
      <c r="K123" s="31" t="s">
        <v>226</v>
      </c>
      <c r="L123" s="31" t="s">
        <v>226</v>
      </c>
      <c r="M123" s="31" t="s">
        <v>226</v>
      </c>
      <c r="N123" s="31" t="s">
        <v>226</v>
      </c>
      <c r="O123" s="31" t="s">
        <v>226</v>
      </c>
      <c r="P123" s="31" t="s">
        <v>226</v>
      </c>
      <c r="Q123" s="31" t="s">
        <v>226</v>
      </c>
      <c r="R123" s="31" t="s">
        <v>226</v>
      </c>
      <c r="S123" s="31" t="s">
        <v>226</v>
      </c>
      <c r="T123" s="31" t="s">
        <v>226</v>
      </c>
      <c r="U123" s="31" t="s">
        <v>226</v>
      </c>
      <c r="V123" s="31" t="s">
        <v>226</v>
      </c>
      <c r="W123" s="31" t="s">
        <v>226</v>
      </c>
      <c r="X123" s="31" t="s">
        <v>226</v>
      </c>
      <c r="Y123" s="31" t="s">
        <v>226</v>
      </c>
      <c r="Z123" s="31" t="s">
        <v>226</v>
      </c>
      <c r="AA123" s="31" t="s">
        <v>226</v>
      </c>
      <c r="AB123" s="31" t="s">
        <v>226</v>
      </c>
      <c r="AC123" s="31" t="s">
        <v>226</v>
      </c>
      <c r="AD123" s="31" t="s">
        <v>226</v>
      </c>
      <c r="AE123" s="31" t="s">
        <v>226</v>
      </c>
      <c r="AF123" s="31" t="s">
        <v>226</v>
      </c>
      <c r="AG123" s="31" t="s">
        <v>226</v>
      </c>
      <c r="AH123" s="31" t="s">
        <v>226</v>
      </c>
      <c r="AI123" s="31" t="s">
        <v>226</v>
      </c>
      <c r="AJ123" s="31" t="s">
        <v>226</v>
      </c>
      <c r="AK123" s="31" t="s">
        <v>226</v>
      </c>
      <c r="AL123" s="31" t="s">
        <v>226</v>
      </c>
      <c r="AM123" s="31"/>
      <c r="AN123" s="31"/>
      <c r="AO123" s="96">
        <v>26.5</v>
      </c>
      <c r="AP123" s="33">
        <f t="shared" si="247"/>
        <v>4.416666666666667</v>
      </c>
      <c r="AQ123" s="34">
        <f t="shared" si="248"/>
        <v>26.5</v>
      </c>
      <c r="AR123" s="35"/>
      <c r="AS123" s="36">
        <f t="shared" si="197"/>
        <v>4.416666666666667</v>
      </c>
      <c r="AT123" s="36">
        <f t="shared" si="197"/>
        <v>26.5</v>
      </c>
      <c r="AU123" s="36">
        <f t="shared" si="239"/>
        <v>4.8141666666666669</v>
      </c>
      <c r="AV123" s="36">
        <f t="shared" si="249"/>
        <v>28.885000000000002</v>
      </c>
      <c r="AW123" s="37"/>
      <c r="AX123" s="38">
        <f t="shared" si="219"/>
        <v>0</v>
      </c>
      <c r="AY123" s="38">
        <f t="shared" ref="AY123" si="251">AW123-AU123</f>
        <v>-4.8141666666666669</v>
      </c>
      <c r="AZ123" s="38">
        <f t="shared" si="220"/>
        <v>-28.885000000000002</v>
      </c>
      <c r="BA123" s="39" t="e">
        <f t="shared" ref="BA123" si="252">AY123/AW123</f>
        <v>#DIV/0!</v>
      </c>
      <c r="BB123" s="42"/>
      <c r="BC123" s="119">
        <f t="shared" si="198"/>
        <v>0</v>
      </c>
      <c r="BD123" s="108">
        <v>0.16350000000000001</v>
      </c>
      <c r="BE123" s="120">
        <f t="shared" si="174"/>
        <v>0</v>
      </c>
      <c r="BF123" s="121">
        <f t="shared" si="199"/>
        <v>0</v>
      </c>
      <c r="BG123" s="121">
        <f t="shared" si="176"/>
        <v>0</v>
      </c>
      <c r="BH123" s="122">
        <f t="shared" si="177"/>
        <v>0</v>
      </c>
      <c r="BI123" s="121">
        <f t="shared" si="178"/>
        <v>0</v>
      </c>
      <c r="BJ123" s="123" t="e">
        <f t="shared" si="200"/>
        <v>#DIV/0!</v>
      </c>
      <c r="BK123" s="124" t="e">
        <f t="shared" si="201"/>
        <v>#DIV/0!</v>
      </c>
      <c r="BL123" s="125" t="s">
        <v>226</v>
      </c>
    </row>
    <row r="124" spans="1:64" ht="45" customHeight="1" x14ac:dyDescent="0.25">
      <c r="A124" s="30">
        <v>118</v>
      </c>
      <c r="B124" s="106" t="s">
        <v>200</v>
      </c>
      <c r="C124" s="31">
        <v>1</v>
      </c>
      <c r="D124" s="32" t="s">
        <v>73</v>
      </c>
      <c r="E124" s="31">
        <f t="shared" ref="E124" si="253">D124*C124</f>
        <v>12</v>
      </c>
      <c r="F124" s="31" t="s">
        <v>226</v>
      </c>
      <c r="G124" s="31" t="s">
        <v>226</v>
      </c>
      <c r="H124" s="31" t="s">
        <v>226</v>
      </c>
      <c r="I124" s="31" t="s">
        <v>226</v>
      </c>
      <c r="J124" s="31" t="s">
        <v>226</v>
      </c>
      <c r="K124" s="31" t="s">
        <v>226</v>
      </c>
      <c r="L124" s="31" t="s">
        <v>226</v>
      </c>
      <c r="M124" s="31" t="s">
        <v>226</v>
      </c>
      <c r="N124" s="31" t="s">
        <v>226</v>
      </c>
      <c r="O124" s="31" t="s">
        <v>226</v>
      </c>
      <c r="P124" s="31" t="s">
        <v>226</v>
      </c>
      <c r="Q124" s="31" t="s">
        <v>226</v>
      </c>
      <c r="R124" s="31" t="s">
        <v>226</v>
      </c>
      <c r="S124" s="31" t="s">
        <v>226</v>
      </c>
      <c r="T124" s="31" t="s">
        <v>226</v>
      </c>
      <c r="U124" s="31" t="s">
        <v>226</v>
      </c>
      <c r="V124" s="31" t="s">
        <v>226</v>
      </c>
      <c r="W124" s="31" t="s">
        <v>226</v>
      </c>
      <c r="X124" s="31" t="s">
        <v>226</v>
      </c>
      <c r="Y124" s="31" t="s">
        <v>226</v>
      </c>
      <c r="Z124" s="31" t="s">
        <v>226</v>
      </c>
      <c r="AA124" s="31" t="s">
        <v>226</v>
      </c>
      <c r="AB124" s="31" t="s">
        <v>226</v>
      </c>
      <c r="AC124" s="31" t="s">
        <v>226</v>
      </c>
      <c r="AD124" s="31" t="s">
        <v>226</v>
      </c>
      <c r="AE124" s="31" t="s">
        <v>226</v>
      </c>
      <c r="AF124" s="31" t="s">
        <v>226</v>
      </c>
      <c r="AG124" s="31" t="s">
        <v>226</v>
      </c>
      <c r="AH124" s="31" t="s">
        <v>226</v>
      </c>
      <c r="AI124" s="31" t="s">
        <v>226</v>
      </c>
      <c r="AJ124" s="31" t="s">
        <v>226</v>
      </c>
      <c r="AK124" s="31" t="s">
        <v>226</v>
      </c>
      <c r="AL124" s="31" t="s">
        <v>226</v>
      </c>
      <c r="AM124" s="31"/>
      <c r="AN124" s="31"/>
      <c r="AO124" s="96">
        <v>18.850000000000001</v>
      </c>
      <c r="AP124" s="33">
        <f t="shared" si="247"/>
        <v>1.5708333333333335</v>
      </c>
      <c r="AQ124" s="34">
        <f t="shared" si="248"/>
        <v>18.850000000000001</v>
      </c>
      <c r="AR124" s="35"/>
      <c r="AS124" s="36">
        <f>AP124/$AZ$2</f>
        <v>1.5708333333333335</v>
      </c>
      <c r="AT124" s="36">
        <f>AQ124/$AZ$2</f>
        <v>18.850000000000001</v>
      </c>
      <c r="AU124" s="36">
        <f t="shared" si="239"/>
        <v>1.7122083333333338</v>
      </c>
      <c r="AV124" s="36">
        <f t="shared" si="249"/>
        <v>20.546500000000005</v>
      </c>
      <c r="AW124" s="37">
        <v>2.5</v>
      </c>
      <c r="AX124" s="38">
        <f t="shared" si="219"/>
        <v>30</v>
      </c>
      <c r="AY124" s="38">
        <f t="shared" ref="AY124" si="254">AW124-AU124</f>
        <v>0.78779166666666622</v>
      </c>
      <c r="AZ124" s="38">
        <f t="shared" si="220"/>
        <v>9.4534999999999947</v>
      </c>
      <c r="BA124" s="39">
        <f t="shared" ref="BA124" si="255">AY124/AW124</f>
        <v>0.31511666666666649</v>
      </c>
      <c r="BB124" s="42"/>
      <c r="BC124" s="119">
        <f t="shared" si="198"/>
        <v>2.5</v>
      </c>
      <c r="BD124" s="108">
        <v>0.16350000000000001</v>
      </c>
      <c r="BE124" s="120">
        <f t="shared" si="174"/>
        <v>2.9087499999999999</v>
      </c>
      <c r="BF124" s="121">
        <f t="shared" si="199"/>
        <v>0.40874999999999995</v>
      </c>
      <c r="BG124" s="121">
        <f t="shared" si="176"/>
        <v>3.3749999999999995E-2</v>
      </c>
      <c r="BH124" s="122">
        <f t="shared" si="177"/>
        <v>0.40874999999999995</v>
      </c>
      <c r="BI124" s="121">
        <f t="shared" si="178"/>
        <v>2.5</v>
      </c>
      <c r="BJ124" s="123">
        <f t="shared" si="200"/>
        <v>0.31511666666666649</v>
      </c>
      <c r="BK124" s="124">
        <f t="shared" si="201"/>
        <v>0</v>
      </c>
      <c r="BL124" s="125" t="s">
        <v>226</v>
      </c>
    </row>
    <row r="125" spans="1:64" ht="45" customHeight="1" x14ac:dyDescent="0.25">
      <c r="A125" s="30">
        <v>119</v>
      </c>
      <c r="B125" s="106" t="s">
        <v>90</v>
      </c>
      <c r="C125" s="31">
        <v>1</v>
      </c>
      <c r="D125" s="32" t="s">
        <v>73</v>
      </c>
      <c r="E125" s="31">
        <f t="shared" ref="E125:E185" si="256">D125*C125</f>
        <v>12</v>
      </c>
      <c r="F125" s="31" t="s">
        <v>226</v>
      </c>
      <c r="G125" s="31" t="s">
        <v>226</v>
      </c>
      <c r="H125" s="31" t="s">
        <v>226</v>
      </c>
      <c r="I125" s="31" t="s">
        <v>226</v>
      </c>
      <c r="J125" s="31" t="s">
        <v>226</v>
      </c>
      <c r="K125" s="31" t="s">
        <v>226</v>
      </c>
      <c r="L125" s="31" t="s">
        <v>226</v>
      </c>
      <c r="M125" s="31" t="s">
        <v>226</v>
      </c>
      <c r="N125" s="31" t="s">
        <v>226</v>
      </c>
      <c r="O125" s="31" t="s">
        <v>226</v>
      </c>
      <c r="P125" s="31" t="s">
        <v>226</v>
      </c>
      <c r="Q125" s="31" t="s">
        <v>226</v>
      </c>
      <c r="R125" s="31" t="s">
        <v>226</v>
      </c>
      <c r="S125" s="31" t="s">
        <v>226</v>
      </c>
      <c r="T125" s="31" t="s">
        <v>226</v>
      </c>
      <c r="U125" s="31" t="s">
        <v>226</v>
      </c>
      <c r="V125" s="31" t="s">
        <v>226</v>
      </c>
      <c r="W125" s="31" t="s">
        <v>226</v>
      </c>
      <c r="X125" s="31" t="s">
        <v>226</v>
      </c>
      <c r="Y125" s="31" t="s">
        <v>226</v>
      </c>
      <c r="Z125" s="31" t="s">
        <v>226</v>
      </c>
      <c r="AA125" s="31" t="s">
        <v>226</v>
      </c>
      <c r="AB125" s="31" t="s">
        <v>226</v>
      </c>
      <c r="AC125" s="31" t="s">
        <v>226</v>
      </c>
      <c r="AD125" s="31" t="s">
        <v>226</v>
      </c>
      <c r="AE125" s="31" t="s">
        <v>226</v>
      </c>
      <c r="AF125" s="31" t="s">
        <v>226</v>
      </c>
      <c r="AG125" s="31" t="s">
        <v>226</v>
      </c>
      <c r="AH125" s="31" t="s">
        <v>226</v>
      </c>
      <c r="AI125" s="31" t="s">
        <v>226</v>
      </c>
      <c r="AJ125" s="31" t="s">
        <v>226</v>
      </c>
      <c r="AK125" s="31" t="s">
        <v>226</v>
      </c>
      <c r="AL125" s="31" t="s">
        <v>226</v>
      </c>
      <c r="AM125" s="31"/>
      <c r="AN125" s="31"/>
      <c r="AO125" s="96">
        <v>18.850000000000001</v>
      </c>
      <c r="AP125" s="33">
        <f t="shared" si="247"/>
        <v>1.5708333333333335</v>
      </c>
      <c r="AQ125" s="34">
        <f t="shared" si="248"/>
        <v>18.850000000000001</v>
      </c>
      <c r="AR125" s="35"/>
      <c r="AS125" s="36">
        <f t="shared" si="197"/>
        <v>1.5708333333333335</v>
      </c>
      <c r="AT125" s="36">
        <f t="shared" si="197"/>
        <v>18.850000000000001</v>
      </c>
      <c r="AU125" s="36">
        <f t="shared" si="239"/>
        <v>1.7122083333333338</v>
      </c>
      <c r="AV125" s="36">
        <f t="shared" si="249"/>
        <v>20.546500000000005</v>
      </c>
      <c r="AW125" s="37">
        <v>2.5</v>
      </c>
      <c r="AX125" s="38">
        <f t="shared" si="219"/>
        <v>30</v>
      </c>
      <c r="AY125" s="38">
        <f t="shared" ref="AY125:AY185" si="257">AW125-AU125</f>
        <v>0.78779166666666622</v>
      </c>
      <c r="AZ125" s="38">
        <f t="shared" si="220"/>
        <v>9.4534999999999947</v>
      </c>
      <c r="BA125" s="39">
        <f t="shared" ref="BA125:BA185" si="258">AY125/AW125</f>
        <v>0.31511666666666649</v>
      </c>
      <c r="BB125" s="42"/>
      <c r="BC125" s="119">
        <f t="shared" si="198"/>
        <v>2.5</v>
      </c>
      <c r="BD125" s="108">
        <v>0.16350000000000001</v>
      </c>
      <c r="BE125" s="120">
        <f t="shared" si="174"/>
        <v>2.9087499999999999</v>
      </c>
      <c r="BF125" s="121">
        <f t="shared" si="199"/>
        <v>0.40874999999999995</v>
      </c>
      <c r="BG125" s="121">
        <f t="shared" si="176"/>
        <v>3.3749999999999995E-2</v>
      </c>
      <c r="BH125" s="122">
        <f t="shared" si="177"/>
        <v>0.40874999999999995</v>
      </c>
      <c r="BI125" s="121">
        <f t="shared" si="178"/>
        <v>2.5</v>
      </c>
      <c r="BJ125" s="123">
        <f t="shared" si="200"/>
        <v>0.31511666666666649</v>
      </c>
      <c r="BK125" s="124">
        <f t="shared" si="201"/>
        <v>0</v>
      </c>
      <c r="BL125" s="125" t="s">
        <v>226</v>
      </c>
    </row>
    <row r="126" spans="1:64" ht="45" customHeight="1" x14ac:dyDescent="0.25">
      <c r="A126" s="30">
        <v>120</v>
      </c>
      <c r="B126" s="101" t="s">
        <v>139</v>
      </c>
      <c r="C126" s="31">
        <v>1</v>
      </c>
      <c r="D126" s="32" t="s">
        <v>75</v>
      </c>
      <c r="E126" s="31">
        <f t="shared" si="256"/>
        <v>48</v>
      </c>
      <c r="F126" s="31" t="s">
        <v>226</v>
      </c>
      <c r="G126" s="31" t="s">
        <v>226</v>
      </c>
      <c r="H126" s="31" t="s">
        <v>226</v>
      </c>
      <c r="I126" s="31" t="s">
        <v>226</v>
      </c>
      <c r="J126" s="31" t="s">
        <v>226</v>
      </c>
      <c r="K126" s="31" t="s">
        <v>226</v>
      </c>
      <c r="L126" s="31" t="s">
        <v>226</v>
      </c>
      <c r="M126" s="31" t="s">
        <v>226</v>
      </c>
      <c r="N126" s="31" t="s">
        <v>226</v>
      </c>
      <c r="O126" s="31" t="s">
        <v>226</v>
      </c>
      <c r="P126" s="31" t="s">
        <v>226</v>
      </c>
      <c r="Q126" s="31" t="s">
        <v>226</v>
      </c>
      <c r="R126" s="31" t="s">
        <v>226</v>
      </c>
      <c r="S126" s="31" t="s">
        <v>226</v>
      </c>
      <c r="T126" s="31" t="s">
        <v>226</v>
      </c>
      <c r="U126" s="31" t="s">
        <v>226</v>
      </c>
      <c r="V126" s="31" t="s">
        <v>226</v>
      </c>
      <c r="W126" s="31" t="s">
        <v>226</v>
      </c>
      <c r="X126" s="31" t="s">
        <v>226</v>
      </c>
      <c r="Y126" s="31" t="s">
        <v>226</v>
      </c>
      <c r="Z126" s="31" t="s">
        <v>226</v>
      </c>
      <c r="AA126" s="31" t="s">
        <v>226</v>
      </c>
      <c r="AB126" s="31" t="s">
        <v>226</v>
      </c>
      <c r="AC126" s="31" t="s">
        <v>226</v>
      </c>
      <c r="AD126" s="31" t="s">
        <v>226</v>
      </c>
      <c r="AE126" s="31" t="s">
        <v>226</v>
      </c>
      <c r="AF126" s="31" t="s">
        <v>226</v>
      </c>
      <c r="AG126" s="31" t="s">
        <v>226</v>
      </c>
      <c r="AH126" s="31" t="s">
        <v>226</v>
      </c>
      <c r="AI126" s="31" t="s">
        <v>226</v>
      </c>
      <c r="AJ126" s="31" t="s">
        <v>226</v>
      </c>
      <c r="AK126" s="31" t="s">
        <v>226</v>
      </c>
      <c r="AL126" s="31" t="s">
        <v>226</v>
      </c>
      <c r="AM126" s="31"/>
      <c r="AN126" s="31"/>
      <c r="AO126" s="96">
        <v>20.5</v>
      </c>
      <c r="AP126" s="33">
        <f t="shared" si="247"/>
        <v>0.42708333333333331</v>
      </c>
      <c r="AQ126" s="34">
        <f t="shared" si="248"/>
        <v>20.5</v>
      </c>
      <c r="AR126" s="35"/>
      <c r="AS126" s="36">
        <f t="shared" si="197"/>
        <v>0.42708333333333331</v>
      </c>
      <c r="AT126" s="36">
        <f t="shared" si="197"/>
        <v>20.5</v>
      </c>
      <c r="AU126" s="36">
        <f t="shared" si="239"/>
        <v>0.46552083333333333</v>
      </c>
      <c r="AV126" s="36">
        <f t="shared" si="249"/>
        <v>22.344999999999999</v>
      </c>
      <c r="AW126" s="37">
        <v>0.6</v>
      </c>
      <c r="AX126" s="38">
        <f t="shared" si="219"/>
        <v>28.799999999999997</v>
      </c>
      <c r="AY126" s="38">
        <f t="shared" si="257"/>
        <v>0.13447916666666665</v>
      </c>
      <c r="AZ126" s="38">
        <f t="shared" si="220"/>
        <v>6.4549999999999992</v>
      </c>
      <c r="BA126" s="39">
        <f t="shared" si="258"/>
        <v>0.22413194444444443</v>
      </c>
      <c r="BB126" s="42"/>
      <c r="BC126" s="119">
        <f t="shared" si="198"/>
        <v>0.6</v>
      </c>
      <c r="BD126" s="108">
        <v>0.16350000000000001</v>
      </c>
      <c r="BE126" s="120">
        <f t="shared" si="174"/>
        <v>0.69809999999999994</v>
      </c>
      <c r="BF126" s="121">
        <f t="shared" si="199"/>
        <v>9.8099999999999965E-2</v>
      </c>
      <c r="BG126" s="121">
        <f t="shared" si="176"/>
        <v>8.0999999999999978E-3</v>
      </c>
      <c r="BH126" s="122">
        <f t="shared" si="177"/>
        <v>9.8099999999999965E-2</v>
      </c>
      <c r="BI126" s="121">
        <f t="shared" si="178"/>
        <v>0.6</v>
      </c>
      <c r="BJ126" s="123">
        <f t="shared" si="200"/>
        <v>0.22413194444444443</v>
      </c>
      <c r="BK126" s="124">
        <f t="shared" si="201"/>
        <v>0</v>
      </c>
      <c r="BL126" s="125" t="s">
        <v>226</v>
      </c>
    </row>
    <row r="127" spans="1:64" ht="45" customHeight="1" x14ac:dyDescent="0.25">
      <c r="A127" s="30">
        <v>121</v>
      </c>
      <c r="B127" s="101" t="s">
        <v>146</v>
      </c>
      <c r="C127" s="31">
        <v>1</v>
      </c>
      <c r="D127" s="32" t="s">
        <v>73</v>
      </c>
      <c r="E127" s="31">
        <f t="shared" si="256"/>
        <v>12</v>
      </c>
      <c r="F127" s="31" t="s">
        <v>226</v>
      </c>
      <c r="G127" s="31" t="s">
        <v>226</v>
      </c>
      <c r="H127" s="31" t="s">
        <v>226</v>
      </c>
      <c r="I127" s="31" t="s">
        <v>226</v>
      </c>
      <c r="J127" s="31" t="s">
        <v>226</v>
      </c>
      <c r="K127" s="31" t="s">
        <v>226</v>
      </c>
      <c r="L127" s="31" t="s">
        <v>226</v>
      </c>
      <c r="M127" s="31" t="s">
        <v>226</v>
      </c>
      <c r="N127" s="31" t="s">
        <v>226</v>
      </c>
      <c r="O127" s="31" t="s">
        <v>226</v>
      </c>
      <c r="P127" s="31" t="s">
        <v>226</v>
      </c>
      <c r="Q127" s="31" t="s">
        <v>226</v>
      </c>
      <c r="R127" s="31" t="s">
        <v>226</v>
      </c>
      <c r="S127" s="31" t="s">
        <v>226</v>
      </c>
      <c r="T127" s="31" t="s">
        <v>226</v>
      </c>
      <c r="U127" s="31" t="s">
        <v>226</v>
      </c>
      <c r="V127" s="31" t="s">
        <v>226</v>
      </c>
      <c r="W127" s="31" t="s">
        <v>226</v>
      </c>
      <c r="X127" s="31" t="s">
        <v>226</v>
      </c>
      <c r="Y127" s="31" t="s">
        <v>226</v>
      </c>
      <c r="Z127" s="31" t="s">
        <v>226</v>
      </c>
      <c r="AA127" s="31" t="s">
        <v>226</v>
      </c>
      <c r="AB127" s="31" t="s">
        <v>226</v>
      </c>
      <c r="AC127" s="31" t="s">
        <v>226</v>
      </c>
      <c r="AD127" s="31" t="s">
        <v>226</v>
      </c>
      <c r="AE127" s="31" t="s">
        <v>226</v>
      </c>
      <c r="AF127" s="31" t="s">
        <v>226</v>
      </c>
      <c r="AG127" s="31" t="s">
        <v>226</v>
      </c>
      <c r="AH127" s="31" t="s">
        <v>226</v>
      </c>
      <c r="AI127" s="31" t="s">
        <v>226</v>
      </c>
      <c r="AJ127" s="31" t="s">
        <v>226</v>
      </c>
      <c r="AK127" s="31" t="s">
        <v>226</v>
      </c>
      <c r="AL127" s="31" t="s">
        <v>226</v>
      </c>
      <c r="AM127" s="31"/>
      <c r="AN127" s="31"/>
      <c r="AO127" s="96">
        <v>21</v>
      </c>
      <c r="AP127" s="33">
        <f t="shared" si="247"/>
        <v>1.75</v>
      </c>
      <c r="AQ127" s="34">
        <f t="shared" si="248"/>
        <v>21</v>
      </c>
      <c r="AR127" s="35"/>
      <c r="AS127" s="36">
        <f t="shared" si="197"/>
        <v>1.75</v>
      </c>
      <c r="AT127" s="36">
        <f t="shared" si="197"/>
        <v>21</v>
      </c>
      <c r="AU127" s="36">
        <f t="shared" si="239"/>
        <v>1.9075000000000002</v>
      </c>
      <c r="AV127" s="36">
        <f t="shared" si="249"/>
        <v>22.89</v>
      </c>
      <c r="AW127" s="37">
        <v>2.25</v>
      </c>
      <c r="AX127" s="38">
        <f t="shared" si="219"/>
        <v>27</v>
      </c>
      <c r="AY127" s="38">
        <f t="shared" si="257"/>
        <v>0.3424999999999998</v>
      </c>
      <c r="AZ127" s="38">
        <f t="shared" si="220"/>
        <v>4.1099999999999977</v>
      </c>
      <c r="BA127" s="39">
        <f t="shared" si="258"/>
        <v>0.15222222222222215</v>
      </c>
      <c r="BB127" s="42"/>
      <c r="BC127" s="119">
        <f t="shared" si="198"/>
        <v>2.25</v>
      </c>
      <c r="BD127" s="108">
        <v>0.16350000000000001</v>
      </c>
      <c r="BE127" s="120">
        <f t="shared" si="174"/>
        <v>2.6178750000000002</v>
      </c>
      <c r="BF127" s="121">
        <f t="shared" si="199"/>
        <v>0.36787500000000017</v>
      </c>
      <c r="BG127" s="121">
        <f t="shared" si="176"/>
        <v>3.0375000000000017E-2</v>
      </c>
      <c r="BH127" s="122">
        <f t="shared" si="177"/>
        <v>0.36787500000000017</v>
      </c>
      <c r="BI127" s="121">
        <f t="shared" si="178"/>
        <v>2.25</v>
      </c>
      <c r="BJ127" s="123">
        <f t="shared" si="200"/>
        <v>0.15222222222222215</v>
      </c>
      <c r="BK127" s="124">
        <f t="shared" si="201"/>
        <v>0</v>
      </c>
      <c r="BL127" s="125" t="s">
        <v>226</v>
      </c>
    </row>
    <row r="128" spans="1:64" ht="45" customHeight="1" x14ac:dyDescent="0.25">
      <c r="A128" s="30">
        <v>122</v>
      </c>
      <c r="B128" s="101" t="s">
        <v>163</v>
      </c>
      <c r="C128" s="31">
        <v>1</v>
      </c>
      <c r="D128" s="32" t="s">
        <v>73</v>
      </c>
      <c r="E128" s="31">
        <f t="shared" ref="E128" si="259">D128*C128</f>
        <v>12</v>
      </c>
      <c r="F128" s="31" t="s">
        <v>226</v>
      </c>
      <c r="G128" s="31" t="s">
        <v>226</v>
      </c>
      <c r="H128" s="31" t="s">
        <v>226</v>
      </c>
      <c r="I128" s="31" t="s">
        <v>226</v>
      </c>
      <c r="J128" s="31" t="s">
        <v>226</v>
      </c>
      <c r="K128" s="31" t="s">
        <v>226</v>
      </c>
      <c r="L128" s="31" t="s">
        <v>226</v>
      </c>
      <c r="M128" s="31" t="s">
        <v>226</v>
      </c>
      <c r="N128" s="31" t="s">
        <v>226</v>
      </c>
      <c r="O128" s="31" t="s">
        <v>226</v>
      </c>
      <c r="P128" s="31" t="s">
        <v>226</v>
      </c>
      <c r="Q128" s="31" t="s">
        <v>226</v>
      </c>
      <c r="R128" s="31" t="s">
        <v>226</v>
      </c>
      <c r="S128" s="31" t="s">
        <v>226</v>
      </c>
      <c r="T128" s="31" t="s">
        <v>226</v>
      </c>
      <c r="U128" s="31" t="s">
        <v>226</v>
      </c>
      <c r="V128" s="31" t="s">
        <v>226</v>
      </c>
      <c r="W128" s="31" t="s">
        <v>226</v>
      </c>
      <c r="X128" s="31" t="s">
        <v>226</v>
      </c>
      <c r="Y128" s="31" t="s">
        <v>226</v>
      </c>
      <c r="Z128" s="31" t="s">
        <v>226</v>
      </c>
      <c r="AA128" s="31" t="s">
        <v>226</v>
      </c>
      <c r="AB128" s="31" t="s">
        <v>226</v>
      </c>
      <c r="AC128" s="31" t="s">
        <v>226</v>
      </c>
      <c r="AD128" s="31" t="s">
        <v>226</v>
      </c>
      <c r="AE128" s="31" t="s">
        <v>226</v>
      </c>
      <c r="AF128" s="31" t="s">
        <v>226</v>
      </c>
      <c r="AG128" s="31" t="s">
        <v>226</v>
      </c>
      <c r="AH128" s="31" t="s">
        <v>226</v>
      </c>
      <c r="AI128" s="31" t="s">
        <v>226</v>
      </c>
      <c r="AJ128" s="31" t="s">
        <v>226</v>
      </c>
      <c r="AK128" s="31" t="s">
        <v>226</v>
      </c>
      <c r="AL128" s="31" t="s">
        <v>226</v>
      </c>
      <c r="AM128" s="31"/>
      <c r="AN128" s="31"/>
      <c r="AO128" s="96">
        <v>21</v>
      </c>
      <c r="AP128" s="33">
        <f t="shared" si="247"/>
        <v>1.75</v>
      </c>
      <c r="AQ128" s="34">
        <f t="shared" si="248"/>
        <v>21</v>
      </c>
      <c r="AR128" s="35"/>
      <c r="AS128" s="36">
        <f t="shared" ref="AS128" si="260">AP128/$AZ$2</f>
        <v>1.75</v>
      </c>
      <c r="AT128" s="36">
        <f t="shared" ref="AT128" si="261">AQ128/$AZ$2</f>
        <v>21</v>
      </c>
      <c r="AU128" s="36">
        <f t="shared" si="239"/>
        <v>1.9075000000000002</v>
      </c>
      <c r="AV128" s="36">
        <f t="shared" si="249"/>
        <v>22.89</v>
      </c>
      <c r="AW128" s="37">
        <v>2.25</v>
      </c>
      <c r="AX128" s="38">
        <f t="shared" si="219"/>
        <v>27</v>
      </c>
      <c r="AY128" s="38">
        <f t="shared" ref="AY128" si="262">AW128-AU128</f>
        <v>0.3424999999999998</v>
      </c>
      <c r="AZ128" s="38">
        <f t="shared" si="220"/>
        <v>4.1099999999999977</v>
      </c>
      <c r="BA128" s="39">
        <f t="shared" ref="BA128" si="263">AY128/AW128</f>
        <v>0.15222222222222215</v>
      </c>
      <c r="BB128" s="42"/>
      <c r="BC128" s="119">
        <f t="shared" si="198"/>
        <v>2.25</v>
      </c>
      <c r="BD128" s="108">
        <v>0.16350000000000001</v>
      </c>
      <c r="BE128" s="120">
        <f t="shared" si="174"/>
        <v>2.6178750000000002</v>
      </c>
      <c r="BF128" s="121">
        <f t="shared" si="199"/>
        <v>0.36787500000000017</v>
      </c>
      <c r="BG128" s="121">
        <f t="shared" si="176"/>
        <v>3.0375000000000017E-2</v>
      </c>
      <c r="BH128" s="122">
        <f t="shared" si="177"/>
        <v>0.36787500000000017</v>
      </c>
      <c r="BI128" s="121">
        <f t="shared" si="178"/>
        <v>2.25</v>
      </c>
      <c r="BJ128" s="123">
        <f t="shared" si="200"/>
        <v>0.15222222222222215</v>
      </c>
      <c r="BK128" s="124">
        <f t="shared" si="201"/>
        <v>0</v>
      </c>
      <c r="BL128" s="125" t="s">
        <v>226</v>
      </c>
    </row>
    <row r="129" spans="1:64" ht="45" customHeight="1" x14ac:dyDescent="0.25">
      <c r="A129" s="30">
        <v>123</v>
      </c>
      <c r="B129" s="101" t="s">
        <v>140</v>
      </c>
      <c r="C129" s="31">
        <v>1</v>
      </c>
      <c r="D129" s="32" t="s">
        <v>75</v>
      </c>
      <c r="E129" s="31">
        <f t="shared" ref="E129:E130" si="264">D129*C129</f>
        <v>48</v>
      </c>
      <c r="F129" s="31" t="s">
        <v>226</v>
      </c>
      <c r="G129" s="31" t="s">
        <v>226</v>
      </c>
      <c r="H129" s="31" t="s">
        <v>226</v>
      </c>
      <c r="I129" s="31" t="s">
        <v>226</v>
      </c>
      <c r="J129" s="31" t="s">
        <v>226</v>
      </c>
      <c r="K129" s="31" t="s">
        <v>226</v>
      </c>
      <c r="L129" s="31" t="s">
        <v>226</v>
      </c>
      <c r="M129" s="31" t="s">
        <v>226</v>
      </c>
      <c r="N129" s="31" t="s">
        <v>226</v>
      </c>
      <c r="O129" s="31" t="s">
        <v>226</v>
      </c>
      <c r="P129" s="31" t="s">
        <v>226</v>
      </c>
      <c r="Q129" s="31" t="s">
        <v>226</v>
      </c>
      <c r="R129" s="31" t="s">
        <v>226</v>
      </c>
      <c r="S129" s="31" t="s">
        <v>226</v>
      </c>
      <c r="T129" s="31" t="s">
        <v>226</v>
      </c>
      <c r="U129" s="31" t="s">
        <v>226</v>
      </c>
      <c r="V129" s="31" t="s">
        <v>226</v>
      </c>
      <c r="W129" s="31" t="s">
        <v>226</v>
      </c>
      <c r="X129" s="31" t="s">
        <v>226</v>
      </c>
      <c r="Y129" s="31" t="s">
        <v>226</v>
      </c>
      <c r="Z129" s="31" t="s">
        <v>226</v>
      </c>
      <c r="AA129" s="31" t="s">
        <v>226</v>
      </c>
      <c r="AB129" s="31" t="s">
        <v>226</v>
      </c>
      <c r="AC129" s="31" t="s">
        <v>226</v>
      </c>
      <c r="AD129" s="31" t="s">
        <v>226</v>
      </c>
      <c r="AE129" s="31" t="s">
        <v>226</v>
      </c>
      <c r="AF129" s="31" t="s">
        <v>226</v>
      </c>
      <c r="AG129" s="31" t="s">
        <v>226</v>
      </c>
      <c r="AH129" s="31" t="s">
        <v>226</v>
      </c>
      <c r="AI129" s="31" t="s">
        <v>226</v>
      </c>
      <c r="AJ129" s="31" t="s">
        <v>226</v>
      </c>
      <c r="AK129" s="31" t="s">
        <v>226</v>
      </c>
      <c r="AL129" s="31" t="s">
        <v>226</v>
      </c>
      <c r="AM129" s="31"/>
      <c r="AN129" s="31"/>
      <c r="AO129" s="96">
        <v>20.5</v>
      </c>
      <c r="AP129" s="33">
        <f t="shared" si="247"/>
        <v>0.42708333333333331</v>
      </c>
      <c r="AQ129" s="34">
        <f t="shared" si="248"/>
        <v>20.5</v>
      </c>
      <c r="AR129" s="35"/>
      <c r="AS129" s="36">
        <f t="shared" ref="AS129:AS130" si="265">AP129/$AZ$2</f>
        <v>0.42708333333333331</v>
      </c>
      <c r="AT129" s="36">
        <f t="shared" ref="AT129:AT130" si="266">AQ129/$AZ$2</f>
        <v>20.5</v>
      </c>
      <c r="AU129" s="36">
        <f t="shared" si="239"/>
        <v>0.46552083333333333</v>
      </c>
      <c r="AV129" s="36">
        <f t="shared" si="249"/>
        <v>22.344999999999999</v>
      </c>
      <c r="AW129" s="37">
        <v>0.6</v>
      </c>
      <c r="AX129" s="38">
        <f t="shared" si="219"/>
        <v>28.799999999999997</v>
      </c>
      <c r="AY129" s="38">
        <f t="shared" ref="AY129:AY130" si="267">AW129-AU129</f>
        <v>0.13447916666666665</v>
      </c>
      <c r="AZ129" s="38">
        <f t="shared" si="220"/>
        <v>6.4549999999999992</v>
      </c>
      <c r="BA129" s="39">
        <f t="shared" ref="BA129:BA130" si="268">AY129/AW129</f>
        <v>0.22413194444444443</v>
      </c>
      <c r="BB129" s="42"/>
      <c r="BC129" s="119">
        <f t="shared" si="198"/>
        <v>0.6</v>
      </c>
      <c r="BD129" s="108">
        <v>0.16350000000000001</v>
      </c>
      <c r="BE129" s="120">
        <f t="shared" si="174"/>
        <v>0.69809999999999994</v>
      </c>
      <c r="BF129" s="121">
        <f t="shared" si="199"/>
        <v>9.8099999999999965E-2</v>
      </c>
      <c r="BG129" s="121">
        <f t="shared" si="176"/>
        <v>8.0999999999999978E-3</v>
      </c>
      <c r="BH129" s="122">
        <f t="shared" si="177"/>
        <v>9.8099999999999965E-2</v>
      </c>
      <c r="BI129" s="121">
        <f t="shared" si="178"/>
        <v>0.6</v>
      </c>
      <c r="BJ129" s="123">
        <f t="shared" si="200"/>
        <v>0.22413194444444443</v>
      </c>
      <c r="BK129" s="124">
        <f t="shared" si="201"/>
        <v>0</v>
      </c>
      <c r="BL129" s="125" t="s">
        <v>226</v>
      </c>
    </row>
    <row r="130" spans="1:64" ht="45" customHeight="1" x14ac:dyDescent="0.25">
      <c r="A130" s="30">
        <v>124</v>
      </c>
      <c r="B130" s="101" t="s">
        <v>91</v>
      </c>
      <c r="C130" s="31">
        <v>1</v>
      </c>
      <c r="D130" s="32" t="s">
        <v>73</v>
      </c>
      <c r="E130" s="31">
        <f t="shared" si="264"/>
        <v>12</v>
      </c>
      <c r="F130" s="31" t="s">
        <v>226</v>
      </c>
      <c r="G130" s="31" t="s">
        <v>226</v>
      </c>
      <c r="H130" s="31" t="s">
        <v>226</v>
      </c>
      <c r="I130" s="31" t="s">
        <v>226</v>
      </c>
      <c r="J130" s="31" t="s">
        <v>226</v>
      </c>
      <c r="K130" s="31" t="s">
        <v>226</v>
      </c>
      <c r="L130" s="31" t="s">
        <v>226</v>
      </c>
      <c r="M130" s="31" t="s">
        <v>226</v>
      </c>
      <c r="N130" s="31" t="s">
        <v>226</v>
      </c>
      <c r="O130" s="31" t="s">
        <v>226</v>
      </c>
      <c r="P130" s="31" t="s">
        <v>226</v>
      </c>
      <c r="Q130" s="31" t="s">
        <v>226</v>
      </c>
      <c r="R130" s="31" t="s">
        <v>226</v>
      </c>
      <c r="S130" s="31" t="s">
        <v>226</v>
      </c>
      <c r="T130" s="31" t="s">
        <v>226</v>
      </c>
      <c r="U130" s="31" t="s">
        <v>226</v>
      </c>
      <c r="V130" s="31" t="s">
        <v>226</v>
      </c>
      <c r="W130" s="31" t="s">
        <v>226</v>
      </c>
      <c r="X130" s="31" t="s">
        <v>226</v>
      </c>
      <c r="Y130" s="31" t="s">
        <v>226</v>
      </c>
      <c r="Z130" s="31" t="s">
        <v>226</v>
      </c>
      <c r="AA130" s="31" t="s">
        <v>226</v>
      </c>
      <c r="AB130" s="31" t="s">
        <v>226</v>
      </c>
      <c r="AC130" s="31" t="s">
        <v>226</v>
      </c>
      <c r="AD130" s="31" t="s">
        <v>226</v>
      </c>
      <c r="AE130" s="31" t="s">
        <v>226</v>
      </c>
      <c r="AF130" s="31" t="s">
        <v>226</v>
      </c>
      <c r="AG130" s="31" t="s">
        <v>226</v>
      </c>
      <c r="AH130" s="31" t="s">
        <v>226</v>
      </c>
      <c r="AI130" s="31" t="s">
        <v>226</v>
      </c>
      <c r="AJ130" s="31" t="s">
        <v>226</v>
      </c>
      <c r="AK130" s="31" t="s">
        <v>226</v>
      </c>
      <c r="AL130" s="31" t="s">
        <v>226</v>
      </c>
      <c r="AM130" s="31"/>
      <c r="AN130" s="31"/>
      <c r="AO130" s="96">
        <v>18.850000000000001</v>
      </c>
      <c r="AP130" s="33">
        <f t="shared" si="247"/>
        <v>1.5708333333333335</v>
      </c>
      <c r="AQ130" s="34">
        <f t="shared" si="248"/>
        <v>18.850000000000001</v>
      </c>
      <c r="AR130" s="35"/>
      <c r="AS130" s="36">
        <f t="shared" si="265"/>
        <v>1.5708333333333335</v>
      </c>
      <c r="AT130" s="36">
        <f t="shared" si="266"/>
        <v>18.850000000000001</v>
      </c>
      <c r="AU130" s="36">
        <f t="shared" si="239"/>
        <v>1.7122083333333338</v>
      </c>
      <c r="AV130" s="36">
        <f t="shared" si="249"/>
        <v>20.546500000000005</v>
      </c>
      <c r="AW130" s="37">
        <v>2.5</v>
      </c>
      <c r="AX130" s="38">
        <f t="shared" si="219"/>
        <v>30</v>
      </c>
      <c r="AY130" s="38">
        <f t="shared" si="267"/>
        <v>0.78779166666666622</v>
      </c>
      <c r="AZ130" s="38">
        <f t="shared" si="220"/>
        <v>9.4534999999999947</v>
      </c>
      <c r="BA130" s="39">
        <f t="shared" si="268"/>
        <v>0.31511666666666649</v>
      </c>
      <c r="BB130" s="42"/>
      <c r="BC130" s="119">
        <f t="shared" si="198"/>
        <v>2.5</v>
      </c>
      <c r="BD130" s="108">
        <v>0.16350000000000001</v>
      </c>
      <c r="BE130" s="120">
        <f t="shared" si="174"/>
        <v>2.9087499999999999</v>
      </c>
      <c r="BF130" s="121">
        <f t="shared" si="199"/>
        <v>0.40874999999999995</v>
      </c>
      <c r="BG130" s="121">
        <f t="shared" si="176"/>
        <v>3.3749999999999995E-2</v>
      </c>
      <c r="BH130" s="122">
        <f t="shared" si="177"/>
        <v>0.40874999999999995</v>
      </c>
      <c r="BI130" s="121">
        <f t="shared" si="178"/>
        <v>2.5</v>
      </c>
      <c r="BJ130" s="123">
        <f t="shared" si="200"/>
        <v>0.31511666666666649</v>
      </c>
      <c r="BK130" s="124">
        <f t="shared" si="201"/>
        <v>0</v>
      </c>
      <c r="BL130" s="125" t="s">
        <v>226</v>
      </c>
    </row>
    <row r="131" spans="1:64" ht="45" customHeight="1" x14ac:dyDescent="0.25">
      <c r="A131" s="30">
        <v>125</v>
      </c>
      <c r="B131" s="101" t="s">
        <v>97</v>
      </c>
      <c r="C131" s="31">
        <v>1</v>
      </c>
      <c r="D131" s="32" t="s">
        <v>136</v>
      </c>
      <c r="E131" s="31">
        <f t="shared" si="256"/>
        <v>10</v>
      </c>
      <c r="F131" s="31" t="s">
        <v>226</v>
      </c>
      <c r="G131" s="31" t="s">
        <v>226</v>
      </c>
      <c r="H131" s="31" t="s">
        <v>226</v>
      </c>
      <c r="I131" s="31" t="s">
        <v>226</v>
      </c>
      <c r="J131" s="31" t="s">
        <v>226</v>
      </c>
      <c r="K131" s="31" t="s">
        <v>226</v>
      </c>
      <c r="L131" s="31" t="s">
        <v>226</v>
      </c>
      <c r="M131" s="31" t="s">
        <v>226</v>
      </c>
      <c r="N131" s="31" t="s">
        <v>226</v>
      </c>
      <c r="O131" s="31" t="s">
        <v>226</v>
      </c>
      <c r="P131" s="31" t="s">
        <v>226</v>
      </c>
      <c r="Q131" s="31" t="s">
        <v>226</v>
      </c>
      <c r="R131" s="31" t="s">
        <v>226</v>
      </c>
      <c r="S131" s="31" t="s">
        <v>226</v>
      </c>
      <c r="T131" s="31" t="s">
        <v>226</v>
      </c>
      <c r="U131" s="31" t="s">
        <v>226</v>
      </c>
      <c r="V131" s="31" t="s">
        <v>226</v>
      </c>
      <c r="W131" s="31" t="s">
        <v>226</v>
      </c>
      <c r="X131" s="31" t="s">
        <v>226</v>
      </c>
      <c r="Y131" s="31" t="s">
        <v>226</v>
      </c>
      <c r="Z131" s="31" t="s">
        <v>226</v>
      </c>
      <c r="AA131" s="31" t="s">
        <v>226</v>
      </c>
      <c r="AB131" s="31" t="s">
        <v>226</v>
      </c>
      <c r="AC131" s="31" t="s">
        <v>226</v>
      </c>
      <c r="AD131" s="31" t="s">
        <v>226</v>
      </c>
      <c r="AE131" s="31" t="s">
        <v>226</v>
      </c>
      <c r="AF131" s="31" t="s">
        <v>226</v>
      </c>
      <c r="AG131" s="31" t="s">
        <v>226</v>
      </c>
      <c r="AH131" s="31" t="s">
        <v>226</v>
      </c>
      <c r="AI131" s="31" t="s">
        <v>226</v>
      </c>
      <c r="AJ131" s="31" t="s">
        <v>226</v>
      </c>
      <c r="AK131" s="31" t="s">
        <v>226</v>
      </c>
      <c r="AL131" s="31" t="s">
        <v>226</v>
      </c>
      <c r="AM131" s="31"/>
      <c r="AN131" s="31"/>
      <c r="AO131" s="96">
        <v>13.5</v>
      </c>
      <c r="AP131" s="33">
        <f t="shared" si="247"/>
        <v>1.35</v>
      </c>
      <c r="AQ131" s="34">
        <f t="shared" si="248"/>
        <v>13.5</v>
      </c>
      <c r="AR131" s="35"/>
      <c r="AS131" s="36">
        <f t="shared" si="197"/>
        <v>1.35</v>
      </c>
      <c r="AT131" s="36">
        <f t="shared" si="197"/>
        <v>13.5</v>
      </c>
      <c r="AU131" s="36">
        <f t="shared" si="239"/>
        <v>1.4715000000000003</v>
      </c>
      <c r="AV131" s="36">
        <f t="shared" si="249"/>
        <v>14.715000000000003</v>
      </c>
      <c r="AW131" s="37">
        <v>1.95</v>
      </c>
      <c r="AX131" s="38">
        <f t="shared" si="219"/>
        <v>19.5</v>
      </c>
      <c r="AY131" s="38">
        <f t="shared" si="257"/>
        <v>0.4784999999999997</v>
      </c>
      <c r="AZ131" s="38">
        <f t="shared" si="220"/>
        <v>4.7849999999999966</v>
      </c>
      <c r="BA131" s="39">
        <f t="shared" si="258"/>
        <v>0.24538461538461523</v>
      </c>
      <c r="BB131" s="42"/>
      <c r="BC131" s="119">
        <f t="shared" si="198"/>
        <v>1.95</v>
      </c>
      <c r="BD131" s="108">
        <v>0.16350000000000001</v>
      </c>
      <c r="BE131" s="120">
        <f t="shared" si="174"/>
        <v>2.2688250000000001</v>
      </c>
      <c r="BF131" s="121">
        <f t="shared" si="199"/>
        <v>0.31882500000000014</v>
      </c>
      <c r="BG131" s="121">
        <f t="shared" si="176"/>
        <v>2.6325000000000012E-2</v>
      </c>
      <c r="BH131" s="122">
        <f t="shared" si="177"/>
        <v>0.31882500000000014</v>
      </c>
      <c r="BI131" s="121">
        <f t="shared" si="178"/>
        <v>1.95</v>
      </c>
      <c r="BJ131" s="123">
        <f t="shared" si="200"/>
        <v>0.24538461538461523</v>
      </c>
      <c r="BK131" s="124">
        <f t="shared" si="201"/>
        <v>0</v>
      </c>
      <c r="BL131" s="125">
        <v>1.5</v>
      </c>
    </row>
    <row r="132" spans="1:64" ht="45" customHeight="1" x14ac:dyDescent="0.25">
      <c r="A132" s="30">
        <v>126</v>
      </c>
      <c r="B132" s="104" t="s">
        <v>211</v>
      </c>
      <c r="C132" s="31">
        <v>1</v>
      </c>
      <c r="D132" s="32" t="s">
        <v>84</v>
      </c>
      <c r="E132" s="31">
        <f t="shared" si="256"/>
        <v>8</v>
      </c>
      <c r="F132" s="31" t="s">
        <v>226</v>
      </c>
      <c r="G132" s="31" t="s">
        <v>226</v>
      </c>
      <c r="H132" s="31" t="s">
        <v>226</v>
      </c>
      <c r="I132" s="31" t="s">
        <v>226</v>
      </c>
      <c r="J132" s="31" t="s">
        <v>226</v>
      </c>
      <c r="K132" s="31" t="s">
        <v>226</v>
      </c>
      <c r="L132" s="31" t="s">
        <v>226</v>
      </c>
      <c r="M132" s="31" t="s">
        <v>226</v>
      </c>
      <c r="N132" s="31" t="s">
        <v>226</v>
      </c>
      <c r="O132" s="31" t="s">
        <v>226</v>
      </c>
      <c r="P132" s="31" t="s">
        <v>226</v>
      </c>
      <c r="Q132" s="31" t="s">
        <v>226</v>
      </c>
      <c r="R132" s="31" t="s">
        <v>226</v>
      </c>
      <c r="S132" s="31" t="s">
        <v>226</v>
      </c>
      <c r="T132" s="31" t="s">
        <v>226</v>
      </c>
      <c r="U132" s="31" t="s">
        <v>226</v>
      </c>
      <c r="V132" s="31" t="s">
        <v>226</v>
      </c>
      <c r="W132" s="31" t="s">
        <v>226</v>
      </c>
      <c r="X132" s="31" t="s">
        <v>226</v>
      </c>
      <c r="Y132" s="31" t="s">
        <v>226</v>
      </c>
      <c r="Z132" s="31" t="s">
        <v>226</v>
      </c>
      <c r="AA132" s="31" t="s">
        <v>226</v>
      </c>
      <c r="AB132" s="31" t="s">
        <v>226</v>
      </c>
      <c r="AC132" s="31" t="s">
        <v>226</v>
      </c>
      <c r="AD132" s="31" t="s">
        <v>226</v>
      </c>
      <c r="AE132" s="31" t="s">
        <v>226</v>
      </c>
      <c r="AF132" s="31" t="s">
        <v>226</v>
      </c>
      <c r="AG132" s="31" t="s">
        <v>226</v>
      </c>
      <c r="AH132" s="31" t="s">
        <v>226</v>
      </c>
      <c r="AI132" s="31" t="s">
        <v>226</v>
      </c>
      <c r="AJ132" s="31" t="s">
        <v>226</v>
      </c>
      <c r="AK132" s="31" t="s">
        <v>226</v>
      </c>
      <c r="AL132" s="31" t="s">
        <v>226</v>
      </c>
      <c r="AM132" s="31"/>
      <c r="AN132" s="31"/>
      <c r="AO132" s="96">
        <v>11.8</v>
      </c>
      <c r="AP132" s="33">
        <f t="shared" si="247"/>
        <v>1.4750000000000001</v>
      </c>
      <c r="AQ132" s="34">
        <f t="shared" si="248"/>
        <v>11.8</v>
      </c>
      <c r="AR132" s="35"/>
      <c r="AS132" s="36">
        <f t="shared" si="197"/>
        <v>1.4750000000000001</v>
      </c>
      <c r="AT132" s="36">
        <f t="shared" si="197"/>
        <v>11.8</v>
      </c>
      <c r="AU132" s="36">
        <f t="shared" si="239"/>
        <v>1.6077500000000002</v>
      </c>
      <c r="AV132" s="36">
        <f t="shared" si="249"/>
        <v>12.862000000000002</v>
      </c>
      <c r="AW132" s="37"/>
      <c r="AX132" s="38"/>
      <c r="AY132" s="38"/>
      <c r="AZ132" s="38"/>
      <c r="BA132" s="39"/>
      <c r="BB132" s="43"/>
      <c r="BC132" s="119">
        <f t="shared" si="198"/>
        <v>0</v>
      </c>
      <c r="BD132" s="108">
        <v>0.16350000000000001</v>
      </c>
      <c r="BE132" s="120">
        <f t="shared" si="174"/>
        <v>0</v>
      </c>
      <c r="BF132" s="121">
        <f t="shared" si="199"/>
        <v>0</v>
      </c>
      <c r="BG132" s="121">
        <f t="shared" si="176"/>
        <v>0</v>
      </c>
      <c r="BH132" s="122">
        <f t="shared" si="177"/>
        <v>0</v>
      </c>
      <c r="BI132" s="121">
        <f t="shared" si="178"/>
        <v>0</v>
      </c>
      <c r="BJ132" s="123" t="e">
        <f t="shared" si="200"/>
        <v>#DIV/0!</v>
      </c>
      <c r="BK132" s="124" t="e">
        <f t="shared" si="201"/>
        <v>#DIV/0!</v>
      </c>
      <c r="BL132" s="125" t="s">
        <v>226</v>
      </c>
    </row>
    <row r="133" spans="1:64" ht="45" customHeight="1" x14ac:dyDescent="0.25">
      <c r="A133" s="30">
        <v>127</v>
      </c>
      <c r="B133" s="104" t="s">
        <v>170</v>
      </c>
      <c r="C133" s="31">
        <v>1</v>
      </c>
      <c r="D133" s="32" t="s">
        <v>73</v>
      </c>
      <c r="E133" s="31">
        <f t="shared" ref="E133" si="269">D133*C133</f>
        <v>12</v>
      </c>
      <c r="F133" s="31" t="s">
        <v>226</v>
      </c>
      <c r="G133" s="31" t="s">
        <v>226</v>
      </c>
      <c r="H133" s="31" t="s">
        <v>226</v>
      </c>
      <c r="I133" s="31" t="s">
        <v>226</v>
      </c>
      <c r="J133" s="31" t="s">
        <v>226</v>
      </c>
      <c r="K133" s="31" t="s">
        <v>226</v>
      </c>
      <c r="L133" s="31" t="s">
        <v>226</v>
      </c>
      <c r="M133" s="31" t="s">
        <v>226</v>
      </c>
      <c r="N133" s="31" t="s">
        <v>226</v>
      </c>
      <c r="O133" s="31" t="s">
        <v>226</v>
      </c>
      <c r="P133" s="31" t="s">
        <v>226</v>
      </c>
      <c r="Q133" s="31" t="s">
        <v>226</v>
      </c>
      <c r="R133" s="31" t="s">
        <v>226</v>
      </c>
      <c r="S133" s="31" t="s">
        <v>226</v>
      </c>
      <c r="T133" s="31" t="s">
        <v>226</v>
      </c>
      <c r="U133" s="31" t="s">
        <v>226</v>
      </c>
      <c r="V133" s="31" t="s">
        <v>226</v>
      </c>
      <c r="W133" s="31" t="s">
        <v>226</v>
      </c>
      <c r="X133" s="31" t="s">
        <v>226</v>
      </c>
      <c r="Y133" s="31" t="s">
        <v>226</v>
      </c>
      <c r="Z133" s="31" t="s">
        <v>226</v>
      </c>
      <c r="AA133" s="31" t="s">
        <v>226</v>
      </c>
      <c r="AB133" s="31" t="s">
        <v>226</v>
      </c>
      <c r="AC133" s="31" t="s">
        <v>226</v>
      </c>
      <c r="AD133" s="31" t="s">
        <v>226</v>
      </c>
      <c r="AE133" s="31" t="s">
        <v>226</v>
      </c>
      <c r="AF133" s="31" t="s">
        <v>226</v>
      </c>
      <c r="AG133" s="31" t="s">
        <v>226</v>
      </c>
      <c r="AH133" s="31" t="s">
        <v>226</v>
      </c>
      <c r="AI133" s="31" t="s">
        <v>226</v>
      </c>
      <c r="AJ133" s="31" t="s">
        <v>226</v>
      </c>
      <c r="AK133" s="31" t="s">
        <v>226</v>
      </c>
      <c r="AL133" s="31" t="s">
        <v>226</v>
      </c>
      <c r="AM133" s="31"/>
      <c r="AN133" s="31"/>
      <c r="AO133" s="96">
        <v>18.5</v>
      </c>
      <c r="AP133" s="33">
        <f t="shared" si="247"/>
        <v>1.5416666666666667</v>
      </c>
      <c r="AQ133" s="34">
        <f t="shared" si="248"/>
        <v>18.5</v>
      </c>
      <c r="AR133" s="35"/>
      <c r="AS133" s="36">
        <f t="shared" ref="AS133" si="270">AP133/$AZ$2</f>
        <v>1.5416666666666667</v>
      </c>
      <c r="AT133" s="36">
        <f t="shared" ref="AT133" si="271">AQ133/$AZ$2</f>
        <v>18.5</v>
      </c>
      <c r="AU133" s="36">
        <f t="shared" si="239"/>
        <v>1.6804166666666669</v>
      </c>
      <c r="AV133" s="36">
        <f t="shared" si="249"/>
        <v>20.165000000000003</v>
      </c>
      <c r="AW133" s="37"/>
      <c r="AX133" s="38"/>
      <c r="AY133" s="38"/>
      <c r="AZ133" s="38"/>
      <c r="BA133" s="39"/>
      <c r="BB133" s="43"/>
      <c r="BC133" s="119">
        <f t="shared" si="198"/>
        <v>0</v>
      </c>
      <c r="BD133" s="108">
        <v>0.16350000000000001</v>
      </c>
      <c r="BE133" s="120">
        <f t="shared" si="174"/>
        <v>0</v>
      </c>
      <c r="BF133" s="121">
        <f t="shared" si="199"/>
        <v>0</v>
      </c>
      <c r="BG133" s="121">
        <f t="shared" si="176"/>
        <v>0</v>
      </c>
      <c r="BH133" s="122">
        <f t="shared" si="177"/>
        <v>0</v>
      </c>
      <c r="BI133" s="121">
        <f t="shared" si="178"/>
        <v>0</v>
      </c>
      <c r="BJ133" s="123" t="e">
        <f t="shared" si="200"/>
        <v>#DIV/0!</v>
      </c>
      <c r="BK133" s="124" t="e">
        <f t="shared" si="201"/>
        <v>#DIV/0!</v>
      </c>
      <c r="BL133" s="125" t="s">
        <v>226</v>
      </c>
    </row>
    <row r="134" spans="1:64" ht="45" customHeight="1" x14ac:dyDescent="0.25">
      <c r="A134" s="30">
        <v>128</v>
      </c>
      <c r="B134" s="104" t="s">
        <v>98</v>
      </c>
      <c r="C134" s="31">
        <v>1</v>
      </c>
      <c r="D134" s="32" t="s">
        <v>157</v>
      </c>
      <c r="E134" s="31">
        <f t="shared" si="256"/>
        <v>60</v>
      </c>
      <c r="F134" s="31">
        <v>30</v>
      </c>
      <c r="G134" s="31" t="s">
        <v>226</v>
      </c>
      <c r="H134" s="31" t="s">
        <v>226</v>
      </c>
      <c r="I134" s="31" t="s">
        <v>226</v>
      </c>
      <c r="J134" s="31" t="s">
        <v>226</v>
      </c>
      <c r="K134" s="31" t="s">
        <v>226</v>
      </c>
      <c r="L134" s="31" t="s">
        <v>226</v>
      </c>
      <c r="M134" s="31" t="s">
        <v>226</v>
      </c>
      <c r="N134" s="31" t="s">
        <v>226</v>
      </c>
      <c r="O134" s="31" t="s">
        <v>226</v>
      </c>
      <c r="P134" s="31" t="s">
        <v>226</v>
      </c>
      <c r="Q134" s="31" t="s">
        <v>226</v>
      </c>
      <c r="R134" s="31" t="s">
        <v>226</v>
      </c>
      <c r="S134" s="31" t="s">
        <v>226</v>
      </c>
      <c r="T134" s="31" t="s">
        <v>226</v>
      </c>
      <c r="U134" s="31" t="s">
        <v>226</v>
      </c>
      <c r="V134" s="31" t="s">
        <v>226</v>
      </c>
      <c r="W134" s="31" t="s">
        <v>226</v>
      </c>
      <c r="X134" s="31" t="s">
        <v>226</v>
      </c>
      <c r="Y134" s="31" t="s">
        <v>226</v>
      </c>
      <c r="Z134" s="31" t="s">
        <v>226</v>
      </c>
      <c r="AA134" s="31" t="s">
        <v>226</v>
      </c>
      <c r="AB134" s="31" t="s">
        <v>226</v>
      </c>
      <c r="AC134" s="31" t="s">
        <v>226</v>
      </c>
      <c r="AD134" s="31" t="s">
        <v>226</v>
      </c>
      <c r="AE134" s="31" t="s">
        <v>226</v>
      </c>
      <c r="AF134" s="31" t="s">
        <v>226</v>
      </c>
      <c r="AG134" s="31" t="s">
        <v>226</v>
      </c>
      <c r="AH134" s="31" t="s">
        <v>226</v>
      </c>
      <c r="AI134" s="31" t="s">
        <v>226</v>
      </c>
      <c r="AJ134" s="31" t="s">
        <v>226</v>
      </c>
      <c r="AK134" s="31" t="s">
        <v>226</v>
      </c>
      <c r="AL134" s="31" t="s">
        <v>226</v>
      </c>
      <c r="AM134" s="31"/>
      <c r="AN134" s="31"/>
      <c r="AO134" s="96">
        <v>34</v>
      </c>
      <c r="AP134" s="33">
        <f t="shared" si="247"/>
        <v>0.56666666666666665</v>
      </c>
      <c r="AQ134" s="34">
        <f t="shared" si="248"/>
        <v>34</v>
      </c>
      <c r="AR134" s="35"/>
      <c r="AS134" s="36">
        <f t="shared" si="197"/>
        <v>0.56666666666666665</v>
      </c>
      <c r="AT134" s="36">
        <f t="shared" si="197"/>
        <v>34</v>
      </c>
      <c r="AU134" s="36">
        <f t="shared" si="239"/>
        <v>0.6176666666666667</v>
      </c>
      <c r="AV134" s="36">
        <f t="shared" si="249"/>
        <v>37.06</v>
      </c>
      <c r="AW134" s="37">
        <v>0.85</v>
      </c>
      <c r="AX134" s="38">
        <f t="shared" ref="AX134:AX165" si="272">AW134*E134</f>
        <v>51</v>
      </c>
      <c r="AY134" s="38">
        <f t="shared" si="257"/>
        <v>0.23233333333333328</v>
      </c>
      <c r="AZ134" s="38">
        <f t="shared" ref="AZ134:AZ165" si="273">AY134*E134</f>
        <v>13.939999999999998</v>
      </c>
      <c r="BA134" s="39">
        <f t="shared" si="258"/>
        <v>0.27333333333333326</v>
      </c>
      <c r="BB134" s="43"/>
      <c r="BC134" s="119">
        <f t="shared" si="198"/>
        <v>0.85</v>
      </c>
      <c r="BD134" s="108">
        <v>0.16350000000000001</v>
      </c>
      <c r="BE134" s="120">
        <f t="shared" si="174"/>
        <v>0.98897499999999994</v>
      </c>
      <c r="BF134" s="121">
        <f t="shared" si="199"/>
        <v>0.13897499999999996</v>
      </c>
      <c r="BG134" s="121">
        <f t="shared" si="176"/>
        <v>1.1474999999999997E-2</v>
      </c>
      <c r="BH134" s="122">
        <f t="shared" si="177"/>
        <v>0.13897499999999996</v>
      </c>
      <c r="BI134" s="121">
        <f t="shared" si="178"/>
        <v>0.85</v>
      </c>
      <c r="BJ134" s="123">
        <f t="shared" si="200"/>
        <v>0.27333333333333326</v>
      </c>
      <c r="BK134" s="124">
        <f t="shared" si="201"/>
        <v>0</v>
      </c>
      <c r="BL134" s="125" t="s">
        <v>226</v>
      </c>
    </row>
    <row r="135" spans="1:64" ht="45" customHeight="1" x14ac:dyDescent="0.25">
      <c r="A135" s="30">
        <v>129</v>
      </c>
      <c r="B135" s="100" t="s">
        <v>99</v>
      </c>
      <c r="C135" s="31">
        <v>1</v>
      </c>
      <c r="D135" s="32" t="s">
        <v>157</v>
      </c>
      <c r="E135" s="31">
        <f t="shared" si="256"/>
        <v>60</v>
      </c>
      <c r="F135" s="31">
        <v>30</v>
      </c>
      <c r="G135" s="31" t="s">
        <v>226</v>
      </c>
      <c r="H135" s="31" t="s">
        <v>226</v>
      </c>
      <c r="I135" s="31" t="s">
        <v>226</v>
      </c>
      <c r="J135" s="31" t="s">
        <v>226</v>
      </c>
      <c r="K135" s="31" t="s">
        <v>226</v>
      </c>
      <c r="L135" s="31" t="s">
        <v>226</v>
      </c>
      <c r="M135" s="31" t="s">
        <v>226</v>
      </c>
      <c r="N135" s="31" t="s">
        <v>226</v>
      </c>
      <c r="O135" s="31" t="s">
        <v>226</v>
      </c>
      <c r="P135" s="31" t="s">
        <v>226</v>
      </c>
      <c r="Q135" s="31" t="s">
        <v>226</v>
      </c>
      <c r="R135" s="31" t="s">
        <v>226</v>
      </c>
      <c r="S135" s="31" t="s">
        <v>226</v>
      </c>
      <c r="T135" s="31" t="s">
        <v>226</v>
      </c>
      <c r="U135" s="31" t="s">
        <v>226</v>
      </c>
      <c r="V135" s="31" t="s">
        <v>226</v>
      </c>
      <c r="W135" s="31" t="s">
        <v>226</v>
      </c>
      <c r="X135" s="31" t="s">
        <v>226</v>
      </c>
      <c r="Y135" s="31" t="s">
        <v>226</v>
      </c>
      <c r="Z135" s="31" t="s">
        <v>226</v>
      </c>
      <c r="AA135" s="31" t="s">
        <v>226</v>
      </c>
      <c r="AB135" s="31" t="s">
        <v>226</v>
      </c>
      <c r="AC135" s="31" t="s">
        <v>226</v>
      </c>
      <c r="AD135" s="31" t="s">
        <v>226</v>
      </c>
      <c r="AE135" s="31" t="s">
        <v>226</v>
      </c>
      <c r="AF135" s="31" t="s">
        <v>226</v>
      </c>
      <c r="AG135" s="31" t="s">
        <v>226</v>
      </c>
      <c r="AH135" s="31" t="s">
        <v>226</v>
      </c>
      <c r="AI135" s="31" t="s">
        <v>226</v>
      </c>
      <c r="AJ135" s="31" t="s">
        <v>226</v>
      </c>
      <c r="AK135" s="31" t="s">
        <v>226</v>
      </c>
      <c r="AL135" s="31" t="s">
        <v>226</v>
      </c>
      <c r="AM135" s="31"/>
      <c r="AN135" s="31"/>
      <c r="AO135" s="96">
        <v>34</v>
      </c>
      <c r="AP135" s="33">
        <f t="shared" si="247"/>
        <v>0.56666666666666665</v>
      </c>
      <c r="AQ135" s="34">
        <f t="shared" si="248"/>
        <v>34</v>
      </c>
      <c r="AR135" s="35"/>
      <c r="AS135" s="36">
        <f t="shared" si="197"/>
        <v>0.56666666666666665</v>
      </c>
      <c r="AT135" s="36">
        <f t="shared" si="197"/>
        <v>34</v>
      </c>
      <c r="AU135" s="36">
        <f t="shared" si="239"/>
        <v>0.6176666666666667</v>
      </c>
      <c r="AV135" s="36">
        <f t="shared" si="249"/>
        <v>37.06</v>
      </c>
      <c r="AW135" s="37">
        <v>0.85</v>
      </c>
      <c r="AX135" s="38">
        <f t="shared" si="272"/>
        <v>51</v>
      </c>
      <c r="AY135" s="38">
        <f t="shared" si="257"/>
        <v>0.23233333333333328</v>
      </c>
      <c r="AZ135" s="38">
        <f t="shared" si="273"/>
        <v>13.939999999999998</v>
      </c>
      <c r="BA135" s="39">
        <f t="shared" si="258"/>
        <v>0.27333333333333326</v>
      </c>
      <c r="BB135" s="40"/>
      <c r="BC135" s="119">
        <f t="shared" si="198"/>
        <v>0.85</v>
      </c>
      <c r="BD135" s="108">
        <v>0.16350000000000001</v>
      </c>
      <c r="BE135" s="120">
        <f t="shared" si="174"/>
        <v>0.98897499999999994</v>
      </c>
      <c r="BF135" s="121">
        <f t="shared" si="199"/>
        <v>0.13897499999999996</v>
      </c>
      <c r="BG135" s="121">
        <f t="shared" si="176"/>
        <v>1.1474999999999997E-2</v>
      </c>
      <c r="BH135" s="122">
        <f t="shared" si="177"/>
        <v>0.13897499999999996</v>
      </c>
      <c r="BI135" s="121">
        <f t="shared" si="178"/>
        <v>0.85</v>
      </c>
      <c r="BJ135" s="123">
        <f t="shared" si="200"/>
        <v>0.27333333333333326</v>
      </c>
      <c r="BK135" s="124">
        <f t="shared" si="201"/>
        <v>0</v>
      </c>
      <c r="BL135" s="125" t="s">
        <v>226</v>
      </c>
    </row>
    <row r="136" spans="1:64" ht="45" customHeight="1" x14ac:dyDescent="0.25">
      <c r="A136" s="30">
        <v>130</v>
      </c>
      <c r="B136" s="100" t="s">
        <v>100</v>
      </c>
      <c r="C136" s="31">
        <v>1</v>
      </c>
      <c r="D136" s="32" t="s">
        <v>165</v>
      </c>
      <c r="E136" s="31">
        <f t="shared" si="256"/>
        <v>72</v>
      </c>
      <c r="F136" s="31" t="s">
        <v>226</v>
      </c>
      <c r="G136" s="31" t="s">
        <v>226</v>
      </c>
      <c r="H136" s="31" t="s">
        <v>226</v>
      </c>
      <c r="I136" s="31" t="s">
        <v>226</v>
      </c>
      <c r="J136" s="31" t="s">
        <v>226</v>
      </c>
      <c r="K136" s="31" t="s">
        <v>226</v>
      </c>
      <c r="L136" s="31" t="s">
        <v>226</v>
      </c>
      <c r="M136" s="31" t="s">
        <v>226</v>
      </c>
      <c r="N136" s="31" t="s">
        <v>226</v>
      </c>
      <c r="O136" s="31" t="s">
        <v>226</v>
      </c>
      <c r="P136" s="31" t="s">
        <v>226</v>
      </c>
      <c r="Q136" s="31" t="s">
        <v>226</v>
      </c>
      <c r="R136" s="31" t="s">
        <v>226</v>
      </c>
      <c r="S136" s="31" t="s">
        <v>226</v>
      </c>
      <c r="T136" s="31" t="s">
        <v>226</v>
      </c>
      <c r="U136" s="31" t="s">
        <v>226</v>
      </c>
      <c r="V136" s="31" t="s">
        <v>226</v>
      </c>
      <c r="W136" s="31" t="s">
        <v>226</v>
      </c>
      <c r="X136" s="31" t="s">
        <v>226</v>
      </c>
      <c r="Y136" s="31" t="s">
        <v>226</v>
      </c>
      <c r="Z136" s="31" t="s">
        <v>226</v>
      </c>
      <c r="AA136" s="31" t="s">
        <v>226</v>
      </c>
      <c r="AB136" s="31" t="s">
        <v>226</v>
      </c>
      <c r="AC136" s="31" t="s">
        <v>226</v>
      </c>
      <c r="AD136" s="31" t="s">
        <v>226</v>
      </c>
      <c r="AE136" s="31" t="s">
        <v>226</v>
      </c>
      <c r="AF136" s="31" t="s">
        <v>226</v>
      </c>
      <c r="AG136" s="31" t="s">
        <v>226</v>
      </c>
      <c r="AH136" s="31" t="s">
        <v>226</v>
      </c>
      <c r="AI136" s="31" t="s">
        <v>226</v>
      </c>
      <c r="AJ136" s="31" t="s">
        <v>226</v>
      </c>
      <c r="AK136" s="31" t="s">
        <v>226</v>
      </c>
      <c r="AL136" s="31" t="s">
        <v>226</v>
      </c>
      <c r="AM136" s="31"/>
      <c r="AN136" s="31"/>
      <c r="AO136" s="96">
        <v>52.2</v>
      </c>
      <c r="AP136" s="33">
        <f t="shared" si="247"/>
        <v>0.72500000000000009</v>
      </c>
      <c r="AQ136" s="34">
        <f t="shared" si="248"/>
        <v>52.2</v>
      </c>
      <c r="AR136" s="35"/>
      <c r="AS136" s="36">
        <f t="shared" si="197"/>
        <v>0.72500000000000009</v>
      </c>
      <c r="AT136" s="36">
        <f t="shared" si="197"/>
        <v>52.2</v>
      </c>
      <c r="AU136" s="36">
        <f t="shared" si="239"/>
        <v>0.79025000000000012</v>
      </c>
      <c r="AV136" s="36">
        <f t="shared" si="249"/>
        <v>56.89800000000001</v>
      </c>
      <c r="AW136" s="37">
        <v>1</v>
      </c>
      <c r="AX136" s="38">
        <f t="shared" si="272"/>
        <v>72</v>
      </c>
      <c r="AY136" s="38">
        <f t="shared" si="257"/>
        <v>0.20974999999999988</v>
      </c>
      <c r="AZ136" s="38">
        <f t="shared" si="273"/>
        <v>15.101999999999991</v>
      </c>
      <c r="BA136" s="39">
        <f t="shared" si="258"/>
        <v>0.20974999999999988</v>
      </c>
      <c r="BB136" s="41"/>
      <c r="BC136" s="119">
        <f t="shared" si="198"/>
        <v>1</v>
      </c>
      <c r="BD136" s="108">
        <v>0.16350000000000001</v>
      </c>
      <c r="BE136" s="120">
        <f t="shared" ref="BE136:BE185" si="274">BC136+(BD136*BC136)</f>
        <v>1.1635</v>
      </c>
      <c r="BF136" s="121">
        <f t="shared" si="199"/>
        <v>0.16349999999999998</v>
      </c>
      <c r="BG136" s="121">
        <f t="shared" ref="BG136:BG185" si="275">(9/109)*BH136</f>
        <v>1.35E-2</v>
      </c>
      <c r="BH136" s="122">
        <f t="shared" ref="BH136:BH185" si="276">BE136-BC136</f>
        <v>0.16349999999999998</v>
      </c>
      <c r="BI136" s="121">
        <f t="shared" ref="BI136:BI185" si="277">BE136-BH136</f>
        <v>1</v>
      </c>
      <c r="BJ136" s="123">
        <f t="shared" si="200"/>
        <v>0.20974999999999988</v>
      </c>
      <c r="BK136" s="124">
        <f t="shared" si="201"/>
        <v>0</v>
      </c>
      <c r="BL136" s="125" t="s">
        <v>226</v>
      </c>
    </row>
    <row r="137" spans="1:64" ht="45" customHeight="1" x14ac:dyDescent="0.25">
      <c r="A137" s="30">
        <v>131</v>
      </c>
      <c r="B137" s="100" t="s">
        <v>101</v>
      </c>
      <c r="C137" s="31">
        <v>1</v>
      </c>
      <c r="D137" s="32" t="s">
        <v>165</v>
      </c>
      <c r="E137" s="31">
        <f t="shared" si="256"/>
        <v>72</v>
      </c>
      <c r="F137" s="31" t="s">
        <v>226</v>
      </c>
      <c r="G137" s="31" t="s">
        <v>226</v>
      </c>
      <c r="H137" s="31" t="s">
        <v>226</v>
      </c>
      <c r="I137" s="31" t="s">
        <v>226</v>
      </c>
      <c r="J137" s="31" t="s">
        <v>226</v>
      </c>
      <c r="K137" s="31" t="s">
        <v>226</v>
      </c>
      <c r="L137" s="31" t="s">
        <v>226</v>
      </c>
      <c r="M137" s="31" t="s">
        <v>226</v>
      </c>
      <c r="N137" s="31" t="s">
        <v>226</v>
      </c>
      <c r="O137" s="31" t="s">
        <v>226</v>
      </c>
      <c r="P137" s="31" t="s">
        <v>226</v>
      </c>
      <c r="Q137" s="31" t="s">
        <v>226</v>
      </c>
      <c r="R137" s="31" t="s">
        <v>226</v>
      </c>
      <c r="S137" s="31" t="s">
        <v>226</v>
      </c>
      <c r="T137" s="31" t="s">
        <v>226</v>
      </c>
      <c r="U137" s="31" t="s">
        <v>226</v>
      </c>
      <c r="V137" s="31" t="s">
        <v>226</v>
      </c>
      <c r="W137" s="31" t="s">
        <v>226</v>
      </c>
      <c r="X137" s="31" t="s">
        <v>226</v>
      </c>
      <c r="Y137" s="31" t="s">
        <v>226</v>
      </c>
      <c r="Z137" s="31" t="s">
        <v>226</v>
      </c>
      <c r="AA137" s="31" t="s">
        <v>226</v>
      </c>
      <c r="AB137" s="31" t="s">
        <v>226</v>
      </c>
      <c r="AC137" s="31" t="s">
        <v>226</v>
      </c>
      <c r="AD137" s="31" t="s">
        <v>226</v>
      </c>
      <c r="AE137" s="31" t="s">
        <v>226</v>
      </c>
      <c r="AF137" s="31" t="s">
        <v>226</v>
      </c>
      <c r="AG137" s="31" t="s">
        <v>226</v>
      </c>
      <c r="AH137" s="31" t="s">
        <v>226</v>
      </c>
      <c r="AI137" s="31" t="s">
        <v>226</v>
      </c>
      <c r="AJ137" s="31" t="s">
        <v>226</v>
      </c>
      <c r="AK137" s="31" t="s">
        <v>226</v>
      </c>
      <c r="AL137" s="31" t="s">
        <v>226</v>
      </c>
      <c r="AM137" s="31"/>
      <c r="AN137" s="31"/>
      <c r="AO137" s="96">
        <v>52.2</v>
      </c>
      <c r="AP137" s="33">
        <f t="shared" si="247"/>
        <v>0.72500000000000009</v>
      </c>
      <c r="AQ137" s="34">
        <f t="shared" si="248"/>
        <v>52.2</v>
      </c>
      <c r="AR137" s="35"/>
      <c r="AS137" s="36">
        <f t="shared" si="197"/>
        <v>0.72500000000000009</v>
      </c>
      <c r="AT137" s="36">
        <f t="shared" si="197"/>
        <v>52.2</v>
      </c>
      <c r="AU137" s="36">
        <f t="shared" si="239"/>
        <v>0.79025000000000012</v>
      </c>
      <c r="AV137" s="36">
        <f t="shared" si="249"/>
        <v>56.89800000000001</v>
      </c>
      <c r="AW137" s="37">
        <v>1</v>
      </c>
      <c r="AX137" s="38">
        <f t="shared" si="272"/>
        <v>72</v>
      </c>
      <c r="AY137" s="38">
        <f t="shared" si="257"/>
        <v>0.20974999999999988</v>
      </c>
      <c r="AZ137" s="38">
        <f t="shared" si="273"/>
        <v>15.101999999999991</v>
      </c>
      <c r="BA137" s="39">
        <f t="shared" si="258"/>
        <v>0.20974999999999988</v>
      </c>
      <c r="BB137" s="42"/>
      <c r="BC137" s="119">
        <f t="shared" si="198"/>
        <v>1</v>
      </c>
      <c r="BD137" s="108">
        <v>0.16350000000000001</v>
      </c>
      <c r="BE137" s="120">
        <f t="shared" si="274"/>
        <v>1.1635</v>
      </c>
      <c r="BF137" s="121">
        <f t="shared" si="199"/>
        <v>0.16349999999999998</v>
      </c>
      <c r="BG137" s="121">
        <f t="shared" si="275"/>
        <v>1.35E-2</v>
      </c>
      <c r="BH137" s="122">
        <f t="shared" si="276"/>
        <v>0.16349999999999998</v>
      </c>
      <c r="BI137" s="121">
        <f t="shared" si="277"/>
        <v>1</v>
      </c>
      <c r="BJ137" s="123">
        <f t="shared" si="200"/>
        <v>0.20974999999999988</v>
      </c>
      <c r="BK137" s="124">
        <f t="shared" si="201"/>
        <v>0</v>
      </c>
      <c r="BL137" s="125" t="s">
        <v>226</v>
      </c>
    </row>
    <row r="138" spans="1:64" ht="45" customHeight="1" x14ac:dyDescent="0.25">
      <c r="A138" s="30">
        <v>132</v>
      </c>
      <c r="B138" s="101" t="s">
        <v>212</v>
      </c>
      <c r="C138" s="31">
        <v>1</v>
      </c>
      <c r="D138" s="32" t="s">
        <v>24</v>
      </c>
      <c r="E138" s="31">
        <f t="shared" si="256"/>
        <v>24</v>
      </c>
      <c r="F138" s="31" t="s">
        <v>226</v>
      </c>
      <c r="G138" s="31" t="s">
        <v>226</v>
      </c>
      <c r="H138" s="31" t="s">
        <v>226</v>
      </c>
      <c r="I138" s="31" t="s">
        <v>226</v>
      </c>
      <c r="J138" s="31" t="s">
        <v>226</v>
      </c>
      <c r="K138" s="31" t="s">
        <v>226</v>
      </c>
      <c r="L138" s="31" t="s">
        <v>226</v>
      </c>
      <c r="M138" s="31" t="s">
        <v>226</v>
      </c>
      <c r="N138" s="31" t="s">
        <v>226</v>
      </c>
      <c r="O138" s="31" t="s">
        <v>226</v>
      </c>
      <c r="P138" s="31" t="s">
        <v>226</v>
      </c>
      <c r="Q138" s="31" t="s">
        <v>226</v>
      </c>
      <c r="R138" s="31" t="s">
        <v>226</v>
      </c>
      <c r="S138" s="31" t="s">
        <v>226</v>
      </c>
      <c r="T138" s="31" t="s">
        <v>226</v>
      </c>
      <c r="U138" s="31" t="s">
        <v>226</v>
      </c>
      <c r="V138" s="31" t="s">
        <v>226</v>
      </c>
      <c r="W138" s="31" t="s">
        <v>226</v>
      </c>
      <c r="X138" s="31" t="s">
        <v>226</v>
      </c>
      <c r="Y138" s="31" t="s">
        <v>226</v>
      </c>
      <c r="Z138" s="31" t="s">
        <v>226</v>
      </c>
      <c r="AA138" s="31" t="s">
        <v>226</v>
      </c>
      <c r="AB138" s="31" t="s">
        <v>226</v>
      </c>
      <c r="AC138" s="31" t="s">
        <v>226</v>
      </c>
      <c r="AD138" s="31" t="s">
        <v>226</v>
      </c>
      <c r="AE138" s="31" t="s">
        <v>226</v>
      </c>
      <c r="AF138" s="31" t="s">
        <v>226</v>
      </c>
      <c r="AG138" s="31" t="s">
        <v>226</v>
      </c>
      <c r="AH138" s="31" t="s">
        <v>226</v>
      </c>
      <c r="AI138" s="31" t="s">
        <v>226</v>
      </c>
      <c r="AJ138" s="31" t="s">
        <v>226</v>
      </c>
      <c r="AK138" s="31" t="s">
        <v>226</v>
      </c>
      <c r="AL138" s="31" t="s">
        <v>226</v>
      </c>
      <c r="AM138" s="31"/>
      <c r="AN138" s="31"/>
      <c r="AO138" s="96">
        <v>39</v>
      </c>
      <c r="AP138" s="33">
        <f t="shared" si="247"/>
        <v>1.625</v>
      </c>
      <c r="AQ138" s="34">
        <f t="shared" si="248"/>
        <v>39</v>
      </c>
      <c r="AR138" s="35"/>
      <c r="AS138" s="36">
        <f t="shared" si="197"/>
        <v>1.625</v>
      </c>
      <c r="AT138" s="36">
        <f t="shared" si="197"/>
        <v>39</v>
      </c>
      <c r="AU138" s="36">
        <f t="shared" si="239"/>
        <v>1.7712500000000002</v>
      </c>
      <c r="AV138" s="36">
        <f t="shared" si="249"/>
        <v>42.510000000000005</v>
      </c>
      <c r="AW138" s="37"/>
      <c r="AX138" s="38">
        <f t="shared" si="272"/>
        <v>0</v>
      </c>
      <c r="AY138" s="38">
        <f t="shared" si="257"/>
        <v>-1.7712500000000002</v>
      </c>
      <c r="AZ138" s="38">
        <f t="shared" si="273"/>
        <v>-42.510000000000005</v>
      </c>
      <c r="BA138" s="39" t="e">
        <f t="shared" si="258"/>
        <v>#DIV/0!</v>
      </c>
      <c r="BB138" s="42"/>
      <c r="BC138" s="119">
        <f t="shared" si="198"/>
        <v>0</v>
      </c>
      <c r="BD138" s="108">
        <v>0.16350000000000001</v>
      </c>
      <c r="BE138" s="120">
        <f t="shared" si="274"/>
        <v>0</v>
      </c>
      <c r="BF138" s="121">
        <f t="shared" si="199"/>
        <v>0</v>
      </c>
      <c r="BG138" s="121">
        <f t="shared" si="275"/>
        <v>0</v>
      </c>
      <c r="BH138" s="122">
        <f t="shared" si="276"/>
        <v>0</v>
      </c>
      <c r="BI138" s="121">
        <f t="shared" si="277"/>
        <v>0</v>
      </c>
      <c r="BJ138" s="123" t="e">
        <f t="shared" si="200"/>
        <v>#DIV/0!</v>
      </c>
      <c r="BK138" s="124" t="e">
        <f t="shared" si="201"/>
        <v>#DIV/0!</v>
      </c>
      <c r="BL138" s="125" t="s">
        <v>226</v>
      </c>
    </row>
    <row r="139" spans="1:64" ht="45" customHeight="1" x14ac:dyDescent="0.25">
      <c r="A139" s="30">
        <v>133</v>
      </c>
      <c r="B139" s="101" t="s">
        <v>193</v>
      </c>
      <c r="C139" s="31">
        <v>1</v>
      </c>
      <c r="D139" s="32" t="s">
        <v>165</v>
      </c>
      <c r="E139" s="31">
        <f t="shared" ref="E139" si="278">D139*C139</f>
        <v>72</v>
      </c>
      <c r="F139" s="31" t="s">
        <v>226</v>
      </c>
      <c r="G139" s="31" t="s">
        <v>226</v>
      </c>
      <c r="H139" s="31" t="s">
        <v>226</v>
      </c>
      <c r="I139" s="31" t="s">
        <v>226</v>
      </c>
      <c r="J139" s="31" t="s">
        <v>226</v>
      </c>
      <c r="K139" s="31" t="s">
        <v>226</v>
      </c>
      <c r="L139" s="31" t="s">
        <v>226</v>
      </c>
      <c r="M139" s="31" t="s">
        <v>226</v>
      </c>
      <c r="N139" s="31" t="s">
        <v>226</v>
      </c>
      <c r="O139" s="31" t="s">
        <v>226</v>
      </c>
      <c r="P139" s="31" t="s">
        <v>226</v>
      </c>
      <c r="Q139" s="31" t="s">
        <v>226</v>
      </c>
      <c r="R139" s="31" t="s">
        <v>226</v>
      </c>
      <c r="S139" s="31" t="s">
        <v>226</v>
      </c>
      <c r="T139" s="31" t="s">
        <v>226</v>
      </c>
      <c r="U139" s="31" t="s">
        <v>226</v>
      </c>
      <c r="V139" s="31" t="s">
        <v>226</v>
      </c>
      <c r="W139" s="31" t="s">
        <v>226</v>
      </c>
      <c r="X139" s="31" t="s">
        <v>226</v>
      </c>
      <c r="Y139" s="31" t="s">
        <v>226</v>
      </c>
      <c r="Z139" s="31" t="s">
        <v>226</v>
      </c>
      <c r="AA139" s="31" t="s">
        <v>226</v>
      </c>
      <c r="AB139" s="31" t="s">
        <v>226</v>
      </c>
      <c r="AC139" s="31" t="s">
        <v>226</v>
      </c>
      <c r="AD139" s="31" t="s">
        <v>226</v>
      </c>
      <c r="AE139" s="31" t="s">
        <v>226</v>
      </c>
      <c r="AF139" s="31" t="s">
        <v>226</v>
      </c>
      <c r="AG139" s="31" t="s">
        <v>226</v>
      </c>
      <c r="AH139" s="31" t="s">
        <v>226</v>
      </c>
      <c r="AI139" s="31" t="s">
        <v>226</v>
      </c>
      <c r="AJ139" s="31" t="s">
        <v>226</v>
      </c>
      <c r="AK139" s="31" t="s">
        <v>226</v>
      </c>
      <c r="AL139" s="31" t="s">
        <v>226</v>
      </c>
      <c r="AM139" s="31"/>
      <c r="AN139" s="127">
        <v>55.5</v>
      </c>
      <c r="AO139" s="96">
        <v>55.5</v>
      </c>
      <c r="AP139" s="33">
        <f t="shared" si="247"/>
        <v>0.77083333333333337</v>
      </c>
      <c r="AQ139" s="34">
        <f t="shared" si="248"/>
        <v>55.5</v>
      </c>
      <c r="AR139" s="35"/>
      <c r="AS139" s="36">
        <f t="shared" ref="AS139" si="279">AP139/$AZ$2</f>
        <v>0.77083333333333337</v>
      </c>
      <c r="AT139" s="36">
        <f t="shared" ref="AT139" si="280">AQ139/$AZ$2</f>
        <v>55.5</v>
      </c>
      <c r="AU139" s="36">
        <f t="shared" si="239"/>
        <v>0.84020833333333345</v>
      </c>
      <c r="AV139" s="36">
        <f t="shared" si="249"/>
        <v>60.495000000000005</v>
      </c>
      <c r="AW139" s="37">
        <v>1</v>
      </c>
      <c r="AX139" s="38">
        <f t="shared" si="272"/>
        <v>72</v>
      </c>
      <c r="AY139" s="38">
        <f t="shared" ref="AY139" si="281">AW139-AU139</f>
        <v>0.15979166666666655</v>
      </c>
      <c r="AZ139" s="38">
        <f t="shared" si="273"/>
        <v>11.504999999999992</v>
      </c>
      <c r="BA139" s="39">
        <f t="shared" ref="BA139" si="282">AY139/AW139</f>
        <v>0.15979166666666655</v>
      </c>
      <c r="BB139" s="42"/>
      <c r="BC139" s="119">
        <f t="shared" si="198"/>
        <v>1</v>
      </c>
      <c r="BD139" s="108">
        <v>0.16350000000000001</v>
      </c>
      <c r="BE139" s="120">
        <f t="shared" si="274"/>
        <v>1.1635</v>
      </c>
      <c r="BF139" s="121">
        <f t="shared" si="199"/>
        <v>0.16349999999999998</v>
      </c>
      <c r="BG139" s="121">
        <f t="shared" si="275"/>
        <v>1.35E-2</v>
      </c>
      <c r="BH139" s="122">
        <f t="shared" si="276"/>
        <v>0.16349999999999998</v>
      </c>
      <c r="BI139" s="121">
        <f t="shared" si="277"/>
        <v>1</v>
      </c>
      <c r="BJ139" s="123">
        <f t="shared" si="200"/>
        <v>0.15979166666666655</v>
      </c>
      <c r="BK139" s="124">
        <f t="shared" si="201"/>
        <v>0</v>
      </c>
      <c r="BL139" s="125" t="s">
        <v>226</v>
      </c>
    </row>
    <row r="140" spans="1:64" ht="45" customHeight="1" x14ac:dyDescent="0.25">
      <c r="A140" s="30">
        <v>134</v>
      </c>
      <c r="B140" s="101" t="s">
        <v>102</v>
      </c>
      <c r="C140" s="31">
        <v>1</v>
      </c>
      <c r="D140" s="32" t="s">
        <v>165</v>
      </c>
      <c r="E140" s="31">
        <f t="shared" si="256"/>
        <v>72</v>
      </c>
      <c r="F140" s="31" t="s">
        <v>226</v>
      </c>
      <c r="G140" s="31" t="s">
        <v>226</v>
      </c>
      <c r="H140" s="31" t="s">
        <v>226</v>
      </c>
      <c r="I140" s="31" t="s">
        <v>226</v>
      </c>
      <c r="J140" s="31" t="s">
        <v>226</v>
      </c>
      <c r="K140" s="31" t="s">
        <v>226</v>
      </c>
      <c r="L140" s="31" t="s">
        <v>226</v>
      </c>
      <c r="M140" s="31" t="s">
        <v>226</v>
      </c>
      <c r="N140" s="31" t="s">
        <v>226</v>
      </c>
      <c r="O140" s="31" t="s">
        <v>226</v>
      </c>
      <c r="P140" s="31" t="s">
        <v>226</v>
      </c>
      <c r="Q140" s="31" t="s">
        <v>226</v>
      </c>
      <c r="R140" s="31" t="s">
        <v>226</v>
      </c>
      <c r="S140" s="31" t="s">
        <v>226</v>
      </c>
      <c r="T140" s="31" t="s">
        <v>226</v>
      </c>
      <c r="U140" s="31" t="s">
        <v>226</v>
      </c>
      <c r="V140" s="31" t="s">
        <v>226</v>
      </c>
      <c r="W140" s="31" t="s">
        <v>226</v>
      </c>
      <c r="X140" s="31" t="s">
        <v>226</v>
      </c>
      <c r="Y140" s="31" t="s">
        <v>226</v>
      </c>
      <c r="Z140" s="31" t="s">
        <v>226</v>
      </c>
      <c r="AA140" s="31" t="s">
        <v>226</v>
      </c>
      <c r="AB140" s="31" t="s">
        <v>226</v>
      </c>
      <c r="AC140" s="31" t="s">
        <v>226</v>
      </c>
      <c r="AD140" s="31" t="s">
        <v>226</v>
      </c>
      <c r="AE140" s="31" t="s">
        <v>226</v>
      </c>
      <c r="AF140" s="31" t="s">
        <v>226</v>
      </c>
      <c r="AG140" s="31" t="s">
        <v>226</v>
      </c>
      <c r="AH140" s="31" t="s">
        <v>226</v>
      </c>
      <c r="AI140" s="31" t="s">
        <v>226</v>
      </c>
      <c r="AJ140" s="31" t="s">
        <v>226</v>
      </c>
      <c r="AK140" s="31" t="s">
        <v>226</v>
      </c>
      <c r="AL140" s="31" t="s">
        <v>226</v>
      </c>
      <c r="AM140" s="31"/>
      <c r="AN140" s="31"/>
      <c r="AO140" s="96">
        <v>52.2</v>
      </c>
      <c r="AP140" s="33">
        <f t="shared" si="247"/>
        <v>0.72500000000000009</v>
      </c>
      <c r="AQ140" s="34">
        <f t="shared" si="248"/>
        <v>52.2</v>
      </c>
      <c r="AR140" s="35"/>
      <c r="AS140" s="36">
        <f t="shared" si="197"/>
        <v>0.72500000000000009</v>
      </c>
      <c r="AT140" s="36">
        <f t="shared" si="197"/>
        <v>52.2</v>
      </c>
      <c r="AU140" s="36">
        <f t="shared" si="239"/>
        <v>0.79025000000000012</v>
      </c>
      <c r="AV140" s="36">
        <f t="shared" si="249"/>
        <v>56.89800000000001</v>
      </c>
      <c r="AW140" s="37">
        <v>1</v>
      </c>
      <c r="AX140" s="38">
        <f t="shared" si="272"/>
        <v>72</v>
      </c>
      <c r="AY140" s="38">
        <f t="shared" si="257"/>
        <v>0.20974999999999988</v>
      </c>
      <c r="AZ140" s="38">
        <f t="shared" si="273"/>
        <v>15.101999999999991</v>
      </c>
      <c r="BA140" s="39">
        <f t="shared" si="258"/>
        <v>0.20974999999999988</v>
      </c>
      <c r="BB140" s="42"/>
      <c r="BC140" s="119">
        <f t="shared" si="198"/>
        <v>1</v>
      </c>
      <c r="BD140" s="108">
        <v>0.16350000000000001</v>
      </c>
      <c r="BE140" s="120">
        <f t="shared" si="274"/>
        <v>1.1635</v>
      </c>
      <c r="BF140" s="121">
        <f t="shared" si="199"/>
        <v>0.16349999999999998</v>
      </c>
      <c r="BG140" s="121">
        <f t="shared" si="275"/>
        <v>1.35E-2</v>
      </c>
      <c r="BH140" s="122">
        <f t="shared" si="276"/>
        <v>0.16349999999999998</v>
      </c>
      <c r="BI140" s="121">
        <f t="shared" si="277"/>
        <v>1</v>
      </c>
      <c r="BJ140" s="123">
        <f t="shared" si="200"/>
        <v>0.20974999999999988</v>
      </c>
      <c r="BK140" s="124">
        <f t="shared" si="201"/>
        <v>0</v>
      </c>
      <c r="BL140" s="125" t="s">
        <v>226</v>
      </c>
    </row>
    <row r="141" spans="1:64" ht="45" customHeight="1" x14ac:dyDescent="0.25">
      <c r="A141" s="30">
        <v>135</v>
      </c>
      <c r="B141" s="106" t="s">
        <v>195</v>
      </c>
      <c r="C141" s="31">
        <v>1</v>
      </c>
      <c r="D141" s="32" t="s">
        <v>83</v>
      </c>
      <c r="E141" s="31">
        <f t="shared" ref="E141" si="283">D141*C141</f>
        <v>4</v>
      </c>
      <c r="F141" s="31" t="s">
        <v>226</v>
      </c>
      <c r="G141" s="127">
        <v>24.5</v>
      </c>
      <c r="H141" s="31" t="s">
        <v>226</v>
      </c>
      <c r="I141" s="31" t="s">
        <v>226</v>
      </c>
      <c r="J141" s="31" t="s">
        <v>226</v>
      </c>
      <c r="K141" s="31" t="s">
        <v>226</v>
      </c>
      <c r="L141" s="31" t="s">
        <v>226</v>
      </c>
      <c r="M141" s="31" t="s">
        <v>226</v>
      </c>
      <c r="N141" s="31" t="s">
        <v>226</v>
      </c>
      <c r="O141" s="31" t="s">
        <v>226</v>
      </c>
      <c r="P141" s="127">
        <v>25.7</v>
      </c>
      <c r="Q141" s="31" t="s">
        <v>226</v>
      </c>
      <c r="R141" s="31" t="s">
        <v>226</v>
      </c>
      <c r="S141" s="31" t="s">
        <v>226</v>
      </c>
      <c r="T141" s="31" t="s">
        <v>226</v>
      </c>
      <c r="U141" s="31" t="s">
        <v>226</v>
      </c>
      <c r="V141" s="31" t="s">
        <v>226</v>
      </c>
      <c r="W141" s="31" t="s">
        <v>226</v>
      </c>
      <c r="X141" s="31" t="s">
        <v>226</v>
      </c>
      <c r="Y141" s="31" t="s">
        <v>226</v>
      </c>
      <c r="Z141" s="31" t="s">
        <v>226</v>
      </c>
      <c r="AA141" s="31" t="s">
        <v>226</v>
      </c>
      <c r="AB141" s="31" t="s">
        <v>226</v>
      </c>
      <c r="AC141" s="31" t="s">
        <v>226</v>
      </c>
      <c r="AD141" s="31" t="s">
        <v>226</v>
      </c>
      <c r="AE141" s="31" t="s">
        <v>226</v>
      </c>
      <c r="AF141" s="31" t="s">
        <v>226</v>
      </c>
      <c r="AG141" s="31" t="s">
        <v>226</v>
      </c>
      <c r="AH141" s="31" t="s">
        <v>226</v>
      </c>
      <c r="AI141" s="31" t="s">
        <v>226</v>
      </c>
      <c r="AJ141" s="31" t="s">
        <v>226</v>
      </c>
      <c r="AK141" s="31" t="s">
        <v>226</v>
      </c>
      <c r="AL141" s="31" t="s">
        <v>226</v>
      </c>
      <c r="AM141" s="31"/>
      <c r="AN141" s="31"/>
      <c r="AO141" s="96">
        <v>25.7</v>
      </c>
      <c r="AP141" s="33">
        <f t="shared" si="247"/>
        <v>6.4249999999999998</v>
      </c>
      <c r="AQ141" s="34">
        <f t="shared" si="248"/>
        <v>25.7</v>
      </c>
      <c r="AR141" s="35"/>
      <c r="AS141" s="36">
        <f t="shared" ref="AS141" si="284">AP141/$AZ$2</f>
        <v>6.4249999999999998</v>
      </c>
      <c r="AT141" s="36">
        <f t="shared" ref="AT141" si="285">AQ141/$AZ$2</f>
        <v>25.7</v>
      </c>
      <c r="AU141" s="36">
        <f t="shared" si="239"/>
        <v>7.0032500000000004</v>
      </c>
      <c r="AV141" s="36">
        <f t="shared" si="249"/>
        <v>28.013000000000002</v>
      </c>
      <c r="AW141" s="37">
        <v>8.5</v>
      </c>
      <c r="AX141" s="38">
        <f t="shared" si="272"/>
        <v>34</v>
      </c>
      <c r="AY141" s="38">
        <f t="shared" ref="AY141" si="286">AW141-AU141</f>
        <v>1.4967499999999996</v>
      </c>
      <c r="AZ141" s="38">
        <f t="shared" si="273"/>
        <v>5.9869999999999983</v>
      </c>
      <c r="BA141" s="39">
        <f t="shared" ref="BA141" si="287">AY141/AW141</f>
        <v>0.1760882352941176</v>
      </c>
      <c r="BB141" s="40"/>
      <c r="BC141" s="119">
        <f t="shared" si="198"/>
        <v>8.5</v>
      </c>
      <c r="BD141" s="108">
        <v>0.16350000000000001</v>
      </c>
      <c r="BE141" s="120">
        <f t="shared" si="274"/>
        <v>9.8897499999999994</v>
      </c>
      <c r="BF141" s="121">
        <f t="shared" si="199"/>
        <v>1.3897499999999994</v>
      </c>
      <c r="BG141" s="121">
        <f t="shared" si="275"/>
        <v>0.11474999999999995</v>
      </c>
      <c r="BH141" s="122">
        <f t="shared" si="276"/>
        <v>1.3897499999999994</v>
      </c>
      <c r="BI141" s="121">
        <f t="shared" si="277"/>
        <v>8.5</v>
      </c>
      <c r="BJ141" s="123">
        <f t="shared" si="200"/>
        <v>0.1760882352941176</v>
      </c>
      <c r="BK141" s="124">
        <f t="shared" si="201"/>
        <v>0</v>
      </c>
      <c r="BL141" s="125">
        <v>9.9</v>
      </c>
    </row>
    <row r="142" spans="1:64" ht="45" customHeight="1" x14ac:dyDescent="0.25">
      <c r="A142" s="30">
        <v>136</v>
      </c>
      <c r="B142" s="106" t="s">
        <v>103</v>
      </c>
      <c r="C142" s="31">
        <v>1</v>
      </c>
      <c r="D142" s="32" t="s">
        <v>83</v>
      </c>
      <c r="E142" s="31">
        <f t="shared" si="256"/>
        <v>4</v>
      </c>
      <c r="F142" s="31" t="s">
        <v>226</v>
      </c>
      <c r="G142" s="127">
        <v>24.5</v>
      </c>
      <c r="H142" s="31" t="s">
        <v>226</v>
      </c>
      <c r="I142" s="31" t="s">
        <v>226</v>
      </c>
      <c r="J142" s="31" t="s">
        <v>226</v>
      </c>
      <c r="K142" s="31" t="s">
        <v>226</v>
      </c>
      <c r="L142" s="31" t="s">
        <v>226</v>
      </c>
      <c r="M142" s="31" t="s">
        <v>226</v>
      </c>
      <c r="N142" s="31" t="s">
        <v>226</v>
      </c>
      <c r="O142" s="31" t="s">
        <v>226</v>
      </c>
      <c r="P142" s="127">
        <v>25.7</v>
      </c>
      <c r="Q142" s="31" t="s">
        <v>226</v>
      </c>
      <c r="R142" s="31" t="s">
        <v>226</v>
      </c>
      <c r="S142" s="31" t="s">
        <v>226</v>
      </c>
      <c r="T142" s="31" t="s">
        <v>226</v>
      </c>
      <c r="U142" s="31" t="s">
        <v>226</v>
      </c>
      <c r="V142" s="31" t="s">
        <v>226</v>
      </c>
      <c r="W142" s="31" t="s">
        <v>226</v>
      </c>
      <c r="X142" s="31" t="s">
        <v>226</v>
      </c>
      <c r="Y142" s="31" t="s">
        <v>226</v>
      </c>
      <c r="Z142" s="31" t="s">
        <v>226</v>
      </c>
      <c r="AA142" s="31" t="s">
        <v>226</v>
      </c>
      <c r="AB142" s="31" t="s">
        <v>226</v>
      </c>
      <c r="AC142" s="31" t="s">
        <v>226</v>
      </c>
      <c r="AD142" s="31" t="s">
        <v>226</v>
      </c>
      <c r="AE142" s="31" t="s">
        <v>226</v>
      </c>
      <c r="AF142" s="31" t="s">
        <v>226</v>
      </c>
      <c r="AG142" s="31" t="s">
        <v>226</v>
      </c>
      <c r="AH142" s="31" t="s">
        <v>226</v>
      </c>
      <c r="AI142" s="31" t="s">
        <v>226</v>
      </c>
      <c r="AJ142" s="31" t="s">
        <v>226</v>
      </c>
      <c r="AK142" s="31" t="s">
        <v>226</v>
      </c>
      <c r="AL142" s="31" t="s">
        <v>226</v>
      </c>
      <c r="AM142" s="31"/>
      <c r="AN142" s="31"/>
      <c r="AO142" s="96">
        <v>25.7</v>
      </c>
      <c r="AP142" s="33">
        <f t="shared" si="247"/>
        <v>6.4249999999999998</v>
      </c>
      <c r="AQ142" s="34">
        <f t="shared" si="248"/>
        <v>25.7</v>
      </c>
      <c r="AR142" s="35"/>
      <c r="AS142" s="36">
        <f t="shared" si="197"/>
        <v>6.4249999999999998</v>
      </c>
      <c r="AT142" s="36">
        <f t="shared" si="197"/>
        <v>25.7</v>
      </c>
      <c r="AU142" s="36">
        <f t="shared" si="239"/>
        <v>7.0032500000000004</v>
      </c>
      <c r="AV142" s="36">
        <f t="shared" si="249"/>
        <v>28.013000000000002</v>
      </c>
      <c r="AW142" s="37">
        <v>8.5</v>
      </c>
      <c r="AX142" s="38">
        <f t="shared" si="272"/>
        <v>34</v>
      </c>
      <c r="AY142" s="38">
        <f t="shared" si="257"/>
        <v>1.4967499999999996</v>
      </c>
      <c r="AZ142" s="38">
        <f t="shared" si="273"/>
        <v>5.9869999999999983</v>
      </c>
      <c r="BA142" s="39">
        <f t="shared" si="258"/>
        <v>0.1760882352941176</v>
      </c>
      <c r="BB142" s="40"/>
      <c r="BC142" s="119">
        <f t="shared" si="198"/>
        <v>8.5</v>
      </c>
      <c r="BD142" s="108">
        <v>0.16350000000000001</v>
      </c>
      <c r="BE142" s="120">
        <f t="shared" si="274"/>
        <v>9.8897499999999994</v>
      </c>
      <c r="BF142" s="121">
        <f t="shared" si="199"/>
        <v>1.3897499999999994</v>
      </c>
      <c r="BG142" s="121">
        <f t="shared" si="275"/>
        <v>0.11474999999999995</v>
      </c>
      <c r="BH142" s="122">
        <f t="shared" si="276"/>
        <v>1.3897499999999994</v>
      </c>
      <c r="BI142" s="121">
        <f t="shared" si="277"/>
        <v>8.5</v>
      </c>
      <c r="BJ142" s="123">
        <f t="shared" si="200"/>
        <v>0.1760882352941176</v>
      </c>
      <c r="BK142" s="124">
        <f t="shared" si="201"/>
        <v>0</v>
      </c>
      <c r="BL142" s="125">
        <v>9.9</v>
      </c>
    </row>
    <row r="143" spans="1:64" ht="45" customHeight="1" x14ac:dyDescent="0.25">
      <c r="A143" s="30">
        <v>137</v>
      </c>
      <c r="B143" s="100" t="s">
        <v>183</v>
      </c>
      <c r="C143" s="31">
        <v>1</v>
      </c>
      <c r="D143" s="32" t="s">
        <v>83</v>
      </c>
      <c r="E143" s="31">
        <f t="shared" ref="E143" si="288">D143*C143</f>
        <v>4</v>
      </c>
      <c r="F143" s="31" t="s">
        <v>226</v>
      </c>
      <c r="G143" s="127">
        <v>24.5</v>
      </c>
      <c r="H143" s="31" t="s">
        <v>226</v>
      </c>
      <c r="I143" s="31" t="s">
        <v>226</v>
      </c>
      <c r="J143" s="31" t="s">
        <v>226</v>
      </c>
      <c r="K143" s="31" t="s">
        <v>226</v>
      </c>
      <c r="L143" s="31" t="s">
        <v>226</v>
      </c>
      <c r="M143" s="31" t="s">
        <v>226</v>
      </c>
      <c r="N143" s="31" t="s">
        <v>226</v>
      </c>
      <c r="O143" s="31" t="s">
        <v>226</v>
      </c>
      <c r="P143" s="127">
        <v>25.7</v>
      </c>
      <c r="Q143" s="31" t="s">
        <v>226</v>
      </c>
      <c r="R143" s="31" t="s">
        <v>226</v>
      </c>
      <c r="S143" s="31" t="s">
        <v>226</v>
      </c>
      <c r="T143" s="31" t="s">
        <v>226</v>
      </c>
      <c r="U143" s="31" t="s">
        <v>226</v>
      </c>
      <c r="V143" s="31" t="s">
        <v>226</v>
      </c>
      <c r="W143" s="31" t="s">
        <v>226</v>
      </c>
      <c r="X143" s="31" t="s">
        <v>226</v>
      </c>
      <c r="Y143" s="31" t="s">
        <v>226</v>
      </c>
      <c r="Z143" s="31" t="s">
        <v>226</v>
      </c>
      <c r="AA143" s="31" t="s">
        <v>226</v>
      </c>
      <c r="AB143" s="31" t="s">
        <v>226</v>
      </c>
      <c r="AC143" s="31" t="s">
        <v>226</v>
      </c>
      <c r="AD143" s="31" t="s">
        <v>226</v>
      </c>
      <c r="AE143" s="31" t="s">
        <v>226</v>
      </c>
      <c r="AF143" s="31" t="s">
        <v>226</v>
      </c>
      <c r="AG143" s="31" t="s">
        <v>226</v>
      </c>
      <c r="AH143" s="31" t="s">
        <v>226</v>
      </c>
      <c r="AI143" s="31" t="s">
        <v>226</v>
      </c>
      <c r="AJ143" s="31" t="s">
        <v>226</v>
      </c>
      <c r="AK143" s="31" t="s">
        <v>226</v>
      </c>
      <c r="AL143" s="31" t="s">
        <v>226</v>
      </c>
      <c r="AM143" s="31"/>
      <c r="AN143" s="31"/>
      <c r="AO143" s="96">
        <v>25.7</v>
      </c>
      <c r="AP143" s="33">
        <f t="shared" si="247"/>
        <v>6.4249999999999998</v>
      </c>
      <c r="AQ143" s="34">
        <f t="shared" si="248"/>
        <v>25.7</v>
      </c>
      <c r="AR143" s="35"/>
      <c r="AS143" s="36">
        <f t="shared" ref="AS143" si="289">AP143/$AZ$2</f>
        <v>6.4249999999999998</v>
      </c>
      <c r="AT143" s="36">
        <f t="shared" ref="AT143" si="290">AQ143/$AZ$2</f>
        <v>25.7</v>
      </c>
      <c r="AU143" s="36">
        <f t="shared" si="239"/>
        <v>7.0032500000000004</v>
      </c>
      <c r="AV143" s="36">
        <f t="shared" si="249"/>
        <v>28.013000000000002</v>
      </c>
      <c r="AW143" s="37">
        <v>8.5</v>
      </c>
      <c r="AX143" s="38">
        <f t="shared" si="272"/>
        <v>34</v>
      </c>
      <c r="AY143" s="38">
        <f t="shared" ref="AY143" si="291">AW143-AU143</f>
        <v>1.4967499999999996</v>
      </c>
      <c r="AZ143" s="38">
        <f t="shared" si="273"/>
        <v>5.9869999999999983</v>
      </c>
      <c r="BA143" s="39">
        <f t="shared" ref="BA143" si="292">AY143/AW143</f>
        <v>0.1760882352941176</v>
      </c>
      <c r="BB143" s="41"/>
      <c r="BC143" s="119">
        <f t="shared" si="198"/>
        <v>8.5</v>
      </c>
      <c r="BD143" s="108">
        <v>0.16350000000000001</v>
      </c>
      <c r="BE143" s="120">
        <f t="shared" si="274"/>
        <v>9.8897499999999994</v>
      </c>
      <c r="BF143" s="121">
        <f t="shared" si="199"/>
        <v>1.3897499999999994</v>
      </c>
      <c r="BG143" s="121">
        <f t="shared" si="275"/>
        <v>0.11474999999999995</v>
      </c>
      <c r="BH143" s="122">
        <f t="shared" si="276"/>
        <v>1.3897499999999994</v>
      </c>
      <c r="BI143" s="121">
        <f t="shared" si="277"/>
        <v>8.5</v>
      </c>
      <c r="BJ143" s="123">
        <f t="shared" si="200"/>
        <v>0.1760882352941176</v>
      </c>
      <c r="BK143" s="124">
        <f t="shared" si="201"/>
        <v>0</v>
      </c>
      <c r="BL143" s="125">
        <v>9.9</v>
      </c>
    </row>
    <row r="144" spans="1:64" ht="45" customHeight="1" x14ac:dyDescent="0.25">
      <c r="A144" s="30">
        <v>138</v>
      </c>
      <c r="B144" s="100" t="s">
        <v>104</v>
      </c>
      <c r="C144" s="31">
        <v>1</v>
      </c>
      <c r="D144" s="32" t="s">
        <v>83</v>
      </c>
      <c r="E144" s="31">
        <f t="shared" si="256"/>
        <v>4</v>
      </c>
      <c r="F144" s="31" t="s">
        <v>226</v>
      </c>
      <c r="G144" s="127">
        <v>24.5</v>
      </c>
      <c r="H144" s="31" t="s">
        <v>226</v>
      </c>
      <c r="I144" s="31" t="s">
        <v>226</v>
      </c>
      <c r="J144" s="31" t="s">
        <v>226</v>
      </c>
      <c r="K144" s="31" t="s">
        <v>226</v>
      </c>
      <c r="L144" s="31" t="s">
        <v>226</v>
      </c>
      <c r="M144" s="31" t="s">
        <v>226</v>
      </c>
      <c r="N144" s="31" t="s">
        <v>226</v>
      </c>
      <c r="O144" s="31" t="s">
        <v>226</v>
      </c>
      <c r="P144" s="127">
        <v>25.7</v>
      </c>
      <c r="Q144" s="31" t="s">
        <v>226</v>
      </c>
      <c r="R144" s="31" t="s">
        <v>226</v>
      </c>
      <c r="S144" s="31" t="s">
        <v>226</v>
      </c>
      <c r="T144" s="31" t="s">
        <v>226</v>
      </c>
      <c r="U144" s="31" t="s">
        <v>226</v>
      </c>
      <c r="V144" s="31" t="s">
        <v>226</v>
      </c>
      <c r="W144" s="31" t="s">
        <v>226</v>
      </c>
      <c r="X144" s="31" t="s">
        <v>226</v>
      </c>
      <c r="Y144" s="31" t="s">
        <v>226</v>
      </c>
      <c r="Z144" s="31" t="s">
        <v>226</v>
      </c>
      <c r="AA144" s="31" t="s">
        <v>226</v>
      </c>
      <c r="AB144" s="31" t="s">
        <v>226</v>
      </c>
      <c r="AC144" s="31" t="s">
        <v>226</v>
      </c>
      <c r="AD144" s="31" t="s">
        <v>226</v>
      </c>
      <c r="AE144" s="31" t="s">
        <v>226</v>
      </c>
      <c r="AF144" s="31" t="s">
        <v>226</v>
      </c>
      <c r="AG144" s="31" t="s">
        <v>226</v>
      </c>
      <c r="AH144" s="31" t="s">
        <v>226</v>
      </c>
      <c r="AI144" s="31" t="s">
        <v>226</v>
      </c>
      <c r="AJ144" s="31" t="s">
        <v>226</v>
      </c>
      <c r="AK144" s="31" t="s">
        <v>226</v>
      </c>
      <c r="AL144" s="31" t="s">
        <v>226</v>
      </c>
      <c r="AM144" s="31"/>
      <c r="AN144" s="31"/>
      <c r="AO144" s="96">
        <v>25.7</v>
      </c>
      <c r="AP144" s="33">
        <f t="shared" si="247"/>
        <v>6.4249999999999998</v>
      </c>
      <c r="AQ144" s="34">
        <f t="shared" si="248"/>
        <v>25.7</v>
      </c>
      <c r="AR144" s="35"/>
      <c r="AS144" s="36">
        <f t="shared" si="197"/>
        <v>6.4249999999999998</v>
      </c>
      <c r="AT144" s="36">
        <f t="shared" si="197"/>
        <v>25.7</v>
      </c>
      <c r="AU144" s="36">
        <f t="shared" si="239"/>
        <v>7.0032500000000004</v>
      </c>
      <c r="AV144" s="36">
        <f t="shared" si="249"/>
        <v>28.013000000000002</v>
      </c>
      <c r="AW144" s="37">
        <v>8.5</v>
      </c>
      <c r="AX144" s="38">
        <f t="shared" si="272"/>
        <v>34</v>
      </c>
      <c r="AY144" s="38">
        <f t="shared" si="257"/>
        <v>1.4967499999999996</v>
      </c>
      <c r="AZ144" s="38">
        <f t="shared" si="273"/>
        <v>5.9869999999999983</v>
      </c>
      <c r="BA144" s="39">
        <f t="shared" si="258"/>
        <v>0.1760882352941176</v>
      </c>
      <c r="BB144" s="41"/>
      <c r="BC144" s="119">
        <f t="shared" si="198"/>
        <v>8.5</v>
      </c>
      <c r="BD144" s="108">
        <v>0.16350000000000001</v>
      </c>
      <c r="BE144" s="120">
        <f t="shared" si="274"/>
        <v>9.8897499999999994</v>
      </c>
      <c r="BF144" s="121">
        <f t="shared" si="199"/>
        <v>1.3897499999999994</v>
      </c>
      <c r="BG144" s="121">
        <f t="shared" si="275"/>
        <v>0.11474999999999995</v>
      </c>
      <c r="BH144" s="122">
        <f t="shared" si="276"/>
        <v>1.3897499999999994</v>
      </c>
      <c r="BI144" s="121">
        <f t="shared" si="277"/>
        <v>8.5</v>
      </c>
      <c r="BJ144" s="123">
        <f t="shared" si="200"/>
        <v>0.1760882352941176</v>
      </c>
      <c r="BK144" s="124">
        <f t="shared" si="201"/>
        <v>0</v>
      </c>
      <c r="BL144" s="125">
        <v>9.9</v>
      </c>
    </row>
    <row r="145" spans="1:64" ht="45" customHeight="1" x14ac:dyDescent="0.25">
      <c r="A145" s="30">
        <v>139</v>
      </c>
      <c r="B145" s="100" t="s">
        <v>105</v>
      </c>
      <c r="C145" s="31">
        <v>1</v>
      </c>
      <c r="D145" s="32" t="s">
        <v>73</v>
      </c>
      <c r="E145" s="31">
        <f t="shared" si="256"/>
        <v>12</v>
      </c>
      <c r="F145" s="31" t="s">
        <v>226</v>
      </c>
      <c r="G145" s="31" t="s">
        <v>226</v>
      </c>
      <c r="H145" s="31" t="s">
        <v>226</v>
      </c>
      <c r="I145" s="31" t="s">
        <v>226</v>
      </c>
      <c r="J145" s="31" t="s">
        <v>226</v>
      </c>
      <c r="K145" s="31" t="s">
        <v>226</v>
      </c>
      <c r="L145" s="31" t="s">
        <v>226</v>
      </c>
      <c r="M145" s="31" t="s">
        <v>226</v>
      </c>
      <c r="N145" s="31" t="s">
        <v>226</v>
      </c>
      <c r="O145" s="31" t="s">
        <v>226</v>
      </c>
      <c r="P145" s="31" t="s">
        <v>226</v>
      </c>
      <c r="Q145" s="31" t="s">
        <v>226</v>
      </c>
      <c r="R145" s="31" t="s">
        <v>226</v>
      </c>
      <c r="S145" s="31" t="s">
        <v>226</v>
      </c>
      <c r="T145" s="31" t="s">
        <v>226</v>
      </c>
      <c r="U145" s="31" t="s">
        <v>226</v>
      </c>
      <c r="V145" s="31" t="s">
        <v>226</v>
      </c>
      <c r="W145" s="31" t="s">
        <v>226</v>
      </c>
      <c r="X145" s="31" t="s">
        <v>226</v>
      </c>
      <c r="Y145" s="31" t="s">
        <v>226</v>
      </c>
      <c r="Z145" s="31" t="s">
        <v>226</v>
      </c>
      <c r="AA145" s="31" t="s">
        <v>226</v>
      </c>
      <c r="AB145" s="31" t="s">
        <v>226</v>
      </c>
      <c r="AC145" s="31" t="s">
        <v>226</v>
      </c>
      <c r="AD145" s="31" t="s">
        <v>226</v>
      </c>
      <c r="AE145" s="31" t="s">
        <v>226</v>
      </c>
      <c r="AF145" s="31" t="s">
        <v>226</v>
      </c>
      <c r="AG145" s="31" t="s">
        <v>226</v>
      </c>
      <c r="AH145" s="31" t="s">
        <v>226</v>
      </c>
      <c r="AI145" s="31" t="s">
        <v>226</v>
      </c>
      <c r="AJ145" s="31" t="s">
        <v>226</v>
      </c>
      <c r="AK145" s="31" t="s">
        <v>226</v>
      </c>
      <c r="AL145" s="31" t="s">
        <v>226</v>
      </c>
      <c r="AM145" s="31"/>
      <c r="AN145" s="31"/>
      <c r="AO145" s="96">
        <v>25.5</v>
      </c>
      <c r="AP145" s="33">
        <f t="shared" si="247"/>
        <v>2.125</v>
      </c>
      <c r="AQ145" s="34">
        <f t="shared" si="248"/>
        <v>25.5</v>
      </c>
      <c r="AR145" s="35"/>
      <c r="AS145" s="36">
        <f t="shared" si="197"/>
        <v>2.125</v>
      </c>
      <c r="AT145" s="36">
        <f t="shared" si="197"/>
        <v>25.5</v>
      </c>
      <c r="AU145" s="36">
        <f t="shared" si="239"/>
        <v>2.3162500000000001</v>
      </c>
      <c r="AV145" s="36">
        <f t="shared" si="249"/>
        <v>27.795000000000002</v>
      </c>
      <c r="AW145" s="37">
        <v>3.9</v>
      </c>
      <c r="AX145" s="38">
        <f t="shared" si="272"/>
        <v>46.8</v>
      </c>
      <c r="AY145" s="38">
        <f t="shared" si="257"/>
        <v>1.5837499999999998</v>
      </c>
      <c r="AZ145" s="38">
        <f t="shared" si="273"/>
        <v>19.004999999999995</v>
      </c>
      <c r="BA145" s="39">
        <f t="shared" si="258"/>
        <v>0.40608974358974353</v>
      </c>
      <c r="BB145" s="42"/>
      <c r="BC145" s="119">
        <f t="shared" si="198"/>
        <v>3.9</v>
      </c>
      <c r="BD145" s="108">
        <v>0.16350000000000001</v>
      </c>
      <c r="BE145" s="120">
        <f t="shared" si="274"/>
        <v>4.5376500000000002</v>
      </c>
      <c r="BF145" s="121">
        <f t="shared" si="199"/>
        <v>0.63765000000000027</v>
      </c>
      <c r="BG145" s="121">
        <f t="shared" si="275"/>
        <v>5.2650000000000023E-2</v>
      </c>
      <c r="BH145" s="122">
        <f t="shared" si="276"/>
        <v>0.63765000000000027</v>
      </c>
      <c r="BI145" s="121">
        <f t="shared" si="277"/>
        <v>3.9</v>
      </c>
      <c r="BJ145" s="123">
        <f t="shared" si="200"/>
        <v>0.40608974358974353</v>
      </c>
      <c r="BK145" s="124">
        <f t="shared" si="201"/>
        <v>0</v>
      </c>
      <c r="BL145" s="125" t="s">
        <v>226</v>
      </c>
    </row>
    <row r="146" spans="1:64" ht="45" customHeight="1" x14ac:dyDescent="0.25">
      <c r="A146" s="30">
        <v>140</v>
      </c>
      <c r="B146" s="100" t="s">
        <v>184</v>
      </c>
      <c r="C146" s="31">
        <v>1</v>
      </c>
      <c r="D146" s="32" t="s">
        <v>24</v>
      </c>
      <c r="E146" s="31">
        <f t="shared" si="256"/>
        <v>24</v>
      </c>
      <c r="F146" s="31" t="s">
        <v>226</v>
      </c>
      <c r="G146" s="31" t="s">
        <v>226</v>
      </c>
      <c r="H146" s="31" t="s">
        <v>226</v>
      </c>
      <c r="I146" s="31" t="s">
        <v>226</v>
      </c>
      <c r="J146" s="31" t="s">
        <v>226</v>
      </c>
      <c r="K146" s="31" t="s">
        <v>226</v>
      </c>
      <c r="L146" s="31" t="s">
        <v>226</v>
      </c>
      <c r="M146" s="31" t="s">
        <v>226</v>
      </c>
      <c r="N146" s="31" t="s">
        <v>226</v>
      </c>
      <c r="O146" s="31" t="s">
        <v>226</v>
      </c>
      <c r="P146" s="31" t="s">
        <v>226</v>
      </c>
      <c r="Q146" s="31" t="s">
        <v>226</v>
      </c>
      <c r="R146" s="31" t="s">
        <v>226</v>
      </c>
      <c r="S146" s="31" t="s">
        <v>226</v>
      </c>
      <c r="T146" s="31" t="s">
        <v>226</v>
      </c>
      <c r="U146" s="31" t="s">
        <v>226</v>
      </c>
      <c r="V146" s="31" t="s">
        <v>226</v>
      </c>
      <c r="W146" s="31" t="s">
        <v>226</v>
      </c>
      <c r="X146" s="31" t="s">
        <v>226</v>
      </c>
      <c r="Y146" s="31" t="s">
        <v>226</v>
      </c>
      <c r="Z146" s="31" t="s">
        <v>226</v>
      </c>
      <c r="AA146" s="31" t="s">
        <v>226</v>
      </c>
      <c r="AB146" s="31" t="s">
        <v>226</v>
      </c>
      <c r="AC146" s="31" t="s">
        <v>226</v>
      </c>
      <c r="AD146" s="31" t="s">
        <v>226</v>
      </c>
      <c r="AE146" s="31" t="s">
        <v>226</v>
      </c>
      <c r="AF146" s="31" t="s">
        <v>226</v>
      </c>
      <c r="AG146" s="31" t="s">
        <v>226</v>
      </c>
      <c r="AH146" s="31" t="s">
        <v>226</v>
      </c>
      <c r="AI146" s="31" t="s">
        <v>226</v>
      </c>
      <c r="AJ146" s="31" t="s">
        <v>226</v>
      </c>
      <c r="AK146" s="31" t="s">
        <v>226</v>
      </c>
      <c r="AL146" s="31" t="s">
        <v>226</v>
      </c>
      <c r="AM146" s="31"/>
      <c r="AN146" s="31"/>
      <c r="AO146" s="96">
        <v>49</v>
      </c>
      <c r="AP146" s="33">
        <f t="shared" si="247"/>
        <v>2.0416666666666665</v>
      </c>
      <c r="AQ146" s="34">
        <f t="shared" si="248"/>
        <v>49</v>
      </c>
      <c r="AR146" s="35"/>
      <c r="AS146" s="36">
        <f t="shared" si="197"/>
        <v>2.0416666666666665</v>
      </c>
      <c r="AT146" s="36">
        <f t="shared" si="197"/>
        <v>49</v>
      </c>
      <c r="AU146" s="36">
        <f t="shared" si="239"/>
        <v>2.2254166666666668</v>
      </c>
      <c r="AV146" s="36">
        <f t="shared" si="249"/>
        <v>53.410000000000004</v>
      </c>
      <c r="AW146" s="37">
        <v>3.9</v>
      </c>
      <c r="AX146" s="38">
        <f t="shared" si="272"/>
        <v>93.6</v>
      </c>
      <c r="AY146" s="38">
        <f t="shared" si="257"/>
        <v>1.6745833333333331</v>
      </c>
      <c r="AZ146" s="38">
        <f t="shared" si="273"/>
        <v>40.19</v>
      </c>
      <c r="BA146" s="39">
        <f t="shared" si="258"/>
        <v>0.42938034188034185</v>
      </c>
      <c r="BB146" s="42"/>
      <c r="BC146" s="119">
        <f t="shared" si="198"/>
        <v>3.9</v>
      </c>
      <c r="BD146" s="108">
        <v>0.16350000000000001</v>
      </c>
      <c r="BE146" s="120">
        <f t="shared" si="274"/>
        <v>4.5376500000000002</v>
      </c>
      <c r="BF146" s="121">
        <f t="shared" si="199"/>
        <v>0.63765000000000027</v>
      </c>
      <c r="BG146" s="121">
        <f t="shared" si="275"/>
        <v>5.2650000000000023E-2</v>
      </c>
      <c r="BH146" s="122">
        <f t="shared" si="276"/>
        <v>0.63765000000000027</v>
      </c>
      <c r="BI146" s="121">
        <f t="shared" si="277"/>
        <v>3.9</v>
      </c>
      <c r="BJ146" s="123">
        <f t="shared" si="200"/>
        <v>0.42938034188034185</v>
      </c>
      <c r="BK146" s="124">
        <f t="shared" si="201"/>
        <v>0</v>
      </c>
      <c r="BL146" s="125" t="s">
        <v>226</v>
      </c>
    </row>
    <row r="147" spans="1:64" ht="45" customHeight="1" x14ac:dyDescent="0.25">
      <c r="A147" s="30">
        <v>141</v>
      </c>
      <c r="B147" s="100" t="s">
        <v>185</v>
      </c>
      <c r="C147" s="31">
        <v>1</v>
      </c>
      <c r="D147" s="32" t="s">
        <v>73</v>
      </c>
      <c r="E147" s="31">
        <f t="shared" si="256"/>
        <v>12</v>
      </c>
      <c r="F147" s="31" t="s">
        <v>226</v>
      </c>
      <c r="G147" s="31" t="s">
        <v>226</v>
      </c>
      <c r="H147" s="31" t="s">
        <v>226</v>
      </c>
      <c r="I147" s="31" t="s">
        <v>226</v>
      </c>
      <c r="J147" s="31" t="s">
        <v>226</v>
      </c>
      <c r="K147" s="31" t="s">
        <v>226</v>
      </c>
      <c r="L147" s="31" t="s">
        <v>226</v>
      </c>
      <c r="M147" s="31" t="s">
        <v>226</v>
      </c>
      <c r="N147" s="31" t="s">
        <v>226</v>
      </c>
      <c r="O147" s="31" t="s">
        <v>226</v>
      </c>
      <c r="P147" s="31" t="s">
        <v>226</v>
      </c>
      <c r="Q147" s="31" t="s">
        <v>226</v>
      </c>
      <c r="R147" s="31" t="s">
        <v>226</v>
      </c>
      <c r="S147" s="31" t="s">
        <v>226</v>
      </c>
      <c r="T147" s="31" t="s">
        <v>226</v>
      </c>
      <c r="U147" s="31" t="s">
        <v>226</v>
      </c>
      <c r="V147" s="31" t="s">
        <v>226</v>
      </c>
      <c r="W147" s="31" t="s">
        <v>226</v>
      </c>
      <c r="X147" s="31" t="s">
        <v>226</v>
      </c>
      <c r="Y147" s="31" t="s">
        <v>226</v>
      </c>
      <c r="Z147" s="31" t="s">
        <v>226</v>
      </c>
      <c r="AA147" s="31" t="s">
        <v>226</v>
      </c>
      <c r="AB147" s="31" t="s">
        <v>226</v>
      </c>
      <c r="AC147" s="31" t="s">
        <v>226</v>
      </c>
      <c r="AD147" s="31" t="s">
        <v>226</v>
      </c>
      <c r="AE147" s="31" t="s">
        <v>226</v>
      </c>
      <c r="AF147" s="31" t="s">
        <v>226</v>
      </c>
      <c r="AG147" s="31" t="s">
        <v>226</v>
      </c>
      <c r="AH147" s="31" t="s">
        <v>226</v>
      </c>
      <c r="AI147" s="31" t="s">
        <v>226</v>
      </c>
      <c r="AJ147" s="31" t="s">
        <v>226</v>
      </c>
      <c r="AK147" s="31" t="s">
        <v>226</v>
      </c>
      <c r="AL147" s="31" t="s">
        <v>226</v>
      </c>
      <c r="AM147" s="31"/>
      <c r="AN147" s="31"/>
      <c r="AO147" s="96">
        <v>24</v>
      </c>
      <c r="AP147" s="33">
        <f t="shared" si="247"/>
        <v>2</v>
      </c>
      <c r="AQ147" s="34">
        <f t="shared" si="248"/>
        <v>24</v>
      </c>
      <c r="AR147" s="35"/>
      <c r="AS147" s="36">
        <f t="shared" si="197"/>
        <v>2</v>
      </c>
      <c r="AT147" s="36">
        <f t="shared" si="197"/>
        <v>24</v>
      </c>
      <c r="AU147" s="36">
        <f t="shared" si="239"/>
        <v>2.1800000000000002</v>
      </c>
      <c r="AV147" s="36">
        <f t="shared" si="249"/>
        <v>26.160000000000004</v>
      </c>
      <c r="AW147" s="37"/>
      <c r="AX147" s="38">
        <f t="shared" si="272"/>
        <v>0</v>
      </c>
      <c r="AY147" s="38">
        <f t="shared" si="257"/>
        <v>-2.1800000000000002</v>
      </c>
      <c r="AZ147" s="38">
        <f t="shared" si="273"/>
        <v>-26.160000000000004</v>
      </c>
      <c r="BA147" s="39" t="e">
        <f t="shared" si="258"/>
        <v>#DIV/0!</v>
      </c>
      <c r="BB147" s="42"/>
      <c r="BC147" s="119">
        <f t="shared" si="198"/>
        <v>0</v>
      </c>
      <c r="BD147" s="108">
        <v>0.16350000000000001</v>
      </c>
      <c r="BE147" s="120">
        <f t="shared" si="274"/>
        <v>0</v>
      </c>
      <c r="BF147" s="121">
        <f t="shared" si="199"/>
        <v>0</v>
      </c>
      <c r="BG147" s="121">
        <f t="shared" si="275"/>
        <v>0</v>
      </c>
      <c r="BH147" s="122">
        <f t="shared" si="276"/>
        <v>0</v>
      </c>
      <c r="BI147" s="121">
        <f t="shared" si="277"/>
        <v>0</v>
      </c>
      <c r="BJ147" s="123" t="e">
        <f t="shared" si="200"/>
        <v>#DIV/0!</v>
      </c>
      <c r="BK147" s="124" t="e">
        <f t="shared" si="201"/>
        <v>#DIV/0!</v>
      </c>
      <c r="BL147" s="125" t="s">
        <v>226</v>
      </c>
    </row>
    <row r="148" spans="1:64" ht="45" customHeight="1" x14ac:dyDescent="0.25">
      <c r="A148" s="30">
        <v>142</v>
      </c>
      <c r="B148" s="100" t="s">
        <v>178</v>
      </c>
      <c r="C148" s="31">
        <v>1</v>
      </c>
      <c r="D148" s="32" t="s">
        <v>24</v>
      </c>
      <c r="E148" s="31">
        <f t="shared" ref="E148" si="293">D148*C148</f>
        <v>24</v>
      </c>
      <c r="F148" s="31" t="s">
        <v>226</v>
      </c>
      <c r="G148" s="31" t="s">
        <v>226</v>
      </c>
      <c r="H148" s="31" t="s">
        <v>226</v>
      </c>
      <c r="I148" s="31" t="s">
        <v>226</v>
      </c>
      <c r="J148" s="31" t="s">
        <v>226</v>
      </c>
      <c r="K148" s="31" t="s">
        <v>226</v>
      </c>
      <c r="L148" s="31" t="s">
        <v>226</v>
      </c>
      <c r="M148" s="31" t="s">
        <v>226</v>
      </c>
      <c r="N148" s="31" t="s">
        <v>226</v>
      </c>
      <c r="O148" s="31" t="s">
        <v>226</v>
      </c>
      <c r="P148" s="31" t="s">
        <v>226</v>
      </c>
      <c r="Q148" s="31" t="s">
        <v>226</v>
      </c>
      <c r="R148" s="31" t="s">
        <v>226</v>
      </c>
      <c r="S148" s="31" t="s">
        <v>226</v>
      </c>
      <c r="T148" s="31" t="s">
        <v>226</v>
      </c>
      <c r="U148" s="31" t="s">
        <v>226</v>
      </c>
      <c r="V148" s="31" t="s">
        <v>226</v>
      </c>
      <c r="W148" s="31" t="s">
        <v>226</v>
      </c>
      <c r="X148" s="31" t="s">
        <v>226</v>
      </c>
      <c r="Y148" s="31" t="s">
        <v>226</v>
      </c>
      <c r="Z148" s="31" t="s">
        <v>226</v>
      </c>
      <c r="AA148" s="31" t="s">
        <v>226</v>
      </c>
      <c r="AB148" s="31" t="s">
        <v>226</v>
      </c>
      <c r="AC148" s="31" t="s">
        <v>226</v>
      </c>
      <c r="AD148" s="31" t="s">
        <v>226</v>
      </c>
      <c r="AE148" s="31" t="s">
        <v>226</v>
      </c>
      <c r="AF148" s="31" t="s">
        <v>226</v>
      </c>
      <c r="AG148" s="31" t="s">
        <v>226</v>
      </c>
      <c r="AH148" s="31" t="s">
        <v>226</v>
      </c>
      <c r="AI148" s="31" t="s">
        <v>226</v>
      </c>
      <c r="AJ148" s="31" t="s">
        <v>226</v>
      </c>
      <c r="AK148" s="31" t="s">
        <v>226</v>
      </c>
      <c r="AL148" s="31" t="s">
        <v>226</v>
      </c>
      <c r="AM148" s="31"/>
      <c r="AN148" s="31"/>
      <c r="AO148" s="96">
        <v>49.8</v>
      </c>
      <c r="AP148" s="33">
        <f t="shared" si="247"/>
        <v>2.0749999999999997</v>
      </c>
      <c r="AQ148" s="34">
        <f t="shared" si="248"/>
        <v>49.8</v>
      </c>
      <c r="AR148" s="35"/>
      <c r="AS148" s="36">
        <f t="shared" ref="AS148" si="294">AP148/$AZ$2</f>
        <v>2.0749999999999997</v>
      </c>
      <c r="AT148" s="36">
        <f t="shared" ref="AT148" si="295">AQ148/$AZ$2</f>
        <v>49.8</v>
      </c>
      <c r="AU148" s="36">
        <f t="shared" si="239"/>
        <v>2.2617499999999997</v>
      </c>
      <c r="AV148" s="36">
        <f t="shared" si="249"/>
        <v>54.281999999999996</v>
      </c>
      <c r="AW148" s="37">
        <v>3.9</v>
      </c>
      <c r="AX148" s="38">
        <f t="shared" si="272"/>
        <v>93.6</v>
      </c>
      <c r="AY148" s="38">
        <f t="shared" ref="AY148" si="296">AW148-AU148</f>
        <v>1.6382500000000002</v>
      </c>
      <c r="AZ148" s="38">
        <f t="shared" si="273"/>
        <v>39.318000000000005</v>
      </c>
      <c r="BA148" s="39">
        <f t="shared" ref="BA148" si="297">AY148/AW148</f>
        <v>0.42006410256410265</v>
      </c>
      <c r="BB148" s="42"/>
      <c r="BC148" s="119">
        <f t="shared" si="198"/>
        <v>3.9</v>
      </c>
      <c r="BD148" s="108">
        <v>0.16350000000000001</v>
      </c>
      <c r="BE148" s="120">
        <f t="shared" si="274"/>
        <v>4.5376500000000002</v>
      </c>
      <c r="BF148" s="121">
        <f t="shared" si="199"/>
        <v>0.63765000000000027</v>
      </c>
      <c r="BG148" s="121">
        <f t="shared" si="275"/>
        <v>5.2650000000000023E-2</v>
      </c>
      <c r="BH148" s="122">
        <f t="shared" si="276"/>
        <v>0.63765000000000027</v>
      </c>
      <c r="BI148" s="121">
        <f t="shared" si="277"/>
        <v>3.9</v>
      </c>
      <c r="BJ148" s="123">
        <f t="shared" si="200"/>
        <v>0.42006410256410265</v>
      </c>
      <c r="BK148" s="124">
        <f t="shared" si="201"/>
        <v>0</v>
      </c>
      <c r="BL148" s="125" t="s">
        <v>226</v>
      </c>
    </row>
    <row r="149" spans="1:64" ht="45" customHeight="1" x14ac:dyDescent="0.25">
      <c r="A149" s="30">
        <v>143</v>
      </c>
      <c r="B149" s="100" t="s">
        <v>148</v>
      </c>
      <c r="C149" s="31">
        <v>1</v>
      </c>
      <c r="D149" s="32" t="s">
        <v>24</v>
      </c>
      <c r="E149" s="31">
        <f t="shared" ref="E149" si="298">D149*C149</f>
        <v>24</v>
      </c>
      <c r="F149" s="31" t="s">
        <v>226</v>
      </c>
      <c r="G149" s="31" t="s">
        <v>226</v>
      </c>
      <c r="H149" s="31" t="s">
        <v>226</v>
      </c>
      <c r="I149" s="31" t="s">
        <v>226</v>
      </c>
      <c r="J149" s="31" t="s">
        <v>226</v>
      </c>
      <c r="K149" s="31" t="s">
        <v>226</v>
      </c>
      <c r="L149" s="31" t="s">
        <v>226</v>
      </c>
      <c r="M149" s="31" t="s">
        <v>226</v>
      </c>
      <c r="N149" s="31" t="s">
        <v>226</v>
      </c>
      <c r="O149" s="31" t="s">
        <v>226</v>
      </c>
      <c r="P149" s="31" t="s">
        <v>226</v>
      </c>
      <c r="Q149" s="31" t="s">
        <v>226</v>
      </c>
      <c r="R149" s="31" t="s">
        <v>226</v>
      </c>
      <c r="S149" s="31" t="s">
        <v>226</v>
      </c>
      <c r="T149" s="31" t="s">
        <v>226</v>
      </c>
      <c r="U149" s="31" t="s">
        <v>226</v>
      </c>
      <c r="V149" s="31" t="s">
        <v>226</v>
      </c>
      <c r="W149" s="31" t="s">
        <v>226</v>
      </c>
      <c r="X149" s="31" t="s">
        <v>226</v>
      </c>
      <c r="Y149" s="31" t="s">
        <v>226</v>
      </c>
      <c r="Z149" s="31" t="s">
        <v>226</v>
      </c>
      <c r="AA149" s="31" t="s">
        <v>226</v>
      </c>
      <c r="AB149" s="31" t="s">
        <v>226</v>
      </c>
      <c r="AC149" s="31" t="s">
        <v>226</v>
      </c>
      <c r="AD149" s="31" t="s">
        <v>226</v>
      </c>
      <c r="AE149" s="31" t="s">
        <v>226</v>
      </c>
      <c r="AF149" s="31" t="s">
        <v>226</v>
      </c>
      <c r="AG149" s="31" t="s">
        <v>226</v>
      </c>
      <c r="AH149" s="31" t="s">
        <v>226</v>
      </c>
      <c r="AI149" s="31" t="s">
        <v>226</v>
      </c>
      <c r="AJ149" s="31" t="s">
        <v>226</v>
      </c>
      <c r="AK149" s="31" t="s">
        <v>226</v>
      </c>
      <c r="AL149" s="31" t="s">
        <v>226</v>
      </c>
      <c r="AM149" s="31"/>
      <c r="AN149" s="31"/>
      <c r="AO149" s="96">
        <v>58</v>
      </c>
      <c r="AP149" s="33">
        <f t="shared" ref="AP149:AP181" si="299">AO149/D149</f>
        <v>2.4166666666666665</v>
      </c>
      <c r="AQ149" s="34">
        <f t="shared" ref="AQ149:AQ181" si="300">AP149*E149</f>
        <v>58</v>
      </c>
      <c r="AR149" s="35"/>
      <c r="AS149" s="36">
        <f t="shared" ref="AS149" si="301">AP149/$AZ$2</f>
        <v>2.4166666666666665</v>
      </c>
      <c r="AT149" s="36">
        <f t="shared" ref="AT149" si="302">AQ149/$AZ$2</f>
        <v>58</v>
      </c>
      <c r="AU149" s="36">
        <f t="shared" ref="AU149:AU154" si="303">AS149*(1+$AV$189+9%)</f>
        <v>2.6341666666666668</v>
      </c>
      <c r="AV149" s="36">
        <f t="shared" ref="AV149:AV181" si="304">AU149*E149</f>
        <v>63.22</v>
      </c>
      <c r="AW149" s="37">
        <v>3.95</v>
      </c>
      <c r="AX149" s="38">
        <f t="shared" si="272"/>
        <v>94.800000000000011</v>
      </c>
      <c r="AY149" s="38">
        <f t="shared" ref="AY149" si="305">AW149-AU149</f>
        <v>1.3158333333333334</v>
      </c>
      <c r="AZ149" s="38">
        <f t="shared" si="273"/>
        <v>31.580000000000002</v>
      </c>
      <c r="BA149" s="39">
        <f t="shared" ref="BA149" si="306">AY149/AW149</f>
        <v>0.33312236286919833</v>
      </c>
      <c r="BB149" s="42"/>
      <c r="BC149" s="119">
        <f t="shared" si="198"/>
        <v>3.95</v>
      </c>
      <c r="BD149" s="108">
        <v>0.16350000000000001</v>
      </c>
      <c r="BE149" s="120">
        <f t="shared" si="274"/>
        <v>4.5958250000000005</v>
      </c>
      <c r="BF149" s="121">
        <f t="shared" si="199"/>
        <v>0.64582500000000032</v>
      </c>
      <c r="BG149" s="121">
        <f t="shared" si="275"/>
        <v>5.3325000000000032E-2</v>
      </c>
      <c r="BH149" s="122">
        <f t="shared" si="276"/>
        <v>0.64582500000000032</v>
      </c>
      <c r="BI149" s="121">
        <f t="shared" si="277"/>
        <v>3.95</v>
      </c>
      <c r="BJ149" s="123">
        <f t="shared" si="200"/>
        <v>0.33312236286919833</v>
      </c>
      <c r="BK149" s="124">
        <f t="shared" si="201"/>
        <v>0</v>
      </c>
      <c r="BL149" s="125" t="s">
        <v>226</v>
      </c>
    </row>
    <row r="150" spans="1:64" ht="45" customHeight="1" x14ac:dyDescent="0.25">
      <c r="A150" s="30">
        <v>144</v>
      </c>
      <c r="B150" s="102" t="s">
        <v>106</v>
      </c>
      <c r="C150" s="31">
        <v>1</v>
      </c>
      <c r="D150" s="32" t="s">
        <v>136</v>
      </c>
      <c r="E150" s="31">
        <f t="shared" si="256"/>
        <v>10</v>
      </c>
      <c r="F150" s="31" t="s">
        <v>226</v>
      </c>
      <c r="G150" s="31" t="s">
        <v>226</v>
      </c>
      <c r="H150" s="31" t="s">
        <v>226</v>
      </c>
      <c r="I150" s="31" t="s">
        <v>226</v>
      </c>
      <c r="J150" s="31" t="s">
        <v>226</v>
      </c>
      <c r="K150" s="31" t="s">
        <v>226</v>
      </c>
      <c r="L150" s="31" t="s">
        <v>226</v>
      </c>
      <c r="M150" s="31" t="s">
        <v>226</v>
      </c>
      <c r="N150" s="31" t="s">
        <v>226</v>
      </c>
      <c r="O150" s="31" t="s">
        <v>226</v>
      </c>
      <c r="P150" s="31" t="s">
        <v>226</v>
      </c>
      <c r="Q150" s="31" t="s">
        <v>226</v>
      </c>
      <c r="R150" s="31" t="s">
        <v>226</v>
      </c>
      <c r="S150" s="31" t="s">
        <v>226</v>
      </c>
      <c r="T150" s="31" t="s">
        <v>226</v>
      </c>
      <c r="U150" s="31" t="s">
        <v>226</v>
      </c>
      <c r="V150" s="31" t="s">
        <v>226</v>
      </c>
      <c r="W150" s="31" t="s">
        <v>226</v>
      </c>
      <c r="X150" s="31" t="s">
        <v>226</v>
      </c>
      <c r="Y150" s="31" t="s">
        <v>226</v>
      </c>
      <c r="Z150" s="31" t="s">
        <v>226</v>
      </c>
      <c r="AA150" s="31" t="s">
        <v>226</v>
      </c>
      <c r="AB150" s="31" t="s">
        <v>226</v>
      </c>
      <c r="AC150" s="31" t="s">
        <v>226</v>
      </c>
      <c r="AD150" s="31" t="s">
        <v>226</v>
      </c>
      <c r="AE150" s="31" t="s">
        <v>226</v>
      </c>
      <c r="AF150" s="31" t="s">
        <v>226</v>
      </c>
      <c r="AG150" s="31" t="s">
        <v>226</v>
      </c>
      <c r="AH150" s="31" t="s">
        <v>226</v>
      </c>
      <c r="AI150" s="31" t="s">
        <v>226</v>
      </c>
      <c r="AJ150" s="31" t="s">
        <v>226</v>
      </c>
      <c r="AK150" s="31" t="s">
        <v>226</v>
      </c>
      <c r="AL150" s="31" t="s">
        <v>226</v>
      </c>
      <c r="AM150" s="31"/>
      <c r="AN150" s="31"/>
      <c r="AO150" s="96">
        <v>13.5</v>
      </c>
      <c r="AP150" s="33">
        <f t="shared" si="299"/>
        <v>1.35</v>
      </c>
      <c r="AQ150" s="34">
        <f t="shared" si="300"/>
        <v>13.5</v>
      </c>
      <c r="AR150" s="35"/>
      <c r="AS150" s="36">
        <f t="shared" si="197"/>
        <v>1.35</v>
      </c>
      <c r="AT150" s="36">
        <f t="shared" si="197"/>
        <v>13.5</v>
      </c>
      <c r="AU150" s="36">
        <f t="shared" si="303"/>
        <v>1.4715000000000003</v>
      </c>
      <c r="AV150" s="36">
        <f t="shared" si="304"/>
        <v>14.715000000000003</v>
      </c>
      <c r="AW150" s="37">
        <v>1.95</v>
      </c>
      <c r="AX150" s="38">
        <f t="shared" si="272"/>
        <v>19.5</v>
      </c>
      <c r="AY150" s="38">
        <f t="shared" si="257"/>
        <v>0.4784999999999997</v>
      </c>
      <c r="AZ150" s="38">
        <f t="shared" si="273"/>
        <v>4.7849999999999966</v>
      </c>
      <c r="BA150" s="39">
        <f t="shared" si="258"/>
        <v>0.24538461538461523</v>
      </c>
      <c r="BB150" s="42"/>
      <c r="BC150" s="119">
        <f t="shared" ref="BC150:BC185" si="307">AW150</f>
        <v>1.95</v>
      </c>
      <c r="BD150" s="108">
        <v>0.16350000000000001</v>
      </c>
      <c r="BE150" s="120">
        <f t="shared" si="274"/>
        <v>2.2688250000000001</v>
      </c>
      <c r="BF150" s="121">
        <f t="shared" ref="BF150:BF185" si="308">BE150-BC150</f>
        <v>0.31882500000000014</v>
      </c>
      <c r="BG150" s="121">
        <f t="shared" si="275"/>
        <v>2.6325000000000012E-2</v>
      </c>
      <c r="BH150" s="122">
        <f t="shared" si="276"/>
        <v>0.31882500000000014</v>
      </c>
      <c r="BI150" s="121">
        <f t="shared" si="277"/>
        <v>1.95</v>
      </c>
      <c r="BJ150" s="123">
        <f t="shared" ref="BJ150:BJ185" si="309">(BI150-AU150)/BI150</f>
        <v>0.24538461538461523</v>
      </c>
      <c r="BK150" s="124">
        <f t="shared" ref="BK150:BK185" si="310">BJ150-BA150</f>
        <v>0</v>
      </c>
      <c r="BL150" s="125">
        <v>1.5</v>
      </c>
    </row>
    <row r="151" spans="1:64" ht="45" customHeight="1" x14ac:dyDescent="0.25">
      <c r="A151" s="30">
        <v>145</v>
      </c>
      <c r="B151" s="100" t="s">
        <v>218</v>
      </c>
      <c r="C151" s="31">
        <v>1</v>
      </c>
      <c r="D151" s="32" t="s">
        <v>157</v>
      </c>
      <c r="E151" s="31">
        <f t="shared" si="256"/>
        <v>60</v>
      </c>
      <c r="F151" s="31">
        <v>30</v>
      </c>
      <c r="G151" s="31" t="s">
        <v>226</v>
      </c>
      <c r="H151" s="31" t="s">
        <v>226</v>
      </c>
      <c r="I151" s="31" t="s">
        <v>226</v>
      </c>
      <c r="J151" s="31" t="s">
        <v>226</v>
      </c>
      <c r="K151" s="31" t="s">
        <v>226</v>
      </c>
      <c r="L151" s="31" t="s">
        <v>226</v>
      </c>
      <c r="M151" s="31" t="s">
        <v>226</v>
      </c>
      <c r="N151" s="31" t="s">
        <v>226</v>
      </c>
      <c r="O151" s="31" t="s">
        <v>226</v>
      </c>
      <c r="P151" s="31" t="s">
        <v>226</v>
      </c>
      <c r="Q151" s="31" t="s">
        <v>226</v>
      </c>
      <c r="R151" s="31" t="s">
        <v>226</v>
      </c>
      <c r="S151" s="31" t="s">
        <v>226</v>
      </c>
      <c r="T151" s="31" t="s">
        <v>226</v>
      </c>
      <c r="U151" s="31" t="s">
        <v>226</v>
      </c>
      <c r="V151" s="31" t="s">
        <v>226</v>
      </c>
      <c r="W151" s="31" t="s">
        <v>226</v>
      </c>
      <c r="X151" s="31" t="s">
        <v>226</v>
      </c>
      <c r="Y151" s="31" t="s">
        <v>226</v>
      </c>
      <c r="Z151" s="31" t="s">
        <v>226</v>
      </c>
      <c r="AA151" s="31" t="s">
        <v>226</v>
      </c>
      <c r="AB151" s="31" t="s">
        <v>226</v>
      </c>
      <c r="AC151" s="31" t="s">
        <v>226</v>
      </c>
      <c r="AD151" s="31" t="s">
        <v>226</v>
      </c>
      <c r="AE151" s="31" t="s">
        <v>226</v>
      </c>
      <c r="AF151" s="31" t="s">
        <v>226</v>
      </c>
      <c r="AG151" s="31" t="s">
        <v>226</v>
      </c>
      <c r="AH151" s="31" t="s">
        <v>226</v>
      </c>
      <c r="AI151" s="31" t="s">
        <v>226</v>
      </c>
      <c r="AJ151" s="31" t="s">
        <v>226</v>
      </c>
      <c r="AK151" s="31" t="s">
        <v>226</v>
      </c>
      <c r="AL151" s="31" t="s">
        <v>226</v>
      </c>
      <c r="AM151" s="31"/>
      <c r="AN151" s="31"/>
      <c r="AO151" s="96">
        <v>34</v>
      </c>
      <c r="AP151" s="33">
        <f t="shared" si="299"/>
        <v>0.56666666666666665</v>
      </c>
      <c r="AQ151" s="34">
        <f t="shared" si="300"/>
        <v>34</v>
      </c>
      <c r="AR151" s="35"/>
      <c r="AS151" s="36">
        <f t="shared" si="197"/>
        <v>0.56666666666666665</v>
      </c>
      <c r="AT151" s="36">
        <f t="shared" si="197"/>
        <v>34</v>
      </c>
      <c r="AU151" s="36">
        <f t="shared" si="303"/>
        <v>0.6176666666666667</v>
      </c>
      <c r="AV151" s="36">
        <f t="shared" si="304"/>
        <v>37.06</v>
      </c>
      <c r="AW151" s="37">
        <v>0.85</v>
      </c>
      <c r="AX151" s="38">
        <f t="shared" si="272"/>
        <v>51</v>
      </c>
      <c r="AY151" s="38">
        <f t="shared" si="257"/>
        <v>0.23233333333333328</v>
      </c>
      <c r="AZ151" s="38">
        <f t="shared" si="273"/>
        <v>13.939999999999998</v>
      </c>
      <c r="BA151" s="39">
        <f t="shared" si="258"/>
        <v>0.27333333333333326</v>
      </c>
      <c r="BB151" s="42"/>
      <c r="BC151" s="119">
        <f t="shared" si="307"/>
        <v>0.85</v>
      </c>
      <c r="BD151" s="108">
        <v>0.16350000000000001</v>
      </c>
      <c r="BE151" s="120">
        <f t="shared" si="274"/>
        <v>0.98897499999999994</v>
      </c>
      <c r="BF151" s="121">
        <f t="shared" si="308"/>
        <v>0.13897499999999996</v>
      </c>
      <c r="BG151" s="121">
        <f t="shared" si="275"/>
        <v>1.1474999999999997E-2</v>
      </c>
      <c r="BH151" s="122">
        <f t="shared" si="276"/>
        <v>0.13897499999999996</v>
      </c>
      <c r="BI151" s="121">
        <f t="shared" si="277"/>
        <v>0.85</v>
      </c>
      <c r="BJ151" s="123">
        <f t="shared" si="309"/>
        <v>0.27333333333333326</v>
      </c>
      <c r="BK151" s="124">
        <f t="shared" si="310"/>
        <v>0</v>
      </c>
      <c r="BL151" s="125" t="s">
        <v>226</v>
      </c>
    </row>
    <row r="152" spans="1:64" ht="45" customHeight="1" x14ac:dyDescent="0.25">
      <c r="A152" s="30">
        <v>146</v>
      </c>
      <c r="B152" s="104" t="s">
        <v>107</v>
      </c>
      <c r="C152" s="31">
        <v>1</v>
      </c>
      <c r="D152" s="32" t="s">
        <v>157</v>
      </c>
      <c r="E152" s="31">
        <f t="shared" si="256"/>
        <v>60</v>
      </c>
      <c r="F152" s="31">
        <v>30</v>
      </c>
      <c r="G152" s="31" t="s">
        <v>226</v>
      </c>
      <c r="H152" s="31" t="s">
        <v>226</v>
      </c>
      <c r="I152" s="31" t="s">
        <v>226</v>
      </c>
      <c r="J152" s="31" t="s">
        <v>226</v>
      </c>
      <c r="K152" s="31" t="s">
        <v>226</v>
      </c>
      <c r="L152" s="31" t="s">
        <v>226</v>
      </c>
      <c r="M152" s="31" t="s">
        <v>226</v>
      </c>
      <c r="N152" s="31" t="s">
        <v>226</v>
      </c>
      <c r="O152" s="31" t="s">
        <v>226</v>
      </c>
      <c r="P152" s="31" t="s">
        <v>226</v>
      </c>
      <c r="Q152" s="31" t="s">
        <v>226</v>
      </c>
      <c r="R152" s="31" t="s">
        <v>226</v>
      </c>
      <c r="S152" s="31" t="s">
        <v>226</v>
      </c>
      <c r="T152" s="31" t="s">
        <v>226</v>
      </c>
      <c r="U152" s="31" t="s">
        <v>226</v>
      </c>
      <c r="V152" s="31" t="s">
        <v>226</v>
      </c>
      <c r="W152" s="31" t="s">
        <v>226</v>
      </c>
      <c r="X152" s="31" t="s">
        <v>226</v>
      </c>
      <c r="Y152" s="31" t="s">
        <v>226</v>
      </c>
      <c r="Z152" s="31" t="s">
        <v>226</v>
      </c>
      <c r="AA152" s="31" t="s">
        <v>226</v>
      </c>
      <c r="AB152" s="31" t="s">
        <v>226</v>
      </c>
      <c r="AC152" s="31" t="s">
        <v>226</v>
      </c>
      <c r="AD152" s="31" t="s">
        <v>226</v>
      </c>
      <c r="AE152" s="31" t="s">
        <v>226</v>
      </c>
      <c r="AF152" s="31" t="s">
        <v>226</v>
      </c>
      <c r="AG152" s="31" t="s">
        <v>226</v>
      </c>
      <c r="AH152" s="31" t="s">
        <v>226</v>
      </c>
      <c r="AI152" s="31" t="s">
        <v>226</v>
      </c>
      <c r="AJ152" s="31" t="s">
        <v>226</v>
      </c>
      <c r="AK152" s="31" t="s">
        <v>226</v>
      </c>
      <c r="AL152" s="31" t="s">
        <v>226</v>
      </c>
      <c r="AM152" s="31"/>
      <c r="AN152" s="31"/>
      <c r="AO152" s="96">
        <v>34</v>
      </c>
      <c r="AP152" s="33">
        <f t="shared" si="299"/>
        <v>0.56666666666666665</v>
      </c>
      <c r="AQ152" s="34">
        <f t="shared" si="300"/>
        <v>34</v>
      </c>
      <c r="AR152" s="35"/>
      <c r="AS152" s="36">
        <f t="shared" si="197"/>
        <v>0.56666666666666665</v>
      </c>
      <c r="AT152" s="36">
        <f t="shared" si="197"/>
        <v>34</v>
      </c>
      <c r="AU152" s="36">
        <f t="shared" si="303"/>
        <v>0.6176666666666667</v>
      </c>
      <c r="AV152" s="36">
        <f t="shared" si="304"/>
        <v>37.06</v>
      </c>
      <c r="AW152" s="37">
        <v>0.85</v>
      </c>
      <c r="AX152" s="38">
        <f t="shared" si="272"/>
        <v>51</v>
      </c>
      <c r="AY152" s="38">
        <f t="shared" si="257"/>
        <v>0.23233333333333328</v>
      </c>
      <c r="AZ152" s="38">
        <f t="shared" si="273"/>
        <v>13.939999999999998</v>
      </c>
      <c r="BA152" s="39">
        <f t="shared" si="258"/>
        <v>0.27333333333333326</v>
      </c>
      <c r="BB152" s="43"/>
      <c r="BC152" s="119">
        <f t="shared" si="307"/>
        <v>0.85</v>
      </c>
      <c r="BD152" s="108">
        <v>0.16350000000000001</v>
      </c>
      <c r="BE152" s="120">
        <f t="shared" si="274"/>
        <v>0.98897499999999994</v>
      </c>
      <c r="BF152" s="121">
        <f t="shared" si="308"/>
        <v>0.13897499999999996</v>
      </c>
      <c r="BG152" s="121">
        <f t="shared" si="275"/>
        <v>1.1474999999999997E-2</v>
      </c>
      <c r="BH152" s="122">
        <f t="shared" si="276"/>
        <v>0.13897499999999996</v>
      </c>
      <c r="BI152" s="121">
        <f t="shared" si="277"/>
        <v>0.85</v>
      </c>
      <c r="BJ152" s="123">
        <f t="shared" si="309"/>
        <v>0.27333333333333326</v>
      </c>
      <c r="BK152" s="124">
        <f t="shared" si="310"/>
        <v>0</v>
      </c>
      <c r="BL152" s="125" t="s">
        <v>226</v>
      </c>
    </row>
    <row r="153" spans="1:64" ht="45" customHeight="1" x14ac:dyDescent="0.25">
      <c r="A153" s="30">
        <v>147</v>
      </c>
      <c r="B153" s="106" t="s">
        <v>108</v>
      </c>
      <c r="C153" s="31">
        <v>1</v>
      </c>
      <c r="D153" s="32" t="s">
        <v>25</v>
      </c>
      <c r="E153" s="31">
        <f t="shared" si="256"/>
        <v>6</v>
      </c>
      <c r="F153" s="31" t="s">
        <v>226</v>
      </c>
      <c r="G153" s="31" t="s">
        <v>226</v>
      </c>
      <c r="H153" s="31" t="s">
        <v>226</v>
      </c>
      <c r="I153" s="31" t="s">
        <v>226</v>
      </c>
      <c r="J153" s="31" t="s">
        <v>226</v>
      </c>
      <c r="K153" s="31" t="s">
        <v>226</v>
      </c>
      <c r="L153" s="31" t="s">
        <v>226</v>
      </c>
      <c r="M153" s="31" t="s">
        <v>226</v>
      </c>
      <c r="N153" s="31" t="s">
        <v>226</v>
      </c>
      <c r="O153" s="31" t="s">
        <v>226</v>
      </c>
      <c r="P153" s="31" t="s">
        <v>226</v>
      </c>
      <c r="Q153" s="31" t="s">
        <v>226</v>
      </c>
      <c r="R153" s="31" t="s">
        <v>226</v>
      </c>
      <c r="S153" s="31" t="s">
        <v>226</v>
      </c>
      <c r="T153" s="31" t="s">
        <v>226</v>
      </c>
      <c r="U153" s="31" t="s">
        <v>226</v>
      </c>
      <c r="V153" s="31" t="s">
        <v>226</v>
      </c>
      <c r="W153" s="31" t="s">
        <v>226</v>
      </c>
      <c r="X153" s="31" t="s">
        <v>226</v>
      </c>
      <c r="Y153" s="31" t="s">
        <v>226</v>
      </c>
      <c r="Z153" s="31" t="s">
        <v>226</v>
      </c>
      <c r="AA153" s="31" t="s">
        <v>226</v>
      </c>
      <c r="AB153" s="31" t="s">
        <v>226</v>
      </c>
      <c r="AC153" s="31" t="s">
        <v>226</v>
      </c>
      <c r="AD153" s="31" t="s">
        <v>226</v>
      </c>
      <c r="AE153" s="31" t="s">
        <v>226</v>
      </c>
      <c r="AF153" s="31" t="s">
        <v>226</v>
      </c>
      <c r="AG153" s="31" t="s">
        <v>226</v>
      </c>
      <c r="AH153" s="31" t="s">
        <v>226</v>
      </c>
      <c r="AI153" s="31" t="s">
        <v>226</v>
      </c>
      <c r="AJ153" s="31" t="s">
        <v>226</v>
      </c>
      <c r="AK153" s="31" t="s">
        <v>226</v>
      </c>
      <c r="AL153" s="31" t="s">
        <v>226</v>
      </c>
      <c r="AM153" s="31"/>
      <c r="AN153" s="31"/>
      <c r="AO153" s="96">
        <v>21</v>
      </c>
      <c r="AP153" s="33">
        <f t="shared" si="299"/>
        <v>3.5</v>
      </c>
      <c r="AQ153" s="34">
        <f t="shared" si="300"/>
        <v>21</v>
      </c>
      <c r="AR153" s="35"/>
      <c r="AS153" s="36">
        <f t="shared" si="197"/>
        <v>3.5</v>
      </c>
      <c r="AT153" s="36">
        <f t="shared" si="197"/>
        <v>21</v>
      </c>
      <c r="AU153" s="36">
        <f t="shared" si="303"/>
        <v>3.8150000000000004</v>
      </c>
      <c r="AV153" s="36">
        <f t="shared" si="304"/>
        <v>22.89</v>
      </c>
      <c r="AW153" s="37">
        <v>4.95</v>
      </c>
      <c r="AX153" s="38">
        <f t="shared" si="272"/>
        <v>29.700000000000003</v>
      </c>
      <c r="AY153" s="38">
        <f t="shared" si="257"/>
        <v>1.1349999999999998</v>
      </c>
      <c r="AZ153" s="38">
        <f t="shared" si="273"/>
        <v>6.8099999999999987</v>
      </c>
      <c r="BA153" s="39">
        <f t="shared" si="258"/>
        <v>0.22929292929292924</v>
      </c>
      <c r="BB153" s="40"/>
      <c r="BC153" s="119">
        <f t="shared" si="307"/>
        <v>4.95</v>
      </c>
      <c r="BD153" s="108">
        <v>0.16350000000000001</v>
      </c>
      <c r="BE153" s="120">
        <f t="shared" si="274"/>
        <v>5.7593250000000005</v>
      </c>
      <c r="BF153" s="121">
        <f t="shared" si="308"/>
        <v>0.80932500000000029</v>
      </c>
      <c r="BG153" s="121">
        <f t="shared" si="275"/>
        <v>6.6825000000000023E-2</v>
      </c>
      <c r="BH153" s="122">
        <f t="shared" si="276"/>
        <v>0.80932500000000029</v>
      </c>
      <c r="BI153" s="121">
        <f t="shared" si="277"/>
        <v>4.95</v>
      </c>
      <c r="BJ153" s="123">
        <f t="shared" si="309"/>
        <v>0.22929292929292924</v>
      </c>
      <c r="BK153" s="124">
        <f t="shared" si="310"/>
        <v>0</v>
      </c>
      <c r="BL153" s="125" t="s">
        <v>226</v>
      </c>
    </row>
    <row r="154" spans="1:64" ht="45" customHeight="1" x14ac:dyDescent="0.25">
      <c r="A154" s="30">
        <v>148</v>
      </c>
      <c r="B154" s="104" t="s">
        <v>109</v>
      </c>
      <c r="C154" s="31">
        <v>1</v>
      </c>
      <c r="D154" s="32" t="s">
        <v>73</v>
      </c>
      <c r="E154" s="31">
        <f t="shared" si="256"/>
        <v>12</v>
      </c>
      <c r="F154" s="31" t="s">
        <v>226</v>
      </c>
      <c r="G154" s="31" t="s">
        <v>226</v>
      </c>
      <c r="H154" s="31" t="s">
        <v>226</v>
      </c>
      <c r="I154" s="31" t="s">
        <v>226</v>
      </c>
      <c r="J154" s="31" t="s">
        <v>226</v>
      </c>
      <c r="K154" s="31" t="s">
        <v>226</v>
      </c>
      <c r="L154" s="31" t="s">
        <v>226</v>
      </c>
      <c r="M154" s="31" t="s">
        <v>226</v>
      </c>
      <c r="N154" s="31" t="s">
        <v>226</v>
      </c>
      <c r="O154" s="31" t="s">
        <v>226</v>
      </c>
      <c r="P154" s="31" t="s">
        <v>226</v>
      </c>
      <c r="Q154" s="31" t="s">
        <v>226</v>
      </c>
      <c r="R154" s="31" t="s">
        <v>226</v>
      </c>
      <c r="S154" s="31" t="s">
        <v>226</v>
      </c>
      <c r="T154" s="31" t="s">
        <v>226</v>
      </c>
      <c r="U154" s="31" t="s">
        <v>226</v>
      </c>
      <c r="V154" s="31" t="s">
        <v>226</v>
      </c>
      <c r="W154" s="31" t="s">
        <v>226</v>
      </c>
      <c r="X154" s="31" t="s">
        <v>226</v>
      </c>
      <c r="Y154" s="31" t="s">
        <v>226</v>
      </c>
      <c r="Z154" s="31" t="s">
        <v>226</v>
      </c>
      <c r="AA154" s="31" t="s">
        <v>226</v>
      </c>
      <c r="AB154" s="31" t="s">
        <v>226</v>
      </c>
      <c r="AC154" s="31" t="s">
        <v>226</v>
      </c>
      <c r="AD154" s="31" t="s">
        <v>226</v>
      </c>
      <c r="AE154" s="31" t="s">
        <v>226</v>
      </c>
      <c r="AF154" s="31" t="s">
        <v>226</v>
      </c>
      <c r="AG154" s="31" t="s">
        <v>226</v>
      </c>
      <c r="AH154" s="31" t="s">
        <v>226</v>
      </c>
      <c r="AI154" s="31" t="s">
        <v>226</v>
      </c>
      <c r="AJ154" s="31" t="s">
        <v>226</v>
      </c>
      <c r="AK154" s="31" t="s">
        <v>226</v>
      </c>
      <c r="AL154" s="31" t="s">
        <v>226</v>
      </c>
      <c r="AM154" s="31"/>
      <c r="AN154" s="31"/>
      <c r="AO154" s="96">
        <v>19</v>
      </c>
      <c r="AP154" s="33">
        <f t="shared" si="299"/>
        <v>1.5833333333333333</v>
      </c>
      <c r="AQ154" s="34">
        <f t="shared" si="300"/>
        <v>19</v>
      </c>
      <c r="AR154" s="35"/>
      <c r="AS154" s="36">
        <f t="shared" si="197"/>
        <v>1.5833333333333333</v>
      </c>
      <c r="AT154" s="36">
        <f t="shared" si="197"/>
        <v>19</v>
      </c>
      <c r="AU154" s="36">
        <f t="shared" si="303"/>
        <v>1.7258333333333333</v>
      </c>
      <c r="AV154" s="36">
        <f t="shared" si="304"/>
        <v>20.71</v>
      </c>
      <c r="AW154" s="37">
        <v>2.5</v>
      </c>
      <c r="AX154" s="38">
        <f t="shared" si="272"/>
        <v>30</v>
      </c>
      <c r="AY154" s="38">
        <f t="shared" si="257"/>
        <v>0.77416666666666667</v>
      </c>
      <c r="AZ154" s="38">
        <f t="shared" si="273"/>
        <v>9.2899999999999991</v>
      </c>
      <c r="BA154" s="39">
        <f t="shared" si="258"/>
        <v>0.30966666666666665</v>
      </c>
      <c r="BB154" s="43"/>
      <c r="BC154" s="119">
        <f t="shared" si="307"/>
        <v>2.5</v>
      </c>
      <c r="BD154" s="108">
        <v>0.16350000000000001</v>
      </c>
      <c r="BE154" s="120">
        <f t="shared" si="274"/>
        <v>2.9087499999999999</v>
      </c>
      <c r="BF154" s="121">
        <f t="shared" si="308"/>
        <v>0.40874999999999995</v>
      </c>
      <c r="BG154" s="121">
        <f t="shared" si="275"/>
        <v>3.3749999999999995E-2</v>
      </c>
      <c r="BH154" s="122">
        <f t="shared" si="276"/>
        <v>0.40874999999999995</v>
      </c>
      <c r="BI154" s="121">
        <f t="shared" si="277"/>
        <v>2.5</v>
      </c>
      <c r="BJ154" s="123">
        <f t="shared" si="309"/>
        <v>0.30966666666666665</v>
      </c>
      <c r="BK154" s="124">
        <f t="shared" si="310"/>
        <v>0</v>
      </c>
      <c r="BL154" s="125" t="s">
        <v>226</v>
      </c>
    </row>
    <row r="155" spans="1:64" ht="45" customHeight="1" x14ac:dyDescent="0.25">
      <c r="A155" s="30">
        <v>149</v>
      </c>
      <c r="B155" s="103" t="s">
        <v>190</v>
      </c>
      <c r="C155" s="31">
        <v>1</v>
      </c>
      <c r="D155" s="32" t="s">
        <v>73</v>
      </c>
      <c r="E155" s="31">
        <f t="shared" ref="E155:E156" si="311">D155*C155</f>
        <v>12</v>
      </c>
      <c r="F155" s="31" t="s">
        <v>226</v>
      </c>
      <c r="G155" s="31" t="s">
        <v>226</v>
      </c>
      <c r="H155" s="31" t="s">
        <v>226</v>
      </c>
      <c r="I155" s="31" t="s">
        <v>226</v>
      </c>
      <c r="J155" s="31" t="s">
        <v>226</v>
      </c>
      <c r="K155" s="31" t="s">
        <v>226</v>
      </c>
      <c r="L155" s="31" t="s">
        <v>226</v>
      </c>
      <c r="M155" s="31" t="s">
        <v>226</v>
      </c>
      <c r="N155" s="31" t="s">
        <v>226</v>
      </c>
      <c r="O155" s="31" t="s">
        <v>226</v>
      </c>
      <c r="P155" s="31" t="s">
        <v>226</v>
      </c>
      <c r="Q155" s="31" t="s">
        <v>226</v>
      </c>
      <c r="R155" s="31" t="s">
        <v>226</v>
      </c>
      <c r="S155" s="31" t="s">
        <v>226</v>
      </c>
      <c r="T155" s="31" t="s">
        <v>226</v>
      </c>
      <c r="U155" s="31" t="s">
        <v>226</v>
      </c>
      <c r="V155" s="31" t="s">
        <v>226</v>
      </c>
      <c r="W155" s="31" t="s">
        <v>226</v>
      </c>
      <c r="X155" s="31" t="s">
        <v>226</v>
      </c>
      <c r="Y155" s="31" t="s">
        <v>226</v>
      </c>
      <c r="Z155" s="31" t="s">
        <v>226</v>
      </c>
      <c r="AA155" s="31" t="s">
        <v>226</v>
      </c>
      <c r="AB155" s="31" t="s">
        <v>226</v>
      </c>
      <c r="AC155" s="31" t="s">
        <v>226</v>
      </c>
      <c r="AD155" s="31" t="s">
        <v>226</v>
      </c>
      <c r="AE155" s="31" t="s">
        <v>226</v>
      </c>
      <c r="AF155" s="31" t="s">
        <v>226</v>
      </c>
      <c r="AG155" s="31" t="s">
        <v>226</v>
      </c>
      <c r="AH155" s="31" t="s">
        <v>226</v>
      </c>
      <c r="AI155" s="31" t="s">
        <v>226</v>
      </c>
      <c r="AJ155" s="31" t="s">
        <v>226</v>
      </c>
      <c r="AK155" s="31" t="s">
        <v>226</v>
      </c>
      <c r="AL155" s="31" t="s">
        <v>226</v>
      </c>
      <c r="AM155" s="31"/>
      <c r="AN155" s="31"/>
      <c r="AO155" s="96">
        <v>19</v>
      </c>
      <c r="AP155" s="33">
        <f t="shared" si="299"/>
        <v>1.5833333333333333</v>
      </c>
      <c r="AQ155" s="34">
        <f t="shared" si="300"/>
        <v>19</v>
      </c>
      <c r="AR155" s="35"/>
      <c r="AS155" s="36">
        <f t="shared" ref="AS155:AS156" si="312">AP155/$AZ$2</f>
        <v>1.5833333333333333</v>
      </c>
      <c r="AT155" s="36">
        <f t="shared" ref="AT155:AT156" si="313">AQ155/$AZ$2</f>
        <v>19</v>
      </c>
      <c r="AU155" s="36">
        <f t="shared" ref="AU155:AU156" si="314">AS155*(1+$AV$189+9%)</f>
        <v>1.7258333333333333</v>
      </c>
      <c r="AV155" s="36">
        <f t="shared" si="304"/>
        <v>20.71</v>
      </c>
      <c r="AW155" s="37"/>
      <c r="AX155" s="38">
        <f t="shared" si="272"/>
        <v>0</v>
      </c>
      <c r="AY155" s="38">
        <f t="shared" ref="AY155:AY156" si="315">AW155-AU155</f>
        <v>-1.7258333333333333</v>
      </c>
      <c r="AZ155" s="38">
        <f t="shared" si="273"/>
        <v>-20.71</v>
      </c>
      <c r="BA155" s="39" t="e">
        <f t="shared" ref="BA155:BA156" si="316">AY155/AW155</f>
        <v>#DIV/0!</v>
      </c>
      <c r="BB155" s="43"/>
      <c r="BC155" s="119">
        <f t="shared" si="307"/>
        <v>0</v>
      </c>
      <c r="BD155" s="108">
        <v>0.16350000000000001</v>
      </c>
      <c r="BE155" s="120">
        <f t="shared" si="274"/>
        <v>0</v>
      </c>
      <c r="BF155" s="121">
        <f t="shared" si="308"/>
        <v>0</v>
      </c>
      <c r="BG155" s="121">
        <f t="shared" si="275"/>
        <v>0</v>
      </c>
      <c r="BH155" s="122">
        <f t="shared" si="276"/>
        <v>0</v>
      </c>
      <c r="BI155" s="121">
        <f t="shared" si="277"/>
        <v>0</v>
      </c>
      <c r="BJ155" s="123" t="e">
        <f t="shared" si="309"/>
        <v>#DIV/0!</v>
      </c>
      <c r="BK155" s="124" t="e">
        <f t="shared" si="310"/>
        <v>#DIV/0!</v>
      </c>
      <c r="BL155" s="125" t="s">
        <v>226</v>
      </c>
    </row>
    <row r="156" spans="1:64" ht="45" customHeight="1" x14ac:dyDescent="0.25">
      <c r="A156" s="30">
        <v>150</v>
      </c>
      <c r="B156" s="104" t="s">
        <v>191</v>
      </c>
      <c r="C156" s="31">
        <v>1</v>
      </c>
      <c r="D156" s="32" t="s">
        <v>73</v>
      </c>
      <c r="E156" s="31">
        <f t="shared" si="311"/>
        <v>12</v>
      </c>
      <c r="F156" s="31" t="s">
        <v>226</v>
      </c>
      <c r="G156" s="31" t="s">
        <v>226</v>
      </c>
      <c r="H156" s="31" t="s">
        <v>226</v>
      </c>
      <c r="I156" s="31" t="s">
        <v>226</v>
      </c>
      <c r="J156" s="31" t="s">
        <v>226</v>
      </c>
      <c r="K156" s="31" t="s">
        <v>226</v>
      </c>
      <c r="L156" s="31" t="s">
        <v>226</v>
      </c>
      <c r="M156" s="31" t="s">
        <v>226</v>
      </c>
      <c r="N156" s="31" t="s">
        <v>226</v>
      </c>
      <c r="O156" s="31" t="s">
        <v>226</v>
      </c>
      <c r="P156" s="31" t="s">
        <v>226</v>
      </c>
      <c r="Q156" s="31" t="s">
        <v>226</v>
      </c>
      <c r="R156" s="31" t="s">
        <v>226</v>
      </c>
      <c r="S156" s="31" t="s">
        <v>226</v>
      </c>
      <c r="T156" s="31" t="s">
        <v>226</v>
      </c>
      <c r="U156" s="31" t="s">
        <v>226</v>
      </c>
      <c r="V156" s="31" t="s">
        <v>226</v>
      </c>
      <c r="W156" s="31" t="s">
        <v>226</v>
      </c>
      <c r="X156" s="31" t="s">
        <v>226</v>
      </c>
      <c r="Y156" s="31" t="s">
        <v>226</v>
      </c>
      <c r="Z156" s="31" t="s">
        <v>226</v>
      </c>
      <c r="AA156" s="31" t="s">
        <v>226</v>
      </c>
      <c r="AB156" s="31" t="s">
        <v>226</v>
      </c>
      <c r="AC156" s="31" t="s">
        <v>226</v>
      </c>
      <c r="AD156" s="31" t="s">
        <v>226</v>
      </c>
      <c r="AE156" s="96">
        <v>19.5</v>
      </c>
      <c r="AF156" s="31" t="s">
        <v>226</v>
      </c>
      <c r="AG156" s="31" t="s">
        <v>226</v>
      </c>
      <c r="AH156" s="31">
        <v>19</v>
      </c>
      <c r="AI156" s="31" t="s">
        <v>226</v>
      </c>
      <c r="AJ156" s="31" t="s">
        <v>226</v>
      </c>
      <c r="AK156" s="31" t="s">
        <v>226</v>
      </c>
      <c r="AL156" s="31" t="s">
        <v>226</v>
      </c>
      <c r="AM156" s="31"/>
      <c r="AN156" s="31"/>
      <c r="AO156" s="96">
        <v>19.5</v>
      </c>
      <c r="AP156" s="33">
        <f t="shared" si="299"/>
        <v>1.625</v>
      </c>
      <c r="AQ156" s="34">
        <f t="shared" si="300"/>
        <v>19.5</v>
      </c>
      <c r="AR156" s="35"/>
      <c r="AS156" s="36">
        <f t="shared" si="312"/>
        <v>1.625</v>
      </c>
      <c r="AT156" s="36">
        <f t="shared" si="313"/>
        <v>19.5</v>
      </c>
      <c r="AU156" s="36">
        <f t="shared" si="314"/>
        <v>1.7712500000000002</v>
      </c>
      <c r="AV156" s="36">
        <f t="shared" si="304"/>
        <v>21.255000000000003</v>
      </c>
      <c r="AW156" s="37"/>
      <c r="AX156" s="38">
        <f t="shared" si="272"/>
        <v>0</v>
      </c>
      <c r="AY156" s="38">
        <f t="shared" si="315"/>
        <v>-1.7712500000000002</v>
      </c>
      <c r="AZ156" s="38">
        <f t="shared" si="273"/>
        <v>-21.255000000000003</v>
      </c>
      <c r="BA156" s="39" t="e">
        <f t="shared" si="316"/>
        <v>#DIV/0!</v>
      </c>
      <c r="BB156" s="43"/>
      <c r="BC156" s="119">
        <f t="shared" si="307"/>
        <v>0</v>
      </c>
      <c r="BD156" s="108">
        <v>0.16350000000000001</v>
      </c>
      <c r="BE156" s="120">
        <f t="shared" si="274"/>
        <v>0</v>
      </c>
      <c r="BF156" s="121">
        <f t="shared" si="308"/>
        <v>0</v>
      </c>
      <c r="BG156" s="121">
        <f t="shared" si="275"/>
        <v>0</v>
      </c>
      <c r="BH156" s="122">
        <f t="shared" si="276"/>
        <v>0</v>
      </c>
      <c r="BI156" s="121">
        <f t="shared" si="277"/>
        <v>0</v>
      </c>
      <c r="BJ156" s="123" t="e">
        <f t="shared" si="309"/>
        <v>#DIV/0!</v>
      </c>
      <c r="BK156" s="124" t="e">
        <f t="shared" si="310"/>
        <v>#DIV/0!</v>
      </c>
      <c r="BL156" s="125" t="s">
        <v>226</v>
      </c>
    </row>
    <row r="157" spans="1:64" ht="45" customHeight="1" x14ac:dyDescent="0.25">
      <c r="A157" s="30">
        <v>151</v>
      </c>
      <c r="B157" s="103" t="s">
        <v>110</v>
      </c>
      <c r="C157" s="31">
        <v>1</v>
      </c>
      <c r="D157" s="32" t="s">
        <v>73</v>
      </c>
      <c r="E157" s="31">
        <f t="shared" si="256"/>
        <v>12</v>
      </c>
      <c r="F157" s="31" t="s">
        <v>226</v>
      </c>
      <c r="G157" s="31" t="s">
        <v>226</v>
      </c>
      <c r="H157" s="31" t="s">
        <v>226</v>
      </c>
      <c r="I157" s="31" t="s">
        <v>226</v>
      </c>
      <c r="J157" s="31" t="s">
        <v>226</v>
      </c>
      <c r="K157" s="31" t="s">
        <v>226</v>
      </c>
      <c r="L157" s="31" t="s">
        <v>226</v>
      </c>
      <c r="M157" s="31" t="s">
        <v>226</v>
      </c>
      <c r="N157" s="31" t="s">
        <v>226</v>
      </c>
      <c r="O157" s="31" t="s">
        <v>226</v>
      </c>
      <c r="P157" s="31" t="s">
        <v>226</v>
      </c>
      <c r="Q157" s="31" t="s">
        <v>226</v>
      </c>
      <c r="R157" s="31" t="s">
        <v>226</v>
      </c>
      <c r="S157" s="31" t="s">
        <v>226</v>
      </c>
      <c r="T157" s="31" t="s">
        <v>226</v>
      </c>
      <c r="U157" s="31" t="s">
        <v>226</v>
      </c>
      <c r="V157" s="31" t="s">
        <v>226</v>
      </c>
      <c r="W157" s="31" t="s">
        <v>226</v>
      </c>
      <c r="X157" s="31" t="s">
        <v>226</v>
      </c>
      <c r="Y157" s="31" t="s">
        <v>226</v>
      </c>
      <c r="Z157" s="31" t="s">
        <v>226</v>
      </c>
      <c r="AA157" s="31" t="s">
        <v>226</v>
      </c>
      <c r="AB157" s="31" t="s">
        <v>226</v>
      </c>
      <c r="AC157" s="31" t="s">
        <v>226</v>
      </c>
      <c r="AD157" s="31" t="s">
        <v>226</v>
      </c>
      <c r="AE157" s="31" t="s">
        <v>226</v>
      </c>
      <c r="AF157" s="31" t="s">
        <v>226</v>
      </c>
      <c r="AG157" s="31" t="s">
        <v>226</v>
      </c>
      <c r="AH157" s="31" t="s">
        <v>226</v>
      </c>
      <c r="AI157" s="31" t="s">
        <v>226</v>
      </c>
      <c r="AJ157" s="31" t="s">
        <v>226</v>
      </c>
      <c r="AK157" s="31" t="s">
        <v>226</v>
      </c>
      <c r="AL157" s="31" t="s">
        <v>226</v>
      </c>
      <c r="AM157" s="31"/>
      <c r="AN157" s="31"/>
      <c r="AO157" s="96">
        <v>19</v>
      </c>
      <c r="AP157" s="33">
        <f t="shared" si="299"/>
        <v>1.5833333333333333</v>
      </c>
      <c r="AQ157" s="34">
        <f t="shared" si="300"/>
        <v>19</v>
      </c>
      <c r="AR157" s="35"/>
      <c r="AS157" s="36">
        <f t="shared" si="197"/>
        <v>1.5833333333333333</v>
      </c>
      <c r="AT157" s="36">
        <f t="shared" si="197"/>
        <v>19</v>
      </c>
      <c r="AU157" s="36">
        <f>AS157*(1+$AV$189+9%)</f>
        <v>1.7258333333333333</v>
      </c>
      <c r="AV157" s="36">
        <f t="shared" si="304"/>
        <v>20.71</v>
      </c>
      <c r="AW157" s="37">
        <v>2.5</v>
      </c>
      <c r="AX157" s="38">
        <f t="shared" si="272"/>
        <v>30</v>
      </c>
      <c r="AY157" s="38">
        <f t="shared" si="257"/>
        <v>0.77416666666666667</v>
      </c>
      <c r="AZ157" s="38">
        <f t="shared" si="273"/>
        <v>9.2899999999999991</v>
      </c>
      <c r="BA157" s="39">
        <f t="shared" si="258"/>
        <v>0.30966666666666665</v>
      </c>
      <c r="BB157" s="43"/>
      <c r="BC157" s="119">
        <f t="shared" si="307"/>
        <v>2.5</v>
      </c>
      <c r="BD157" s="108">
        <v>0.16350000000000001</v>
      </c>
      <c r="BE157" s="120">
        <f t="shared" si="274"/>
        <v>2.9087499999999999</v>
      </c>
      <c r="BF157" s="121">
        <f t="shared" si="308"/>
        <v>0.40874999999999995</v>
      </c>
      <c r="BG157" s="121">
        <f t="shared" si="275"/>
        <v>3.3749999999999995E-2</v>
      </c>
      <c r="BH157" s="122">
        <f t="shared" si="276"/>
        <v>0.40874999999999995</v>
      </c>
      <c r="BI157" s="121">
        <f t="shared" si="277"/>
        <v>2.5</v>
      </c>
      <c r="BJ157" s="123">
        <f t="shared" si="309"/>
        <v>0.30966666666666665</v>
      </c>
      <c r="BK157" s="124">
        <f t="shared" si="310"/>
        <v>0</v>
      </c>
      <c r="BL157" s="125" t="s">
        <v>226</v>
      </c>
    </row>
    <row r="158" spans="1:64" ht="45" customHeight="1" x14ac:dyDescent="0.25">
      <c r="A158" s="30">
        <v>152</v>
      </c>
      <c r="B158" s="100" t="s">
        <v>112</v>
      </c>
      <c r="C158" s="31">
        <v>1</v>
      </c>
      <c r="D158" s="32" t="s">
        <v>141</v>
      </c>
      <c r="E158" s="31">
        <f t="shared" si="256"/>
        <v>20</v>
      </c>
      <c r="F158" s="31" t="s">
        <v>226</v>
      </c>
      <c r="G158" s="31" t="s">
        <v>226</v>
      </c>
      <c r="H158" s="31" t="s">
        <v>226</v>
      </c>
      <c r="I158" s="31" t="s">
        <v>226</v>
      </c>
      <c r="J158" s="31" t="s">
        <v>226</v>
      </c>
      <c r="K158" s="31" t="s">
        <v>226</v>
      </c>
      <c r="L158" s="31" t="s">
        <v>226</v>
      </c>
      <c r="M158" s="31" t="s">
        <v>226</v>
      </c>
      <c r="N158" s="31" t="s">
        <v>226</v>
      </c>
      <c r="O158" s="31" t="s">
        <v>226</v>
      </c>
      <c r="P158" s="31" t="s">
        <v>226</v>
      </c>
      <c r="Q158" s="31" t="s">
        <v>226</v>
      </c>
      <c r="R158" s="31" t="s">
        <v>226</v>
      </c>
      <c r="S158" s="31" t="s">
        <v>226</v>
      </c>
      <c r="T158" s="31" t="s">
        <v>226</v>
      </c>
      <c r="U158" s="31" t="s">
        <v>226</v>
      </c>
      <c r="V158" s="31" t="s">
        <v>226</v>
      </c>
      <c r="W158" s="31" t="s">
        <v>226</v>
      </c>
      <c r="X158" s="31" t="s">
        <v>226</v>
      </c>
      <c r="Y158" s="31" t="s">
        <v>226</v>
      </c>
      <c r="Z158" s="31" t="s">
        <v>226</v>
      </c>
      <c r="AA158" s="31" t="s">
        <v>226</v>
      </c>
      <c r="AB158" s="31" t="s">
        <v>226</v>
      </c>
      <c r="AC158" s="31" t="s">
        <v>226</v>
      </c>
      <c r="AD158" s="31" t="s">
        <v>226</v>
      </c>
      <c r="AE158" s="31" t="s">
        <v>226</v>
      </c>
      <c r="AF158" s="31" t="s">
        <v>226</v>
      </c>
      <c r="AG158" s="31" t="s">
        <v>226</v>
      </c>
      <c r="AH158" s="31" t="s">
        <v>226</v>
      </c>
      <c r="AI158" s="31" t="s">
        <v>226</v>
      </c>
      <c r="AJ158" s="31" t="s">
        <v>226</v>
      </c>
      <c r="AK158" s="31" t="s">
        <v>226</v>
      </c>
      <c r="AL158" s="31" t="s">
        <v>226</v>
      </c>
      <c r="AM158" s="31"/>
      <c r="AN158" s="31"/>
      <c r="AO158" s="96">
        <v>12.5</v>
      </c>
      <c r="AP158" s="33">
        <f t="shared" si="299"/>
        <v>0.625</v>
      </c>
      <c r="AQ158" s="34">
        <f t="shared" si="300"/>
        <v>12.5</v>
      </c>
      <c r="AR158" s="35"/>
      <c r="AS158" s="36">
        <f t="shared" si="197"/>
        <v>0.625</v>
      </c>
      <c r="AT158" s="36">
        <f t="shared" si="197"/>
        <v>12.5</v>
      </c>
      <c r="AU158" s="36">
        <f>AS158*(1+$AV$189+9%)</f>
        <v>0.68125000000000002</v>
      </c>
      <c r="AV158" s="36">
        <f t="shared" si="304"/>
        <v>13.625</v>
      </c>
      <c r="AW158" s="37">
        <v>1</v>
      </c>
      <c r="AX158" s="38">
        <f t="shared" si="272"/>
        <v>20</v>
      </c>
      <c r="AY158" s="38">
        <f t="shared" si="257"/>
        <v>0.31874999999999998</v>
      </c>
      <c r="AZ158" s="38">
        <f t="shared" si="273"/>
        <v>6.375</v>
      </c>
      <c r="BA158" s="39">
        <f t="shared" si="258"/>
        <v>0.31874999999999998</v>
      </c>
      <c r="BB158" s="41"/>
      <c r="BC158" s="119">
        <f t="shared" si="307"/>
        <v>1</v>
      </c>
      <c r="BD158" s="108">
        <v>0.16350000000000001</v>
      </c>
      <c r="BE158" s="120">
        <f t="shared" si="274"/>
        <v>1.1635</v>
      </c>
      <c r="BF158" s="121">
        <f t="shared" si="308"/>
        <v>0.16349999999999998</v>
      </c>
      <c r="BG158" s="121">
        <f t="shared" si="275"/>
        <v>1.35E-2</v>
      </c>
      <c r="BH158" s="122">
        <f t="shared" si="276"/>
        <v>0.16349999999999998</v>
      </c>
      <c r="BI158" s="121">
        <f t="shared" si="277"/>
        <v>1</v>
      </c>
      <c r="BJ158" s="123">
        <f t="shared" si="309"/>
        <v>0.31874999999999998</v>
      </c>
      <c r="BK158" s="124">
        <f t="shared" si="310"/>
        <v>0</v>
      </c>
      <c r="BL158" s="125" t="s">
        <v>226</v>
      </c>
    </row>
    <row r="159" spans="1:64" ht="45" customHeight="1" x14ac:dyDescent="0.25">
      <c r="A159" s="30">
        <v>153</v>
      </c>
      <c r="B159" s="100" t="s">
        <v>192</v>
      </c>
      <c r="C159" s="31">
        <v>1</v>
      </c>
      <c r="D159" s="32" t="s">
        <v>141</v>
      </c>
      <c r="E159" s="31">
        <f t="shared" ref="E159" si="317">D159*C159</f>
        <v>20</v>
      </c>
      <c r="F159" s="31" t="s">
        <v>226</v>
      </c>
      <c r="G159" s="31" t="s">
        <v>226</v>
      </c>
      <c r="H159" s="31" t="s">
        <v>226</v>
      </c>
      <c r="I159" s="31" t="s">
        <v>226</v>
      </c>
      <c r="J159" s="31" t="s">
        <v>226</v>
      </c>
      <c r="K159" s="31" t="s">
        <v>226</v>
      </c>
      <c r="L159" s="31" t="s">
        <v>226</v>
      </c>
      <c r="M159" s="31" t="s">
        <v>226</v>
      </c>
      <c r="N159" s="31" t="s">
        <v>226</v>
      </c>
      <c r="O159" s="31" t="s">
        <v>226</v>
      </c>
      <c r="P159" s="31" t="s">
        <v>226</v>
      </c>
      <c r="Q159" s="31" t="s">
        <v>226</v>
      </c>
      <c r="R159" s="31" t="s">
        <v>226</v>
      </c>
      <c r="S159" s="31" t="s">
        <v>226</v>
      </c>
      <c r="T159" s="31" t="s">
        <v>226</v>
      </c>
      <c r="U159" s="31" t="s">
        <v>226</v>
      </c>
      <c r="V159" s="31" t="s">
        <v>226</v>
      </c>
      <c r="W159" s="31" t="s">
        <v>226</v>
      </c>
      <c r="X159" s="31" t="s">
        <v>226</v>
      </c>
      <c r="Y159" s="31" t="s">
        <v>226</v>
      </c>
      <c r="Z159" s="31" t="s">
        <v>226</v>
      </c>
      <c r="AA159" s="31" t="s">
        <v>226</v>
      </c>
      <c r="AB159" s="31" t="s">
        <v>226</v>
      </c>
      <c r="AC159" s="31" t="s">
        <v>226</v>
      </c>
      <c r="AD159" s="31" t="s">
        <v>226</v>
      </c>
      <c r="AE159" s="31" t="s">
        <v>226</v>
      </c>
      <c r="AF159" s="31" t="s">
        <v>226</v>
      </c>
      <c r="AG159" s="31" t="s">
        <v>226</v>
      </c>
      <c r="AH159" s="31" t="s">
        <v>226</v>
      </c>
      <c r="AI159" s="31" t="s">
        <v>226</v>
      </c>
      <c r="AJ159" s="31" t="s">
        <v>226</v>
      </c>
      <c r="AK159" s="31" t="s">
        <v>226</v>
      </c>
      <c r="AL159" s="31" t="s">
        <v>226</v>
      </c>
      <c r="AM159" s="31"/>
      <c r="AN159" s="31"/>
      <c r="AO159" s="96">
        <v>12.5</v>
      </c>
      <c r="AP159" s="33">
        <f t="shared" si="299"/>
        <v>0.625</v>
      </c>
      <c r="AQ159" s="34">
        <f t="shared" si="300"/>
        <v>12.5</v>
      </c>
      <c r="AR159" s="35"/>
      <c r="AS159" s="36">
        <f t="shared" ref="AS159" si="318">AP159/$AZ$2</f>
        <v>0.625</v>
      </c>
      <c r="AT159" s="36">
        <f t="shared" ref="AT159" si="319">AQ159/$AZ$2</f>
        <v>12.5</v>
      </c>
      <c r="AU159" s="36">
        <f t="shared" ref="AU159" si="320">AS159*(1+$AV$189+9%)</f>
        <v>0.68125000000000002</v>
      </c>
      <c r="AV159" s="36">
        <f t="shared" si="304"/>
        <v>13.625</v>
      </c>
      <c r="AW159" s="37">
        <v>1</v>
      </c>
      <c r="AX159" s="38">
        <f t="shared" si="272"/>
        <v>20</v>
      </c>
      <c r="AY159" s="38">
        <f t="shared" ref="AY159" si="321">AW159-AU159</f>
        <v>0.31874999999999998</v>
      </c>
      <c r="AZ159" s="38">
        <f t="shared" si="273"/>
        <v>6.375</v>
      </c>
      <c r="BA159" s="39">
        <f t="shared" ref="BA159" si="322">AY159/AW159</f>
        <v>0.31874999999999998</v>
      </c>
      <c r="BB159" s="42"/>
      <c r="BC159" s="119">
        <f t="shared" si="307"/>
        <v>1</v>
      </c>
      <c r="BD159" s="108">
        <v>0.16350000000000001</v>
      </c>
      <c r="BE159" s="120">
        <f t="shared" si="274"/>
        <v>1.1635</v>
      </c>
      <c r="BF159" s="121">
        <f t="shared" si="308"/>
        <v>0.16349999999999998</v>
      </c>
      <c r="BG159" s="121">
        <f t="shared" si="275"/>
        <v>1.35E-2</v>
      </c>
      <c r="BH159" s="122">
        <f t="shared" si="276"/>
        <v>0.16349999999999998</v>
      </c>
      <c r="BI159" s="121">
        <f t="shared" si="277"/>
        <v>1</v>
      </c>
      <c r="BJ159" s="123">
        <f t="shared" si="309"/>
        <v>0.31874999999999998</v>
      </c>
      <c r="BK159" s="124">
        <f t="shared" si="310"/>
        <v>0</v>
      </c>
      <c r="BL159" s="125" t="s">
        <v>226</v>
      </c>
    </row>
    <row r="160" spans="1:64" ht="45" customHeight="1" x14ac:dyDescent="0.25">
      <c r="A160" s="30">
        <v>154</v>
      </c>
      <c r="B160" s="100" t="s">
        <v>111</v>
      </c>
      <c r="C160" s="31">
        <v>1</v>
      </c>
      <c r="D160" s="32" t="s">
        <v>141</v>
      </c>
      <c r="E160" s="31">
        <f t="shared" si="256"/>
        <v>20</v>
      </c>
      <c r="F160" s="31" t="s">
        <v>226</v>
      </c>
      <c r="G160" s="31" t="s">
        <v>226</v>
      </c>
      <c r="H160" s="31" t="s">
        <v>226</v>
      </c>
      <c r="I160" s="31" t="s">
        <v>226</v>
      </c>
      <c r="J160" s="31" t="s">
        <v>226</v>
      </c>
      <c r="K160" s="31" t="s">
        <v>226</v>
      </c>
      <c r="L160" s="31" t="s">
        <v>226</v>
      </c>
      <c r="M160" s="31" t="s">
        <v>226</v>
      </c>
      <c r="N160" s="31" t="s">
        <v>226</v>
      </c>
      <c r="O160" s="31" t="s">
        <v>226</v>
      </c>
      <c r="P160" s="31" t="s">
        <v>226</v>
      </c>
      <c r="Q160" s="31" t="s">
        <v>226</v>
      </c>
      <c r="R160" s="31" t="s">
        <v>226</v>
      </c>
      <c r="S160" s="31" t="s">
        <v>226</v>
      </c>
      <c r="T160" s="31" t="s">
        <v>226</v>
      </c>
      <c r="U160" s="31" t="s">
        <v>226</v>
      </c>
      <c r="V160" s="31" t="s">
        <v>226</v>
      </c>
      <c r="W160" s="31" t="s">
        <v>226</v>
      </c>
      <c r="X160" s="31" t="s">
        <v>226</v>
      </c>
      <c r="Y160" s="31" t="s">
        <v>226</v>
      </c>
      <c r="Z160" s="31" t="s">
        <v>226</v>
      </c>
      <c r="AA160" s="31" t="s">
        <v>226</v>
      </c>
      <c r="AB160" s="31" t="s">
        <v>226</v>
      </c>
      <c r="AC160" s="31" t="s">
        <v>226</v>
      </c>
      <c r="AD160" s="31" t="s">
        <v>226</v>
      </c>
      <c r="AE160" s="31" t="s">
        <v>226</v>
      </c>
      <c r="AF160" s="31" t="s">
        <v>226</v>
      </c>
      <c r="AG160" s="31" t="s">
        <v>226</v>
      </c>
      <c r="AH160" s="31" t="s">
        <v>226</v>
      </c>
      <c r="AI160" s="31" t="s">
        <v>226</v>
      </c>
      <c r="AJ160" s="31" t="s">
        <v>226</v>
      </c>
      <c r="AK160" s="31" t="s">
        <v>226</v>
      </c>
      <c r="AL160" s="31" t="s">
        <v>226</v>
      </c>
      <c r="AM160" s="31"/>
      <c r="AN160" s="31"/>
      <c r="AO160" s="96">
        <v>12.5</v>
      </c>
      <c r="AP160" s="33">
        <f t="shared" si="299"/>
        <v>0.625</v>
      </c>
      <c r="AQ160" s="34">
        <f t="shared" si="300"/>
        <v>12.5</v>
      </c>
      <c r="AR160" s="35"/>
      <c r="AS160" s="36">
        <f t="shared" si="197"/>
        <v>0.625</v>
      </c>
      <c r="AT160" s="36">
        <f t="shared" si="197"/>
        <v>12.5</v>
      </c>
      <c r="AU160" s="36">
        <f t="shared" ref="AU160:AU165" si="323">AS160*(1+$AV$189+9%)</f>
        <v>0.68125000000000002</v>
      </c>
      <c r="AV160" s="36">
        <f t="shared" si="304"/>
        <v>13.625</v>
      </c>
      <c r="AW160" s="37">
        <v>1</v>
      </c>
      <c r="AX160" s="38">
        <f t="shared" si="272"/>
        <v>20</v>
      </c>
      <c r="AY160" s="38">
        <f t="shared" si="257"/>
        <v>0.31874999999999998</v>
      </c>
      <c r="AZ160" s="38">
        <f t="shared" si="273"/>
        <v>6.375</v>
      </c>
      <c r="BA160" s="39">
        <f t="shared" si="258"/>
        <v>0.31874999999999998</v>
      </c>
      <c r="BB160" s="42"/>
      <c r="BC160" s="119">
        <f t="shared" si="307"/>
        <v>1</v>
      </c>
      <c r="BD160" s="108">
        <v>0.16350000000000001</v>
      </c>
      <c r="BE160" s="120">
        <f t="shared" si="274"/>
        <v>1.1635</v>
      </c>
      <c r="BF160" s="121">
        <f t="shared" si="308"/>
        <v>0.16349999999999998</v>
      </c>
      <c r="BG160" s="121">
        <f t="shared" si="275"/>
        <v>1.35E-2</v>
      </c>
      <c r="BH160" s="122">
        <f t="shared" si="276"/>
        <v>0.16349999999999998</v>
      </c>
      <c r="BI160" s="121">
        <f t="shared" si="277"/>
        <v>1</v>
      </c>
      <c r="BJ160" s="123">
        <f t="shared" si="309"/>
        <v>0.31874999999999998</v>
      </c>
      <c r="BK160" s="124">
        <f t="shared" si="310"/>
        <v>0</v>
      </c>
      <c r="BL160" s="125" t="s">
        <v>226</v>
      </c>
    </row>
    <row r="161" spans="1:64" ht="45" customHeight="1" x14ac:dyDescent="0.25">
      <c r="A161" s="30">
        <v>155</v>
      </c>
      <c r="B161" s="102" t="s">
        <v>113</v>
      </c>
      <c r="C161" s="31">
        <v>1</v>
      </c>
      <c r="D161" s="32" t="s">
        <v>24</v>
      </c>
      <c r="E161" s="31">
        <f t="shared" si="256"/>
        <v>24</v>
      </c>
      <c r="F161" s="31" t="s">
        <v>226</v>
      </c>
      <c r="G161" s="31" t="s">
        <v>226</v>
      </c>
      <c r="H161" s="31" t="s">
        <v>226</v>
      </c>
      <c r="I161" s="31" t="s">
        <v>226</v>
      </c>
      <c r="J161" s="31" t="s">
        <v>226</v>
      </c>
      <c r="K161" s="31" t="s">
        <v>226</v>
      </c>
      <c r="L161" s="31" t="s">
        <v>226</v>
      </c>
      <c r="M161" s="31" t="s">
        <v>226</v>
      </c>
      <c r="N161" s="31" t="s">
        <v>226</v>
      </c>
      <c r="O161" s="31" t="s">
        <v>226</v>
      </c>
      <c r="P161" s="31" t="s">
        <v>226</v>
      </c>
      <c r="Q161" s="31" t="s">
        <v>226</v>
      </c>
      <c r="R161" s="31" t="s">
        <v>226</v>
      </c>
      <c r="S161" s="31" t="s">
        <v>226</v>
      </c>
      <c r="T161" s="31" t="s">
        <v>226</v>
      </c>
      <c r="U161" s="31" t="s">
        <v>226</v>
      </c>
      <c r="V161" s="31" t="s">
        <v>226</v>
      </c>
      <c r="W161" s="31" t="s">
        <v>226</v>
      </c>
      <c r="X161" s="31" t="s">
        <v>226</v>
      </c>
      <c r="Y161" s="31" t="s">
        <v>226</v>
      </c>
      <c r="Z161" s="31" t="s">
        <v>226</v>
      </c>
      <c r="AA161" s="31" t="s">
        <v>226</v>
      </c>
      <c r="AB161" s="31" t="s">
        <v>226</v>
      </c>
      <c r="AC161" s="31" t="s">
        <v>226</v>
      </c>
      <c r="AD161" s="31" t="s">
        <v>226</v>
      </c>
      <c r="AE161" s="31" t="s">
        <v>226</v>
      </c>
      <c r="AF161" s="31" t="s">
        <v>226</v>
      </c>
      <c r="AG161" s="31" t="s">
        <v>226</v>
      </c>
      <c r="AH161" s="31" t="s">
        <v>226</v>
      </c>
      <c r="AI161" s="31" t="s">
        <v>226</v>
      </c>
      <c r="AJ161" s="31" t="s">
        <v>226</v>
      </c>
      <c r="AK161" s="31" t="s">
        <v>226</v>
      </c>
      <c r="AL161" s="31" t="s">
        <v>226</v>
      </c>
      <c r="AM161" s="31"/>
      <c r="AN161" s="31"/>
      <c r="AO161" s="96">
        <v>22</v>
      </c>
      <c r="AP161" s="33">
        <f t="shared" si="299"/>
        <v>0.91666666666666663</v>
      </c>
      <c r="AQ161" s="34">
        <f t="shared" si="300"/>
        <v>22</v>
      </c>
      <c r="AR161" s="35"/>
      <c r="AS161" s="36">
        <f t="shared" si="197"/>
        <v>0.91666666666666663</v>
      </c>
      <c r="AT161" s="36">
        <f t="shared" si="197"/>
        <v>22</v>
      </c>
      <c r="AU161" s="36">
        <f t="shared" si="323"/>
        <v>0.99916666666666665</v>
      </c>
      <c r="AV161" s="36">
        <f t="shared" si="304"/>
        <v>23.98</v>
      </c>
      <c r="AW161" s="37">
        <v>1.5</v>
      </c>
      <c r="AX161" s="38">
        <f t="shared" si="272"/>
        <v>36</v>
      </c>
      <c r="AY161" s="38">
        <f t="shared" si="257"/>
        <v>0.50083333333333335</v>
      </c>
      <c r="AZ161" s="38">
        <f t="shared" si="273"/>
        <v>12.02</v>
      </c>
      <c r="BA161" s="39">
        <f t="shared" si="258"/>
        <v>0.3338888888888889</v>
      </c>
      <c r="BB161" s="42"/>
      <c r="BC161" s="119">
        <f t="shared" si="307"/>
        <v>1.5</v>
      </c>
      <c r="BD161" s="108">
        <v>0.16350000000000001</v>
      </c>
      <c r="BE161" s="120">
        <f t="shared" si="274"/>
        <v>1.74525</v>
      </c>
      <c r="BF161" s="121">
        <f t="shared" si="308"/>
        <v>0.24524999999999997</v>
      </c>
      <c r="BG161" s="121">
        <f t="shared" si="275"/>
        <v>2.0249999999999997E-2</v>
      </c>
      <c r="BH161" s="122">
        <f t="shared" si="276"/>
        <v>0.24524999999999997</v>
      </c>
      <c r="BI161" s="121">
        <f t="shared" si="277"/>
        <v>1.5</v>
      </c>
      <c r="BJ161" s="123">
        <f t="shared" si="309"/>
        <v>0.3338888888888889</v>
      </c>
      <c r="BK161" s="124">
        <f t="shared" si="310"/>
        <v>0</v>
      </c>
      <c r="BL161" s="125" t="s">
        <v>226</v>
      </c>
    </row>
    <row r="162" spans="1:64" ht="45" customHeight="1" x14ac:dyDescent="0.25">
      <c r="A162" s="30">
        <v>156</v>
      </c>
      <c r="B162" s="102" t="s">
        <v>151</v>
      </c>
      <c r="C162" s="31">
        <v>1</v>
      </c>
      <c r="D162" s="32" t="s">
        <v>24</v>
      </c>
      <c r="E162" s="31">
        <f t="shared" ref="E162" si="324">D162*C162</f>
        <v>24</v>
      </c>
      <c r="F162" s="31" t="s">
        <v>226</v>
      </c>
      <c r="G162" s="31" t="s">
        <v>226</v>
      </c>
      <c r="H162" s="31" t="s">
        <v>226</v>
      </c>
      <c r="I162" s="31" t="s">
        <v>226</v>
      </c>
      <c r="J162" s="31" t="s">
        <v>226</v>
      </c>
      <c r="K162" s="31" t="s">
        <v>226</v>
      </c>
      <c r="L162" s="31" t="s">
        <v>226</v>
      </c>
      <c r="M162" s="31" t="s">
        <v>226</v>
      </c>
      <c r="N162" s="31" t="s">
        <v>226</v>
      </c>
      <c r="O162" s="31" t="s">
        <v>226</v>
      </c>
      <c r="P162" s="31" t="s">
        <v>226</v>
      </c>
      <c r="Q162" s="31" t="s">
        <v>226</v>
      </c>
      <c r="R162" s="31" t="s">
        <v>226</v>
      </c>
      <c r="S162" s="31" t="s">
        <v>226</v>
      </c>
      <c r="T162" s="31" t="s">
        <v>226</v>
      </c>
      <c r="U162" s="31" t="s">
        <v>226</v>
      </c>
      <c r="V162" s="31" t="s">
        <v>226</v>
      </c>
      <c r="W162" s="31" t="s">
        <v>226</v>
      </c>
      <c r="X162" s="31" t="s">
        <v>226</v>
      </c>
      <c r="Y162" s="31" t="s">
        <v>226</v>
      </c>
      <c r="Z162" s="31" t="s">
        <v>226</v>
      </c>
      <c r="AA162" s="31" t="s">
        <v>226</v>
      </c>
      <c r="AB162" s="31" t="s">
        <v>226</v>
      </c>
      <c r="AC162" s="31" t="s">
        <v>226</v>
      </c>
      <c r="AD162" s="31" t="s">
        <v>226</v>
      </c>
      <c r="AE162" s="31" t="s">
        <v>226</v>
      </c>
      <c r="AF162" s="31" t="s">
        <v>226</v>
      </c>
      <c r="AG162" s="31" t="s">
        <v>226</v>
      </c>
      <c r="AH162" s="31" t="s">
        <v>226</v>
      </c>
      <c r="AI162" s="31" t="s">
        <v>226</v>
      </c>
      <c r="AJ162" s="31" t="s">
        <v>226</v>
      </c>
      <c r="AK162" s="31" t="s">
        <v>226</v>
      </c>
      <c r="AL162" s="31" t="s">
        <v>226</v>
      </c>
      <c r="AM162" s="31"/>
      <c r="AN162" s="31"/>
      <c r="AO162" s="96">
        <v>22</v>
      </c>
      <c r="AP162" s="33">
        <f t="shared" si="299"/>
        <v>0.91666666666666663</v>
      </c>
      <c r="AQ162" s="34">
        <f t="shared" si="300"/>
        <v>22</v>
      </c>
      <c r="AR162" s="35"/>
      <c r="AS162" s="36">
        <f t="shared" ref="AS162" si="325">AP162/$AZ$2</f>
        <v>0.91666666666666663</v>
      </c>
      <c r="AT162" s="36">
        <f t="shared" ref="AT162" si="326">AQ162/$AZ$2</f>
        <v>22</v>
      </c>
      <c r="AU162" s="36">
        <f t="shared" si="323"/>
        <v>0.99916666666666665</v>
      </c>
      <c r="AV162" s="36">
        <f t="shared" si="304"/>
        <v>23.98</v>
      </c>
      <c r="AW162" s="37">
        <v>1.5</v>
      </c>
      <c r="AX162" s="38">
        <f t="shared" si="272"/>
        <v>36</v>
      </c>
      <c r="AY162" s="38">
        <f t="shared" ref="AY162" si="327">AW162-AU162</f>
        <v>0.50083333333333335</v>
      </c>
      <c r="AZ162" s="38">
        <f t="shared" si="273"/>
        <v>12.02</v>
      </c>
      <c r="BA162" s="39">
        <f t="shared" ref="BA162" si="328">AY162/AW162</f>
        <v>0.3338888888888889</v>
      </c>
      <c r="BB162" s="42"/>
      <c r="BC162" s="119">
        <f t="shared" si="307"/>
        <v>1.5</v>
      </c>
      <c r="BD162" s="108">
        <v>0.16350000000000001</v>
      </c>
      <c r="BE162" s="120">
        <f t="shared" si="274"/>
        <v>1.74525</v>
      </c>
      <c r="BF162" s="121">
        <f t="shared" si="308"/>
        <v>0.24524999999999997</v>
      </c>
      <c r="BG162" s="121">
        <f t="shared" si="275"/>
        <v>2.0249999999999997E-2</v>
      </c>
      <c r="BH162" s="122">
        <f t="shared" si="276"/>
        <v>0.24524999999999997</v>
      </c>
      <c r="BI162" s="121">
        <f t="shared" si="277"/>
        <v>1.5</v>
      </c>
      <c r="BJ162" s="123">
        <f t="shared" si="309"/>
        <v>0.3338888888888889</v>
      </c>
      <c r="BK162" s="124">
        <f t="shared" si="310"/>
        <v>0</v>
      </c>
      <c r="BL162" s="125" t="s">
        <v>226</v>
      </c>
    </row>
    <row r="163" spans="1:64" ht="45" customHeight="1" x14ac:dyDescent="0.25">
      <c r="A163" s="30">
        <v>157</v>
      </c>
      <c r="B163" s="102" t="s">
        <v>114</v>
      </c>
      <c r="C163" s="31">
        <v>1</v>
      </c>
      <c r="D163" s="32" t="s">
        <v>24</v>
      </c>
      <c r="E163" s="31">
        <f t="shared" si="256"/>
        <v>24</v>
      </c>
      <c r="F163" s="31" t="s">
        <v>226</v>
      </c>
      <c r="G163" s="31" t="s">
        <v>226</v>
      </c>
      <c r="H163" s="31" t="s">
        <v>226</v>
      </c>
      <c r="I163" s="31" t="s">
        <v>226</v>
      </c>
      <c r="J163" s="31" t="s">
        <v>226</v>
      </c>
      <c r="K163" s="31" t="s">
        <v>226</v>
      </c>
      <c r="L163" s="31" t="s">
        <v>226</v>
      </c>
      <c r="M163" s="31" t="s">
        <v>226</v>
      </c>
      <c r="N163" s="31" t="s">
        <v>226</v>
      </c>
      <c r="O163" s="31" t="s">
        <v>226</v>
      </c>
      <c r="P163" s="31" t="s">
        <v>226</v>
      </c>
      <c r="Q163" s="31" t="s">
        <v>226</v>
      </c>
      <c r="R163" s="31" t="s">
        <v>226</v>
      </c>
      <c r="S163" s="31" t="s">
        <v>226</v>
      </c>
      <c r="T163" s="31" t="s">
        <v>226</v>
      </c>
      <c r="U163" s="31" t="s">
        <v>226</v>
      </c>
      <c r="V163" s="31" t="s">
        <v>226</v>
      </c>
      <c r="W163" s="31" t="s">
        <v>226</v>
      </c>
      <c r="X163" s="31" t="s">
        <v>226</v>
      </c>
      <c r="Y163" s="31" t="s">
        <v>226</v>
      </c>
      <c r="Z163" s="31" t="s">
        <v>226</v>
      </c>
      <c r="AA163" s="31" t="s">
        <v>226</v>
      </c>
      <c r="AB163" s="31" t="s">
        <v>226</v>
      </c>
      <c r="AC163" s="31" t="s">
        <v>226</v>
      </c>
      <c r="AD163" s="31" t="s">
        <v>226</v>
      </c>
      <c r="AE163" s="31" t="s">
        <v>226</v>
      </c>
      <c r="AF163" s="31" t="s">
        <v>226</v>
      </c>
      <c r="AG163" s="31" t="s">
        <v>226</v>
      </c>
      <c r="AH163" s="31" t="s">
        <v>226</v>
      </c>
      <c r="AI163" s="31" t="s">
        <v>226</v>
      </c>
      <c r="AJ163" s="31" t="s">
        <v>226</v>
      </c>
      <c r="AK163" s="31" t="s">
        <v>226</v>
      </c>
      <c r="AL163" s="31" t="s">
        <v>226</v>
      </c>
      <c r="AM163" s="31"/>
      <c r="AN163" s="31"/>
      <c r="AO163" s="96">
        <v>22</v>
      </c>
      <c r="AP163" s="33">
        <f t="shared" si="299"/>
        <v>0.91666666666666663</v>
      </c>
      <c r="AQ163" s="34">
        <f t="shared" si="300"/>
        <v>22</v>
      </c>
      <c r="AR163" s="35"/>
      <c r="AS163" s="36">
        <f t="shared" si="197"/>
        <v>0.91666666666666663</v>
      </c>
      <c r="AT163" s="36">
        <f t="shared" si="197"/>
        <v>22</v>
      </c>
      <c r="AU163" s="36">
        <f t="shared" si="323"/>
        <v>0.99916666666666665</v>
      </c>
      <c r="AV163" s="36">
        <f t="shared" si="304"/>
        <v>23.98</v>
      </c>
      <c r="AW163" s="37">
        <v>1.5</v>
      </c>
      <c r="AX163" s="38">
        <f t="shared" si="272"/>
        <v>36</v>
      </c>
      <c r="AY163" s="38">
        <f t="shared" si="257"/>
        <v>0.50083333333333335</v>
      </c>
      <c r="AZ163" s="38">
        <f t="shared" si="273"/>
        <v>12.02</v>
      </c>
      <c r="BA163" s="39">
        <f t="shared" si="258"/>
        <v>0.3338888888888889</v>
      </c>
      <c r="BB163" s="42"/>
      <c r="BC163" s="119">
        <f t="shared" si="307"/>
        <v>1.5</v>
      </c>
      <c r="BD163" s="108">
        <v>0.16350000000000001</v>
      </c>
      <c r="BE163" s="120">
        <f t="shared" si="274"/>
        <v>1.74525</v>
      </c>
      <c r="BF163" s="121">
        <f t="shared" si="308"/>
        <v>0.24524999999999997</v>
      </c>
      <c r="BG163" s="121">
        <f t="shared" si="275"/>
        <v>2.0249999999999997E-2</v>
      </c>
      <c r="BH163" s="122">
        <f t="shared" si="276"/>
        <v>0.24524999999999997</v>
      </c>
      <c r="BI163" s="121">
        <f t="shared" si="277"/>
        <v>1.5</v>
      </c>
      <c r="BJ163" s="123">
        <f t="shared" si="309"/>
        <v>0.3338888888888889</v>
      </c>
      <c r="BK163" s="124">
        <f t="shared" si="310"/>
        <v>0</v>
      </c>
      <c r="BL163" s="125" t="s">
        <v>226</v>
      </c>
    </row>
    <row r="164" spans="1:64" ht="45" customHeight="1" x14ac:dyDescent="0.25">
      <c r="A164" s="30">
        <v>158</v>
      </c>
      <c r="B164" s="103" t="s">
        <v>115</v>
      </c>
      <c r="C164" s="31">
        <v>1</v>
      </c>
      <c r="D164" s="32" t="s">
        <v>136</v>
      </c>
      <c r="E164" s="31">
        <f t="shared" si="256"/>
        <v>10</v>
      </c>
      <c r="F164" s="31" t="s">
        <v>226</v>
      </c>
      <c r="G164" s="31" t="s">
        <v>226</v>
      </c>
      <c r="H164" s="31" t="s">
        <v>226</v>
      </c>
      <c r="I164" s="31" t="s">
        <v>226</v>
      </c>
      <c r="J164" s="31" t="s">
        <v>226</v>
      </c>
      <c r="K164" s="31" t="s">
        <v>226</v>
      </c>
      <c r="L164" s="31" t="s">
        <v>226</v>
      </c>
      <c r="M164" s="31" t="s">
        <v>226</v>
      </c>
      <c r="N164" s="31" t="s">
        <v>226</v>
      </c>
      <c r="O164" s="31" t="s">
        <v>226</v>
      </c>
      <c r="P164" s="31" t="s">
        <v>226</v>
      </c>
      <c r="Q164" s="31" t="s">
        <v>226</v>
      </c>
      <c r="R164" s="31" t="s">
        <v>226</v>
      </c>
      <c r="S164" s="31" t="s">
        <v>226</v>
      </c>
      <c r="T164" s="31" t="s">
        <v>226</v>
      </c>
      <c r="U164" s="31" t="s">
        <v>226</v>
      </c>
      <c r="V164" s="31" t="s">
        <v>226</v>
      </c>
      <c r="W164" s="31" t="s">
        <v>226</v>
      </c>
      <c r="X164" s="31" t="s">
        <v>226</v>
      </c>
      <c r="Y164" s="31" t="s">
        <v>226</v>
      </c>
      <c r="Z164" s="31" t="s">
        <v>226</v>
      </c>
      <c r="AA164" s="31" t="s">
        <v>226</v>
      </c>
      <c r="AB164" s="31" t="s">
        <v>226</v>
      </c>
      <c r="AC164" s="31" t="s">
        <v>226</v>
      </c>
      <c r="AD164" s="31" t="s">
        <v>226</v>
      </c>
      <c r="AE164" s="31" t="s">
        <v>226</v>
      </c>
      <c r="AF164" s="31" t="s">
        <v>226</v>
      </c>
      <c r="AG164" s="31" t="s">
        <v>226</v>
      </c>
      <c r="AH164" s="31" t="s">
        <v>226</v>
      </c>
      <c r="AI164" s="31" t="s">
        <v>226</v>
      </c>
      <c r="AJ164" s="31" t="s">
        <v>226</v>
      </c>
      <c r="AK164" s="31" t="s">
        <v>226</v>
      </c>
      <c r="AL164" s="31" t="s">
        <v>226</v>
      </c>
      <c r="AM164" s="31"/>
      <c r="AN164" s="31"/>
      <c r="AO164" s="96">
        <v>8.5</v>
      </c>
      <c r="AP164" s="33">
        <f t="shared" si="299"/>
        <v>0.85</v>
      </c>
      <c r="AQ164" s="34">
        <f t="shared" si="300"/>
        <v>8.5</v>
      </c>
      <c r="AR164" s="35"/>
      <c r="AS164" s="36">
        <f t="shared" si="197"/>
        <v>0.85</v>
      </c>
      <c r="AT164" s="36">
        <f t="shared" si="197"/>
        <v>8.5</v>
      </c>
      <c r="AU164" s="36">
        <f t="shared" si="323"/>
        <v>0.92649999999999999</v>
      </c>
      <c r="AV164" s="36">
        <f t="shared" si="304"/>
        <v>9.2650000000000006</v>
      </c>
      <c r="AW164" s="37">
        <v>1.5</v>
      </c>
      <c r="AX164" s="38">
        <f t="shared" si="272"/>
        <v>15</v>
      </c>
      <c r="AY164" s="38">
        <f t="shared" si="257"/>
        <v>0.57350000000000001</v>
      </c>
      <c r="AZ164" s="38">
        <f t="shared" si="273"/>
        <v>5.7350000000000003</v>
      </c>
      <c r="BA164" s="39">
        <f t="shared" si="258"/>
        <v>0.38233333333333336</v>
      </c>
      <c r="BB164" s="43"/>
      <c r="BC164" s="119">
        <f t="shared" si="307"/>
        <v>1.5</v>
      </c>
      <c r="BD164" s="108">
        <v>0.16350000000000001</v>
      </c>
      <c r="BE164" s="120">
        <f t="shared" si="274"/>
        <v>1.74525</v>
      </c>
      <c r="BF164" s="121">
        <f t="shared" si="308"/>
        <v>0.24524999999999997</v>
      </c>
      <c r="BG164" s="121">
        <f t="shared" si="275"/>
        <v>2.0249999999999997E-2</v>
      </c>
      <c r="BH164" s="122">
        <f t="shared" si="276"/>
        <v>0.24524999999999997</v>
      </c>
      <c r="BI164" s="121">
        <f t="shared" si="277"/>
        <v>1.5</v>
      </c>
      <c r="BJ164" s="123">
        <f t="shared" si="309"/>
        <v>0.38233333333333336</v>
      </c>
      <c r="BK164" s="124">
        <f t="shared" si="310"/>
        <v>0</v>
      </c>
      <c r="BL164" s="125">
        <v>1.5</v>
      </c>
    </row>
    <row r="165" spans="1:64" ht="45" customHeight="1" x14ac:dyDescent="0.25">
      <c r="A165" s="30">
        <v>159</v>
      </c>
      <c r="B165" s="100" t="s">
        <v>116</v>
      </c>
      <c r="C165" s="31">
        <v>1</v>
      </c>
      <c r="D165" s="32" t="s">
        <v>136</v>
      </c>
      <c r="E165" s="31">
        <f t="shared" si="256"/>
        <v>10</v>
      </c>
      <c r="F165" s="31" t="s">
        <v>226</v>
      </c>
      <c r="G165" s="31" t="s">
        <v>226</v>
      </c>
      <c r="H165" s="31" t="s">
        <v>226</v>
      </c>
      <c r="I165" s="31" t="s">
        <v>226</v>
      </c>
      <c r="J165" s="31" t="s">
        <v>226</v>
      </c>
      <c r="K165" s="31" t="s">
        <v>226</v>
      </c>
      <c r="L165" s="31" t="s">
        <v>226</v>
      </c>
      <c r="M165" s="31" t="s">
        <v>226</v>
      </c>
      <c r="N165" s="31" t="s">
        <v>226</v>
      </c>
      <c r="O165" s="31" t="s">
        <v>226</v>
      </c>
      <c r="P165" s="31" t="s">
        <v>226</v>
      </c>
      <c r="Q165" s="31" t="s">
        <v>226</v>
      </c>
      <c r="R165" s="31" t="s">
        <v>226</v>
      </c>
      <c r="S165" s="31" t="s">
        <v>226</v>
      </c>
      <c r="T165" s="31" t="s">
        <v>226</v>
      </c>
      <c r="U165" s="31" t="s">
        <v>226</v>
      </c>
      <c r="V165" s="31" t="s">
        <v>226</v>
      </c>
      <c r="W165" s="31" t="s">
        <v>226</v>
      </c>
      <c r="X165" s="31" t="s">
        <v>226</v>
      </c>
      <c r="Y165" s="31" t="s">
        <v>226</v>
      </c>
      <c r="Z165" s="31" t="s">
        <v>226</v>
      </c>
      <c r="AA165" s="31" t="s">
        <v>226</v>
      </c>
      <c r="AB165" s="31" t="s">
        <v>226</v>
      </c>
      <c r="AC165" s="31" t="s">
        <v>226</v>
      </c>
      <c r="AD165" s="31" t="s">
        <v>226</v>
      </c>
      <c r="AE165" s="31" t="s">
        <v>226</v>
      </c>
      <c r="AF165" s="31" t="s">
        <v>226</v>
      </c>
      <c r="AG165" s="31" t="s">
        <v>226</v>
      </c>
      <c r="AH165" s="31" t="s">
        <v>226</v>
      </c>
      <c r="AI165" s="31" t="s">
        <v>226</v>
      </c>
      <c r="AJ165" s="31" t="s">
        <v>226</v>
      </c>
      <c r="AK165" s="31" t="s">
        <v>226</v>
      </c>
      <c r="AL165" s="31" t="s">
        <v>226</v>
      </c>
      <c r="AM165" s="31"/>
      <c r="AN165" s="31"/>
      <c r="AO165" s="96">
        <v>8.5</v>
      </c>
      <c r="AP165" s="33">
        <f t="shared" si="299"/>
        <v>0.85</v>
      </c>
      <c r="AQ165" s="34">
        <f t="shared" si="300"/>
        <v>8.5</v>
      </c>
      <c r="AR165" s="35"/>
      <c r="AS165" s="36">
        <f t="shared" si="197"/>
        <v>0.85</v>
      </c>
      <c r="AT165" s="36">
        <f t="shared" si="197"/>
        <v>8.5</v>
      </c>
      <c r="AU165" s="36">
        <f t="shared" si="323"/>
        <v>0.92649999999999999</v>
      </c>
      <c r="AV165" s="36">
        <f t="shared" si="304"/>
        <v>9.2650000000000006</v>
      </c>
      <c r="AW165" s="37">
        <v>1.5</v>
      </c>
      <c r="AX165" s="38">
        <f t="shared" si="272"/>
        <v>15</v>
      </c>
      <c r="AY165" s="38">
        <f t="shared" si="257"/>
        <v>0.57350000000000001</v>
      </c>
      <c r="AZ165" s="38">
        <f t="shared" si="273"/>
        <v>5.7350000000000003</v>
      </c>
      <c r="BA165" s="39">
        <f t="shared" si="258"/>
        <v>0.38233333333333336</v>
      </c>
      <c r="BB165" s="40"/>
      <c r="BC165" s="119">
        <f t="shared" si="307"/>
        <v>1.5</v>
      </c>
      <c r="BD165" s="108">
        <v>0.16350000000000001</v>
      </c>
      <c r="BE165" s="120">
        <f t="shared" si="274"/>
        <v>1.74525</v>
      </c>
      <c r="BF165" s="121">
        <f t="shared" si="308"/>
        <v>0.24524999999999997</v>
      </c>
      <c r="BG165" s="121">
        <f t="shared" si="275"/>
        <v>2.0249999999999997E-2</v>
      </c>
      <c r="BH165" s="122">
        <f t="shared" si="276"/>
        <v>0.24524999999999997</v>
      </c>
      <c r="BI165" s="121">
        <f t="shared" si="277"/>
        <v>1.5</v>
      </c>
      <c r="BJ165" s="123">
        <f t="shared" si="309"/>
        <v>0.38233333333333336</v>
      </c>
      <c r="BK165" s="124">
        <f t="shared" si="310"/>
        <v>0</v>
      </c>
      <c r="BL165" s="125">
        <v>1.5</v>
      </c>
    </row>
    <row r="166" spans="1:64" ht="45" customHeight="1" x14ac:dyDescent="0.25">
      <c r="A166" s="30">
        <v>160</v>
      </c>
      <c r="B166" s="100" t="s">
        <v>189</v>
      </c>
      <c r="C166" s="31">
        <v>1</v>
      </c>
      <c r="D166" s="32" t="s">
        <v>165</v>
      </c>
      <c r="E166" s="31">
        <f t="shared" si="256"/>
        <v>72</v>
      </c>
      <c r="F166" s="31" t="s">
        <v>226</v>
      </c>
      <c r="G166" s="31" t="s">
        <v>226</v>
      </c>
      <c r="H166" s="31" t="s">
        <v>226</v>
      </c>
      <c r="I166" s="31" t="s">
        <v>226</v>
      </c>
      <c r="J166" s="31" t="s">
        <v>226</v>
      </c>
      <c r="K166" s="31" t="s">
        <v>226</v>
      </c>
      <c r="L166" s="31" t="s">
        <v>226</v>
      </c>
      <c r="M166" s="31" t="s">
        <v>226</v>
      </c>
      <c r="N166" s="31" t="s">
        <v>226</v>
      </c>
      <c r="O166" s="31" t="s">
        <v>226</v>
      </c>
      <c r="P166" s="31" t="s">
        <v>226</v>
      </c>
      <c r="Q166" s="31" t="s">
        <v>226</v>
      </c>
      <c r="R166" s="31" t="s">
        <v>226</v>
      </c>
      <c r="S166" s="31" t="s">
        <v>226</v>
      </c>
      <c r="T166" s="126" t="s">
        <v>226</v>
      </c>
      <c r="U166" s="126" t="s">
        <v>226</v>
      </c>
      <c r="V166" s="126" t="s">
        <v>226</v>
      </c>
      <c r="W166" s="126" t="s">
        <v>226</v>
      </c>
      <c r="X166" s="126" t="s">
        <v>226</v>
      </c>
      <c r="Y166" s="126" t="s">
        <v>226</v>
      </c>
      <c r="Z166" s="126" t="s">
        <v>226</v>
      </c>
      <c r="AA166" s="126" t="s">
        <v>226</v>
      </c>
      <c r="AB166" s="126" t="s">
        <v>226</v>
      </c>
      <c r="AC166" s="126" t="s">
        <v>226</v>
      </c>
      <c r="AD166" s="126" t="s">
        <v>226</v>
      </c>
      <c r="AE166" s="126" t="s">
        <v>226</v>
      </c>
      <c r="AF166" s="126" t="s">
        <v>226</v>
      </c>
      <c r="AG166" s="126" t="s">
        <v>226</v>
      </c>
      <c r="AH166" s="126" t="s">
        <v>226</v>
      </c>
      <c r="AI166" s="126" t="s">
        <v>226</v>
      </c>
      <c r="AJ166" s="126" t="s">
        <v>226</v>
      </c>
      <c r="AK166" s="126" t="s">
        <v>226</v>
      </c>
      <c r="AL166" s="126" t="s">
        <v>226</v>
      </c>
      <c r="AM166" s="126"/>
      <c r="AN166" s="126"/>
      <c r="AO166" s="98">
        <v>47.9</v>
      </c>
      <c r="AP166" s="33">
        <f t="shared" si="299"/>
        <v>0.66527777777777775</v>
      </c>
      <c r="AQ166" s="34">
        <f t="shared" si="300"/>
        <v>47.9</v>
      </c>
      <c r="AR166" s="35"/>
      <c r="AS166" s="36">
        <f t="shared" ref="AS166:AS167" si="329">AP166/$AZ$2</f>
        <v>0.66527777777777775</v>
      </c>
      <c r="AT166" s="36">
        <f t="shared" ref="AT166:AT167" si="330">AQ166/$AZ$2</f>
        <v>47.9</v>
      </c>
      <c r="AU166" s="36">
        <f t="shared" ref="AU166" si="331">AS166*(1+$AV$189+9%)</f>
        <v>0.72515277777777776</v>
      </c>
      <c r="AV166" s="36">
        <f t="shared" si="304"/>
        <v>52.210999999999999</v>
      </c>
      <c r="AW166" s="37"/>
      <c r="AX166" s="38">
        <f t="shared" ref="AX166:AX185" si="332">AW166*E166</f>
        <v>0</v>
      </c>
      <c r="AY166" s="38">
        <f t="shared" ref="AY166:AY167" si="333">AW166-AU166</f>
        <v>-0.72515277777777776</v>
      </c>
      <c r="AZ166" s="38">
        <f t="shared" ref="AZ166:AZ185" si="334">AY166*E166</f>
        <v>-52.210999999999999</v>
      </c>
      <c r="BA166" s="39" t="e">
        <f t="shared" ref="BA166:BA167" si="335">AY166/AW166</f>
        <v>#DIV/0!</v>
      </c>
      <c r="BB166" s="40"/>
      <c r="BC166" s="119">
        <f t="shared" si="307"/>
        <v>0</v>
      </c>
      <c r="BD166" s="108">
        <v>0.16350000000000001</v>
      </c>
      <c r="BE166" s="120">
        <f t="shared" si="274"/>
        <v>0</v>
      </c>
      <c r="BF166" s="121">
        <f t="shared" si="308"/>
        <v>0</v>
      </c>
      <c r="BG166" s="121">
        <f t="shared" si="275"/>
        <v>0</v>
      </c>
      <c r="BH166" s="122">
        <f t="shared" si="276"/>
        <v>0</v>
      </c>
      <c r="BI166" s="121">
        <f t="shared" si="277"/>
        <v>0</v>
      </c>
      <c r="BJ166" s="123" t="e">
        <f t="shared" si="309"/>
        <v>#DIV/0!</v>
      </c>
      <c r="BK166" s="124" t="e">
        <f t="shared" si="310"/>
        <v>#DIV/0!</v>
      </c>
      <c r="BL166" s="125" t="s">
        <v>226</v>
      </c>
    </row>
    <row r="167" spans="1:64" ht="45" customHeight="1" x14ac:dyDescent="0.25">
      <c r="A167" s="30">
        <v>161</v>
      </c>
      <c r="B167" s="100" t="s">
        <v>210</v>
      </c>
      <c r="C167" s="31">
        <v>1</v>
      </c>
      <c r="D167" s="32" t="s">
        <v>165</v>
      </c>
      <c r="E167" s="31">
        <f t="shared" ref="E167" si="336">D167*C167</f>
        <v>72</v>
      </c>
      <c r="F167" s="31" t="s">
        <v>226</v>
      </c>
      <c r="G167" s="31" t="s">
        <v>226</v>
      </c>
      <c r="H167" s="31" t="s">
        <v>226</v>
      </c>
      <c r="I167" s="31" t="s">
        <v>226</v>
      </c>
      <c r="J167" s="31" t="s">
        <v>226</v>
      </c>
      <c r="K167" s="31" t="s">
        <v>226</v>
      </c>
      <c r="L167" s="31" t="s">
        <v>226</v>
      </c>
      <c r="M167" s="31" t="s">
        <v>226</v>
      </c>
      <c r="N167" s="31" t="s">
        <v>226</v>
      </c>
      <c r="O167" s="31" t="s">
        <v>226</v>
      </c>
      <c r="P167" s="31" t="s">
        <v>226</v>
      </c>
      <c r="Q167" s="31" t="s">
        <v>226</v>
      </c>
      <c r="R167" s="31" t="s">
        <v>226</v>
      </c>
      <c r="S167" s="31" t="s">
        <v>226</v>
      </c>
      <c r="T167" s="31" t="s">
        <v>226</v>
      </c>
      <c r="U167" s="31" t="s">
        <v>226</v>
      </c>
      <c r="V167" s="31" t="s">
        <v>226</v>
      </c>
      <c r="W167" s="31" t="s">
        <v>226</v>
      </c>
      <c r="X167" s="31" t="s">
        <v>226</v>
      </c>
      <c r="Y167" s="31" t="s">
        <v>226</v>
      </c>
      <c r="Z167" s="31" t="s">
        <v>226</v>
      </c>
      <c r="AA167" s="31" t="s">
        <v>226</v>
      </c>
      <c r="AB167" s="31" t="s">
        <v>226</v>
      </c>
      <c r="AC167" s="31" t="s">
        <v>226</v>
      </c>
      <c r="AD167" s="31" t="s">
        <v>226</v>
      </c>
      <c r="AE167" s="31" t="s">
        <v>226</v>
      </c>
      <c r="AF167" s="31" t="s">
        <v>226</v>
      </c>
      <c r="AG167" s="31" t="s">
        <v>226</v>
      </c>
      <c r="AH167" s="31" t="s">
        <v>226</v>
      </c>
      <c r="AI167" s="31" t="s">
        <v>226</v>
      </c>
      <c r="AJ167" s="31" t="s">
        <v>226</v>
      </c>
      <c r="AK167" s="31" t="s">
        <v>226</v>
      </c>
      <c r="AL167" s="31" t="s">
        <v>226</v>
      </c>
      <c r="AM167" s="31"/>
      <c r="AN167" s="31"/>
      <c r="AO167" s="96">
        <v>47.9</v>
      </c>
      <c r="AP167" s="33">
        <f t="shared" si="299"/>
        <v>0.66527777777777775</v>
      </c>
      <c r="AQ167" s="34">
        <f t="shared" si="300"/>
        <v>47.9</v>
      </c>
      <c r="AR167" s="35"/>
      <c r="AS167" s="36">
        <f t="shared" si="329"/>
        <v>0.66527777777777775</v>
      </c>
      <c r="AT167" s="36">
        <f t="shared" si="330"/>
        <v>47.9</v>
      </c>
      <c r="AU167" s="36">
        <f t="shared" ref="AU167:AU185" si="337">AS167*(1+$AV$189+9%)</f>
        <v>0.72515277777777776</v>
      </c>
      <c r="AV167" s="36">
        <f t="shared" si="304"/>
        <v>52.210999999999999</v>
      </c>
      <c r="AW167" s="37"/>
      <c r="AX167" s="38">
        <f t="shared" si="332"/>
        <v>0</v>
      </c>
      <c r="AY167" s="38">
        <f t="shared" si="333"/>
        <v>-0.72515277777777776</v>
      </c>
      <c r="AZ167" s="38">
        <f t="shared" si="334"/>
        <v>-52.210999999999999</v>
      </c>
      <c r="BA167" s="39" t="e">
        <f t="shared" si="335"/>
        <v>#DIV/0!</v>
      </c>
      <c r="BB167" s="41"/>
      <c r="BC167" s="119">
        <f t="shared" si="307"/>
        <v>0</v>
      </c>
      <c r="BD167" s="108">
        <v>0.16350000000000001</v>
      </c>
      <c r="BE167" s="120">
        <f t="shared" si="274"/>
        <v>0</v>
      </c>
      <c r="BF167" s="121">
        <f t="shared" si="308"/>
        <v>0</v>
      </c>
      <c r="BG167" s="121">
        <f t="shared" si="275"/>
        <v>0</v>
      </c>
      <c r="BH167" s="122">
        <f t="shared" si="276"/>
        <v>0</v>
      </c>
      <c r="BI167" s="121">
        <f t="shared" si="277"/>
        <v>0</v>
      </c>
      <c r="BJ167" s="123" t="e">
        <f t="shared" si="309"/>
        <v>#DIV/0!</v>
      </c>
      <c r="BK167" s="124" t="e">
        <f t="shared" si="310"/>
        <v>#DIV/0!</v>
      </c>
      <c r="BL167" s="125" t="s">
        <v>226</v>
      </c>
    </row>
    <row r="168" spans="1:64" ht="45" customHeight="1" x14ac:dyDescent="0.25">
      <c r="A168" s="30">
        <v>162</v>
      </c>
      <c r="B168" s="100" t="s">
        <v>117</v>
      </c>
      <c r="C168" s="31">
        <v>1</v>
      </c>
      <c r="D168" s="32" t="s">
        <v>165</v>
      </c>
      <c r="E168" s="31">
        <f t="shared" si="256"/>
        <v>72</v>
      </c>
      <c r="F168" s="31" t="s">
        <v>226</v>
      </c>
      <c r="G168" s="31" t="s">
        <v>226</v>
      </c>
      <c r="H168" s="31" t="s">
        <v>226</v>
      </c>
      <c r="I168" s="31" t="s">
        <v>226</v>
      </c>
      <c r="J168" s="31" t="s">
        <v>226</v>
      </c>
      <c r="K168" s="31" t="s">
        <v>226</v>
      </c>
      <c r="L168" s="31" t="s">
        <v>226</v>
      </c>
      <c r="M168" s="31" t="s">
        <v>226</v>
      </c>
      <c r="N168" s="31" t="s">
        <v>226</v>
      </c>
      <c r="O168" s="31" t="s">
        <v>226</v>
      </c>
      <c r="P168" s="31" t="s">
        <v>226</v>
      </c>
      <c r="Q168" s="31" t="s">
        <v>226</v>
      </c>
      <c r="R168" s="31" t="s">
        <v>226</v>
      </c>
      <c r="S168" s="31" t="s">
        <v>226</v>
      </c>
      <c r="T168" s="31" t="s">
        <v>226</v>
      </c>
      <c r="U168" s="31" t="s">
        <v>226</v>
      </c>
      <c r="V168" s="31" t="s">
        <v>226</v>
      </c>
      <c r="W168" s="31" t="s">
        <v>226</v>
      </c>
      <c r="X168" s="31" t="s">
        <v>226</v>
      </c>
      <c r="Y168" s="31" t="s">
        <v>226</v>
      </c>
      <c r="Z168" s="31" t="s">
        <v>226</v>
      </c>
      <c r="AA168" s="31" t="s">
        <v>226</v>
      </c>
      <c r="AB168" s="31" t="s">
        <v>226</v>
      </c>
      <c r="AC168" s="31" t="s">
        <v>226</v>
      </c>
      <c r="AD168" s="31" t="s">
        <v>226</v>
      </c>
      <c r="AE168" s="31" t="s">
        <v>226</v>
      </c>
      <c r="AF168" s="31" t="s">
        <v>226</v>
      </c>
      <c r="AG168" s="31" t="s">
        <v>226</v>
      </c>
      <c r="AH168" s="31" t="s">
        <v>226</v>
      </c>
      <c r="AI168" s="31" t="s">
        <v>226</v>
      </c>
      <c r="AJ168" s="31" t="s">
        <v>226</v>
      </c>
      <c r="AK168" s="31" t="s">
        <v>226</v>
      </c>
      <c r="AL168" s="31" t="s">
        <v>226</v>
      </c>
      <c r="AM168" s="31"/>
      <c r="AN168" s="31"/>
      <c r="AO168" s="96">
        <v>47.9</v>
      </c>
      <c r="AP168" s="33">
        <f t="shared" si="299"/>
        <v>0.66527777777777775</v>
      </c>
      <c r="AQ168" s="34">
        <f t="shared" si="300"/>
        <v>47.9</v>
      </c>
      <c r="AR168" s="35"/>
      <c r="AS168" s="36">
        <f t="shared" si="197"/>
        <v>0.66527777777777775</v>
      </c>
      <c r="AT168" s="36">
        <f t="shared" si="197"/>
        <v>47.9</v>
      </c>
      <c r="AU168" s="36">
        <f t="shared" si="337"/>
        <v>0.72515277777777776</v>
      </c>
      <c r="AV168" s="36">
        <f t="shared" si="304"/>
        <v>52.210999999999999</v>
      </c>
      <c r="AW168" s="37"/>
      <c r="AX168" s="38">
        <f t="shared" si="332"/>
        <v>0</v>
      </c>
      <c r="AY168" s="38">
        <f t="shared" si="257"/>
        <v>-0.72515277777777776</v>
      </c>
      <c r="AZ168" s="38">
        <f t="shared" si="334"/>
        <v>-52.210999999999999</v>
      </c>
      <c r="BA168" s="39" t="e">
        <f t="shared" si="258"/>
        <v>#DIV/0!</v>
      </c>
      <c r="BB168" s="41"/>
      <c r="BC168" s="119">
        <f t="shared" si="307"/>
        <v>0</v>
      </c>
      <c r="BD168" s="108">
        <v>0.16350000000000001</v>
      </c>
      <c r="BE168" s="120">
        <f t="shared" si="274"/>
        <v>0</v>
      </c>
      <c r="BF168" s="121">
        <f t="shared" si="308"/>
        <v>0</v>
      </c>
      <c r="BG168" s="121">
        <f t="shared" si="275"/>
        <v>0</v>
      </c>
      <c r="BH168" s="122">
        <f t="shared" si="276"/>
        <v>0</v>
      </c>
      <c r="BI168" s="121">
        <f t="shared" si="277"/>
        <v>0</v>
      </c>
      <c r="BJ168" s="123" t="e">
        <f t="shared" si="309"/>
        <v>#DIV/0!</v>
      </c>
      <c r="BK168" s="124" t="e">
        <f t="shared" si="310"/>
        <v>#DIV/0!</v>
      </c>
      <c r="BL168" s="125" t="s">
        <v>226</v>
      </c>
    </row>
    <row r="169" spans="1:64" ht="45" customHeight="1" x14ac:dyDescent="0.25">
      <c r="A169" s="30">
        <v>163</v>
      </c>
      <c r="B169" s="106" t="s">
        <v>118</v>
      </c>
      <c r="C169" s="31">
        <v>1</v>
      </c>
      <c r="D169" s="32" t="s">
        <v>165</v>
      </c>
      <c r="E169" s="31">
        <f t="shared" si="256"/>
        <v>72</v>
      </c>
      <c r="F169" s="31" t="s">
        <v>226</v>
      </c>
      <c r="G169" s="31" t="s">
        <v>226</v>
      </c>
      <c r="H169" s="31" t="s">
        <v>226</v>
      </c>
      <c r="I169" s="31" t="s">
        <v>226</v>
      </c>
      <c r="J169" s="31" t="s">
        <v>226</v>
      </c>
      <c r="K169" s="31" t="s">
        <v>226</v>
      </c>
      <c r="L169" s="31" t="s">
        <v>226</v>
      </c>
      <c r="M169" s="31" t="s">
        <v>226</v>
      </c>
      <c r="N169" s="31" t="s">
        <v>226</v>
      </c>
      <c r="O169" s="31" t="s">
        <v>226</v>
      </c>
      <c r="P169" s="31" t="s">
        <v>226</v>
      </c>
      <c r="Q169" s="31" t="s">
        <v>226</v>
      </c>
      <c r="R169" s="31" t="s">
        <v>226</v>
      </c>
      <c r="S169" s="31" t="s">
        <v>226</v>
      </c>
      <c r="T169" s="31" t="s">
        <v>226</v>
      </c>
      <c r="U169" s="31" t="s">
        <v>226</v>
      </c>
      <c r="V169" s="31" t="s">
        <v>226</v>
      </c>
      <c r="W169" s="31" t="s">
        <v>226</v>
      </c>
      <c r="X169" s="31" t="s">
        <v>226</v>
      </c>
      <c r="Y169" s="31" t="s">
        <v>226</v>
      </c>
      <c r="Z169" s="31" t="s">
        <v>226</v>
      </c>
      <c r="AA169" s="31" t="s">
        <v>226</v>
      </c>
      <c r="AB169" s="31" t="s">
        <v>226</v>
      </c>
      <c r="AC169" s="31" t="s">
        <v>226</v>
      </c>
      <c r="AD169" s="31" t="s">
        <v>226</v>
      </c>
      <c r="AE169" s="31" t="s">
        <v>226</v>
      </c>
      <c r="AF169" s="31" t="s">
        <v>226</v>
      </c>
      <c r="AG169" s="31" t="s">
        <v>226</v>
      </c>
      <c r="AH169" s="31" t="s">
        <v>226</v>
      </c>
      <c r="AI169" s="31" t="s">
        <v>226</v>
      </c>
      <c r="AJ169" s="31" t="s">
        <v>226</v>
      </c>
      <c r="AK169" s="31" t="s">
        <v>226</v>
      </c>
      <c r="AL169" s="31" t="s">
        <v>226</v>
      </c>
      <c r="AM169" s="31"/>
      <c r="AN169" s="31"/>
      <c r="AO169" s="96">
        <v>47.9</v>
      </c>
      <c r="AP169" s="33">
        <f t="shared" si="299"/>
        <v>0.66527777777777775</v>
      </c>
      <c r="AQ169" s="34">
        <f t="shared" si="300"/>
        <v>47.9</v>
      </c>
      <c r="AR169" s="35"/>
      <c r="AS169" s="36">
        <f t="shared" si="197"/>
        <v>0.66527777777777775</v>
      </c>
      <c r="AT169" s="36">
        <f t="shared" si="197"/>
        <v>47.9</v>
      </c>
      <c r="AU169" s="36">
        <f t="shared" si="337"/>
        <v>0.72515277777777776</v>
      </c>
      <c r="AV169" s="36">
        <f t="shared" si="304"/>
        <v>52.210999999999999</v>
      </c>
      <c r="AW169" s="37"/>
      <c r="AX169" s="38">
        <f t="shared" si="332"/>
        <v>0</v>
      </c>
      <c r="AY169" s="38">
        <f t="shared" si="257"/>
        <v>-0.72515277777777776</v>
      </c>
      <c r="AZ169" s="38">
        <f t="shared" si="334"/>
        <v>-52.210999999999999</v>
      </c>
      <c r="BA169" s="39" t="e">
        <f t="shared" si="258"/>
        <v>#DIV/0!</v>
      </c>
      <c r="BB169" s="40"/>
      <c r="BC169" s="119">
        <f t="shared" si="307"/>
        <v>0</v>
      </c>
      <c r="BD169" s="108">
        <v>0.16350000000000001</v>
      </c>
      <c r="BE169" s="120">
        <f t="shared" si="274"/>
        <v>0</v>
      </c>
      <c r="BF169" s="121">
        <f t="shared" si="308"/>
        <v>0</v>
      </c>
      <c r="BG169" s="121">
        <f t="shared" si="275"/>
        <v>0</v>
      </c>
      <c r="BH169" s="122">
        <f t="shared" si="276"/>
        <v>0</v>
      </c>
      <c r="BI169" s="121">
        <f t="shared" si="277"/>
        <v>0</v>
      </c>
      <c r="BJ169" s="123" t="e">
        <f t="shared" si="309"/>
        <v>#DIV/0!</v>
      </c>
      <c r="BK169" s="124" t="e">
        <f t="shared" si="310"/>
        <v>#DIV/0!</v>
      </c>
      <c r="BL169" s="125" t="s">
        <v>226</v>
      </c>
    </row>
    <row r="170" spans="1:64" ht="45" customHeight="1" x14ac:dyDescent="0.25">
      <c r="A170" s="30">
        <v>164</v>
      </c>
      <c r="B170" s="106" t="s">
        <v>119</v>
      </c>
      <c r="C170" s="31">
        <v>1</v>
      </c>
      <c r="D170" s="32" t="s">
        <v>75</v>
      </c>
      <c r="E170" s="31">
        <f t="shared" si="256"/>
        <v>48</v>
      </c>
      <c r="F170" s="31" t="s">
        <v>226</v>
      </c>
      <c r="G170" s="31" t="s">
        <v>226</v>
      </c>
      <c r="H170" s="31" t="s">
        <v>226</v>
      </c>
      <c r="I170" s="31" t="s">
        <v>226</v>
      </c>
      <c r="J170" s="31" t="s">
        <v>226</v>
      </c>
      <c r="K170" s="31" t="s">
        <v>226</v>
      </c>
      <c r="L170" s="31" t="s">
        <v>226</v>
      </c>
      <c r="M170" s="31" t="s">
        <v>226</v>
      </c>
      <c r="N170" s="31" t="s">
        <v>226</v>
      </c>
      <c r="O170" s="31" t="s">
        <v>226</v>
      </c>
      <c r="P170" s="31" t="s">
        <v>226</v>
      </c>
      <c r="Q170" s="31" t="s">
        <v>226</v>
      </c>
      <c r="R170" s="31" t="s">
        <v>226</v>
      </c>
      <c r="S170" s="31" t="s">
        <v>226</v>
      </c>
      <c r="T170" s="31" t="s">
        <v>226</v>
      </c>
      <c r="U170" s="31" t="s">
        <v>226</v>
      </c>
      <c r="V170" s="31" t="s">
        <v>226</v>
      </c>
      <c r="W170" s="31" t="s">
        <v>226</v>
      </c>
      <c r="X170" s="31" t="s">
        <v>226</v>
      </c>
      <c r="Y170" s="31" t="s">
        <v>226</v>
      </c>
      <c r="Z170" s="31" t="s">
        <v>226</v>
      </c>
      <c r="AA170" s="31" t="s">
        <v>226</v>
      </c>
      <c r="AB170" s="31" t="s">
        <v>226</v>
      </c>
      <c r="AC170" s="31" t="s">
        <v>226</v>
      </c>
      <c r="AD170" s="31" t="s">
        <v>226</v>
      </c>
      <c r="AE170" s="31" t="s">
        <v>226</v>
      </c>
      <c r="AF170" s="31" t="s">
        <v>226</v>
      </c>
      <c r="AG170" s="31" t="s">
        <v>226</v>
      </c>
      <c r="AH170" s="31" t="s">
        <v>226</v>
      </c>
      <c r="AI170" s="31" t="s">
        <v>226</v>
      </c>
      <c r="AJ170" s="31" t="s">
        <v>226</v>
      </c>
      <c r="AK170" s="31" t="s">
        <v>226</v>
      </c>
      <c r="AL170" s="31" t="s">
        <v>226</v>
      </c>
      <c r="AM170" s="31"/>
      <c r="AN170" s="31"/>
      <c r="AO170" s="96">
        <v>33.5</v>
      </c>
      <c r="AP170" s="33">
        <f t="shared" si="299"/>
        <v>0.69791666666666663</v>
      </c>
      <c r="AQ170" s="34">
        <f t="shared" si="300"/>
        <v>33.5</v>
      </c>
      <c r="AR170" s="35"/>
      <c r="AS170" s="36">
        <f t="shared" si="197"/>
        <v>0.69791666666666663</v>
      </c>
      <c r="AT170" s="36">
        <f t="shared" si="197"/>
        <v>33.5</v>
      </c>
      <c r="AU170" s="36">
        <f t="shared" si="337"/>
        <v>0.76072916666666668</v>
      </c>
      <c r="AV170" s="36">
        <f t="shared" si="304"/>
        <v>36.515000000000001</v>
      </c>
      <c r="AW170" s="37">
        <v>1.25</v>
      </c>
      <c r="AX170" s="38">
        <f t="shared" si="332"/>
        <v>60</v>
      </c>
      <c r="AY170" s="38">
        <f t="shared" si="257"/>
        <v>0.48927083333333332</v>
      </c>
      <c r="AZ170" s="38">
        <f t="shared" si="334"/>
        <v>23.484999999999999</v>
      </c>
      <c r="BA170" s="39">
        <f t="shared" si="258"/>
        <v>0.39141666666666663</v>
      </c>
      <c r="BB170" s="41"/>
      <c r="BC170" s="119">
        <f t="shared" si="307"/>
        <v>1.25</v>
      </c>
      <c r="BD170" s="108">
        <v>0.16350000000000001</v>
      </c>
      <c r="BE170" s="120">
        <f t="shared" si="274"/>
        <v>1.454375</v>
      </c>
      <c r="BF170" s="121">
        <f t="shared" si="308"/>
        <v>0.20437499999999997</v>
      </c>
      <c r="BG170" s="121">
        <f t="shared" si="275"/>
        <v>1.6874999999999998E-2</v>
      </c>
      <c r="BH170" s="122">
        <f t="shared" si="276"/>
        <v>0.20437499999999997</v>
      </c>
      <c r="BI170" s="121">
        <f t="shared" si="277"/>
        <v>1.25</v>
      </c>
      <c r="BJ170" s="123">
        <f t="shared" si="309"/>
        <v>0.39141666666666663</v>
      </c>
      <c r="BK170" s="124">
        <f t="shared" si="310"/>
        <v>0</v>
      </c>
      <c r="BL170" s="125">
        <v>1.05</v>
      </c>
    </row>
    <row r="171" spans="1:64" ht="45" customHeight="1" x14ac:dyDescent="0.25">
      <c r="A171" s="30">
        <v>165</v>
      </c>
      <c r="B171" s="100" t="s">
        <v>120</v>
      </c>
      <c r="C171" s="31">
        <v>1</v>
      </c>
      <c r="D171" s="32" t="s">
        <v>144</v>
      </c>
      <c r="E171" s="31">
        <f t="shared" si="256"/>
        <v>30</v>
      </c>
      <c r="F171" s="31" t="s">
        <v>226</v>
      </c>
      <c r="G171" s="31" t="s">
        <v>226</v>
      </c>
      <c r="H171" s="31" t="s">
        <v>226</v>
      </c>
      <c r="I171" s="31" t="s">
        <v>226</v>
      </c>
      <c r="J171" s="31" t="s">
        <v>226</v>
      </c>
      <c r="K171" s="31" t="s">
        <v>226</v>
      </c>
      <c r="L171" s="31" t="s">
        <v>226</v>
      </c>
      <c r="M171" s="31" t="s">
        <v>226</v>
      </c>
      <c r="N171" s="31" t="s">
        <v>226</v>
      </c>
      <c r="O171" s="31" t="s">
        <v>226</v>
      </c>
      <c r="P171" s="31" t="s">
        <v>226</v>
      </c>
      <c r="Q171" s="31" t="s">
        <v>226</v>
      </c>
      <c r="R171" s="31" t="s">
        <v>226</v>
      </c>
      <c r="S171" s="31" t="s">
        <v>226</v>
      </c>
      <c r="T171" s="31" t="s">
        <v>226</v>
      </c>
      <c r="U171" s="31" t="s">
        <v>226</v>
      </c>
      <c r="V171" s="31" t="s">
        <v>226</v>
      </c>
      <c r="W171" s="31" t="s">
        <v>226</v>
      </c>
      <c r="X171" s="31" t="s">
        <v>226</v>
      </c>
      <c r="Y171" s="31" t="s">
        <v>226</v>
      </c>
      <c r="Z171" s="31" t="s">
        <v>226</v>
      </c>
      <c r="AA171" s="31" t="s">
        <v>226</v>
      </c>
      <c r="AB171" s="31" t="s">
        <v>226</v>
      </c>
      <c r="AC171" s="31" t="s">
        <v>226</v>
      </c>
      <c r="AD171" s="31" t="s">
        <v>226</v>
      </c>
      <c r="AE171" s="31" t="s">
        <v>226</v>
      </c>
      <c r="AF171" s="31" t="s">
        <v>226</v>
      </c>
      <c r="AG171" s="31" t="s">
        <v>226</v>
      </c>
      <c r="AH171" s="31" t="s">
        <v>226</v>
      </c>
      <c r="AI171" s="31" t="s">
        <v>226</v>
      </c>
      <c r="AJ171" s="31" t="s">
        <v>226</v>
      </c>
      <c r="AK171" s="31" t="s">
        <v>226</v>
      </c>
      <c r="AL171" s="31" t="s">
        <v>226</v>
      </c>
      <c r="AM171" s="31"/>
      <c r="AN171" s="31"/>
      <c r="AO171" s="96">
        <v>20.8</v>
      </c>
      <c r="AP171" s="33">
        <f t="shared" si="299"/>
        <v>0.69333333333333336</v>
      </c>
      <c r="AQ171" s="34">
        <f t="shared" si="300"/>
        <v>20.8</v>
      </c>
      <c r="AR171" s="35"/>
      <c r="AS171" s="36">
        <f t="shared" si="197"/>
        <v>0.69333333333333336</v>
      </c>
      <c r="AT171" s="36">
        <f t="shared" si="197"/>
        <v>20.8</v>
      </c>
      <c r="AU171" s="36">
        <f t="shared" si="337"/>
        <v>0.75573333333333337</v>
      </c>
      <c r="AV171" s="36">
        <f t="shared" si="304"/>
        <v>22.672000000000001</v>
      </c>
      <c r="AW171" s="37">
        <v>1</v>
      </c>
      <c r="AX171" s="38">
        <f t="shared" si="332"/>
        <v>30</v>
      </c>
      <c r="AY171" s="38">
        <f t="shared" si="257"/>
        <v>0.24426666666666663</v>
      </c>
      <c r="AZ171" s="38">
        <f t="shared" si="334"/>
        <v>7.3279999999999994</v>
      </c>
      <c r="BA171" s="39">
        <f t="shared" si="258"/>
        <v>0.24426666666666663</v>
      </c>
      <c r="BB171" s="42"/>
      <c r="BC171" s="119">
        <f t="shared" si="307"/>
        <v>1</v>
      </c>
      <c r="BD171" s="108">
        <v>0.16350000000000001</v>
      </c>
      <c r="BE171" s="120">
        <f t="shared" si="274"/>
        <v>1.1635</v>
      </c>
      <c r="BF171" s="121">
        <f t="shared" si="308"/>
        <v>0.16349999999999998</v>
      </c>
      <c r="BG171" s="121">
        <f t="shared" si="275"/>
        <v>1.35E-2</v>
      </c>
      <c r="BH171" s="122">
        <f t="shared" si="276"/>
        <v>0.16349999999999998</v>
      </c>
      <c r="BI171" s="121">
        <f t="shared" si="277"/>
        <v>1</v>
      </c>
      <c r="BJ171" s="123">
        <f t="shared" si="309"/>
        <v>0.24426666666666663</v>
      </c>
      <c r="BK171" s="124">
        <f t="shared" si="310"/>
        <v>0</v>
      </c>
      <c r="BL171" s="125" t="s">
        <v>226</v>
      </c>
    </row>
    <row r="172" spans="1:64" ht="45" customHeight="1" x14ac:dyDescent="0.25">
      <c r="A172" s="30">
        <v>166</v>
      </c>
      <c r="B172" s="101" t="s">
        <v>121</v>
      </c>
      <c r="C172" s="31">
        <v>1</v>
      </c>
      <c r="D172" s="32" t="s">
        <v>73</v>
      </c>
      <c r="E172" s="31">
        <f t="shared" si="256"/>
        <v>12</v>
      </c>
      <c r="F172" s="31" t="s">
        <v>226</v>
      </c>
      <c r="G172" s="31" t="s">
        <v>226</v>
      </c>
      <c r="H172" s="31" t="s">
        <v>226</v>
      </c>
      <c r="I172" s="31" t="s">
        <v>226</v>
      </c>
      <c r="J172" s="31" t="s">
        <v>226</v>
      </c>
      <c r="K172" s="31" t="s">
        <v>226</v>
      </c>
      <c r="L172" s="31" t="s">
        <v>226</v>
      </c>
      <c r="M172" s="31" t="s">
        <v>226</v>
      </c>
      <c r="N172" s="31" t="s">
        <v>226</v>
      </c>
      <c r="O172" s="31" t="s">
        <v>226</v>
      </c>
      <c r="P172" s="31" t="s">
        <v>226</v>
      </c>
      <c r="Q172" s="31" t="s">
        <v>226</v>
      </c>
      <c r="R172" s="31" t="s">
        <v>226</v>
      </c>
      <c r="S172" s="31" t="s">
        <v>226</v>
      </c>
      <c r="T172" s="31" t="s">
        <v>226</v>
      </c>
      <c r="U172" s="31" t="s">
        <v>226</v>
      </c>
      <c r="V172" s="31" t="s">
        <v>226</v>
      </c>
      <c r="W172" s="31" t="s">
        <v>226</v>
      </c>
      <c r="X172" s="31" t="s">
        <v>226</v>
      </c>
      <c r="Y172" s="31" t="s">
        <v>226</v>
      </c>
      <c r="Z172" s="31" t="s">
        <v>226</v>
      </c>
      <c r="AA172" s="31" t="s">
        <v>226</v>
      </c>
      <c r="AB172" s="31" t="s">
        <v>226</v>
      </c>
      <c r="AC172" s="31" t="s">
        <v>226</v>
      </c>
      <c r="AD172" s="31" t="s">
        <v>226</v>
      </c>
      <c r="AE172" s="31" t="s">
        <v>226</v>
      </c>
      <c r="AF172" s="31" t="s">
        <v>226</v>
      </c>
      <c r="AG172" s="31" t="s">
        <v>226</v>
      </c>
      <c r="AH172" s="31" t="s">
        <v>226</v>
      </c>
      <c r="AI172" s="31" t="s">
        <v>226</v>
      </c>
      <c r="AJ172" s="31" t="s">
        <v>226</v>
      </c>
      <c r="AK172" s="31" t="s">
        <v>226</v>
      </c>
      <c r="AL172" s="31" t="s">
        <v>226</v>
      </c>
      <c r="AM172" s="31"/>
      <c r="AN172" s="31"/>
      <c r="AO172" s="96">
        <v>8.4</v>
      </c>
      <c r="AP172" s="33">
        <f t="shared" si="299"/>
        <v>0.70000000000000007</v>
      </c>
      <c r="AQ172" s="34">
        <f t="shared" si="300"/>
        <v>8.4</v>
      </c>
      <c r="AR172" s="35"/>
      <c r="AS172" s="36">
        <f t="shared" si="197"/>
        <v>0.70000000000000007</v>
      </c>
      <c r="AT172" s="36">
        <f t="shared" si="197"/>
        <v>8.4</v>
      </c>
      <c r="AU172" s="36">
        <f t="shared" si="337"/>
        <v>0.76300000000000012</v>
      </c>
      <c r="AV172" s="36">
        <f t="shared" si="304"/>
        <v>9.1560000000000024</v>
      </c>
      <c r="AW172" s="37">
        <v>1</v>
      </c>
      <c r="AX172" s="38">
        <f t="shared" si="332"/>
        <v>12</v>
      </c>
      <c r="AY172" s="38">
        <f t="shared" si="257"/>
        <v>0.23699999999999988</v>
      </c>
      <c r="AZ172" s="38">
        <f t="shared" si="334"/>
        <v>2.8439999999999985</v>
      </c>
      <c r="BA172" s="39">
        <f t="shared" si="258"/>
        <v>0.23699999999999988</v>
      </c>
      <c r="BB172" s="42"/>
      <c r="BC172" s="119">
        <f t="shared" si="307"/>
        <v>1</v>
      </c>
      <c r="BD172" s="108">
        <v>0.16350000000000001</v>
      </c>
      <c r="BE172" s="120">
        <f t="shared" si="274"/>
        <v>1.1635</v>
      </c>
      <c r="BF172" s="121">
        <f t="shared" si="308"/>
        <v>0.16349999999999998</v>
      </c>
      <c r="BG172" s="121">
        <f t="shared" si="275"/>
        <v>1.35E-2</v>
      </c>
      <c r="BH172" s="122">
        <f t="shared" si="276"/>
        <v>0.16349999999999998</v>
      </c>
      <c r="BI172" s="121">
        <f t="shared" si="277"/>
        <v>1</v>
      </c>
      <c r="BJ172" s="123">
        <f t="shared" si="309"/>
        <v>0.23699999999999988</v>
      </c>
      <c r="BK172" s="124">
        <f t="shared" si="310"/>
        <v>0</v>
      </c>
      <c r="BL172" s="125" t="s">
        <v>226</v>
      </c>
    </row>
    <row r="173" spans="1:64" ht="45" customHeight="1" x14ac:dyDescent="0.25">
      <c r="A173" s="30">
        <v>167</v>
      </c>
      <c r="B173" s="101" t="s">
        <v>122</v>
      </c>
      <c r="C173" s="31">
        <v>1</v>
      </c>
      <c r="D173" s="32" t="s">
        <v>73</v>
      </c>
      <c r="E173" s="31">
        <f t="shared" si="256"/>
        <v>12</v>
      </c>
      <c r="F173" s="31" t="s">
        <v>226</v>
      </c>
      <c r="G173" s="31" t="s">
        <v>226</v>
      </c>
      <c r="H173" s="31" t="s">
        <v>226</v>
      </c>
      <c r="I173" s="31" t="s">
        <v>226</v>
      </c>
      <c r="J173" s="31" t="s">
        <v>226</v>
      </c>
      <c r="K173" s="31" t="s">
        <v>226</v>
      </c>
      <c r="L173" s="31" t="s">
        <v>226</v>
      </c>
      <c r="M173" s="31" t="s">
        <v>226</v>
      </c>
      <c r="N173" s="31" t="s">
        <v>226</v>
      </c>
      <c r="O173" s="31" t="s">
        <v>226</v>
      </c>
      <c r="P173" s="31" t="s">
        <v>226</v>
      </c>
      <c r="Q173" s="31" t="s">
        <v>226</v>
      </c>
      <c r="R173" s="31" t="s">
        <v>226</v>
      </c>
      <c r="S173" s="31" t="s">
        <v>226</v>
      </c>
      <c r="T173" s="31" t="s">
        <v>226</v>
      </c>
      <c r="U173" s="31" t="s">
        <v>226</v>
      </c>
      <c r="V173" s="31" t="s">
        <v>226</v>
      </c>
      <c r="W173" s="31" t="s">
        <v>226</v>
      </c>
      <c r="X173" s="31" t="s">
        <v>226</v>
      </c>
      <c r="Y173" s="31" t="s">
        <v>226</v>
      </c>
      <c r="Z173" s="31" t="s">
        <v>226</v>
      </c>
      <c r="AA173" s="31" t="s">
        <v>226</v>
      </c>
      <c r="AB173" s="31" t="s">
        <v>226</v>
      </c>
      <c r="AC173" s="31" t="s">
        <v>226</v>
      </c>
      <c r="AD173" s="31" t="s">
        <v>226</v>
      </c>
      <c r="AE173" s="31" t="s">
        <v>226</v>
      </c>
      <c r="AF173" s="31" t="s">
        <v>226</v>
      </c>
      <c r="AG173" s="31" t="s">
        <v>226</v>
      </c>
      <c r="AH173" s="31" t="s">
        <v>226</v>
      </c>
      <c r="AI173" s="31" t="s">
        <v>226</v>
      </c>
      <c r="AJ173" s="31" t="s">
        <v>226</v>
      </c>
      <c r="AK173" s="31" t="s">
        <v>226</v>
      </c>
      <c r="AL173" s="31" t="s">
        <v>226</v>
      </c>
      <c r="AM173" s="31"/>
      <c r="AN173" s="31"/>
      <c r="AO173" s="96">
        <v>8.4</v>
      </c>
      <c r="AP173" s="33">
        <f t="shared" si="299"/>
        <v>0.70000000000000007</v>
      </c>
      <c r="AQ173" s="34">
        <f t="shared" si="300"/>
        <v>8.4</v>
      </c>
      <c r="AR173" s="35"/>
      <c r="AS173" s="36">
        <f t="shared" si="197"/>
        <v>0.70000000000000007</v>
      </c>
      <c r="AT173" s="36">
        <f t="shared" si="197"/>
        <v>8.4</v>
      </c>
      <c r="AU173" s="36">
        <f t="shared" si="337"/>
        <v>0.76300000000000012</v>
      </c>
      <c r="AV173" s="36">
        <f t="shared" si="304"/>
        <v>9.1560000000000024</v>
      </c>
      <c r="AW173" s="37">
        <v>1</v>
      </c>
      <c r="AX173" s="38">
        <f t="shared" si="332"/>
        <v>12</v>
      </c>
      <c r="AY173" s="38">
        <f t="shared" si="257"/>
        <v>0.23699999999999988</v>
      </c>
      <c r="AZ173" s="38">
        <f t="shared" si="334"/>
        <v>2.8439999999999985</v>
      </c>
      <c r="BA173" s="39">
        <f t="shared" si="258"/>
        <v>0.23699999999999988</v>
      </c>
      <c r="BB173" s="42"/>
      <c r="BC173" s="119">
        <f t="shared" si="307"/>
        <v>1</v>
      </c>
      <c r="BD173" s="108">
        <v>0.16350000000000001</v>
      </c>
      <c r="BE173" s="120">
        <f t="shared" si="274"/>
        <v>1.1635</v>
      </c>
      <c r="BF173" s="121">
        <f t="shared" si="308"/>
        <v>0.16349999999999998</v>
      </c>
      <c r="BG173" s="121">
        <f t="shared" si="275"/>
        <v>1.35E-2</v>
      </c>
      <c r="BH173" s="122">
        <f t="shared" si="276"/>
        <v>0.16349999999999998</v>
      </c>
      <c r="BI173" s="121">
        <f t="shared" si="277"/>
        <v>1</v>
      </c>
      <c r="BJ173" s="123">
        <f t="shared" si="309"/>
        <v>0.23699999999999988</v>
      </c>
      <c r="BK173" s="124">
        <f t="shared" si="310"/>
        <v>0</v>
      </c>
      <c r="BL173" s="125" t="s">
        <v>226</v>
      </c>
    </row>
    <row r="174" spans="1:64" ht="45" customHeight="1" x14ac:dyDescent="0.25">
      <c r="A174" s="30">
        <v>168</v>
      </c>
      <c r="B174" s="104" t="s">
        <v>123</v>
      </c>
      <c r="C174" s="31">
        <v>1</v>
      </c>
      <c r="D174" s="32" t="s">
        <v>73</v>
      </c>
      <c r="E174" s="31">
        <f t="shared" si="256"/>
        <v>12</v>
      </c>
      <c r="F174" s="31" t="s">
        <v>226</v>
      </c>
      <c r="G174" s="31" t="s">
        <v>226</v>
      </c>
      <c r="H174" s="31" t="s">
        <v>226</v>
      </c>
      <c r="I174" s="31" t="s">
        <v>226</v>
      </c>
      <c r="J174" s="31" t="s">
        <v>226</v>
      </c>
      <c r="K174" s="31" t="s">
        <v>226</v>
      </c>
      <c r="L174" s="31" t="s">
        <v>226</v>
      </c>
      <c r="M174" s="31" t="s">
        <v>226</v>
      </c>
      <c r="N174" s="31" t="s">
        <v>226</v>
      </c>
      <c r="O174" s="31" t="s">
        <v>226</v>
      </c>
      <c r="P174" s="31" t="s">
        <v>226</v>
      </c>
      <c r="Q174" s="31" t="s">
        <v>226</v>
      </c>
      <c r="R174" s="31" t="s">
        <v>226</v>
      </c>
      <c r="S174" s="31" t="s">
        <v>226</v>
      </c>
      <c r="T174" s="31" t="s">
        <v>226</v>
      </c>
      <c r="U174" s="31" t="s">
        <v>226</v>
      </c>
      <c r="V174" s="31" t="s">
        <v>226</v>
      </c>
      <c r="W174" s="31" t="s">
        <v>226</v>
      </c>
      <c r="X174" s="31" t="s">
        <v>226</v>
      </c>
      <c r="Y174" s="31" t="s">
        <v>226</v>
      </c>
      <c r="Z174" s="31" t="s">
        <v>226</v>
      </c>
      <c r="AA174" s="31" t="s">
        <v>226</v>
      </c>
      <c r="AB174" s="31" t="s">
        <v>226</v>
      </c>
      <c r="AC174" s="31" t="s">
        <v>226</v>
      </c>
      <c r="AD174" s="31" t="s">
        <v>226</v>
      </c>
      <c r="AE174" s="31" t="s">
        <v>226</v>
      </c>
      <c r="AF174" s="31" t="s">
        <v>226</v>
      </c>
      <c r="AG174" s="31" t="s">
        <v>226</v>
      </c>
      <c r="AH174" s="31" t="s">
        <v>226</v>
      </c>
      <c r="AI174" s="31" t="s">
        <v>226</v>
      </c>
      <c r="AJ174" s="31" t="s">
        <v>226</v>
      </c>
      <c r="AK174" s="31" t="s">
        <v>226</v>
      </c>
      <c r="AL174" s="31" t="s">
        <v>226</v>
      </c>
      <c r="AM174" s="31"/>
      <c r="AN174" s="31"/>
      <c r="AO174" s="96">
        <v>8.4</v>
      </c>
      <c r="AP174" s="33">
        <f t="shared" si="299"/>
        <v>0.70000000000000007</v>
      </c>
      <c r="AQ174" s="34">
        <f t="shared" si="300"/>
        <v>8.4</v>
      </c>
      <c r="AR174" s="35"/>
      <c r="AS174" s="36">
        <f t="shared" si="197"/>
        <v>0.70000000000000007</v>
      </c>
      <c r="AT174" s="36">
        <f t="shared" si="197"/>
        <v>8.4</v>
      </c>
      <c r="AU174" s="36">
        <f t="shared" si="337"/>
        <v>0.76300000000000012</v>
      </c>
      <c r="AV174" s="36">
        <f t="shared" si="304"/>
        <v>9.1560000000000024</v>
      </c>
      <c r="AW174" s="37">
        <v>1</v>
      </c>
      <c r="AX174" s="38">
        <f t="shared" si="332"/>
        <v>12</v>
      </c>
      <c r="AY174" s="38">
        <f t="shared" si="257"/>
        <v>0.23699999999999988</v>
      </c>
      <c r="AZ174" s="38">
        <f t="shared" si="334"/>
        <v>2.8439999999999985</v>
      </c>
      <c r="BA174" s="39">
        <f t="shared" si="258"/>
        <v>0.23699999999999988</v>
      </c>
      <c r="BB174" s="43"/>
      <c r="BC174" s="119">
        <f t="shared" si="307"/>
        <v>1</v>
      </c>
      <c r="BD174" s="108">
        <v>0.16350000000000001</v>
      </c>
      <c r="BE174" s="120">
        <f t="shared" si="274"/>
        <v>1.1635</v>
      </c>
      <c r="BF174" s="121">
        <f t="shared" si="308"/>
        <v>0.16349999999999998</v>
      </c>
      <c r="BG174" s="121">
        <f t="shared" si="275"/>
        <v>1.35E-2</v>
      </c>
      <c r="BH174" s="122">
        <f t="shared" si="276"/>
        <v>0.16349999999999998</v>
      </c>
      <c r="BI174" s="121">
        <f t="shared" si="277"/>
        <v>1</v>
      </c>
      <c r="BJ174" s="123">
        <f t="shared" si="309"/>
        <v>0.23699999999999988</v>
      </c>
      <c r="BK174" s="124">
        <f t="shared" si="310"/>
        <v>0</v>
      </c>
      <c r="BL174" s="125" t="s">
        <v>226</v>
      </c>
    </row>
    <row r="175" spans="1:64" ht="45" customHeight="1" x14ac:dyDescent="0.25">
      <c r="A175" s="30">
        <v>169</v>
      </c>
      <c r="B175" s="106" t="s">
        <v>124</v>
      </c>
      <c r="C175" s="31">
        <v>1</v>
      </c>
      <c r="D175" s="32" t="s">
        <v>73</v>
      </c>
      <c r="E175" s="31">
        <f t="shared" si="256"/>
        <v>12</v>
      </c>
      <c r="F175" s="31" t="s">
        <v>226</v>
      </c>
      <c r="G175" s="31" t="s">
        <v>226</v>
      </c>
      <c r="H175" s="31" t="s">
        <v>226</v>
      </c>
      <c r="I175" s="31" t="s">
        <v>226</v>
      </c>
      <c r="J175" s="31" t="s">
        <v>226</v>
      </c>
      <c r="K175" s="31" t="s">
        <v>226</v>
      </c>
      <c r="L175" s="31" t="s">
        <v>226</v>
      </c>
      <c r="M175" s="31" t="s">
        <v>226</v>
      </c>
      <c r="N175" s="31" t="s">
        <v>226</v>
      </c>
      <c r="O175" s="31" t="s">
        <v>226</v>
      </c>
      <c r="P175" s="31" t="s">
        <v>226</v>
      </c>
      <c r="Q175" s="31" t="s">
        <v>226</v>
      </c>
      <c r="R175" s="31" t="s">
        <v>226</v>
      </c>
      <c r="S175" s="31" t="s">
        <v>226</v>
      </c>
      <c r="T175" s="31" t="s">
        <v>226</v>
      </c>
      <c r="U175" s="31" t="s">
        <v>226</v>
      </c>
      <c r="V175" s="31" t="s">
        <v>226</v>
      </c>
      <c r="W175" s="31" t="s">
        <v>226</v>
      </c>
      <c r="X175" s="31" t="s">
        <v>226</v>
      </c>
      <c r="Y175" s="31" t="s">
        <v>226</v>
      </c>
      <c r="Z175" s="31" t="s">
        <v>226</v>
      </c>
      <c r="AA175" s="31" t="s">
        <v>226</v>
      </c>
      <c r="AB175" s="31" t="s">
        <v>226</v>
      </c>
      <c r="AC175" s="31" t="s">
        <v>226</v>
      </c>
      <c r="AD175" s="31" t="s">
        <v>226</v>
      </c>
      <c r="AE175" s="31" t="s">
        <v>226</v>
      </c>
      <c r="AF175" s="31" t="s">
        <v>226</v>
      </c>
      <c r="AG175" s="31" t="s">
        <v>226</v>
      </c>
      <c r="AH175" s="31" t="s">
        <v>226</v>
      </c>
      <c r="AI175" s="31" t="s">
        <v>226</v>
      </c>
      <c r="AJ175" s="31" t="s">
        <v>226</v>
      </c>
      <c r="AK175" s="31" t="s">
        <v>226</v>
      </c>
      <c r="AL175" s="31" t="s">
        <v>226</v>
      </c>
      <c r="AM175" s="31"/>
      <c r="AN175" s="31"/>
      <c r="AO175" s="96">
        <v>8.4</v>
      </c>
      <c r="AP175" s="33">
        <f t="shared" si="299"/>
        <v>0.70000000000000007</v>
      </c>
      <c r="AQ175" s="34">
        <f t="shared" si="300"/>
        <v>8.4</v>
      </c>
      <c r="AR175" s="35"/>
      <c r="AS175" s="36">
        <f t="shared" si="197"/>
        <v>0.70000000000000007</v>
      </c>
      <c r="AT175" s="36">
        <f t="shared" si="197"/>
        <v>8.4</v>
      </c>
      <c r="AU175" s="36">
        <f t="shared" si="337"/>
        <v>0.76300000000000012</v>
      </c>
      <c r="AV175" s="36">
        <f t="shared" si="304"/>
        <v>9.1560000000000024</v>
      </c>
      <c r="AW175" s="37">
        <v>1</v>
      </c>
      <c r="AX175" s="38">
        <f t="shared" si="332"/>
        <v>12</v>
      </c>
      <c r="AY175" s="38">
        <f t="shared" si="257"/>
        <v>0.23699999999999988</v>
      </c>
      <c r="AZ175" s="38">
        <f t="shared" si="334"/>
        <v>2.8439999999999985</v>
      </c>
      <c r="BA175" s="39">
        <f t="shared" si="258"/>
        <v>0.23699999999999988</v>
      </c>
      <c r="BB175" s="40"/>
      <c r="BC175" s="119">
        <f t="shared" si="307"/>
        <v>1</v>
      </c>
      <c r="BD175" s="108">
        <v>0.16350000000000001</v>
      </c>
      <c r="BE175" s="120">
        <f t="shared" si="274"/>
        <v>1.1635</v>
      </c>
      <c r="BF175" s="121">
        <f t="shared" si="308"/>
        <v>0.16349999999999998</v>
      </c>
      <c r="BG175" s="121">
        <f t="shared" si="275"/>
        <v>1.35E-2</v>
      </c>
      <c r="BH175" s="122">
        <f t="shared" si="276"/>
        <v>0.16349999999999998</v>
      </c>
      <c r="BI175" s="121">
        <f t="shared" si="277"/>
        <v>1</v>
      </c>
      <c r="BJ175" s="123">
        <f t="shared" si="309"/>
        <v>0.23699999999999988</v>
      </c>
      <c r="BK175" s="124">
        <f t="shared" si="310"/>
        <v>0</v>
      </c>
      <c r="BL175" s="125" t="s">
        <v>226</v>
      </c>
    </row>
    <row r="176" spans="1:64" ht="56.1" customHeight="1" x14ac:dyDescent="0.25">
      <c r="A176" s="30">
        <v>170</v>
      </c>
      <c r="B176" s="106" t="s">
        <v>125</v>
      </c>
      <c r="C176" s="31">
        <v>1</v>
      </c>
      <c r="D176" s="32" t="s">
        <v>73</v>
      </c>
      <c r="E176" s="31">
        <f t="shared" si="256"/>
        <v>12</v>
      </c>
      <c r="F176" s="31" t="s">
        <v>226</v>
      </c>
      <c r="G176" s="31" t="s">
        <v>226</v>
      </c>
      <c r="H176" s="31" t="s">
        <v>226</v>
      </c>
      <c r="I176" s="31" t="s">
        <v>226</v>
      </c>
      <c r="J176" s="31" t="s">
        <v>226</v>
      </c>
      <c r="K176" s="31" t="s">
        <v>226</v>
      </c>
      <c r="L176" s="31" t="s">
        <v>226</v>
      </c>
      <c r="M176" s="31" t="s">
        <v>226</v>
      </c>
      <c r="N176" s="31" t="s">
        <v>226</v>
      </c>
      <c r="O176" s="31" t="s">
        <v>226</v>
      </c>
      <c r="P176" s="31" t="s">
        <v>226</v>
      </c>
      <c r="Q176" s="31" t="s">
        <v>226</v>
      </c>
      <c r="R176" s="31" t="s">
        <v>226</v>
      </c>
      <c r="S176" s="31" t="s">
        <v>226</v>
      </c>
      <c r="T176" s="31" t="s">
        <v>226</v>
      </c>
      <c r="U176" s="31" t="s">
        <v>226</v>
      </c>
      <c r="V176" s="31" t="s">
        <v>226</v>
      </c>
      <c r="W176" s="31" t="s">
        <v>226</v>
      </c>
      <c r="X176" s="31" t="s">
        <v>226</v>
      </c>
      <c r="Y176" s="31" t="s">
        <v>226</v>
      </c>
      <c r="Z176" s="31" t="s">
        <v>226</v>
      </c>
      <c r="AA176" s="31" t="s">
        <v>226</v>
      </c>
      <c r="AB176" s="31" t="s">
        <v>226</v>
      </c>
      <c r="AC176" s="31" t="s">
        <v>226</v>
      </c>
      <c r="AD176" s="31" t="s">
        <v>226</v>
      </c>
      <c r="AE176" s="31" t="s">
        <v>226</v>
      </c>
      <c r="AF176" s="31" t="s">
        <v>226</v>
      </c>
      <c r="AG176" s="31" t="s">
        <v>226</v>
      </c>
      <c r="AH176" s="31" t="s">
        <v>226</v>
      </c>
      <c r="AI176" s="31" t="s">
        <v>226</v>
      </c>
      <c r="AJ176" s="31" t="s">
        <v>226</v>
      </c>
      <c r="AK176" s="31" t="s">
        <v>226</v>
      </c>
      <c r="AL176" s="31" t="s">
        <v>226</v>
      </c>
      <c r="AM176" s="31"/>
      <c r="AN176" s="31"/>
      <c r="AO176" s="96">
        <v>8.4</v>
      </c>
      <c r="AP176" s="33">
        <f t="shared" si="299"/>
        <v>0.70000000000000007</v>
      </c>
      <c r="AQ176" s="34">
        <f t="shared" si="300"/>
        <v>8.4</v>
      </c>
      <c r="AR176" s="35"/>
      <c r="AS176" s="36">
        <f t="shared" si="197"/>
        <v>0.70000000000000007</v>
      </c>
      <c r="AT176" s="36">
        <f t="shared" si="197"/>
        <v>8.4</v>
      </c>
      <c r="AU176" s="36">
        <f t="shared" si="337"/>
        <v>0.76300000000000012</v>
      </c>
      <c r="AV176" s="36">
        <f t="shared" si="304"/>
        <v>9.1560000000000024</v>
      </c>
      <c r="AW176" s="37">
        <v>1</v>
      </c>
      <c r="AX176" s="38">
        <f t="shared" si="332"/>
        <v>12</v>
      </c>
      <c r="AY176" s="38">
        <f t="shared" si="257"/>
        <v>0.23699999999999988</v>
      </c>
      <c r="AZ176" s="38">
        <f t="shared" si="334"/>
        <v>2.8439999999999985</v>
      </c>
      <c r="BA176" s="39">
        <f t="shared" si="258"/>
        <v>0.23699999999999988</v>
      </c>
      <c r="BB176" s="41"/>
      <c r="BC176" s="119">
        <f t="shared" si="307"/>
        <v>1</v>
      </c>
      <c r="BD176" s="108">
        <v>0.16350000000000001</v>
      </c>
      <c r="BE176" s="120">
        <f t="shared" si="274"/>
        <v>1.1635</v>
      </c>
      <c r="BF176" s="121">
        <f t="shared" si="308"/>
        <v>0.16349999999999998</v>
      </c>
      <c r="BG176" s="121">
        <f t="shared" si="275"/>
        <v>1.35E-2</v>
      </c>
      <c r="BH176" s="122">
        <f t="shared" si="276"/>
        <v>0.16349999999999998</v>
      </c>
      <c r="BI176" s="121">
        <f t="shared" si="277"/>
        <v>1</v>
      </c>
      <c r="BJ176" s="123">
        <f t="shared" si="309"/>
        <v>0.23699999999999988</v>
      </c>
      <c r="BK176" s="124">
        <f t="shared" si="310"/>
        <v>0</v>
      </c>
      <c r="BL176" s="125" t="s">
        <v>226</v>
      </c>
    </row>
    <row r="177" spans="1:64" ht="39.950000000000003" customHeight="1" x14ac:dyDescent="0.25">
      <c r="A177" s="30">
        <v>171</v>
      </c>
      <c r="B177" s="100" t="s">
        <v>126</v>
      </c>
      <c r="C177" s="31">
        <v>1</v>
      </c>
      <c r="D177" s="32" t="s">
        <v>136</v>
      </c>
      <c r="E177" s="31">
        <f t="shared" si="256"/>
        <v>10</v>
      </c>
      <c r="F177" s="31" t="s">
        <v>226</v>
      </c>
      <c r="G177" s="31" t="s">
        <v>226</v>
      </c>
      <c r="H177" s="31" t="s">
        <v>226</v>
      </c>
      <c r="I177" s="31" t="s">
        <v>226</v>
      </c>
      <c r="J177" s="31" t="s">
        <v>226</v>
      </c>
      <c r="K177" s="31" t="s">
        <v>226</v>
      </c>
      <c r="L177" s="31" t="s">
        <v>226</v>
      </c>
      <c r="M177" s="31" t="s">
        <v>226</v>
      </c>
      <c r="N177" s="31" t="s">
        <v>226</v>
      </c>
      <c r="O177" s="31" t="s">
        <v>226</v>
      </c>
      <c r="P177" s="31" t="s">
        <v>226</v>
      </c>
      <c r="Q177" s="31" t="s">
        <v>226</v>
      </c>
      <c r="R177" s="31" t="s">
        <v>226</v>
      </c>
      <c r="S177" s="31" t="s">
        <v>226</v>
      </c>
      <c r="T177" s="31" t="s">
        <v>226</v>
      </c>
      <c r="U177" s="31" t="s">
        <v>226</v>
      </c>
      <c r="V177" s="31" t="s">
        <v>226</v>
      </c>
      <c r="W177" s="31" t="s">
        <v>226</v>
      </c>
      <c r="X177" s="31" t="s">
        <v>226</v>
      </c>
      <c r="Y177" s="31" t="s">
        <v>226</v>
      </c>
      <c r="Z177" s="31" t="s">
        <v>226</v>
      </c>
      <c r="AA177" s="31" t="s">
        <v>226</v>
      </c>
      <c r="AB177" s="31" t="s">
        <v>226</v>
      </c>
      <c r="AC177" s="31" t="s">
        <v>226</v>
      </c>
      <c r="AD177" s="31" t="s">
        <v>226</v>
      </c>
      <c r="AE177" s="31" t="s">
        <v>226</v>
      </c>
      <c r="AF177" s="31" t="s">
        <v>226</v>
      </c>
      <c r="AG177" s="31" t="s">
        <v>226</v>
      </c>
      <c r="AH177" s="31" t="s">
        <v>226</v>
      </c>
      <c r="AI177" s="31" t="s">
        <v>226</v>
      </c>
      <c r="AJ177" s="31" t="s">
        <v>226</v>
      </c>
      <c r="AK177" s="31" t="s">
        <v>226</v>
      </c>
      <c r="AL177" s="31" t="s">
        <v>226</v>
      </c>
      <c r="AM177" s="31"/>
      <c r="AN177" s="31"/>
      <c r="AO177" s="96">
        <v>17.899999999999999</v>
      </c>
      <c r="AP177" s="33">
        <f t="shared" si="299"/>
        <v>1.7899999999999998</v>
      </c>
      <c r="AQ177" s="34">
        <f t="shared" si="300"/>
        <v>17.899999999999999</v>
      </c>
      <c r="AR177" s="35"/>
      <c r="AS177" s="36">
        <f t="shared" si="197"/>
        <v>1.7899999999999998</v>
      </c>
      <c r="AT177" s="36">
        <f t="shared" si="197"/>
        <v>17.899999999999999</v>
      </c>
      <c r="AU177" s="36">
        <f t="shared" si="337"/>
        <v>1.9510999999999998</v>
      </c>
      <c r="AV177" s="36">
        <f t="shared" si="304"/>
        <v>19.510999999999999</v>
      </c>
      <c r="AW177" s="37">
        <v>2.75</v>
      </c>
      <c r="AX177" s="38">
        <f t="shared" si="332"/>
        <v>27.5</v>
      </c>
      <c r="AY177" s="38">
        <f t="shared" si="257"/>
        <v>0.79890000000000017</v>
      </c>
      <c r="AZ177" s="38">
        <f t="shared" si="334"/>
        <v>7.9890000000000017</v>
      </c>
      <c r="BA177" s="39">
        <f t="shared" si="258"/>
        <v>0.29050909090909099</v>
      </c>
      <c r="BB177" s="42"/>
      <c r="BC177" s="119">
        <f t="shared" si="307"/>
        <v>2.75</v>
      </c>
      <c r="BD177" s="108">
        <v>0.16350000000000001</v>
      </c>
      <c r="BE177" s="120">
        <f t="shared" si="274"/>
        <v>3.1996250000000002</v>
      </c>
      <c r="BF177" s="121">
        <f t="shared" si="308"/>
        <v>0.44962500000000016</v>
      </c>
      <c r="BG177" s="121">
        <f t="shared" si="275"/>
        <v>3.7125000000000012E-2</v>
      </c>
      <c r="BH177" s="122">
        <f t="shared" si="276"/>
        <v>0.44962500000000016</v>
      </c>
      <c r="BI177" s="121">
        <f t="shared" si="277"/>
        <v>2.75</v>
      </c>
      <c r="BJ177" s="123">
        <f t="shared" si="309"/>
        <v>0.29050909090909099</v>
      </c>
      <c r="BK177" s="124">
        <f t="shared" si="310"/>
        <v>0</v>
      </c>
      <c r="BL177" s="125" t="s">
        <v>226</v>
      </c>
    </row>
    <row r="178" spans="1:64" ht="39.950000000000003" customHeight="1" x14ac:dyDescent="0.25">
      <c r="A178" s="30">
        <v>172</v>
      </c>
      <c r="B178" s="101" t="s">
        <v>138</v>
      </c>
      <c r="C178" s="31">
        <v>1</v>
      </c>
      <c r="D178" s="32" t="s">
        <v>73</v>
      </c>
      <c r="E178" s="31">
        <f t="shared" ref="E178:E180" si="338">D178*C178</f>
        <v>12</v>
      </c>
      <c r="F178" s="31" t="s">
        <v>226</v>
      </c>
      <c r="G178" s="31" t="s">
        <v>226</v>
      </c>
      <c r="H178" s="31" t="s">
        <v>226</v>
      </c>
      <c r="I178" s="31" t="s">
        <v>226</v>
      </c>
      <c r="J178" s="31" t="s">
        <v>226</v>
      </c>
      <c r="K178" s="31" t="s">
        <v>226</v>
      </c>
      <c r="L178" s="31" t="s">
        <v>226</v>
      </c>
      <c r="M178" s="31" t="s">
        <v>226</v>
      </c>
      <c r="N178" s="31" t="s">
        <v>226</v>
      </c>
      <c r="O178" s="31" t="s">
        <v>226</v>
      </c>
      <c r="P178" s="31" t="s">
        <v>226</v>
      </c>
      <c r="Q178" s="31" t="s">
        <v>226</v>
      </c>
      <c r="R178" s="31" t="s">
        <v>226</v>
      </c>
      <c r="S178" s="31" t="s">
        <v>226</v>
      </c>
      <c r="T178" s="31" t="s">
        <v>226</v>
      </c>
      <c r="U178" s="31" t="s">
        <v>226</v>
      </c>
      <c r="V178" s="31" t="s">
        <v>226</v>
      </c>
      <c r="W178" s="31" t="s">
        <v>226</v>
      </c>
      <c r="X178" s="31" t="s">
        <v>226</v>
      </c>
      <c r="Y178" s="31" t="s">
        <v>226</v>
      </c>
      <c r="Z178" s="31" t="s">
        <v>226</v>
      </c>
      <c r="AA178" s="31" t="s">
        <v>226</v>
      </c>
      <c r="AB178" s="31" t="s">
        <v>226</v>
      </c>
      <c r="AC178" s="31" t="s">
        <v>226</v>
      </c>
      <c r="AD178" s="31" t="s">
        <v>226</v>
      </c>
      <c r="AE178" s="31" t="s">
        <v>226</v>
      </c>
      <c r="AF178" s="31" t="s">
        <v>226</v>
      </c>
      <c r="AG178" s="31" t="s">
        <v>226</v>
      </c>
      <c r="AH178" s="31" t="s">
        <v>226</v>
      </c>
      <c r="AI178" s="31" t="s">
        <v>226</v>
      </c>
      <c r="AJ178" s="31" t="s">
        <v>226</v>
      </c>
      <c r="AK178" s="31" t="s">
        <v>226</v>
      </c>
      <c r="AL178" s="31" t="s">
        <v>226</v>
      </c>
      <c r="AM178" s="31"/>
      <c r="AN178" s="31"/>
      <c r="AO178" s="96">
        <v>8.4</v>
      </c>
      <c r="AP178" s="33">
        <f t="shared" si="299"/>
        <v>0.70000000000000007</v>
      </c>
      <c r="AQ178" s="34">
        <f t="shared" si="300"/>
        <v>8.4</v>
      </c>
      <c r="AR178" s="35"/>
      <c r="AS178" s="36">
        <f t="shared" ref="AS178:AS180" si="339">AP178/$AZ$2</f>
        <v>0.70000000000000007</v>
      </c>
      <c r="AT178" s="36">
        <f t="shared" ref="AT178:AT180" si="340">AQ178/$AZ$2</f>
        <v>8.4</v>
      </c>
      <c r="AU178" s="36">
        <f t="shared" si="337"/>
        <v>0.76300000000000012</v>
      </c>
      <c r="AV178" s="36">
        <f t="shared" si="304"/>
        <v>9.1560000000000024</v>
      </c>
      <c r="AW178" s="37">
        <v>1</v>
      </c>
      <c r="AX178" s="38">
        <f t="shared" si="332"/>
        <v>12</v>
      </c>
      <c r="AY178" s="38">
        <f t="shared" ref="AY178:AY180" si="341">AW178-AU178</f>
        <v>0.23699999999999988</v>
      </c>
      <c r="AZ178" s="38">
        <f t="shared" si="334"/>
        <v>2.8439999999999985</v>
      </c>
      <c r="BA178" s="39">
        <f t="shared" ref="BA178:BA180" si="342">AY178/AW178</f>
        <v>0.23699999999999988</v>
      </c>
      <c r="BB178" s="42"/>
      <c r="BC178" s="119">
        <f t="shared" si="307"/>
        <v>1</v>
      </c>
      <c r="BD178" s="108">
        <v>0.16350000000000001</v>
      </c>
      <c r="BE178" s="120">
        <f t="shared" si="274"/>
        <v>1.1635</v>
      </c>
      <c r="BF178" s="121">
        <f t="shared" si="308"/>
        <v>0.16349999999999998</v>
      </c>
      <c r="BG178" s="121">
        <f t="shared" si="275"/>
        <v>1.35E-2</v>
      </c>
      <c r="BH178" s="122">
        <f t="shared" si="276"/>
        <v>0.16349999999999998</v>
      </c>
      <c r="BI178" s="121">
        <f t="shared" si="277"/>
        <v>1</v>
      </c>
      <c r="BJ178" s="123">
        <f t="shared" si="309"/>
        <v>0.23699999999999988</v>
      </c>
      <c r="BK178" s="124">
        <f t="shared" si="310"/>
        <v>0</v>
      </c>
      <c r="BL178" s="125" t="s">
        <v>226</v>
      </c>
    </row>
    <row r="179" spans="1:64" ht="39.950000000000003" customHeight="1" x14ac:dyDescent="0.25">
      <c r="A179" s="30">
        <v>173</v>
      </c>
      <c r="B179" s="101" t="s">
        <v>263</v>
      </c>
      <c r="C179" s="31">
        <v>1</v>
      </c>
      <c r="D179" s="32" t="s">
        <v>144</v>
      </c>
      <c r="E179" s="31">
        <f t="shared" ref="E179" si="343">D179*C179</f>
        <v>30</v>
      </c>
      <c r="F179" s="31" t="s">
        <v>226</v>
      </c>
      <c r="G179" s="31" t="s">
        <v>226</v>
      </c>
      <c r="H179" s="31" t="s">
        <v>226</v>
      </c>
      <c r="I179" s="31" t="s">
        <v>226</v>
      </c>
      <c r="J179" s="31" t="s">
        <v>226</v>
      </c>
      <c r="K179" s="31" t="s">
        <v>226</v>
      </c>
      <c r="L179" s="31" t="s">
        <v>226</v>
      </c>
      <c r="M179" s="31" t="s">
        <v>226</v>
      </c>
      <c r="N179" s="31" t="s">
        <v>226</v>
      </c>
      <c r="O179" s="31" t="s">
        <v>226</v>
      </c>
      <c r="P179" s="31" t="s">
        <v>226</v>
      </c>
      <c r="Q179" s="31" t="s">
        <v>226</v>
      </c>
      <c r="R179" s="31" t="s">
        <v>226</v>
      </c>
      <c r="S179" s="31" t="s">
        <v>226</v>
      </c>
      <c r="T179" s="31" t="s">
        <v>226</v>
      </c>
      <c r="U179" s="31" t="s">
        <v>226</v>
      </c>
      <c r="V179" s="31" t="s">
        <v>226</v>
      </c>
      <c r="W179" s="31" t="s">
        <v>226</v>
      </c>
      <c r="X179" s="31" t="s">
        <v>226</v>
      </c>
      <c r="Y179" s="31" t="s">
        <v>226</v>
      </c>
      <c r="Z179" s="31" t="s">
        <v>226</v>
      </c>
      <c r="AA179" s="31" t="s">
        <v>226</v>
      </c>
      <c r="AB179" s="31" t="s">
        <v>226</v>
      </c>
      <c r="AC179" s="31" t="s">
        <v>226</v>
      </c>
      <c r="AD179" s="31" t="s">
        <v>226</v>
      </c>
      <c r="AE179" s="31" t="s">
        <v>226</v>
      </c>
      <c r="AF179" s="31" t="s">
        <v>226</v>
      </c>
      <c r="AG179" s="31" t="s">
        <v>226</v>
      </c>
      <c r="AH179" s="31" t="s">
        <v>226</v>
      </c>
      <c r="AI179" s="31" t="s">
        <v>226</v>
      </c>
      <c r="AJ179" s="31" t="s">
        <v>226</v>
      </c>
      <c r="AK179" s="31" t="s">
        <v>226</v>
      </c>
      <c r="AL179" s="31" t="s">
        <v>226</v>
      </c>
      <c r="AM179" s="31"/>
      <c r="AN179" s="31"/>
      <c r="AO179" s="96">
        <v>22.5</v>
      </c>
      <c r="AP179" s="33">
        <f t="shared" ref="AP179" si="344">AO179/D179</f>
        <v>0.75</v>
      </c>
      <c r="AQ179" s="34">
        <f t="shared" ref="AQ179" si="345">AP179*E179</f>
        <v>22.5</v>
      </c>
      <c r="AR179" s="35"/>
      <c r="AS179" s="36">
        <f t="shared" ref="AS179" si="346">AP179/$AZ$2</f>
        <v>0.75</v>
      </c>
      <c r="AT179" s="36">
        <f t="shared" ref="AT179" si="347">AQ179/$AZ$2</f>
        <v>22.5</v>
      </c>
      <c r="AU179" s="36">
        <f t="shared" ref="AU179" si="348">AS179*(1+$AV$189+9%)</f>
        <v>0.81750000000000012</v>
      </c>
      <c r="AV179" s="36">
        <f t="shared" ref="AV179" si="349">AU179*E179</f>
        <v>24.525000000000002</v>
      </c>
      <c r="AW179" s="37">
        <v>1.25</v>
      </c>
      <c r="AX179" s="38">
        <f t="shared" ref="AX179" si="350">AW179*E179</f>
        <v>37.5</v>
      </c>
      <c r="AY179" s="38">
        <f t="shared" ref="AY179" si="351">AW179-AU179</f>
        <v>0.43249999999999988</v>
      </c>
      <c r="AZ179" s="38">
        <f t="shared" ref="AZ179" si="352">AY179*E179</f>
        <v>12.974999999999996</v>
      </c>
      <c r="BA179" s="39">
        <f t="shared" ref="BA179" si="353">AY179/AW179</f>
        <v>0.34599999999999992</v>
      </c>
      <c r="BB179" s="42"/>
      <c r="BC179" s="119">
        <f t="shared" ref="BC179" si="354">AW179</f>
        <v>1.25</v>
      </c>
      <c r="BD179" s="108">
        <v>0.16350000000000001</v>
      </c>
      <c r="BE179" s="120">
        <f t="shared" si="274"/>
        <v>1.454375</v>
      </c>
      <c r="BF179" s="121">
        <f t="shared" ref="BF179" si="355">BE179-BC179</f>
        <v>0.20437499999999997</v>
      </c>
      <c r="BG179" s="121">
        <f t="shared" si="275"/>
        <v>1.6874999999999998E-2</v>
      </c>
      <c r="BH179" s="122">
        <f t="shared" si="276"/>
        <v>0.20437499999999997</v>
      </c>
      <c r="BI179" s="121">
        <f t="shared" si="277"/>
        <v>1.25</v>
      </c>
      <c r="BJ179" s="123">
        <f t="shared" ref="BJ179" si="356">(BI179-AU179)/BI179</f>
        <v>0.34599999999999992</v>
      </c>
      <c r="BK179" s="124">
        <f t="shared" ref="BK179" si="357">BJ179-BA179</f>
        <v>0</v>
      </c>
      <c r="BL179" s="125">
        <v>1.05</v>
      </c>
    </row>
    <row r="180" spans="1:64" ht="39.950000000000003" customHeight="1" x14ac:dyDescent="0.25">
      <c r="A180" s="30">
        <v>174</v>
      </c>
      <c r="B180" s="101" t="s">
        <v>149</v>
      </c>
      <c r="C180" s="31">
        <v>1</v>
      </c>
      <c r="D180" s="32" t="s">
        <v>144</v>
      </c>
      <c r="E180" s="31">
        <f t="shared" si="338"/>
        <v>30</v>
      </c>
      <c r="F180" s="31" t="s">
        <v>226</v>
      </c>
      <c r="G180" s="31" t="s">
        <v>226</v>
      </c>
      <c r="H180" s="31" t="s">
        <v>226</v>
      </c>
      <c r="I180" s="31" t="s">
        <v>226</v>
      </c>
      <c r="J180" s="31" t="s">
        <v>226</v>
      </c>
      <c r="K180" s="31" t="s">
        <v>226</v>
      </c>
      <c r="L180" s="31" t="s">
        <v>226</v>
      </c>
      <c r="M180" s="31" t="s">
        <v>226</v>
      </c>
      <c r="N180" s="31" t="s">
        <v>226</v>
      </c>
      <c r="O180" s="31" t="s">
        <v>226</v>
      </c>
      <c r="P180" s="31" t="s">
        <v>226</v>
      </c>
      <c r="Q180" s="31" t="s">
        <v>226</v>
      </c>
      <c r="R180" s="31" t="s">
        <v>226</v>
      </c>
      <c r="S180" s="31" t="s">
        <v>226</v>
      </c>
      <c r="T180" s="31" t="s">
        <v>226</v>
      </c>
      <c r="U180" s="31" t="s">
        <v>226</v>
      </c>
      <c r="V180" s="31" t="s">
        <v>226</v>
      </c>
      <c r="W180" s="31" t="s">
        <v>226</v>
      </c>
      <c r="X180" s="31" t="s">
        <v>226</v>
      </c>
      <c r="Y180" s="31" t="s">
        <v>226</v>
      </c>
      <c r="Z180" s="31" t="s">
        <v>226</v>
      </c>
      <c r="AA180" s="31" t="s">
        <v>226</v>
      </c>
      <c r="AB180" s="31" t="s">
        <v>226</v>
      </c>
      <c r="AC180" s="31" t="s">
        <v>226</v>
      </c>
      <c r="AD180" s="31" t="s">
        <v>226</v>
      </c>
      <c r="AE180" s="31" t="s">
        <v>226</v>
      </c>
      <c r="AF180" s="31" t="s">
        <v>226</v>
      </c>
      <c r="AG180" s="31" t="s">
        <v>226</v>
      </c>
      <c r="AH180" s="31" t="s">
        <v>226</v>
      </c>
      <c r="AI180" s="31" t="s">
        <v>226</v>
      </c>
      <c r="AJ180" s="31" t="s">
        <v>226</v>
      </c>
      <c r="AK180" s="31" t="s">
        <v>226</v>
      </c>
      <c r="AL180" s="31" t="s">
        <v>226</v>
      </c>
      <c r="AM180" s="31"/>
      <c r="AN180" s="31"/>
      <c r="AO180" s="96">
        <v>22.5</v>
      </c>
      <c r="AP180" s="33">
        <f t="shared" si="299"/>
        <v>0.75</v>
      </c>
      <c r="AQ180" s="34">
        <f t="shared" si="300"/>
        <v>22.5</v>
      </c>
      <c r="AR180" s="35"/>
      <c r="AS180" s="36">
        <f t="shared" si="339"/>
        <v>0.75</v>
      </c>
      <c r="AT180" s="36">
        <f t="shared" si="340"/>
        <v>22.5</v>
      </c>
      <c r="AU180" s="36">
        <f t="shared" si="337"/>
        <v>0.81750000000000012</v>
      </c>
      <c r="AV180" s="36">
        <f t="shared" si="304"/>
        <v>24.525000000000002</v>
      </c>
      <c r="AW180" s="37">
        <v>1.25</v>
      </c>
      <c r="AX180" s="38">
        <f t="shared" si="332"/>
        <v>37.5</v>
      </c>
      <c r="AY180" s="38">
        <f t="shared" si="341"/>
        <v>0.43249999999999988</v>
      </c>
      <c r="AZ180" s="38">
        <f t="shared" si="334"/>
        <v>12.974999999999996</v>
      </c>
      <c r="BA180" s="39">
        <f t="shared" si="342"/>
        <v>0.34599999999999992</v>
      </c>
      <c r="BB180" s="42"/>
      <c r="BC180" s="119">
        <f t="shared" si="307"/>
        <v>1.25</v>
      </c>
      <c r="BD180" s="108">
        <v>0.16350000000000001</v>
      </c>
      <c r="BE180" s="120">
        <f t="shared" si="274"/>
        <v>1.454375</v>
      </c>
      <c r="BF180" s="121">
        <f t="shared" si="308"/>
        <v>0.20437499999999997</v>
      </c>
      <c r="BG180" s="121">
        <f t="shared" si="275"/>
        <v>1.6874999999999998E-2</v>
      </c>
      <c r="BH180" s="122">
        <f t="shared" si="276"/>
        <v>0.20437499999999997</v>
      </c>
      <c r="BI180" s="121">
        <f t="shared" si="277"/>
        <v>1.25</v>
      </c>
      <c r="BJ180" s="123">
        <f t="shared" si="309"/>
        <v>0.34599999999999992</v>
      </c>
      <c r="BK180" s="124">
        <f t="shared" si="310"/>
        <v>0</v>
      </c>
      <c r="BL180" s="125">
        <v>1.05</v>
      </c>
    </row>
    <row r="181" spans="1:64" ht="45" customHeight="1" x14ac:dyDescent="0.25">
      <c r="A181" s="30">
        <v>175</v>
      </c>
      <c r="B181" s="101" t="s">
        <v>127</v>
      </c>
      <c r="C181" s="31">
        <v>1</v>
      </c>
      <c r="D181" s="32" t="s">
        <v>73</v>
      </c>
      <c r="E181" s="31">
        <f t="shared" si="256"/>
        <v>12</v>
      </c>
      <c r="F181" s="31" t="s">
        <v>226</v>
      </c>
      <c r="G181" s="31" t="s">
        <v>226</v>
      </c>
      <c r="H181" s="31" t="s">
        <v>226</v>
      </c>
      <c r="I181" s="31" t="s">
        <v>226</v>
      </c>
      <c r="J181" s="31" t="s">
        <v>226</v>
      </c>
      <c r="K181" s="31" t="s">
        <v>226</v>
      </c>
      <c r="L181" s="31" t="s">
        <v>226</v>
      </c>
      <c r="M181" s="31" t="s">
        <v>226</v>
      </c>
      <c r="N181" s="31" t="s">
        <v>226</v>
      </c>
      <c r="O181" s="31" t="s">
        <v>226</v>
      </c>
      <c r="P181" s="31" t="s">
        <v>226</v>
      </c>
      <c r="Q181" s="31" t="s">
        <v>226</v>
      </c>
      <c r="R181" s="31" t="s">
        <v>226</v>
      </c>
      <c r="S181" s="31" t="s">
        <v>226</v>
      </c>
      <c r="T181" s="31" t="s">
        <v>226</v>
      </c>
      <c r="U181" s="31" t="s">
        <v>226</v>
      </c>
      <c r="V181" s="31" t="s">
        <v>226</v>
      </c>
      <c r="W181" s="31" t="s">
        <v>226</v>
      </c>
      <c r="X181" s="31" t="s">
        <v>226</v>
      </c>
      <c r="Y181" s="31" t="s">
        <v>226</v>
      </c>
      <c r="Z181" s="31" t="s">
        <v>226</v>
      </c>
      <c r="AA181" s="31" t="s">
        <v>226</v>
      </c>
      <c r="AB181" s="31" t="s">
        <v>226</v>
      </c>
      <c r="AC181" s="31" t="s">
        <v>226</v>
      </c>
      <c r="AD181" s="31" t="s">
        <v>226</v>
      </c>
      <c r="AE181" s="31" t="s">
        <v>226</v>
      </c>
      <c r="AF181" s="31" t="s">
        <v>226</v>
      </c>
      <c r="AG181" s="31" t="s">
        <v>226</v>
      </c>
      <c r="AH181" s="31" t="s">
        <v>226</v>
      </c>
      <c r="AI181" s="31" t="s">
        <v>226</v>
      </c>
      <c r="AJ181" s="31" t="s">
        <v>226</v>
      </c>
      <c r="AK181" s="31" t="s">
        <v>226</v>
      </c>
      <c r="AL181" s="31" t="s">
        <v>226</v>
      </c>
      <c r="AM181" s="31"/>
      <c r="AN181" s="31"/>
      <c r="AO181" s="96">
        <v>8.4</v>
      </c>
      <c r="AP181" s="33">
        <f t="shared" si="299"/>
        <v>0.70000000000000007</v>
      </c>
      <c r="AQ181" s="34">
        <f t="shared" si="300"/>
        <v>8.4</v>
      </c>
      <c r="AR181" s="35"/>
      <c r="AS181" s="36">
        <f t="shared" si="197"/>
        <v>0.70000000000000007</v>
      </c>
      <c r="AT181" s="36">
        <f t="shared" si="197"/>
        <v>8.4</v>
      </c>
      <c r="AU181" s="36">
        <f t="shared" si="337"/>
        <v>0.76300000000000012</v>
      </c>
      <c r="AV181" s="36">
        <f t="shared" si="304"/>
        <v>9.1560000000000024</v>
      </c>
      <c r="AW181" s="37">
        <v>1</v>
      </c>
      <c r="AX181" s="38">
        <f t="shared" si="332"/>
        <v>12</v>
      </c>
      <c r="AY181" s="38">
        <f t="shared" si="257"/>
        <v>0.23699999999999988</v>
      </c>
      <c r="AZ181" s="38">
        <f t="shared" si="334"/>
        <v>2.8439999999999985</v>
      </c>
      <c r="BA181" s="39">
        <f t="shared" si="258"/>
        <v>0.23699999999999988</v>
      </c>
      <c r="BB181" s="42"/>
      <c r="BC181" s="119">
        <f t="shared" si="307"/>
        <v>1</v>
      </c>
      <c r="BD181" s="108">
        <v>0.16350000000000001</v>
      </c>
      <c r="BE181" s="120">
        <f t="shared" si="274"/>
        <v>1.1635</v>
      </c>
      <c r="BF181" s="121">
        <f t="shared" si="308"/>
        <v>0.16349999999999998</v>
      </c>
      <c r="BG181" s="121">
        <f t="shared" si="275"/>
        <v>1.35E-2</v>
      </c>
      <c r="BH181" s="122">
        <f t="shared" si="276"/>
        <v>0.16349999999999998</v>
      </c>
      <c r="BI181" s="121">
        <f t="shared" si="277"/>
        <v>1</v>
      </c>
      <c r="BJ181" s="123">
        <f t="shared" si="309"/>
        <v>0.23699999999999988</v>
      </c>
      <c r="BK181" s="124">
        <f t="shared" si="310"/>
        <v>0</v>
      </c>
      <c r="BL181" s="125" t="s">
        <v>226</v>
      </c>
    </row>
    <row r="182" spans="1:64" ht="45" customHeight="1" x14ac:dyDescent="0.25">
      <c r="A182" s="30">
        <v>176</v>
      </c>
      <c r="B182" s="101" t="s">
        <v>150</v>
      </c>
      <c r="C182" s="31">
        <v>1</v>
      </c>
      <c r="D182" s="32" t="s">
        <v>73</v>
      </c>
      <c r="E182" s="31">
        <f t="shared" si="256"/>
        <v>12</v>
      </c>
      <c r="F182" s="31" t="s">
        <v>226</v>
      </c>
      <c r="G182" s="31" t="s">
        <v>226</v>
      </c>
      <c r="H182" s="31" t="s">
        <v>226</v>
      </c>
      <c r="I182" s="31" t="s">
        <v>226</v>
      </c>
      <c r="J182" s="31" t="s">
        <v>226</v>
      </c>
      <c r="K182" s="31" t="s">
        <v>226</v>
      </c>
      <c r="L182" s="31" t="s">
        <v>226</v>
      </c>
      <c r="M182" s="31" t="s">
        <v>226</v>
      </c>
      <c r="N182" s="31" t="s">
        <v>226</v>
      </c>
      <c r="O182" s="31" t="s">
        <v>226</v>
      </c>
      <c r="P182" s="31" t="s">
        <v>226</v>
      </c>
      <c r="Q182" s="31" t="s">
        <v>226</v>
      </c>
      <c r="R182" s="31" t="s">
        <v>226</v>
      </c>
      <c r="S182" s="31" t="s">
        <v>226</v>
      </c>
      <c r="T182" s="31" t="s">
        <v>226</v>
      </c>
      <c r="U182" s="31" t="s">
        <v>226</v>
      </c>
      <c r="V182" s="31" t="s">
        <v>226</v>
      </c>
      <c r="W182" s="31" t="s">
        <v>226</v>
      </c>
      <c r="X182" s="31" t="s">
        <v>226</v>
      </c>
      <c r="Y182" s="31" t="s">
        <v>226</v>
      </c>
      <c r="Z182" s="31" t="s">
        <v>226</v>
      </c>
      <c r="AA182" s="31" t="s">
        <v>226</v>
      </c>
      <c r="AB182" s="31" t="s">
        <v>226</v>
      </c>
      <c r="AC182" s="31" t="s">
        <v>226</v>
      </c>
      <c r="AD182" s="31" t="s">
        <v>226</v>
      </c>
      <c r="AE182" s="31" t="s">
        <v>226</v>
      </c>
      <c r="AF182" s="31" t="s">
        <v>226</v>
      </c>
      <c r="AG182" s="31" t="s">
        <v>226</v>
      </c>
      <c r="AH182" s="31" t="s">
        <v>226</v>
      </c>
      <c r="AI182" s="31" t="s">
        <v>226</v>
      </c>
      <c r="AJ182" s="31" t="s">
        <v>226</v>
      </c>
      <c r="AK182" s="31" t="s">
        <v>226</v>
      </c>
      <c r="AL182" s="31" t="s">
        <v>226</v>
      </c>
      <c r="AM182" s="31"/>
      <c r="AN182" s="31"/>
      <c r="AO182" s="96">
        <v>12.85</v>
      </c>
      <c r="AP182" s="33">
        <f t="shared" ref="AP182:AP185" si="358">AO182/D182</f>
        <v>1.0708333333333333</v>
      </c>
      <c r="AQ182" s="34">
        <f t="shared" ref="AQ182:AQ185" si="359">AP182*E182</f>
        <v>12.85</v>
      </c>
      <c r="AR182" s="35"/>
      <c r="AS182" s="36">
        <f t="shared" si="197"/>
        <v>1.0708333333333333</v>
      </c>
      <c r="AT182" s="36">
        <f t="shared" si="197"/>
        <v>12.85</v>
      </c>
      <c r="AU182" s="36">
        <f t="shared" si="337"/>
        <v>1.1672083333333334</v>
      </c>
      <c r="AV182" s="36">
        <f t="shared" ref="AV182:AV185" si="360">AU182*E182</f>
        <v>14.006500000000001</v>
      </c>
      <c r="AW182" s="37">
        <v>1.75</v>
      </c>
      <c r="AX182" s="38">
        <f t="shared" si="332"/>
        <v>21</v>
      </c>
      <c r="AY182" s="38">
        <f t="shared" si="257"/>
        <v>0.5827916666666666</v>
      </c>
      <c r="AZ182" s="38">
        <f t="shared" si="334"/>
        <v>6.9934999999999992</v>
      </c>
      <c r="BA182" s="39">
        <f t="shared" si="258"/>
        <v>0.3330238095238095</v>
      </c>
      <c r="BB182" s="42"/>
      <c r="BC182" s="119">
        <f t="shared" si="307"/>
        <v>1.75</v>
      </c>
      <c r="BD182" s="108">
        <v>0.16350000000000001</v>
      </c>
      <c r="BE182" s="120">
        <f t="shared" si="274"/>
        <v>2.0361250000000002</v>
      </c>
      <c r="BF182" s="121">
        <f t="shared" si="308"/>
        <v>0.28612500000000018</v>
      </c>
      <c r="BG182" s="121">
        <f t="shared" si="275"/>
        <v>2.3625000000000018E-2</v>
      </c>
      <c r="BH182" s="122">
        <f t="shared" si="276"/>
        <v>0.28612500000000018</v>
      </c>
      <c r="BI182" s="121">
        <f t="shared" si="277"/>
        <v>1.75</v>
      </c>
      <c r="BJ182" s="123">
        <f t="shared" si="309"/>
        <v>0.3330238095238095</v>
      </c>
      <c r="BK182" s="124">
        <f t="shared" si="310"/>
        <v>0</v>
      </c>
      <c r="BL182" s="125" t="s">
        <v>226</v>
      </c>
    </row>
    <row r="183" spans="1:64" ht="45" customHeight="1" x14ac:dyDescent="0.25">
      <c r="A183" s="30">
        <v>177</v>
      </c>
      <c r="B183" s="102" t="s">
        <v>131</v>
      </c>
      <c r="C183" s="31">
        <v>1</v>
      </c>
      <c r="D183" s="32" t="s">
        <v>136</v>
      </c>
      <c r="E183" s="31">
        <f t="shared" si="256"/>
        <v>10</v>
      </c>
      <c r="F183" s="31" t="s">
        <v>226</v>
      </c>
      <c r="G183" s="31" t="s">
        <v>226</v>
      </c>
      <c r="H183" s="31" t="s">
        <v>226</v>
      </c>
      <c r="I183" s="31" t="s">
        <v>226</v>
      </c>
      <c r="J183" s="31" t="s">
        <v>226</v>
      </c>
      <c r="K183" s="31" t="s">
        <v>226</v>
      </c>
      <c r="L183" s="31" t="s">
        <v>226</v>
      </c>
      <c r="M183" s="31" t="s">
        <v>226</v>
      </c>
      <c r="N183" s="31" t="s">
        <v>226</v>
      </c>
      <c r="O183" s="31" t="s">
        <v>226</v>
      </c>
      <c r="P183" s="31" t="s">
        <v>226</v>
      </c>
      <c r="Q183" s="31" t="s">
        <v>226</v>
      </c>
      <c r="R183" s="31" t="s">
        <v>226</v>
      </c>
      <c r="S183" s="31" t="s">
        <v>226</v>
      </c>
      <c r="T183" s="31" t="s">
        <v>226</v>
      </c>
      <c r="U183" s="31" t="s">
        <v>226</v>
      </c>
      <c r="V183" s="31" t="s">
        <v>226</v>
      </c>
      <c r="W183" s="31" t="s">
        <v>226</v>
      </c>
      <c r="X183" s="31" t="s">
        <v>226</v>
      </c>
      <c r="Y183" s="31" t="s">
        <v>226</v>
      </c>
      <c r="Z183" s="31" t="s">
        <v>226</v>
      </c>
      <c r="AA183" s="31" t="s">
        <v>226</v>
      </c>
      <c r="AB183" s="31" t="s">
        <v>226</v>
      </c>
      <c r="AC183" s="31" t="s">
        <v>226</v>
      </c>
      <c r="AD183" s="31" t="s">
        <v>226</v>
      </c>
      <c r="AE183" s="31" t="s">
        <v>226</v>
      </c>
      <c r="AF183" s="31" t="s">
        <v>226</v>
      </c>
      <c r="AG183" s="31" t="s">
        <v>226</v>
      </c>
      <c r="AH183" s="31" t="s">
        <v>226</v>
      </c>
      <c r="AI183" s="31" t="s">
        <v>226</v>
      </c>
      <c r="AJ183" s="31" t="s">
        <v>226</v>
      </c>
      <c r="AK183" s="31" t="s">
        <v>226</v>
      </c>
      <c r="AL183" s="31" t="s">
        <v>226</v>
      </c>
      <c r="AM183" s="31"/>
      <c r="AN183" s="31"/>
      <c r="AO183" s="96">
        <v>7.9</v>
      </c>
      <c r="AP183" s="33">
        <f t="shared" si="358"/>
        <v>0.79</v>
      </c>
      <c r="AQ183" s="34">
        <f t="shared" si="359"/>
        <v>7.9</v>
      </c>
      <c r="AR183" s="35"/>
      <c r="AS183" s="36">
        <f t="shared" si="197"/>
        <v>0.79</v>
      </c>
      <c r="AT183" s="36">
        <f t="shared" si="197"/>
        <v>7.9</v>
      </c>
      <c r="AU183" s="36">
        <f t="shared" si="337"/>
        <v>0.86110000000000009</v>
      </c>
      <c r="AV183" s="36">
        <f t="shared" si="360"/>
        <v>8.6110000000000007</v>
      </c>
      <c r="AW183" s="37">
        <v>1.25</v>
      </c>
      <c r="AX183" s="38">
        <f t="shared" si="332"/>
        <v>12.5</v>
      </c>
      <c r="AY183" s="38">
        <f t="shared" si="257"/>
        <v>0.38889999999999991</v>
      </c>
      <c r="AZ183" s="38">
        <f t="shared" si="334"/>
        <v>3.8889999999999993</v>
      </c>
      <c r="BA183" s="39">
        <f t="shared" si="258"/>
        <v>0.31111999999999995</v>
      </c>
      <c r="BB183" s="42"/>
      <c r="BC183" s="119">
        <f t="shared" si="307"/>
        <v>1.25</v>
      </c>
      <c r="BD183" s="108">
        <v>0.16350000000000001</v>
      </c>
      <c r="BE183" s="120">
        <f t="shared" si="274"/>
        <v>1.454375</v>
      </c>
      <c r="BF183" s="121">
        <f t="shared" si="308"/>
        <v>0.20437499999999997</v>
      </c>
      <c r="BG183" s="121">
        <f t="shared" si="275"/>
        <v>1.6874999999999998E-2</v>
      </c>
      <c r="BH183" s="122">
        <f t="shared" si="276"/>
        <v>0.20437499999999997</v>
      </c>
      <c r="BI183" s="121">
        <f t="shared" si="277"/>
        <v>1.25</v>
      </c>
      <c r="BJ183" s="123">
        <f t="shared" si="309"/>
        <v>0.31111999999999995</v>
      </c>
      <c r="BK183" s="124">
        <f t="shared" si="310"/>
        <v>0</v>
      </c>
      <c r="BL183" s="125" t="s">
        <v>226</v>
      </c>
    </row>
    <row r="184" spans="1:64" ht="45" customHeight="1" x14ac:dyDescent="0.25">
      <c r="A184" s="30">
        <v>178</v>
      </c>
      <c r="B184" s="100" t="s">
        <v>132</v>
      </c>
      <c r="C184" s="31">
        <v>1</v>
      </c>
      <c r="D184" s="32" t="s">
        <v>73</v>
      </c>
      <c r="E184" s="31">
        <f t="shared" si="256"/>
        <v>12</v>
      </c>
      <c r="F184" s="31" t="s">
        <v>226</v>
      </c>
      <c r="G184" s="31" t="s">
        <v>226</v>
      </c>
      <c r="H184" s="31" t="s">
        <v>226</v>
      </c>
      <c r="I184" s="31" t="s">
        <v>226</v>
      </c>
      <c r="J184" s="31" t="s">
        <v>226</v>
      </c>
      <c r="K184" s="31" t="s">
        <v>226</v>
      </c>
      <c r="L184" s="31" t="s">
        <v>226</v>
      </c>
      <c r="M184" s="31" t="s">
        <v>226</v>
      </c>
      <c r="N184" s="31" t="s">
        <v>226</v>
      </c>
      <c r="O184" s="31" t="s">
        <v>226</v>
      </c>
      <c r="P184" s="31" t="s">
        <v>226</v>
      </c>
      <c r="Q184" s="31" t="s">
        <v>226</v>
      </c>
      <c r="R184" s="31" t="s">
        <v>226</v>
      </c>
      <c r="S184" s="31" t="s">
        <v>226</v>
      </c>
      <c r="T184" s="31" t="s">
        <v>226</v>
      </c>
      <c r="U184" s="31" t="s">
        <v>226</v>
      </c>
      <c r="V184" s="31" t="s">
        <v>226</v>
      </c>
      <c r="W184" s="31" t="s">
        <v>226</v>
      </c>
      <c r="X184" s="31" t="s">
        <v>226</v>
      </c>
      <c r="Y184" s="31" t="s">
        <v>226</v>
      </c>
      <c r="Z184" s="31" t="s">
        <v>226</v>
      </c>
      <c r="AA184" s="31" t="s">
        <v>226</v>
      </c>
      <c r="AB184" s="31" t="s">
        <v>226</v>
      </c>
      <c r="AC184" s="31" t="s">
        <v>226</v>
      </c>
      <c r="AD184" s="31" t="s">
        <v>226</v>
      </c>
      <c r="AE184" s="31" t="s">
        <v>226</v>
      </c>
      <c r="AF184" s="31" t="s">
        <v>226</v>
      </c>
      <c r="AG184" s="31" t="s">
        <v>226</v>
      </c>
      <c r="AH184" s="31" t="s">
        <v>226</v>
      </c>
      <c r="AI184" s="31" t="s">
        <v>226</v>
      </c>
      <c r="AJ184" s="31" t="s">
        <v>226</v>
      </c>
      <c r="AK184" s="31" t="s">
        <v>226</v>
      </c>
      <c r="AL184" s="31" t="s">
        <v>226</v>
      </c>
      <c r="AM184" s="31"/>
      <c r="AN184" s="31"/>
      <c r="AO184" s="96">
        <v>18.850000000000001</v>
      </c>
      <c r="AP184" s="33">
        <f t="shared" si="358"/>
        <v>1.5708333333333335</v>
      </c>
      <c r="AQ184" s="34">
        <f t="shared" si="359"/>
        <v>18.850000000000001</v>
      </c>
      <c r="AR184" s="35"/>
      <c r="AS184" s="36">
        <f t="shared" si="197"/>
        <v>1.5708333333333335</v>
      </c>
      <c r="AT184" s="36">
        <f t="shared" si="197"/>
        <v>18.850000000000001</v>
      </c>
      <c r="AU184" s="36">
        <f t="shared" si="337"/>
        <v>1.7122083333333338</v>
      </c>
      <c r="AV184" s="36">
        <f t="shared" si="360"/>
        <v>20.546500000000005</v>
      </c>
      <c r="AW184" s="37">
        <v>2.5</v>
      </c>
      <c r="AX184" s="38">
        <f t="shared" si="332"/>
        <v>30</v>
      </c>
      <c r="AY184" s="38">
        <f t="shared" si="257"/>
        <v>0.78779166666666622</v>
      </c>
      <c r="AZ184" s="38">
        <f t="shared" si="334"/>
        <v>9.4534999999999947</v>
      </c>
      <c r="BA184" s="39">
        <f t="shared" si="258"/>
        <v>0.31511666666666649</v>
      </c>
      <c r="BB184" s="40"/>
      <c r="BC184" s="119">
        <f t="shared" si="307"/>
        <v>2.5</v>
      </c>
      <c r="BD184" s="108">
        <v>0.16350000000000001</v>
      </c>
      <c r="BE184" s="120">
        <f t="shared" si="274"/>
        <v>2.9087499999999999</v>
      </c>
      <c r="BF184" s="121">
        <f t="shared" si="308"/>
        <v>0.40874999999999995</v>
      </c>
      <c r="BG184" s="121">
        <f t="shared" si="275"/>
        <v>3.3749999999999995E-2</v>
      </c>
      <c r="BH184" s="122">
        <f t="shared" si="276"/>
        <v>0.40874999999999995</v>
      </c>
      <c r="BI184" s="121">
        <f t="shared" si="277"/>
        <v>2.5</v>
      </c>
      <c r="BJ184" s="123">
        <f t="shared" si="309"/>
        <v>0.31511666666666649</v>
      </c>
      <c r="BK184" s="124">
        <f t="shared" si="310"/>
        <v>0</v>
      </c>
      <c r="BL184" s="125" t="s">
        <v>226</v>
      </c>
    </row>
    <row r="185" spans="1:64" ht="45" customHeight="1" x14ac:dyDescent="0.25">
      <c r="A185" s="30">
        <v>179</v>
      </c>
      <c r="B185" s="100" t="s">
        <v>133</v>
      </c>
      <c r="C185" s="31">
        <v>1</v>
      </c>
      <c r="D185" s="32" t="s">
        <v>73</v>
      </c>
      <c r="E185" s="31">
        <f t="shared" si="256"/>
        <v>12</v>
      </c>
      <c r="F185" s="31" t="s">
        <v>226</v>
      </c>
      <c r="G185" s="31" t="s">
        <v>226</v>
      </c>
      <c r="H185" s="31" t="s">
        <v>226</v>
      </c>
      <c r="I185" s="31" t="s">
        <v>226</v>
      </c>
      <c r="J185" s="31" t="s">
        <v>226</v>
      </c>
      <c r="K185" s="31" t="s">
        <v>226</v>
      </c>
      <c r="L185" s="31" t="s">
        <v>226</v>
      </c>
      <c r="M185" s="31" t="s">
        <v>226</v>
      </c>
      <c r="N185" s="31" t="s">
        <v>226</v>
      </c>
      <c r="O185" s="31" t="s">
        <v>226</v>
      </c>
      <c r="P185" s="31" t="s">
        <v>226</v>
      </c>
      <c r="Q185" s="31" t="s">
        <v>226</v>
      </c>
      <c r="R185" s="31" t="s">
        <v>226</v>
      </c>
      <c r="S185" s="31" t="s">
        <v>226</v>
      </c>
      <c r="T185" s="31" t="s">
        <v>226</v>
      </c>
      <c r="U185" s="31" t="s">
        <v>226</v>
      </c>
      <c r="V185" s="31" t="s">
        <v>226</v>
      </c>
      <c r="W185" s="31" t="s">
        <v>226</v>
      </c>
      <c r="X185" s="31" t="s">
        <v>226</v>
      </c>
      <c r="Y185" s="31" t="s">
        <v>226</v>
      </c>
      <c r="Z185" s="31" t="s">
        <v>226</v>
      </c>
      <c r="AA185" s="31" t="s">
        <v>226</v>
      </c>
      <c r="AB185" s="31" t="s">
        <v>226</v>
      </c>
      <c r="AC185" s="31" t="s">
        <v>226</v>
      </c>
      <c r="AD185" s="31" t="s">
        <v>226</v>
      </c>
      <c r="AE185" s="31" t="s">
        <v>226</v>
      </c>
      <c r="AF185" s="31" t="s">
        <v>226</v>
      </c>
      <c r="AG185" s="31" t="s">
        <v>226</v>
      </c>
      <c r="AH185" s="31" t="s">
        <v>226</v>
      </c>
      <c r="AI185" s="31" t="s">
        <v>226</v>
      </c>
      <c r="AJ185" s="31" t="s">
        <v>226</v>
      </c>
      <c r="AK185" s="31" t="s">
        <v>226</v>
      </c>
      <c r="AL185" s="31" t="s">
        <v>226</v>
      </c>
      <c r="AM185" s="31"/>
      <c r="AN185" s="31"/>
      <c r="AO185" s="96">
        <v>19</v>
      </c>
      <c r="AP185" s="33">
        <f t="shared" si="358"/>
        <v>1.5833333333333333</v>
      </c>
      <c r="AQ185" s="34">
        <f t="shared" si="359"/>
        <v>19</v>
      </c>
      <c r="AR185" s="35"/>
      <c r="AS185" s="36">
        <f t="shared" si="197"/>
        <v>1.5833333333333333</v>
      </c>
      <c r="AT185" s="36">
        <f t="shared" si="197"/>
        <v>19</v>
      </c>
      <c r="AU185" s="36">
        <f t="shared" si="337"/>
        <v>1.7258333333333333</v>
      </c>
      <c r="AV185" s="36">
        <f t="shared" si="360"/>
        <v>20.71</v>
      </c>
      <c r="AW185" s="37">
        <v>2.5</v>
      </c>
      <c r="AX185" s="38">
        <f t="shared" si="332"/>
        <v>30</v>
      </c>
      <c r="AY185" s="38">
        <f t="shared" si="257"/>
        <v>0.77416666666666667</v>
      </c>
      <c r="AZ185" s="38">
        <f t="shared" si="334"/>
        <v>9.2899999999999991</v>
      </c>
      <c r="BA185" s="39">
        <f t="shared" si="258"/>
        <v>0.30966666666666665</v>
      </c>
      <c r="BB185" s="40"/>
      <c r="BC185" s="119">
        <f t="shared" si="307"/>
        <v>2.5</v>
      </c>
      <c r="BD185" s="108">
        <v>0.16350000000000001</v>
      </c>
      <c r="BE185" s="120">
        <f t="shared" si="274"/>
        <v>2.9087499999999999</v>
      </c>
      <c r="BF185" s="121">
        <f t="shared" si="308"/>
        <v>0.40874999999999995</v>
      </c>
      <c r="BG185" s="121">
        <f t="shared" si="275"/>
        <v>3.3749999999999995E-2</v>
      </c>
      <c r="BH185" s="122">
        <f t="shared" si="276"/>
        <v>0.40874999999999995</v>
      </c>
      <c r="BI185" s="121">
        <f t="shared" si="277"/>
        <v>2.5</v>
      </c>
      <c r="BJ185" s="123">
        <f t="shared" si="309"/>
        <v>0.30966666666666665</v>
      </c>
      <c r="BK185" s="124">
        <f t="shared" si="310"/>
        <v>0</v>
      </c>
      <c r="BL185" s="125" t="s">
        <v>226</v>
      </c>
    </row>
    <row r="186" spans="1:64" ht="30.75" thickBot="1" x14ac:dyDescent="0.3">
      <c r="A186" s="148" t="s">
        <v>39</v>
      </c>
      <c r="B186" s="149"/>
      <c r="C186" s="149"/>
      <c r="D186" s="150"/>
      <c r="E186" s="44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154" t="s">
        <v>26</v>
      </c>
      <c r="AQ186" s="156">
        <f>SUM(AQ7:AQ185)</f>
        <v>4908.7999999999929</v>
      </c>
      <c r="AR186" s="46"/>
      <c r="AS186" s="47" t="s">
        <v>27</v>
      </c>
      <c r="AT186" s="48">
        <f>SUM(AT7:AT185)</f>
        <v>4908.7999999999929</v>
      </c>
      <c r="AU186" s="158" t="s">
        <v>28</v>
      </c>
      <c r="AV186" s="159"/>
      <c r="AW186" s="160">
        <f>SUM(AX7:AX185)</f>
        <v>5831.9000000000005</v>
      </c>
      <c r="AX186" s="161"/>
      <c r="AY186" s="162" t="s">
        <v>29</v>
      </c>
      <c r="AZ186" s="163"/>
      <c r="BA186" s="166">
        <f>AW186-AT189</f>
        <v>481.30800000000818</v>
      </c>
      <c r="BB186" s="49"/>
    </row>
    <row r="187" spans="1:64" ht="16.5" thickBot="1" x14ac:dyDescent="0.3">
      <c r="A187" s="148"/>
      <c r="B187" s="149"/>
      <c r="C187" s="149"/>
      <c r="D187" s="150"/>
      <c r="E187" s="44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155"/>
      <c r="AQ187" s="157"/>
      <c r="AR187" s="51"/>
      <c r="AS187" s="52" t="s">
        <v>30</v>
      </c>
      <c r="AT187" s="53">
        <f>AT186*0.09</f>
        <v>441.79199999999935</v>
      </c>
      <c r="AU187" s="168"/>
      <c r="AV187" s="169"/>
      <c r="AW187" s="169"/>
      <c r="AX187" s="170"/>
      <c r="AY187" s="164"/>
      <c r="AZ187" s="165"/>
      <c r="BA187" s="167"/>
      <c r="BB187" s="54"/>
    </row>
    <row r="188" spans="1:64" ht="32.25" thickBot="1" x14ac:dyDescent="0.3">
      <c r="A188" s="148"/>
      <c r="B188" s="149"/>
      <c r="C188" s="149"/>
      <c r="D188" s="150"/>
      <c r="E188" s="55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7" t="s">
        <v>31</v>
      </c>
      <c r="AQ188" s="58" t="s">
        <v>32</v>
      </c>
      <c r="AR188" s="51"/>
      <c r="AS188" s="59" t="s">
        <v>76</v>
      </c>
      <c r="AT188" s="60"/>
      <c r="AU188" s="171"/>
      <c r="AV188" s="172"/>
      <c r="AW188" s="172"/>
      <c r="AX188" s="173"/>
      <c r="AY188" s="174" t="s">
        <v>33</v>
      </c>
      <c r="AZ188" s="175"/>
      <c r="BA188" s="61">
        <f>BA186/AW186</f>
        <v>8.2530221711621971E-2</v>
      </c>
      <c r="BB188" s="62"/>
    </row>
    <row r="189" spans="1:64" ht="48" thickBot="1" x14ac:dyDescent="0.3">
      <c r="A189" s="151"/>
      <c r="B189" s="152"/>
      <c r="C189" s="152"/>
      <c r="D189" s="153"/>
      <c r="E189" s="63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5" t="s">
        <v>34</v>
      </c>
      <c r="AQ189" s="66">
        <f>SUM(AQ186:AQ188)</f>
        <v>4908.7999999999929</v>
      </c>
      <c r="AR189" s="51"/>
      <c r="AS189" s="67" t="s">
        <v>34</v>
      </c>
      <c r="AT189" s="68">
        <f>SUM(AT186:AT188)</f>
        <v>5350.5919999999924</v>
      </c>
      <c r="AU189" s="69" t="s">
        <v>35</v>
      </c>
      <c r="AV189" s="176">
        <f>AT188/AT186</f>
        <v>0</v>
      </c>
      <c r="AW189" s="177"/>
      <c r="AX189" s="70"/>
      <c r="AY189" s="11"/>
      <c r="AZ189" s="11"/>
      <c r="BA189" s="11"/>
      <c r="BB189" s="71"/>
    </row>
    <row r="190" spans="1:64" x14ac:dyDescent="0.25">
      <c r="A190" s="72"/>
      <c r="B190" s="11"/>
      <c r="C190" s="11"/>
      <c r="D190" s="11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4"/>
      <c r="AR190" s="75"/>
      <c r="AS190" s="11"/>
      <c r="AT190" s="11"/>
      <c r="AU190" s="76"/>
      <c r="AV190" s="76"/>
      <c r="AW190" s="77"/>
      <c r="AX190" s="78"/>
      <c r="AY190" s="78"/>
      <c r="AZ190" s="79"/>
      <c r="BA190" s="78"/>
      <c r="BB190" s="71"/>
    </row>
    <row r="191" spans="1:64" x14ac:dyDescent="0.25">
      <c r="A191" s="75"/>
      <c r="B191" s="78"/>
      <c r="C191" s="78"/>
      <c r="D191" s="78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1"/>
      <c r="AR191" s="75"/>
      <c r="AS191" s="132"/>
      <c r="AT191" s="133"/>
      <c r="AU191" s="133"/>
      <c r="AV191" s="133"/>
      <c r="AW191" s="134"/>
      <c r="AX191" s="78"/>
      <c r="AY191" s="78"/>
      <c r="AZ191" s="78"/>
      <c r="BA191" s="78"/>
      <c r="BB191" s="71"/>
    </row>
    <row r="192" spans="1:64" x14ac:dyDescent="0.25">
      <c r="A192" s="75"/>
      <c r="B192" s="78"/>
      <c r="C192" s="78"/>
      <c r="D192" s="78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1"/>
      <c r="AR192" s="75"/>
      <c r="AS192" s="82"/>
      <c r="AT192" s="83"/>
      <c r="AU192" s="84"/>
      <c r="AV192" s="84"/>
      <c r="AW192" s="85"/>
      <c r="AX192" s="78"/>
      <c r="AY192" s="78"/>
      <c r="AZ192" s="78"/>
      <c r="BA192" s="78"/>
      <c r="BB192" s="71"/>
    </row>
    <row r="193" spans="1:54" x14ac:dyDescent="0.25">
      <c r="A193" s="86" t="s">
        <v>36</v>
      </c>
      <c r="B193" s="78"/>
      <c r="C193" s="78"/>
      <c r="D193" s="78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1"/>
      <c r="AR193" s="75"/>
      <c r="AS193" s="87"/>
      <c r="AT193" s="87"/>
      <c r="AU193" s="87"/>
      <c r="AV193" s="87"/>
      <c r="AW193" s="85"/>
      <c r="AX193" s="78"/>
      <c r="AY193" s="78"/>
      <c r="AZ193" s="78"/>
      <c r="BA193" s="78"/>
      <c r="BB193" s="71"/>
    </row>
    <row r="194" spans="1:54" x14ac:dyDescent="0.25">
      <c r="A194" s="86" t="s">
        <v>37</v>
      </c>
      <c r="B194" s="78"/>
      <c r="C194" s="78"/>
      <c r="D194" s="78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1"/>
      <c r="AR194" s="75"/>
      <c r="AS194" s="87"/>
      <c r="AT194" s="87"/>
      <c r="AU194" s="82"/>
      <c r="AV194" s="82"/>
      <c r="AW194" s="88"/>
      <c r="AX194" s="78"/>
      <c r="AY194" s="89"/>
      <c r="AZ194" s="78"/>
      <c r="BA194" s="78"/>
      <c r="BB194" s="71"/>
    </row>
    <row r="195" spans="1:54" ht="16.5" thickBot="1" x14ac:dyDescent="0.3">
      <c r="A195" s="90"/>
      <c r="B195" s="91"/>
      <c r="C195" s="91"/>
      <c r="D195" s="91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3"/>
      <c r="AR195" s="75"/>
      <c r="AS195" s="94"/>
      <c r="AT195" s="94"/>
      <c r="AU195" s="94"/>
      <c r="AV195" s="94"/>
      <c r="AW195" s="95"/>
      <c r="AX195" s="78"/>
      <c r="AY195" s="78"/>
      <c r="AZ195" s="78"/>
      <c r="BA195" s="78"/>
      <c r="BB195" s="71"/>
    </row>
    <row r="209" spans="2:2" x14ac:dyDescent="0.25">
      <c r="B209" s="97"/>
    </row>
  </sheetData>
  <autoFilter ref="A6:BB189" xr:uid="{BA9FDF3B-44B9-AF41-A0D0-5108CC497DF7}"/>
  <mergeCells count="16">
    <mergeCell ref="AS191:AW191"/>
    <mergeCell ref="A1:AX1"/>
    <mergeCell ref="AZ1:BA1"/>
    <mergeCell ref="A2:AX2"/>
    <mergeCell ref="A4:AQ4"/>
    <mergeCell ref="AS4:BB4"/>
    <mergeCell ref="A186:D189"/>
    <mergeCell ref="AP186:AP187"/>
    <mergeCell ref="AQ186:AQ187"/>
    <mergeCell ref="AU186:AV186"/>
    <mergeCell ref="AW186:AX186"/>
    <mergeCell ref="AY186:AZ187"/>
    <mergeCell ref="BA186:BA187"/>
    <mergeCell ref="AU187:AX188"/>
    <mergeCell ref="AY188:AZ188"/>
    <mergeCell ref="AV189:AW18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95EFD-2D67-DB40-B45A-913E9904E89F}">
  <dimension ref="A1:AC194"/>
  <sheetViews>
    <sheetView tabSelected="1" workbookViewId="0">
      <selection sqref="A1:O1"/>
    </sheetView>
  </sheetViews>
  <sheetFormatPr defaultColWidth="11" defaultRowHeight="15.75" x14ac:dyDescent="0.25"/>
  <cols>
    <col min="1" max="1" width="4.625" customWidth="1"/>
    <col min="2" max="2" width="42.625" bestFit="1" customWidth="1"/>
    <col min="3" max="3" width="11.125" customWidth="1"/>
    <col min="4" max="4" width="10.875" customWidth="1"/>
    <col min="5" max="7" width="11.125" customWidth="1"/>
    <col min="8" max="8" width="13" customWidth="1"/>
    <col min="9" max="9" width="10.875" customWidth="1"/>
    <col min="10" max="10" width="11.125" customWidth="1"/>
    <col min="11" max="11" width="11.625" customWidth="1"/>
    <col min="12" max="12" width="14.125" customWidth="1"/>
    <col min="13" max="13" width="17.875" customWidth="1"/>
    <col min="14" max="14" width="10.875" customWidth="1"/>
    <col min="15" max="15" width="11" customWidth="1"/>
    <col min="16" max="16" width="11.125" customWidth="1"/>
    <col min="17" max="17" width="16.375" customWidth="1"/>
    <col min="18" max="18" width="11" customWidth="1"/>
    <col min="19" max="19" width="10.875" customWidth="1"/>
  </cols>
  <sheetData>
    <row r="1" spans="1:29" ht="32.25" x14ac:dyDescent="0.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7"/>
      <c r="P1" s="1" t="s">
        <v>1</v>
      </c>
      <c r="Q1" s="138"/>
      <c r="R1" s="138"/>
      <c r="S1" s="2"/>
    </row>
    <row r="2" spans="1:29" ht="32.25" thickBot="1" x14ac:dyDescent="0.55000000000000004">
      <c r="A2" s="139" t="s">
        <v>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1"/>
      <c r="P2" s="3" t="s">
        <v>3</v>
      </c>
      <c r="Q2" s="4">
        <v>1</v>
      </c>
      <c r="R2" s="5"/>
      <c r="S2" s="6"/>
    </row>
    <row r="3" spans="1:29" ht="24" thickBot="1" x14ac:dyDescent="0.4">
      <c r="A3" s="7"/>
      <c r="B3" s="8" t="s">
        <v>38</v>
      </c>
      <c r="C3" s="7"/>
      <c r="D3" s="7"/>
      <c r="E3" s="9"/>
      <c r="F3" s="9"/>
      <c r="G3" s="9"/>
      <c r="H3" s="10"/>
      <c r="I3" s="11"/>
      <c r="J3" s="12"/>
      <c r="K3" s="13"/>
      <c r="L3" s="13"/>
      <c r="M3" s="13"/>
      <c r="N3" s="14"/>
      <c r="O3" s="13"/>
      <c r="P3" s="15"/>
      <c r="Q3" s="15"/>
      <c r="R3" s="15"/>
      <c r="S3" s="16"/>
    </row>
    <row r="4" spans="1:29" ht="27" thickBot="1" x14ac:dyDescent="0.3">
      <c r="A4" s="142" t="s">
        <v>4</v>
      </c>
      <c r="B4" s="143"/>
      <c r="C4" s="143"/>
      <c r="D4" s="143"/>
      <c r="E4" s="143"/>
      <c r="F4" s="143"/>
      <c r="G4" s="143"/>
      <c r="H4" s="144"/>
      <c r="I4" s="17"/>
      <c r="J4" s="145" t="s">
        <v>5</v>
      </c>
      <c r="K4" s="146"/>
      <c r="L4" s="146"/>
      <c r="M4" s="146"/>
      <c r="N4" s="146"/>
      <c r="O4" s="146"/>
      <c r="P4" s="146"/>
      <c r="Q4" s="146"/>
      <c r="R4" s="146"/>
      <c r="S4" s="147"/>
    </row>
    <row r="5" spans="1:29" ht="16.5" thickBot="1" x14ac:dyDescent="0.3">
      <c r="A5" s="7"/>
      <c r="B5" s="7"/>
      <c r="C5" s="7"/>
      <c r="D5" s="7"/>
      <c r="E5" s="9"/>
      <c r="F5" s="9"/>
      <c r="G5" s="9"/>
      <c r="H5" s="10"/>
      <c r="I5" s="18"/>
      <c r="J5" s="19"/>
      <c r="K5" s="19"/>
      <c r="L5" s="19"/>
      <c r="M5" s="19"/>
      <c r="N5" s="20"/>
      <c r="O5" s="19"/>
      <c r="P5" s="19"/>
      <c r="Q5" s="19"/>
      <c r="R5" s="19"/>
      <c r="S5" s="16"/>
    </row>
    <row r="6" spans="1:29" ht="94.5" x14ac:dyDescent="0.25">
      <c r="A6" s="21" t="s">
        <v>6</v>
      </c>
      <c r="B6" s="22" t="s">
        <v>7</v>
      </c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24" t="s">
        <v>13</v>
      </c>
      <c r="I6" s="25"/>
      <c r="J6" s="26" t="s">
        <v>14</v>
      </c>
      <c r="K6" s="27" t="s">
        <v>15</v>
      </c>
      <c r="L6" s="27" t="s">
        <v>16</v>
      </c>
      <c r="M6" s="27" t="s">
        <v>17</v>
      </c>
      <c r="N6" s="28" t="s">
        <v>18</v>
      </c>
      <c r="O6" s="27" t="s">
        <v>19</v>
      </c>
      <c r="P6" s="27" t="s">
        <v>20</v>
      </c>
      <c r="Q6" s="27" t="s">
        <v>21</v>
      </c>
      <c r="R6" s="27" t="s">
        <v>22</v>
      </c>
      <c r="S6" s="112" t="s">
        <v>23</v>
      </c>
      <c r="T6" s="117" t="s">
        <v>220</v>
      </c>
      <c r="U6" s="117" t="s">
        <v>284</v>
      </c>
      <c r="V6" s="117" t="s">
        <v>222</v>
      </c>
      <c r="W6" s="117" t="s">
        <v>223</v>
      </c>
      <c r="X6" s="117" t="s">
        <v>227</v>
      </c>
      <c r="Y6" s="117" t="s">
        <v>224</v>
      </c>
      <c r="Z6" s="117" t="s">
        <v>225</v>
      </c>
      <c r="AA6" s="117" t="s">
        <v>228</v>
      </c>
      <c r="AB6" s="117" t="s">
        <v>229</v>
      </c>
      <c r="AC6" s="118" t="s">
        <v>230</v>
      </c>
    </row>
    <row r="7" spans="1:29" ht="45" customHeight="1" x14ac:dyDescent="0.25">
      <c r="A7" s="30">
        <v>1</v>
      </c>
      <c r="B7" s="100" t="s">
        <v>40</v>
      </c>
      <c r="C7" s="31">
        <v>1</v>
      </c>
      <c r="D7" s="32" t="s">
        <v>73</v>
      </c>
      <c r="E7" s="31">
        <f t="shared" ref="E7:E70" si="0">D7*C7</f>
        <v>12</v>
      </c>
      <c r="F7" s="96">
        <v>18.850000000000001</v>
      </c>
      <c r="G7" s="33">
        <f t="shared" ref="G7:G70" si="1">F7/D7</f>
        <v>1.5708333333333335</v>
      </c>
      <c r="H7" s="34">
        <f t="shared" ref="H7:H70" si="2">G7*E7</f>
        <v>18.850000000000001</v>
      </c>
      <c r="I7" s="35"/>
      <c r="J7" s="38">
        <f t="shared" ref="J7:K38" si="3">G7/$Q$2</f>
        <v>1.5708333333333335</v>
      </c>
      <c r="K7" s="38">
        <f t="shared" si="3"/>
        <v>18.850000000000001</v>
      </c>
      <c r="L7" s="38">
        <f t="shared" ref="L7:L38" si="4">J7*(1+$M$174+9%)</f>
        <v>1.7192702421092072</v>
      </c>
      <c r="M7" s="38">
        <f t="shared" ref="M7:M70" si="5">L7*E7</f>
        <v>20.631242905310486</v>
      </c>
      <c r="N7" s="37">
        <v>2.5</v>
      </c>
      <c r="O7" s="38">
        <f t="shared" ref="O7:O70" si="6">N7*E7</f>
        <v>30</v>
      </c>
      <c r="P7" s="38">
        <f t="shared" ref="P7:P70" si="7">N7-L7</f>
        <v>0.7807297578907928</v>
      </c>
      <c r="Q7" s="38">
        <f t="shared" ref="Q7:Q70" si="8">P7*E7</f>
        <v>9.3687570946895136</v>
      </c>
      <c r="R7" s="39">
        <f t="shared" ref="R7:R70" si="9">P7/N7</f>
        <v>0.31229190315631711</v>
      </c>
      <c r="S7" s="113"/>
      <c r="T7" s="119">
        <f>N7</f>
        <v>2.5</v>
      </c>
      <c r="U7" s="131">
        <v>0.16350000000000001</v>
      </c>
      <c r="V7" s="120">
        <f>T7+(T7*U7)</f>
        <v>2.9087499999999999</v>
      </c>
      <c r="W7" s="121">
        <f>(100/109)*Y7</f>
        <v>0.37499999999999994</v>
      </c>
      <c r="X7" s="121">
        <f>(9/109)*Y7</f>
        <v>3.3749999999999995E-2</v>
      </c>
      <c r="Y7" s="122">
        <f>V7-T7</f>
        <v>0.40874999999999995</v>
      </c>
      <c r="Z7" s="121">
        <f>V7-Y7</f>
        <v>2.5</v>
      </c>
      <c r="AA7" s="123">
        <f>(Z7-L7)/Z7</f>
        <v>0.31229190315631711</v>
      </c>
      <c r="AB7" s="124">
        <f>AA7-R7</f>
        <v>0</v>
      </c>
      <c r="AC7" s="125" t="s">
        <v>226</v>
      </c>
    </row>
    <row r="8" spans="1:29" ht="45" customHeight="1" x14ac:dyDescent="0.25">
      <c r="A8" s="30">
        <v>2</v>
      </c>
      <c r="B8" s="100" t="s">
        <v>41</v>
      </c>
      <c r="C8" s="31">
        <v>1</v>
      </c>
      <c r="D8" s="32" t="s">
        <v>73</v>
      </c>
      <c r="E8" s="31">
        <f t="shared" si="0"/>
        <v>12</v>
      </c>
      <c r="F8" s="96">
        <v>18.850000000000001</v>
      </c>
      <c r="G8" s="33">
        <f t="shared" si="1"/>
        <v>1.5708333333333335</v>
      </c>
      <c r="H8" s="34">
        <f t="shared" si="2"/>
        <v>18.850000000000001</v>
      </c>
      <c r="I8" s="35"/>
      <c r="J8" s="38">
        <f t="shared" si="3"/>
        <v>1.5708333333333335</v>
      </c>
      <c r="K8" s="38">
        <f t="shared" si="3"/>
        <v>18.850000000000001</v>
      </c>
      <c r="L8" s="38">
        <f t="shared" si="4"/>
        <v>1.7192702421092072</v>
      </c>
      <c r="M8" s="38">
        <f t="shared" si="5"/>
        <v>20.631242905310486</v>
      </c>
      <c r="N8" s="37">
        <v>2.5</v>
      </c>
      <c r="O8" s="38">
        <f t="shared" si="6"/>
        <v>30</v>
      </c>
      <c r="P8" s="38">
        <f t="shared" si="7"/>
        <v>0.7807297578907928</v>
      </c>
      <c r="Q8" s="38">
        <f t="shared" si="8"/>
        <v>9.3687570946895136</v>
      </c>
      <c r="R8" s="39">
        <f t="shared" si="9"/>
        <v>0.31229190315631711</v>
      </c>
      <c r="S8" s="114"/>
      <c r="T8" s="119">
        <f t="shared" ref="T8:T71" si="10">N8</f>
        <v>2.5</v>
      </c>
      <c r="U8" s="131">
        <v>0.16350000000000001</v>
      </c>
      <c r="V8" s="120">
        <f>T8+(T8*U8)</f>
        <v>2.9087499999999999</v>
      </c>
      <c r="W8" s="121">
        <f t="shared" ref="W8:W71" si="11">(100/109)*Y8</f>
        <v>0.37499999999999994</v>
      </c>
      <c r="X8" s="121">
        <f t="shared" ref="X8:X71" si="12">(9/109)*Y8</f>
        <v>3.3749999999999995E-2</v>
      </c>
      <c r="Y8" s="122">
        <f t="shared" ref="Y8:Y71" si="13">V8-T8</f>
        <v>0.40874999999999995</v>
      </c>
      <c r="Z8" s="121">
        <f t="shared" ref="Z8:Z71" si="14">V8-Y8</f>
        <v>2.5</v>
      </c>
      <c r="AA8" s="123">
        <f t="shared" ref="AA8:AA71" si="15">(Z8-L8)/Z8</f>
        <v>0.31229190315631711</v>
      </c>
      <c r="AB8" s="124">
        <f t="shared" ref="AB8:AB71" si="16">AA8-R8</f>
        <v>0</v>
      </c>
      <c r="AC8" s="125" t="s">
        <v>226</v>
      </c>
    </row>
    <row r="9" spans="1:29" ht="45" customHeight="1" x14ac:dyDescent="0.25">
      <c r="A9" s="30">
        <v>3</v>
      </c>
      <c r="B9" s="100" t="s">
        <v>206</v>
      </c>
      <c r="C9" s="31">
        <v>1</v>
      </c>
      <c r="D9" s="32" t="s">
        <v>144</v>
      </c>
      <c r="E9" s="31">
        <f t="shared" si="0"/>
        <v>30</v>
      </c>
      <c r="F9" s="96">
        <v>18.899999999999999</v>
      </c>
      <c r="G9" s="33">
        <f t="shared" si="1"/>
        <v>0.63</v>
      </c>
      <c r="H9" s="34">
        <f t="shared" si="2"/>
        <v>18.899999999999999</v>
      </c>
      <c r="I9" s="35"/>
      <c r="J9" s="38">
        <f t="shared" si="3"/>
        <v>0.63</v>
      </c>
      <c r="K9" s="38">
        <f t="shared" si="3"/>
        <v>18.899999999999999</v>
      </c>
      <c r="L9" s="38">
        <f t="shared" si="4"/>
        <v>0.68953225625175618</v>
      </c>
      <c r="M9" s="38">
        <f t="shared" si="5"/>
        <v>20.685967687552687</v>
      </c>
      <c r="N9" s="37"/>
      <c r="O9" s="38">
        <f t="shared" si="6"/>
        <v>0</v>
      </c>
      <c r="P9" s="38">
        <f t="shared" si="7"/>
        <v>-0.68953225625175618</v>
      </c>
      <c r="Q9" s="38">
        <f t="shared" si="8"/>
        <v>-20.685967687552687</v>
      </c>
      <c r="R9" s="39" t="e">
        <f t="shared" si="9"/>
        <v>#DIV/0!</v>
      </c>
      <c r="S9" s="114"/>
      <c r="T9" s="119">
        <f t="shared" si="10"/>
        <v>0</v>
      </c>
      <c r="U9" s="131">
        <v>0.16350000000000001</v>
      </c>
      <c r="V9" s="120">
        <f t="shared" ref="V9:V71" si="17">T9+(T9*U9)</f>
        <v>0</v>
      </c>
      <c r="W9" s="121">
        <f t="shared" si="11"/>
        <v>0</v>
      </c>
      <c r="X9" s="121">
        <f t="shared" si="12"/>
        <v>0</v>
      </c>
      <c r="Y9" s="122">
        <f t="shared" si="13"/>
        <v>0</v>
      </c>
      <c r="Z9" s="121">
        <f t="shared" si="14"/>
        <v>0</v>
      </c>
      <c r="AA9" s="123" t="e">
        <f t="shared" si="15"/>
        <v>#DIV/0!</v>
      </c>
      <c r="AB9" s="124" t="e">
        <f t="shared" si="16"/>
        <v>#DIV/0!</v>
      </c>
      <c r="AC9" s="125" t="s">
        <v>226</v>
      </c>
    </row>
    <row r="10" spans="1:29" ht="45" customHeight="1" x14ac:dyDescent="0.25">
      <c r="A10" s="30">
        <v>4</v>
      </c>
      <c r="B10" s="100" t="s">
        <v>207</v>
      </c>
      <c r="C10" s="31">
        <v>1</v>
      </c>
      <c r="D10" s="32" t="s">
        <v>144</v>
      </c>
      <c r="E10" s="31">
        <f t="shared" si="0"/>
        <v>30</v>
      </c>
      <c r="F10" s="96">
        <v>18.899999999999999</v>
      </c>
      <c r="G10" s="33">
        <f t="shared" si="1"/>
        <v>0.63</v>
      </c>
      <c r="H10" s="34">
        <f t="shared" si="2"/>
        <v>18.899999999999999</v>
      </c>
      <c r="I10" s="35"/>
      <c r="J10" s="38">
        <f t="shared" si="3"/>
        <v>0.63</v>
      </c>
      <c r="K10" s="38">
        <f t="shared" si="3"/>
        <v>18.899999999999999</v>
      </c>
      <c r="L10" s="38">
        <f t="shared" si="4"/>
        <v>0.68953225625175618</v>
      </c>
      <c r="M10" s="38">
        <f t="shared" si="5"/>
        <v>20.685967687552687</v>
      </c>
      <c r="N10" s="37"/>
      <c r="O10" s="38">
        <f t="shared" si="6"/>
        <v>0</v>
      </c>
      <c r="P10" s="38">
        <f t="shared" si="7"/>
        <v>-0.68953225625175618</v>
      </c>
      <c r="Q10" s="38">
        <f t="shared" si="8"/>
        <v>-20.685967687552687</v>
      </c>
      <c r="R10" s="39" t="e">
        <f t="shared" si="9"/>
        <v>#DIV/0!</v>
      </c>
      <c r="S10" s="114"/>
      <c r="T10" s="119">
        <f t="shared" si="10"/>
        <v>0</v>
      </c>
      <c r="U10" s="131">
        <v>0.16350000000000001</v>
      </c>
      <c r="V10" s="120">
        <f t="shared" si="17"/>
        <v>0</v>
      </c>
      <c r="W10" s="121">
        <f t="shared" si="11"/>
        <v>0</v>
      </c>
      <c r="X10" s="121">
        <f t="shared" si="12"/>
        <v>0</v>
      </c>
      <c r="Y10" s="122">
        <f t="shared" si="13"/>
        <v>0</v>
      </c>
      <c r="Z10" s="121">
        <f t="shared" si="14"/>
        <v>0</v>
      </c>
      <c r="AA10" s="123" t="e">
        <f t="shared" si="15"/>
        <v>#DIV/0!</v>
      </c>
      <c r="AB10" s="124" t="e">
        <f t="shared" si="16"/>
        <v>#DIV/0!</v>
      </c>
      <c r="AC10" s="125" t="s">
        <v>226</v>
      </c>
    </row>
    <row r="11" spans="1:29" ht="45" customHeight="1" x14ac:dyDescent="0.25">
      <c r="A11" s="30">
        <v>5</v>
      </c>
      <c r="B11" s="100" t="s">
        <v>208</v>
      </c>
      <c r="C11" s="31">
        <v>1</v>
      </c>
      <c r="D11" s="32" t="s">
        <v>144</v>
      </c>
      <c r="E11" s="31">
        <f t="shared" si="0"/>
        <v>30</v>
      </c>
      <c r="F11" s="96">
        <v>18.899999999999999</v>
      </c>
      <c r="G11" s="33">
        <f t="shared" si="1"/>
        <v>0.63</v>
      </c>
      <c r="H11" s="34">
        <f t="shared" si="2"/>
        <v>18.899999999999999</v>
      </c>
      <c r="I11" s="35"/>
      <c r="J11" s="38">
        <f t="shared" si="3"/>
        <v>0.63</v>
      </c>
      <c r="K11" s="38">
        <f t="shared" si="3"/>
        <v>18.899999999999999</v>
      </c>
      <c r="L11" s="38">
        <f t="shared" si="4"/>
        <v>0.68953225625175618</v>
      </c>
      <c r="M11" s="38">
        <f t="shared" si="5"/>
        <v>20.685967687552687</v>
      </c>
      <c r="N11" s="37"/>
      <c r="O11" s="38">
        <f t="shared" si="6"/>
        <v>0</v>
      </c>
      <c r="P11" s="38">
        <f t="shared" si="7"/>
        <v>-0.68953225625175618</v>
      </c>
      <c r="Q11" s="38">
        <f t="shared" si="8"/>
        <v>-20.685967687552687</v>
      </c>
      <c r="R11" s="39" t="e">
        <f t="shared" si="9"/>
        <v>#DIV/0!</v>
      </c>
      <c r="S11" s="114"/>
      <c r="T11" s="119">
        <f t="shared" si="10"/>
        <v>0</v>
      </c>
      <c r="U11" s="131">
        <v>0.16350000000000001</v>
      </c>
      <c r="V11" s="120">
        <f t="shared" si="17"/>
        <v>0</v>
      </c>
      <c r="W11" s="121">
        <f t="shared" si="11"/>
        <v>0</v>
      </c>
      <c r="X11" s="121">
        <f t="shared" si="12"/>
        <v>0</v>
      </c>
      <c r="Y11" s="122">
        <f t="shared" si="13"/>
        <v>0</v>
      </c>
      <c r="Z11" s="121">
        <f t="shared" si="14"/>
        <v>0</v>
      </c>
      <c r="AA11" s="123" t="e">
        <f t="shared" si="15"/>
        <v>#DIV/0!</v>
      </c>
      <c r="AB11" s="124" t="e">
        <f t="shared" si="16"/>
        <v>#DIV/0!</v>
      </c>
      <c r="AC11" s="125" t="s">
        <v>226</v>
      </c>
    </row>
    <row r="12" spans="1:29" ht="45" customHeight="1" x14ac:dyDescent="0.25">
      <c r="A12" s="30">
        <v>6</v>
      </c>
      <c r="B12" s="100" t="s">
        <v>214</v>
      </c>
      <c r="C12" s="31">
        <v>1</v>
      </c>
      <c r="D12" s="32" t="s">
        <v>24</v>
      </c>
      <c r="E12" s="31">
        <f t="shared" si="0"/>
        <v>24</v>
      </c>
      <c r="F12" s="96">
        <v>14.4</v>
      </c>
      <c r="G12" s="33">
        <f t="shared" si="1"/>
        <v>0.6</v>
      </c>
      <c r="H12" s="34">
        <f t="shared" si="2"/>
        <v>14.399999999999999</v>
      </c>
      <c r="I12" s="35"/>
      <c r="J12" s="38">
        <f t="shared" si="3"/>
        <v>0.6</v>
      </c>
      <c r="K12" s="38">
        <f t="shared" si="3"/>
        <v>14.399999999999999</v>
      </c>
      <c r="L12" s="38">
        <f t="shared" si="4"/>
        <v>0.65669738690643442</v>
      </c>
      <c r="M12" s="38">
        <f t="shared" si="5"/>
        <v>15.760737285754427</v>
      </c>
      <c r="N12" s="37"/>
      <c r="O12" s="38">
        <f t="shared" si="6"/>
        <v>0</v>
      </c>
      <c r="P12" s="38">
        <f t="shared" si="7"/>
        <v>-0.65669738690643442</v>
      </c>
      <c r="Q12" s="38">
        <f t="shared" si="8"/>
        <v>-15.760737285754427</v>
      </c>
      <c r="R12" s="39" t="e">
        <f t="shared" si="9"/>
        <v>#DIV/0!</v>
      </c>
      <c r="S12" s="114"/>
      <c r="T12" s="119">
        <f t="shared" si="10"/>
        <v>0</v>
      </c>
      <c r="U12" s="131">
        <v>0.16350000000000001</v>
      </c>
      <c r="V12" s="120">
        <f t="shared" si="17"/>
        <v>0</v>
      </c>
      <c r="W12" s="121">
        <f t="shared" si="11"/>
        <v>0</v>
      </c>
      <c r="X12" s="121">
        <f t="shared" si="12"/>
        <v>0</v>
      </c>
      <c r="Y12" s="122">
        <f t="shared" si="13"/>
        <v>0</v>
      </c>
      <c r="Z12" s="121">
        <f t="shared" si="14"/>
        <v>0</v>
      </c>
      <c r="AA12" s="123" t="e">
        <f t="shared" si="15"/>
        <v>#DIV/0!</v>
      </c>
      <c r="AB12" s="124" t="e">
        <f t="shared" si="16"/>
        <v>#DIV/0!</v>
      </c>
      <c r="AC12" s="125" t="s">
        <v>226</v>
      </c>
    </row>
    <row r="13" spans="1:29" ht="45" customHeight="1" x14ac:dyDescent="0.25">
      <c r="A13" s="30">
        <v>7</v>
      </c>
      <c r="B13" s="100" t="s">
        <v>187</v>
      </c>
      <c r="C13" s="31">
        <v>1</v>
      </c>
      <c r="D13" s="32" t="s">
        <v>144</v>
      </c>
      <c r="E13" s="31">
        <f t="shared" si="0"/>
        <v>30</v>
      </c>
      <c r="F13" s="96">
        <v>90.5</v>
      </c>
      <c r="G13" s="33">
        <f t="shared" si="1"/>
        <v>3.0166666666666666</v>
      </c>
      <c r="H13" s="34">
        <f t="shared" si="2"/>
        <v>90.5</v>
      </c>
      <c r="I13" s="35"/>
      <c r="J13" s="38">
        <f t="shared" si="3"/>
        <v>3.0166666666666666</v>
      </c>
      <c r="K13" s="38">
        <f t="shared" si="3"/>
        <v>90.5</v>
      </c>
      <c r="L13" s="38">
        <f t="shared" si="4"/>
        <v>3.3017285286129066</v>
      </c>
      <c r="M13" s="38">
        <f t="shared" si="5"/>
        <v>99.051855858387199</v>
      </c>
      <c r="N13" s="37"/>
      <c r="O13" s="38">
        <f t="shared" si="6"/>
        <v>0</v>
      </c>
      <c r="P13" s="38">
        <f t="shared" si="7"/>
        <v>-3.3017285286129066</v>
      </c>
      <c r="Q13" s="38">
        <f t="shared" si="8"/>
        <v>-99.051855858387199</v>
      </c>
      <c r="R13" s="39" t="e">
        <f t="shared" si="9"/>
        <v>#DIV/0!</v>
      </c>
      <c r="S13" s="114"/>
      <c r="T13" s="119">
        <f t="shared" si="10"/>
        <v>0</v>
      </c>
      <c r="U13" s="131">
        <v>0.16350000000000001</v>
      </c>
      <c r="V13" s="120">
        <f t="shared" si="17"/>
        <v>0</v>
      </c>
      <c r="W13" s="121">
        <f t="shared" si="11"/>
        <v>0</v>
      </c>
      <c r="X13" s="121">
        <f t="shared" si="12"/>
        <v>0</v>
      </c>
      <c r="Y13" s="122">
        <f t="shared" si="13"/>
        <v>0</v>
      </c>
      <c r="Z13" s="121">
        <f t="shared" si="14"/>
        <v>0</v>
      </c>
      <c r="AA13" s="123" t="e">
        <f t="shared" si="15"/>
        <v>#DIV/0!</v>
      </c>
      <c r="AB13" s="124" t="e">
        <f t="shared" si="16"/>
        <v>#DIV/0!</v>
      </c>
      <c r="AC13" s="125" t="s">
        <v>226</v>
      </c>
    </row>
    <row r="14" spans="1:29" ht="45" customHeight="1" x14ac:dyDescent="0.25">
      <c r="A14" s="30">
        <v>8</v>
      </c>
      <c r="B14" s="100" t="s">
        <v>186</v>
      </c>
      <c r="C14" s="31">
        <v>1</v>
      </c>
      <c r="D14" s="32" t="s">
        <v>157</v>
      </c>
      <c r="E14" s="31">
        <f t="shared" si="0"/>
        <v>60</v>
      </c>
      <c r="F14" s="96">
        <v>61.2</v>
      </c>
      <c r="G14" s="33">
        <f t="shared" si="1"/>
        <v>1.02</v>
      </c>
      <c r="H14" s="34">
        <f t="shared" si="2"/>
        <v>61.2</v>
      </c>
      <c r="I14" s="35"/>
      <c r="J14" s="38">
        <f t="shared" si="3"/>
        <v>1.02</v>
      </c>
      <c r="K14" s="38">
        <f t="shared" si="3"/>
        <v>61.2</v>
      </c>
      <c r="L14" s="38">
        <f t="shared" si="4"/>
        <v>1.1163855577409387</v>
      </c>
      <c r="M14" s="38">
        <f t="shared" si="5"/>
        <v>66.98313346445633</v>
      </c>
      <c r="N14" s="37"/>
      <c r="O14" s="38">
        <f t="shared" si="6"/>
        <v>0</v>
      </c>
      <c r="P14" s="38">
        <f t="shared" si="7"/>
        <v>-1.1163855577409387</v>
      </c>
      <c r="Q14" s="38">
        <f t="shared" si="8"/>
        <v>-66.98313346445633</v>
      </c>
      <c r="R14" s="39" t="e">
        <f t="shared" si="9"/>
        <v>#DIV/0!</v>
      </c>
      <c r="S14" s="114"/>
      <c r="T14" s="119">
        <f t="shared" si="10"/>
        <v>0</v>
      </c>
      <c r="U14" s="131">
        <v>0.16350000000000001</v>
      </c>
      <c r="V14" s="120">
        <f t="shared" si="17"/>
        <v>0</v>
      </c>
      <c r="W14" s="121">
        <f t="shared" si="11"/>
        <v>0</v>
      </c>
      <c r="X14" s="121">
        <f t="shared" si="12"/>
        <v>0</v>
      </c>
      <c r="Y14" s="122">
        <f t="shared" si="13"/>
        <v>0</v>
      </c>
      <c r="Z14" s="121">
        <f t="shared" si="14"/>
        <v>0</v>
      </c>
      <c r="AA14" s="123" t="e">
        <f t="shared" si="15"/>
        <v>#DIV/0!</v>
      </c>
      <c r="AB14" s="124" t="e">
        <f t="shared" si="16"/>
        <v>#DIV/0!</v>
      </c>
      <c r="AC14" s="125" t="s">
        <v>226</v>
      </c>
    </row>
    <row r="15" spans="1:29" ht="45" customHeight="1" x14ac:dyDescent="0.25">
      <c r="A15" s="30">
        <v>9</v>
      </c>
      <c r="B15" s="100" t="s">
        <v>204</v>
      </c>
      <c r="C15" s="31">
        <v>1</v>
      </c>
      <c r="D15" s="32" t="s">
        <v>24</v>
      </c>
      <c r="E15" s="31">
        <f t="shared" si="0"/>
        <v>24</v>
      </c>
      <c r="F15" s="96">
        <v>27</v>
      </c>
      <c r="G15" s="33">
        <f t="shared" si="1"/>
        <v>1.125</v>
      </c>
      <c r="H15" s="34">
        <f t="shared" si="2"/>
        <v>27</v>
      </c>
      <c r="I15" s="35"/>
      <c r="J15" s="38">
        <f t="shared" si="3"/>
        <v>1.125</v>
      </c>
      <c r="K15" s="38">
        <f t="shared" si="3"/>
        <v>27</v>
      </c>
      <c r="L15" s="38">
        <f t="shared" si="4"/>
        <v>1.2313076004495647</v>
      </c>
      <c r="M15" s="38">
        <f t="shared" si="5"/>
        <v>29.55138241078955</v>
      </c>
      <c r="N15" s="37"/>
      <c r="O15" s="38">
        <f t="shared" si="6"/>
        <v>0</v>
      </c>
      <c r="P15" s="38">
        <f t="shared" si="7"/>
        <v>-1.2313076004495647</v>
      </c>
      <c r="Q15" s="38">
        <f t="shared" si="8"/>
        <v>-29.55138241078955</v>
      </c>
      <c r="R15" s="39" t="e">
        <f t="shared" si="9"/>
        <v>#DIV/0!</v>
      </c>
      <c r="S15" s="114"/>
      <c r="T15" s="119">
        <f t="shared" si="10"/>
        <v>0</v>
      </c>
      <c r="U15" s="131">
        <v>0.16350000000000001</v>
      </c>
      <c r="V15" s="120">
        <f t="shared" si="17"/>
        <v>0</v>
      </c>
      <c r="W15" s="121">
        <f t="shared" si="11"/>
        <v>0</v>
      </c>
      <c r="X15" s="121">
        <f t="shared" si="12"/>
        <v>0</v>
      </c>
      <c r="Y15" s="122">
        <f t="shared" si="13"/>
        <v>0</v>
      </c>
      <c r="Z15" s="121">
        <f t="shared" si="14"/>
        <v>0</v>
      </c>
      <c r="AA15" s="123" t="e">
        <f t="shared" si="15"/>
        <v>#DIV/0!</v>
      </c>
      <c r="AB15" s="124" t="e">
        <f t="shared" si="16"/>
        <v>#DIV/0!</v>
      </c>
      <c r="AC15" s="125" t="s">
        <v>226</v>
      </c>
    </row>
    <row r="16" spans="1:29" ht="45" customHeight="1" x14ac:dyDescent="0.25">
      <c r="A16" s="30">
        <v>10</v>
      </c>
      <c r="B16" s="100" t="s">
        <v>42</v>
      </c>
      <c r="C16" s="31">
        <v>1</v>
      </c>
      <c r="D16" s="32" t="s">
        <v>74</v>
      </c>
      <c r="E16" s="31">
        <f t="shared" si="0"/>
        <v>54</v>
      </c>
      <c r="F16" s="96">
        <v>35.799999999999997</v>
      </c>
      <c r="G16" s="33">
        <f t="shared" si="1"/>
        <v>0.66296296296296287</v>
      </c>
      <c r="H16" s="34">
        <f t="shared" si="2"/>
        <v>35.799999999999997</v>
      </c>
      <c r="I16" s="35"/>
      <c r="J16" s="38">
        <f t="shared" si="3"/>
        <v>0.66296296296296287</v>
      </c>
      <c r="K16" s="38">
        <f t="shared" si="3"/>
        <v>35.799999999999997</v>
      </c>
      <c r="L16" s="38">
        <f t="shared" si="4"/>
        <v>0.72561007565587499</v>
      </c>
      <c r="M16" s="38">
        <f t="shared" si="5"/>
        <v>39.182944085417247</v>
      </c>
      <c r="N16" s="37">
        <v>1</v>
      </c>
      <c r="O16" s="38">
        <f t="shared" si="6"/>
        <v>54</v>
      </c>
      <c r="P16" s="38">
        <f t="shared" si="7"/>
        <v>0.27438992434412501</v>
      </c>
      <c r="Q16" s="38">
        <f t="shared" si="8"/>
        <v>14.817055914582751</v>
      </c>
      <c r="R16" s="39">
        <f t="shared" si="9"/>
        <v>0.27438992434412501</v>
      </c>
      <c r="S16" s="115"/>
      <c r="T16" s="119">
        <f t="shared" si="10"/>
        <v>1</v>
      </c>
      <c r="U16" s="131">
        <v>0.16350000000000001</v>
      </c>
      <c r="V16" s="120">
        <f t="shared" si="17"/>
        <v>1.1635</v>
      </c>
      <c r="W16" s="121">
        <f t="shared" si="11"/>
        <v>0.15</v>
      </c>
      <c r="X16" s="121">
        <f t="shared" si="12"/>
        <v>1.35E-2</v>
      </c>
      <c r="Y16" s="122">
        <f t="shared" si="13"/>
        <v>0.16349999999999998</v>
      </c>
      <c r="Z16" s="121">
        <f t="shared" si="14"/>
        <v>1</v>
      </c>
      <c r="AA16" s="123">
        <f t="shared" si="15"/>
        <v>0.27438992434412501</v>
      </c>
      <c r="AB16" s="124">
        <f t="shared" si="16"/>
        <v>0</v>
      </c>
      <c r="AC16" s="125" t="s">
        <v>226</v>
      </c>
    </row>
    <row r="17" spans="1:29" ht="45" customHeight="1" x14ac:dyDescent="0.25">
      <c r="A17" s="30">
        <v>11</v>
      </c>
      <c r="B17" s="100" t="s">
        <v>152</v>
      </c>
      <c r="C17" s="31">
        <v>1</v>
      </c>
      <c r="D17" s="32" t="s">
        <v>24</v>
      </c>
      <c r="E17" s="31">
        <f t="shared" si="0"/>
        <v>24</v>
      </c>
      <c r="F17" s="96">
        <v>25.9</v>
      </c>
      <c r="G17" s="33">
        <f t="shared" si="1"/>
        <v>1.0791666666666666</v>
      </c>
      <c r="H17" s="34">
        <f t="shared" si="2"/>
        <v>25.9</v>
      </c>
      <c r="I17" s="35"/>
      <c r="J17" s="38">
        <f t="shared" si="3"/>
        <v>1.0791666666666666</v>
      </c>
      <c r="K17" s="38">
        <f t="shared" si="3"/>
        <v>25.9</v>
      </c>
      <c r="L17" s="38">
        <f t="shared" si="4"/>
        <v>1.1811432167275453</v>
      </c>
      <c r="M17" s="38">
        <f t="shared" si="5"/>
        <v>28.347437201461087</v>
      </c>
      <c r="N17" s="37">
        <v>1.75</v>
      </c>
      <c r="O17" s="38">
        <f t="shared" si="6"/>
        <v>42</v>
      </c>
      <c r="P17" s="38">
        <f t="shared" si="7"/>
        <v>0.5688567832724547</v>
      </c>
      <c r="Q17" s="38">
        <f t="shared" si="8"/>
        <v>13.652562798538913</v>
      </c>
      <c r="R17" s="39">
        <f t="shared" si="9"/>
        <v>0.32506101901283124</v>
      </c>
      <c r="S17" s="115"/>
      <c r="T17" s="119">
        <f t="shared" si="10"/>
        <v>1.75</v>
      </c>
      <c r="U17" s="131">
        <v>0.16350000000000001</v>
      </c>
      <c r="V17" s="120">
        <f t="shared" si="17"/>
        <v>2.0361250000000002</v>
      </c>
      <c r="W17" s="121">
        <f t="shared" si="11"/>
        <v>0.26250000000000018</v>
      </c>
      <c r="X17" s="121">
        <f t="shared" si="12"/>
        <v>2.3625000000000018E-2</v>
      </c>
      <c r="Y17" s="122">
        <f t="shared" si="13"/>
        <v>0.28612500000000018</v>
      </c>
      <c r="Z17" s="121">
        <f t="shared" si="14"/>
        <v>1.75</v>
      </c>
      <c r="AA17" s="123">
        <f t="shared" si="15"/>
        <v>0.32506101901283124</v>
      </c>
      <c r="AB17" s="124">
        <f t="shared" si="16"/>
        <v>0</v>
      </c>
      <c r="AC17" s="125" t="s">
        <v>226</v>
      </c>
    </row>
    <row r="18" spans="1:29" ht="45" customHeight="1" x14ac:dyDescent="0.25">
      <c r="A18" s="30">
        <v>12</v>
      </c>
      <c r="B18" s="100" t="s">
        <v>153</v>
      </c>
      <c r="C18" s="31">
        <v>1</v>
      </c>
      <c r="D18" s="32" t="s">
        <v>24</v>
      </c>
      <c r="E18" s="31">
        <f t="shared" si="0"/>
        <v>24</v>
      </c>
      <c r="F18" s="96">
        <v>27.9</v>
      </c>
      <c r="G18" s="33">
        <f t="shared" si="1"/>
        <v>1.1624999999999999</v>
      </c>
      <c r="H18" s="34">
        <f t="shared" si="2"/>
        <v>27.9</v>
      </c>
      <c r="I18" s="35"/>
      <c r="J18" s="38">
        <f t="shared" si="3"/>
        <v>1.1624999999999999</v>
      </c>
      <c r="K18" s="38">
        <f t="shared" si="3"/>
        <v>27.9</v>
      </c>
      <c r="L18" s="38">
        <f t="shared" si="4"/>
        <v>1.2723511871312168</v>
      </c>
      <c r="M18" s="38">
        <f t="shared" si="5"/>
        <v>30.536428491149202</v>
      </c>
      <c r="N18" s="37">
        <v>1.75</v>
      </c>
      <c r="O18" s="38">
        <f t="shared" si="6"/>
        <v>42</v>
      </c>
      <c r="P18" s="38">
        <f t="shared" si="7"/>
        <v>0.47764881286878325</v>
      </c>
      <c r="Q18" s="38">
        <f t="shared" si="8"/>
        <v>11.463571508850798</v>
      </c>
      <c r="R18" s="39">
        <f t="shared" si="9"/>
        <v>0.27294217878216187</v>
      </c>
      <c r="S18" s="115"/>
      <c r="T18" s="119">
        <f t="shared" si="10"/>
        <v>1.75</v>
      </c>
      <c r="U18" s="131">
        <v>0.16350000000000001</v>
      </c>
      <c r="V18" s="120">
        <f t="shared" si="17"/>
        <v>2.0361250000000002</v>
      </c>
      <c r="W18" s="121">
        <f t="shared" si="11"/>
        <v>0.26250000000000018</v>
      </c>
      <c r="X18" s="121">
        <f t="shared" si="12"/>
        <v>2.3625000000000018E-2</v>
      </c>
      <c r="Y18" s="122">
        <f t="shared" si="13"/>
        <v>0.28612500000000018</v>
      </c>
      <c r="Z18" s="121">
        <f t="shared" si="14"/>
        <v>1.75</v>
      </c>
      <c r="AA18" s="123">
        <f t="shared" si="15"/>
        <v>0.27294217878216187</v>
      </c>
      <c r="AB18" s="124">
        <f t="shared" si="16"/>
        <v>0</v>
      </c>
      <c r="AC18" s="125" t="s">
        <v>226</v>
      </c>
    </row>
    <row r="19" spans="1:29" ht="45" customHeight="1" x14ac:dyDescent="0.25">
      <c r="A19" s="30">
        <v>13</v>
      </c>
      <c r="B19" s="101" t="s">
        <v>219</v>
      </c>
      <c r="C19" s="31">
        <v>1</v>
      </c>
      <c r="D19" s="32" t="s">
        <v>74</v>
      </c>
      <c r="E19" s="31">
        <f t="shared" si="0"/>
        <v>54</v>
      </c>
      <c r="F19" s="96">
        <v>35.799999999999997</v>
      </c>
      <c r="G19" s="33">
        <f t="shared" si="1"/>
        <v>0.66296296296296287</v>
      </c>
      <c r="H19" s="34">
        <f t="shared" si="2"/>
        <v>35.799999999999997</v>
      </c>
      <c r="I19" s="35"/>
      <c r="J19" s="38">
        <f t="shared" si="3"/>
        <v>0.66296296296296287</v>
      </c>
      <c r="K19" s="38">
        <f t="shared" si="3"/>
        <v>35.799999999999997</v>
      </c>
      <c r="L19" s="38">
        <f t="shared" si="4"/>
        <v>0.72561007565587499</v>
      </c>
      <c r="M19" s="38">
        <f t="shared" si="5"/>
        <v>39.182944085417247</v>
      </c>
      <c r="N19" s="37">
        <v>1</v>
      </c>
      <c r="O19" s="38">
        <f t="shared" si="6"/>
        <v>54</v>
      </c>
      <c r="P19" s="38">
        <f t="shared" si="7"/>
        <v>0.27438992434412501</v>
      </c>
      <c r="Q19" s="38">
        <f t="shared" si="8"/>
        <v>14.817055914582751</v>
      </c>
      <c r="R19" s="39">
        <f t="shared" si="9"/>
        <v>0.27438992434412501</v>
      </c>
      <c r="S19" s="115"/>
      <c r="T19" s="119">
        <f t="shared" si="10"/>
        <v>1</v>
      </c>
      <c r="U19" s="131">
        <v>0.16350000000000001</v>
      </c>
      <c r="V19" s="120">
        <f t="shared" si="17"/>
        <v>1.1635</v>
      </c>
      <c r="W19" s="121">
        <f t="shared" si="11"/>
        <v>0.15</v>
      </c>
      <c r="X19" s="121">
        <f t="shared" si="12"/>
        <v>1.35E-2</v>
      </c>
      <c r="Y19" s="122">
        <f t="shared" si="13"/>
        <v>0.16349999999999998</v>
      </c>
      <c r="Z19" s="121">
        <f t="shared" si="14"/>
        <v>1</v>
      </c>
      <c r="AA19" s="123">
        <f t="shared" si="15"/>
        <v>0.27438992434412501</v>
      </c>
      <c r="AB19" s="124">
        <f t="shared" si="16"/>
        <v>0</v>
      </c>
      <c r="AC19" s="125" t="s">
        <v>226</v>
      </c>
    </row>
    <row r="20" spans="1:29" ht="45" customHeight="1" x14ac:dyDescent="0.25">
      <c r="A20" s="30">
        <v>14</v>
      </c>
      <c r="B20" s="101" t="s">
        <v>43</v>
      </c>
      <c r="C20" s="31">
        <v>1</v>
      </c>
      <c r="D20" s="32" t="s">
        <v>74</v>
      </c>
      <c r="E20" s="31">
        <f t="shared" si="0"/>
        <v>54</v>
      </c>
      <c r="F20" s="96">
        <v>35.799999999999997</v>
      </c>
      <c r="G20" s="33">
        <f t="shared" si="1"/>
        <v>0.66296296296296287</v>
      </c>
      <c r="H20" s="34">
        <f t="shared" si="2"/>
        <v>35.799999999999997</v>
      </c>
      <c r="I20" s="35"/>
      <c r="J20" s="38">
        <f t="shared" si="3"/>
        <v>0.66296296296296287</v>
      </c>
      <c r="K20" s="38">
        <f t="shared" si="3"/>
        <v>35.799999999999997</v>
      </c>
      <c r="L20" s="38">
        <f t="shared" si="4"/>
        <v>0.72561007565587499</v>
      </c>
      <c r="M20" s="38">
        <f t="shared" si="5"/>
        <v>39.182944085417247</v>
      </c>
      <c r="N20" s="37">
        <v>1</v>
      </c>
      <c r="O20" s="38">
        <f t="shared" si="6"/>
        <v>54</v>
      </c>
      <c r="P20" s="38">
        <f t="shared" si="7"/>
        <v>0.27438992434412501</v>
      </c>
      <c r="Q20" s="38">
        <f t="shared" si="8"/>
        <v>14.817055914582751</v>
      </c>
      <c r="R20" s="39">
        <f t="shared" si="9"/>
        <v>0.27438992434412501</v>
      </c>
      <c r="S20" s="115"/>
      <c r="T20" s="119">
        <f t="shared" si="10"/>
        <v>1</v>
      </c>
      <c r="U20" s="131">
        <v>0.16350000000000001</v>
      </c>
      <c r="V20" s="120">
        <f t="shared" si="17"/>
        <v>1.1635</v>
      </c>
      <c r="W20" s="121">
        <f t="shared" si="11"/>
        <v>0.15</v>
      </c>
      <c r="X20" s="121">
        <f t="shared" si="12"/>
        <v>1.35E-2</v>
      </c>
      <c r="Y20" s="122">
        <f t="shared" si="13"/>
        <v>0.16349999999999998</v>
      </c>
      <c r="Z20" s="121">
        <f t="shared" si="14"/>
        <v>1</v>
      </c>
      <c r="AA20" s="123">
        <f t="shared" si="15"/>
        <v>0.27438992434412501</v>
      </c>
      <c r="AB20" s="124">
        <f t="shared" si="16"/>
        <v>0</v>
      </c>
      <c r="AC20" s="125" t="s">
        <v>226</v>
      </c>
    </row>
    <row r="21" spans="1:29" ht="45" customHeight="1" x14ac:dyDescent="0.25">
      <c r="A21" s="30">
        <v>15</v>
      </c>
      <c r="B21" s="101" t="s">
        <v>158</v>
      </c>
      <c r="C21" s="31">
        <v>1</v>
      </c>
      <c r="D21" s="32" t="s">
        <v>73</v>
      </c>
      <c r="E21" s="31">
        <f t="shared" si="0"/>
        <v>12</v>
      </c>
      <c r="F21" s="96">
        <v>16.5</v>
      </c>
      <c r="G21" s="33">
        <f t="shared" si="1"/>
        <v>1.375</v>
      </c>
      <c r="H21" s="34">
        <f t="shared" si="2"/>
        <v>16.5</v>
      </c>
      <c r="I21" s="35"/>
      <c r="J21" s="38">
        <f t="shared" si="3"/>
        <v>1.375</v>
      </c>
      <c r="K21" s="38">
        <f t="shared" si="3"/>
        <v>16.5</v>
      </c>
      <c r="L21" s="38">
        <f t="shared" si="4"/>
        <v>1.504931511660579</v>
      </c>
      <c r="M21" s="38">
        <f t="shared" si="5"/>
        <v>18.059178139926949</v>
      </c>
      <c r="N21" s="37">
        <v>2.5</v>
      </c>
      <c r="O21" s="38">
        <f t="shared" si="6"/>
        <v>30</v>
      </c>
      <c r="P21" s="38">
        <f t="shared" si="7"/>
        <v>0.99506848833942096</v>
      </c>
      <c r="Q21" s="38">
        <f t="shared" si="8"/>
        <v>11.940821860073051</v>
      </c>
      <c r="R21" s="39">
        <f t="shared" si="9"/>
        <v>0.39802739533576836</v>
      </c>
      <c r="S21" s="115"/>
      <c r="T21" s="119">
        <f t="shared" si="10"/>
        <v>2.5</v>
      </c>
      <c r="U21" s="131">
        <v>0.16350000000000001</v>
      </c>
      <c r="V21" s="120">
        <f t="shared" si="17"/>
        <v>2.9087499999999999</v>
      </c>
      <c r="W21" s="121">
        <f t="shared" si="11"/>
        <v>0.37499999999999994</v>
      </c>
      <c r="X21" s="121">
        <f t="shared" si="12"/>
        <v>3.3749999999999995E-2</v>
      </c>
      <c r="Y21" s="122">
        <f t="shared" si="13"/>
        <v>0.40874999999999995</v>
      </c>
      <c r="Z21" s="121">
        <f t="shared" si="14"/>
        <v>2.5</v>
      </c>
      <c r="AA21" s="123">
        <f t="shared" si="15"/>
        <v>0.39802739533576836</v>
      </c>
      <c r="AB21" s="124">
        <f t="shared" si="16"/>
        <v>0</v>
      </c>
      <c r="AC21" s="125" t="s">
        <v>226</v>
      </c>
    </row>
    <row r="22" spans="1:29" ht="45" customHeight="1" x14ac:dyDescent="0.25">
      <c r="A22" s="30">
        <v>16</v>
      </c>
      <c r="B22" s="101" t="s">
        <v>159</v>
      </c>
      <c r="C22" s="31">
        <v>1</v>
      </c>
      <c r="D22" s="32" t="s">
        <v>73</v>
      </c>
      <c r="E22" s="31">
        <f t="shared" si="0"/>
        <v>12</v>
      </c>
      <c r="F22" s="96">
        <v>16.5</v>
      </c>
      <c r="G22" s="33">
        <f t="shared" si="1"/>
        <v>1.375</v>
      </c>
      <c r="H22" s="34">
        <f t="shared" si="2"/>
        <v>16.5</v>
      </c>
      <c r="I22" s="35"/>
      <c r="J22" s="38">
        <f t="shared" si="3"/>
        <v>1.375</v>
      </c>
      <c r="K22" s="38">
        <f t="shared" si="3"/>
        <v>16.5</v>
      </c>
      <c r="L22" s="38">
        <f t="shared" si="4"/>
        <v>1.504931511660579</v>
      </c>
      <c r="M22" s="38">
        <f t="shared" si="5"/>
        <v>18.059178139926949</v>
      </c>
      <c r="N22" s="37">
        <v>2.5</v>
      </c>
      <c r="O22" s="38">
        <f t="shared" si="6"/>
        <v>30</v>
      </c>
      <c r="P22" s="38">
        <f t="shared" si="7"/>
        <v>0.99506848833942096</v>
      </c>
      <c r="Q22" s="38">
        <f t="shared" si="8"/>
        <v>11.940821860073051</v>
      </c>
      <c r="R22" s="39">
        <f t="shared" si="9"/>
        <v>0.39802739533576836</v>
      </c>
      <c r="S22" s="115"/>
      <c r="T22" s="119">
        <f t="shared" si="10"/>
        <v>2.5</v>
      </c>
      <c r="U22" s="131">
        <v>0.16350000000000001</v>
      </c>
      <c r="V22" s="120">
        <f t="shared" si="17"/>
        <v>2.9087499999999999</v>
      </c>
      <c r="W22" s="121">
        <f t="shared" si="11"/>
        <v>0.37499999999999994</v>
      </c>
      <c r="X22" s="121">
        <f t="shared" si="12"/>
        <v>3.3749999999999995E-2</v>
      </c>
      <c r="Y22" s="122">
        <f t="shared" si="13"/>
        <v>0.40874999999999995</v>
      </c>
      <c r="Z22" s="121">
        <f t="shared" si="14"/>
        <v>2.5</v>
      </c>
      <c r="AA22" s="123">
        <f t="shared" si="15"/>
        <v>0.39802739533576836</v>
      </c>
      <c r="AB22" s="124">
        <f t="shared" si="16"/>
        <v>0</v>
      </c>
      <c r="AC22" s="125" t="s">
        <v>226</v>
      </c>
    </row>
    <row r="23" spans="1:29" ht="45" customHeight="1" x14ac:dyDescent="0.25">
      <c r="A23" s="30">
        <v>17</v>
      </c>
      <c r="B23" s="101" t="s">
        <v>160</v>
      </c>
      <c r="C23" s="31">
        <v>1</v>
      </c>
      <c r="D23" s="32" t="s">
        <v>73</v>
      </c>
      <c r="E23" s="31">
        <f t="shared" si="0"/>
        <v>12</v>
      </c>
      <c r="F23" s="96">
        <v>16.5</v>
      </c>
      <c r="G23" s="33">
        <f t="shared" si="1"/>
        <v>1.375</v>
      </c>
      <c r="H23" s="34">
        <f t="shared" si="2"/>
        <v>16.5</v>
      </c>
      <c r="I23" s="35"/>
      <c r="J23" s="38">
        <f t="shared" si="3"/>
        <v>1.375</v>
      </c>
      <c r="K23" s="38">
        <f t="shared" si="3"/>
        <v>16.5</v>
      </c>
      <c r="L23" s="38">
        <f t="shared" si="4"/>
        <v>1.504931511660579</v>
      </c>
      <c r="M23" s="38">
        <f t="shared" si="5"/>
        <v>18.059178139926949</v>
      </c>
      <c r="N23" s="37">
        <v>2.5</v>
      </c>
      <c r="O23" s="38">
        <f t="shared" si="6"/>
        <v>30</v>
      </c>
      <c r="P23" s="38">
        <f t="shared" si="7"/>
        <v>0.99506848833942096</v>
      </c>
      <c r="Q23" s="38">
        <f t="shared" si="8"/>
        <v>11.940821860073051</v>
      </c>
      <c r="R23" s="39">
        <f t="shared" si="9"/>
        <v>0.39802739533576836</v>
      </c>
      <c r="S23" s="115"/>
      <c r="T23" s="119">
        <f t="shared" si="10"/>
        <v>2.5</v>
      </c>
      <c r="U23" s="131">
        <v>0.16350000000000001</v>
      </c>
      <c r="V23" s="120">
        <f t="shared" si="17"/>
        <v>2.9087499999999999</v>
      </c>
      <c r="W23" s="121">
        <f t="shared" si="11"/>
        <v>0.37499999999999994</v>
      </c>
      <c r="X23" s="121">
        <f t="shared" si="12"/>
        <v>3.3749999999999995E-2</v>
      </c>
      <c r="Y23" s="122">
        <f t="shared" si="13"/>
        <v>0.40874999999999995</v>
      </c>
      <c r="Z23" s="121">
        <f t="shared" si="14"/>
        <v>2.5</v>
      </c>
      <c r="AA23" s="123">
        <f t="shared" si="15"/>
        <v>0.39802739533576836</v>
      </c>
      <c r="AB23" s="124">
        <f t="shared" si="16"/>
        <v>0</v>
      </c>
      <c r="AC23" s="125" t="s">
        <v>226</v>
      </c>
    </row>
    <row r="24" spans="1:29" ht="45" customHeight="1" x14ac:dyDescent="0.25">
      <c r="A24" s="30">
        <v>18</v>
      </c>
      <c r="B24" s="101" t="s">
        <v>173</v>
      </c>
      <c r="C24" s="31">
        <v>1</v>
      </c>
      <c r="D24" s="32" t="s">
        <v>174</v>
      </c>
      <c r="E24" s="31">
        <f t="shared" si="0"/>
        <v>14</v>
      </c>
      <c r="F24" s="96">
        <v>16.5</v>
      </c>
      <c r="G24" s="33">
        <f t="shared" si="1"/>
        <v>1.1785714285714286</v>
      </c>
      <c r="H24" s="34">
        <f t="shared" si="2"/>
        <v>16.5</v>
      </c>
      <c r="I24" s="35"/>
      <c r="J24" s="38">
        <f t="shared" si="3"/>
        <v>1.1785714285714286</v>
      </c>
      <c r="K24" s="38">
        <f t="shared" si="3"/>
        <v>16.5</v>
      </c>
      <c r="L24" s="38">
        <f t="shared" si="4"/>
        <v>1.2899412957090677</v>
      </c>
      <c r="M24" s="38">
        <f t="shared" si="5"/>
        <v>18.059178139926949</v>
      </c>
      <c r="N24" s="37"/>
      <c r="O24" s="38">
        <f t="shared" si="6"/>
        <v>0</v>
      </c>
      <c r="P24" s="38">
        <f t="shared" si="7"/>
        <v>-1.2899412957090677</v>
      </c>
      <c r="Q24" s="38">
        <f t="shared" si="8"/>
        <v>-18.059178139926949</v>
      </c>
      <c r="R24" s="39" t="e">
        <f t="shared" si="9"/>
        <v>#DIV/0!</v>
      </c>
      <c r="S24" s="115"/>
      <c r="T24" s="119">
        <f t="shared" si="10"/>
        <v>0</v>
      </c>
      <c r="U24" s="131">
        <v>0.16350000000000001</v>
      </c>
      <c r="V24" s="120">
        <f t="shared" si="17"/>
        <v>0</v>
      </c>
      <c r="W24" s="121">
        <f t="shared" si="11"/>
        <v>0</v>
      </c>
      <c r="X24" s="121">
        <f t="shared" si="12"/>
        <v>0</v>
      </c>
      <c r="Y24" s="122">
        <f t="shared" si="13"/>
        <v>0</v>
      </c>
      <c r="Z24" s="121">
        <f t="shared" si="14"/>
        <v>0</v>
      </c>
      <c r="AA24" s="123" t="e">
        <f t="shared" si="15"/>
        <v>#DIV/0!</v>
      </c>
      <c r="AB24" s="124" t="e">
        <f t="shared" si="16"/>
        <v>#DIV/0!</v>
      </c>
      <c r="AC24" s="125" t="s">
        <v>226</v>
      </c>
    </row>
    <row r="25" spans="1:29" ht="45" customHeight="1" x14ac:dyDescent="0.25">
      <c r="A25" s="30">
        <v>19</v>
      </c>
      <c r="B25" s="101" t="s">
        <v>217</v>
      </c>
      <c r="C25" s="31">
        <v>1</v>
      </c>
      <c r="D25" s="32" t="s">
        <v>73</v>
      </c>
      <c r="E25" s="31">
        <f t="shared" si="0"/>
        <v>12</v>
      </c>
      <c r="F25" s="96">
        <v>20</v>
      </c>
      <c r="G25" s="33">
        <f t="shared" si="1"/>
        <v>1.6666666666666667</v>
      </c>
      <c r="H25" s="34">
        <f t="shared" si="2"/>
        <v>20</v>
      </c>
      <c r="I25" s="35"/>
      <c r="J25" s="38">
        <f t="shared" si="3"/>
        <v>1.6666666666666667</v>
      </c>
      <c r="K25" s="38">
        <f t="shared" si="3"/>
        <v>20</v>
      </c>
      <c r="L25" s="38">
        <f t="shared" si="4"/>
        <v>1.8241594080734291</v>
      </c>
      <c r="M25" s="38">
        <f t="shared" si="5"/>
        <v>21.88991289688115</v>
      </c>
      <c r="N25" s="37"/>
      <c r="O25" s="38">
        <f t="shared" si="6"/>
        <v>0</v>
      </c>
      <c r="P25" s="38">
        <f t="shared" si="7"/>
        <v>-1.8241594080734291</v>
      </c>
      <c r="Q25" s="38">
        <f t="shared" si="8"/>
        <v>-21.88991289688115</v>
      </c>
      <c r="R25" s="39" t="e">
        <f t="shared" si="9"/>
        <v>#DIV/0!</v>
      </c>
      <c r="S25" s="115"/>
      <c r="T25" s="119">
        <f t="shared" si="10"/>
        <v>0</v>
      </c>
      <c r="U25" s="131">
        <v>0.16350000000000001</v>
      </c>
      <c r="V25" s="120">
        <f t="shared" si="17"/>
        <v>0</v>
      </c>
      <c r="W25" s="121">
        <f t="shared" si="11"/>
        <v>0</v>
      </c>
      <c r="X25" s="121">
        <f t="shared" si="12"/>
        <v>0</v>
      </c>
      <c r="Y25" s="122">
        <f t="shared" si="13"/>
        <v>0</v>
      </c>
      <c r="Z25" s="121">
        <f t="shared" si="14"/>
        <v>0</v>
      </c>
      <c r="AA25" s="123" t="e">
        <f t="shared" si="15"/>
        <v>#DIV/0!</v>
      </c>
      <c r="AB25" s="124" t="e">
        <f t="shared" si="16"/>
        <v>#DIV/0!</v>
      </c>
      <c r="AC25" s="125" t="s">
        <v>226</v>
      </c>
    </row>
    <row r="26" spans="1:29" ht="45" customHeight="1" x14ac:dyDescent="0.25">
      <c r="A26" s="30">
        <v>20</v>
      </c>
      <c r="B26" s="101" t="s">
        <v>171</v>
      </c>
      <c r="C26" s="31">
        <v>1</v>
      </c>
      <c r="D26" s="32" t="s">
        <v>73</v>
      </c>
      <c r="E26" s="31">
        <f t="shared" si="0"/>
        <v>12</v>
      </c>
      <c r="F26" s="96">
        <v>20</v>
      </c>
      <c r="G26" s="33">
        <f t="shared" si="1"/>
        <v>1.6666666666666667</v>
      </c>
      <c r="H26" s="34">
        <f t="shared" si="2"/>
        <v>20</v>
      </c>
      <c r="I26" s="35"/>
      <c r="J26" s="38">
        <f t="shared" si="3"/>
        <v>1.6666666666666667</v>
      </c>
      <c r="K26" s="38">
        <f t="shared" si="3"/>
        <v>20</v>
      </c>
      <c r="L26" s="38">
        <f t="shared" si="4"/>
        <v>1.8241594080734291</v>
      </c>
      <c r="M26" s="38">
        <f t="shared" si="5"/>
        <v>21.88991289688115</v>
      </c>
      <c r="N26" s="37"/>
      <c r="O26" s="38">
        <f t="shared" si="6"/>
        <v>0</v>
      </c>
      <c r="P26" s="38">
        <f t="shared" si="7"/>
        <v>-1.8241594080734291</v>
      </c>
      <c r="Q26" s="38">
        <f t="shared" si="8"/>
        <v>-21.88991289688115</v>
      </c>
      <c r="R26" s="39" t="e">
        <f t="shared" si="9"/>
        <v>#DIV/0!</v>
      </c>
      <c r="S26" s="115"/>
      <c r="T26" s="119">
        <f t="shared" si="10"/>
        <v>0</v>
      </c>
      <c r="U26" s="131">
        <v>0.16350000000000001</v>
      </c>
      <c r="V26" s="120">
        <f t="shared" si="17"/>
        <v>0</v>
      </c>
      <c r="W26" s="121">
        <f t="shared" si="11"/>
        <v>0</v>
      </c>
      <c r="X26" s="121">
        <f t="shared" si="12"/>
        <v>0</v>
      </c>
      <c r="Y26" s="122">
        <f t="shared" si="13"/>
        <v>0</v>
      </c>
      <c r="Z26" s="121">
        <f t="shared" si="14"/>
        <v>0</v>
      </c>
      <c r="AA26" s="123" t="e">
        <f t="shared" si="15"/>
        <v>#DIV/0!</v>
      </c>
      <c r="AB26" s="124" t="e">
        <f t="shared" si="16"/>
        <v>#DIV/0!</v>
      </c>
      <c r="AC26" s="125" t="s">
        <v>226</v>
      </c>
    </row>
    <row r="27" spans="1:29" ht="45" customHeight="1" x14ac:dyDescent="0.25">
      <c r="A27" s="30">
        <v>21</v>
      </c>
      <c r="B27" s="101" t="s">
        <v>172</v>
      </c>
      <c r="C27" s="31">
        <v>1</v>
      </c>
      <c r="D27" s="32" t="s">
        <v>73</v>
      </c>
      <c r="E27" s="31">
        <f t="shared" si="0"/>
        <v>12</v>
      </c>
      <c r="F27" s="96">
        <v>20</v>
      </c>
      <c r="G27" s="33">
        <f t="shared" si="1"/>
        <v>1.6666666666666667</v>
      </c>
      <c r="H27" s="34">
        <f t="shared" si="2"/>
        <v>20</v>
      </c>
      <c r="I27" s="35"/>
      <c r="J27" s="38">
        <f t="shared" si="3"/>
        <v>1.6666666666666667</v>
      </c>
      <c r="K27" s="38">
        <f t="shared" si="3"/>
        <v>20</v>
      </c>
      <c r="L27" s="38">
        <f t="shared" si="4"/>
        <v>1.8241594080734291</v>
      </c>
      <c r="M27" s="38">
        <f t="shared" si="5"/>
        <v>21.88991289688115</v>
      </c>
      <c r="N27" s="37"/>
      <c r="O27" s="38">
        <f t="shared" si="6"/>
        <v>0</v>
      </c>
      <c r="P27" s="38">
        <f t="shared" si="7"/>
        <v>-1.8241594080734291</v>
      </c>
      <c r="Q27" s="38">
        <f t="shared" si="8"/>
        <v>-21.88991289688115</v>
      </c>
      <c r="R27" s="39" t="e">
        <f t="shared" si="9"/>
        <v>#DIV/0!</v>
      </c>
      <c r="S27" s="115"/>
      <c r="T27" s="119">
        <f t="shared" si="10"/>
        <v>0</v>
      </c>
      <c r="U27" s="131">
        <v>0.16350000000000001</v>
      </c>
      <c r="V27" s="120">
        <f t="shared" si="17"/>
        <v>0</v>
      </c>
      <c r="W27" s="121">
        <f t="shared" si="11"/>
        <v>0</v>
      </c>
      <c r="X27" s="121">
        <f t="shared" si="12"/>
        <v>0</v>
      </c>
      <c r="Y27" s="122">
        <f t="shared" si="13"/>
        <v>0</v>
      </c>
      <c r="Z27" s="121">
        <f t="shared" si="14"/>
        <v>0</v>
      </c>
      <c r="AA27" s="123" t="e">
        <f t="shared" si="15"/>
        <v>#DIV/0!</v>
      </c>
      <c r="AB27" s="124" t="e">
        <f t="shared" si="16"/>
        <v>#DIV/0!</v>
      </c>
      <c r="AC27" s="125" t="s">
        <v>226</v>
      </c>
    </row>
    <row r="28" spans="1:29" ht="45" customHeight="1" x14ac:dyDescent="0.25">
      <c r="A28" s="30">
        <v>22</v>
      </c>
      <c r="B28" s="101" t="s">
        <v>156</v>
      </c>
      <c r="C28" s="31">
        <v>1</v>
      </c>
      <c r="D28" s="32" t="s">
        <v>166</v>
      </c>
      <c r="E28" s="31">
        <f t="shared" si="0"/>
        <v>216</v>
      </c>
      <c r="F28" s="96">
        <v>113</v>
      </c>
      <c r="G28" s="33">
        <f t="shared" si="1"/>
        <v>0.52314814814814814</v>
      </c>
      <c r="H28" s="34">
        <f t="shared" si="2"/>
        <v>113</v>
      </c>
      <c r="I28" s="35"/>
      <c r="J28" s="38">
        <f t="shared" si="3"/>
        <v>0.52314814814814814</v>
      </c>
      <c r="K28" s="38">
        <f t="shared" si="3"/>
        <v>113</v>
      </c>
      <c r="L28" s="38">
        <f t="shared" si="4"/>
        <v>0.57258336975638191</v>
      </c>
      <c r="M28" s="38">
        <f t="shared" si="5"/>
        <v>123.6780078673785</v>
      </c>
      <c r="N28" s="37">
        <v>0.8</v>
      </c>
      <c r="O28" s="38">
        <f t="shared" si="6"/>
        <v>172.8</v>
      </c>
      <c r="P28" s="38">
        <f t="shared" si="7"/>
        <v>0.22741663024361813</v>
      </c>
      <c r="Q28" s="38">
        <f t="shared" si="8"/>
        <v>49.121992132621514</v>
      </c>
      <c r="R28" s="39">
        <f t="shared" si="9"/>
        <v>0.28427078780452264</v>
      </c>
      <c r="S28" s="115"/>
      <c r="T28" s="119">
        <f t="shared" si="10"/>
        <v>0.8</v>
      </c>
      <c r="U28" s="131">
        <v>0.16350000000000001</v>
      </c>
      <c r="V28" s="120">
        <f t="shared" si="17"/>
        <v>0.93080000000000007</v>
      </c>
      <c r="W28" s="121">
        <f t="shared" si="11"/>
        <v>0.12000000000000004</v>
      </c>
      <c r="X28" s="121">
        <f t="shared" si="12"/>
        <v>1.0800000000000002E-2</v>
      </c>
      <c r="Y28" s="122">
        <f t="shared" si="13"/>
        <v>0.13080000000000003</v>
      </c>
      <c r="Z28" s="121">
        <f t="shared" si="14"/>
        <v>0.8</v>
      </c>
      <c r="AA28" s="123">
        <f t="shared" si="15"/>
        <v>0.28427078780452264</v>
      </c>
      <c r="AB28" s="124">
        <f t="shared" si="16"/>
        <v>0</v>
      </c>
      <c r="AC28" s="125" t="s">
        <v>226</v>
      </c>
    </row>
    <row r="29" spans="1:29" ht="45" customHeight="1" x14ac:dyDescent="0.25">
      <c r="A29" s="30">
        <v>23</v>
      </c>
      <c r="B29" s="101" t="s">
        <v>145</v>
      </c>
      <c r="C29" s="31">
        <v>1</v>
      </c>
      <c r="D29" s="32" t="s">
        <v>144</v>
      </c>
      <c r="E29" s="31">
        <f t="shared" si="0"/>
        <v>30</v>
      </c>
      <c r="F29" s="96">
        <v>31</v>
      </c>
      <c r="G29" s="33">
        <f t="shared" si="1"/>
        <v>1.0333333333333334</v>
      </c>
      <c r="H29" s="34">
        <f t="shared" si="2"/>
        <v>31.000000000000004</v>
      </c>
      <c r="I29" s="35"/>
      <c r="J29" s="38">
        <f t="shared" si="3"/>
        <v>1.0333333333333334</v>
      </c>
      <c r="K29" s="38">
        <f t="shared" si="3"/>
        <v>31.000000000000004</v>
      </c>
      <c r="L29" s="38">
        <f t="shared" si="4"/>
        <v>1.1309788330055262</v>
      </c>
      <c r="M29" s="38">
        <f t="shared" si="5"/>
        <v>33.929364990165787</v>
      </c>
      <c r="N29" s="37">
        <v>1.5</v>
      </c>
      <c r="O29" s="38">
        <f t="shared" si="6"/>
        <v>45</v>
      </c>
      <c r="P29" s="38">
        <f t="shared" si="7"/>
        <v>0.36902116699447385</v>
      </c>
      <c r="Q29" s="38">
        <f t="shared" si="8"/>
        <v>11.070635009834216</v>
      </c>
      <c r="R29" s="39">
        <f t="shared" si="9"/>
        <v>0.24601411132964923</v>
      </c>
      <c r="S29" s="115"/>
      <c r="T29" s="119">
        <f t="shared" si="10"/>
        <v>1.5</v>
      </c>
      <c r="U29" s="131">
        <v>0.16350000000000001</v>
      </c>
      <c r="V29" s="120">
        <f t="shared" si="17"/>
        <v>1.74525</v>
      </c>
      <c r="W29" s="121">
        <f t="shared" si="11"/>
        <v>0.22499999999999998</v>
      </c>
      <c r="X29" s="121">
        <f t="shared" si="12"/>
        <v>2.0249999999999997E-2</v>
      </c>
      <c r="Y29" s="122">
        <f t="shared" si="13"/>
        <v>0.24524999999999997</v>
      </c>
      <c r="Z29" s="121">
        <f t="shared" si="14"/>
        <v>1.5</v>
      </c>
      <c r="AA29" s="123">
        <f t="shared" si="15"/>
        <v>0.24601411132964923</v>
      </c>
      <c r="AB29" s="124">
        <f t="shared" si="16"/>
        <v>0</v>
      </c>
      <c r="AC29" s="125" t="s">
        <v>226</v>
      </c>
    </row>
    <row r="30" spans="1:29" ht="45" customHeight="1" x14ac:dyDescent="0.25">
      <c r="A30" s="30">
        <v>24</v>
      </c>
      <c r="B30" s="101" t="s">
        <v>167</v>
      </c>
      <c r="C30" s="31">
        <v>1</v>
      </c>
      <c r="D30" s="32" t="s">
        <v>164</v>
      </c>
      <c r="E30" s="31">
        <f t="shared" si="0"/>
        <v>120</v>
      </c>
      <c r="F30" s="96">
        <v>82</v>
      </c>
      <c r="G30" s="33">
        <f t="shared" si="1"/>
        <v>0.68333333333333335</v>
      </c>
      <c r="H30" s="34">
        <f t="shared" si="2"/>
        <v>82</v>
      </c>
      <c r="I30" s="35"/>
      <c r="J30" s="38">
        <f t="shared" si="3"/>
        <v>0.68333333333333335</v>
      </c>
      <c r="K30" s="38">
        <f t="shared" si="3"/>
        <v>82</v>
      </c>
      <c r="L30" s="38">
        <f t="shared" si="4"/>
        <v>0.74790535731010599</v>
      </c>
      <c r="M30" s="38">
        <f t="shared" si="5"/>
        <v>89.748642877212717</v>
      </c>
      <c r="N30" s="37">
        <v>1</v>
      </c>
      <c r="O30" s="38">
        <f t="shared" si="6"/>
        <v>120</v>
      </c>
      <c r="P30" s="38">
        <f t="shared" si="7"/>
        <v>0.25209464268989401</v>
      </c>
      <c r="Q30" s="38">
        <f t="shared" si="8"/>
        <v>30.251357122787283</v>
      </c>
      <c r="R30" s="39">
        <f t="shared" si="9"/>
        <v>0.25209464268989401</v>
      </c>
      <c r="S30" s="115"/>
      <c r="T30" s="119">
        <f t="shared" si="10"/>
        <v>1</v>
      </c>
      <c r="U30" s="131">
        <v>0.16350000000000001</v>
      </c>
      <c r="V30" s="120">
        <f t="shared" si="17"/>
        <v>1.1635</v>
      </c>
      <c r="W30" s="121">
        <f t="shared" si="11"/>
        <v>0.15</v>
      </c>
      <c r="X30" s="121">
        <f t="shared" si="12"/>
        <v>1.35E-2</v>
      </c>
      <c r="Y30" s="122">
        <f t="shared" si="13"/>
        <v>0.16349999999999998</v>
      </c>
      <c r="Z30" s="121">
        <f t="shared" si="14"/>
        <v>1</v>
      </c>
      <c r="AA30" s="123">
        <f t="shared" si="15"/>
        <v>0.25209464268989401</v>
      </c>
      <c r="AB30" s="124">
        <f t="shared" si="16"/>
        <v>0</v>
      </c>
      <c r="AC30" s="125" t="s">
        <v>226</v>
      </c>
    </row>
    <row r="31" spans="1:29" ht="45" customHeight="1" x14ac:dyDescent="0.25">
      <c r="A31" s="30">
        <v>25</v>
      </c>
      <c r="B31" s="101" t="s">
        <v>168</v>
      </c>
      <c r="C31" s="31">
        <v>1</v>
      </c>
      <c r="D31" s="32" t="s">
        <v>164</v>
      </c>
      <c r="E31" s="31">
        <f t="shared" si="0"/>
        <v>120</v>
      </c>
      <c r="F31" s="96">
        <v>82</v>
      </c>
      <c r="G31" s="33">
        <f t="shared" si="1"/>
        <v>0.68333333333333335</v>
      </c>
      <c r="H31" s="34">
        <f t="shared" si="2"/>
        <v>82</v>
      </c>
      <c r="I31" s="35"/>
      <c r="J31" s="38">
        <f t="shared" si="3"/>
        <v>0.68333333333333335</v>
      </c>
      <c r="K31" s="38">
        <f t="shared" si="3"/>
        <v>82</v>
      </c>
      <c r="L31" s="38">
        <f t="shared" si="4"/>
        <v>0.74790535731010599</v>
      </c>
      <c r="M31" s="38">
        <f t="shared" si="5"/>
        <v>89.748642877212717</v>
      </c>
      <c r="N31" s="37">
        <v>1</v>
      </c>
      <c r="O31" s="38">
        <f t="shared" si="6"/>
        <v>120</v>
      </c>
      <c r="P31" s="38">
        <f t="shared" si="7"/>
        <v>0.25209464268989401</v>
      </c>
      <c r="Q31" s="38">
        <f t="shared" si="8"/>
        <v>30.251357122787283</v>
      </c>
      <c r="R31" s="39">
        <f t="shared" si="9"/>
        <v>0.25209464268989401</v>
      </c>
      <c r="S31" s="115"/>
      <c r="T31" s="119">
        <f t="shared" si="10"/>
        <v>1</v>
      </c>
      <c r="U31" s="131">
        <v>0.16350000000000001</v>
      </c>
      <c r="V31" s="120">
        <f t="shared" si="17"/>
        <v>1.1635</v>
      </c>
      <c r="W31" s="121">
        <f t="shared" si="11"/>
        <v>0.15</v>
      </c>
      <c r="X31" s="121">
        <f t="shared" si="12"/>
        <v>1.35E-2</v>
      </c>
      <c r="Y31" s="122">
        <f t="shared" si="13"/>
        <v>0.16349999999999998</v>
      </c>
      <c r="Z31" s="121">
        <f t="shared" si="14"/>
        <v>1</v>
      </c>
      <c r="AA31" s="123">
        <f t="shared" si="15"/>
        <v>0.25209464268989401</v>
      </c>
      <c r="AB31" s="124">
        <f t="shared" si="16"/>
        <v>0</v>
      </c>
      <c r="AC31" s="125" t="s">
        <v>226</v>
      </c>
    </row>
    <row r="32" spans="1:29" ht="45" customHeight="1" x14ac:dyDescent="0.25">
      <c r="A32" s="30">
        <v>26</v>
      </c>
      <c r="B32" s="101" t="s">
        <v>161</v>
      </c>
      <c r="C32" s="31">
        <v>1</v>
      </c>
      <c r="D32" s="32" t="s">
        <v>164</v>
      </c>
      <c r="E32" s="31">
        <f t="shared" si="0"/>
        <v>120</v>
      </c>
      <c r="F32" s="96">
        <v>82</v>
      </c>
      <c r="G32" s="33">
        <f t="shared" si="1"/>
        <v>0.68333333333333335</v>
      </c>
      <c r="H32" s="34">
        <f t="shared" si="2"/>
        <v>82</v>
      </c>
      <c r="I32" s="35"/>
      <c r="J32" s="38">
        <f t="shared" si="3"/>
        <v>0.68333333333333335</v>
      </c>
      <c r="K32" s="38">
        <f t="shared" si="3"/>
        <v>82</v>
      </c>
      <c r="L32" s="38">
        <f t="shared" si="4"/>
        <v>0.74790535731010599</v>
      </c>
      <c r="M32" s="38">
        <f t="shared" si="5"/>
        <v>89.748642877212717</v>
      </c>
      <c r="N32" s="37">
        <v>1</v>
      </c>
      <c r="O32" s="38">
        <f t="shared" si="6"/>
        <v>120</v>
      </c>
      <c r="P32" s="38">
        <f t="shared" si="7"/>
        <v>0.25209464268989401</v>
      </c>
      <c r="Q32" s="38">
        <f t="shared" si="8"/>
        <v>30.251357122787283</v>
      </c>
      <c r="R32" s="39">
        <f t="shared" si="9"/>
        <v>0.25209464268989401</v>
      </c>
      <c r="S32" s="115"/>
      <c r="T32" s="119">
        <f t="shared" si="10"/>
        <v>1</v>
      </c>
      <c r="U32" s="131">
        <v>0.16350000000000001</v>
      </c>
      <c r="V32" s="120">
        <f t="shared" si="17"/>
        <v>1.1635</v>
      </c>
      <c r="W32" s="121">
        <f t="shared" si="11"/>
        <v>0.15</v>
      </c>
      <c r="X32" s="121">
        <f t="shared" si="12"/>
        <v>1.35E-2</v>
      </c>
      <c r="Y32" s="122">
        <f t="shared" si="13"/>
        <v>0.16349999999999998</v>
      </c>
      <c r="Z32" s="121">
        <f t="shared" si="14"/>
        <v>1</v>
      </c>
      <c r="AA32" s="123">
        <f t="shared" si="15"/>
        <v>0.25209464268989401</v>
      </c>
      <c r="AB32" s="124">
        <f t="shared" si="16"/>
        <v>0</v>
      </c>
      <c r="AC32" s="125" t="s">
        <v>226</v>
      </c>
    </row>
    <row r="33" spans="1:29" ht="45" customHeight="1" x14ac:dyDescent="0.25">
      <c r="A33" s="30">
        <v>27</v>
      </c>
      <c r="B33" s="102" t="s">
        <v>44</v>
      </c>
      <c r="C33" s="31">
        <v>1</v>
      </c>
      <c r="D33" s="32" t="s">
        <v>24</v>
      </c>
      <c r="E33" s="31">
        <f t="shared" si="0"/>
        <v>24</v>
      </c>
      <c r="F33" s="96">
        <v>13</v>
      </c>
      <c r="G33" s="33">
        <f t="shared" si="1"/>
        <v>0.54166666666666663</v>
      </c>
      <c r="H33" s="34">
        <f t="shared" si="2"/>
        <v>13</v>
      </c>
      <c r="I33" s="35"/>
      <c r="J33" s="38">
        <f t="shared" si="3"/>
        <v>0.54166666666666663</v>
      </c>
      <c r="K33" s="38">
        <f t="shared" si="3"/>
        <v>13</v>
      </c>
      <c r="L33" s="38">
        <f t="shared" si="4"/>
        <v>0.59285180762386447</v>
      </c>
      <c r="M33" s="38">
        <f t="shared" si="5"/>
        <v>14.228443382972747</v>
      </c>
      <c r="N33" s="37">
        <v>0.8</v>
      </c>
      <c r="O33" s="38">
        <f t="shared" si="6"/>
        <v>19.200000000000003</v>
      </c>
      <c r="P33" s="38">
        <f t="shared" si="7"/>
        <v>0.20714819237613558</v>
      </c>
      <c r="Q33" s="38">
        <f t="shared" si="8"/>
        <v>4.9715566170272538</v>
      </c>
      <c r="R33" s="39">
        <f t="shared" si="9"/>
        <v>0.25893524047016947</v>
      </c>
      <c r="S33" s="115"/>
      <c r="T33" s="119">
        <f t="shared" si="10"/>
        <v>0.8</v>
      </c>
      <c r="U33" s="131">
        <v>0.16350000000000001</v>
      </c>
      <c r="V33" s="120">
        <f t="shared" si="17"/>
        <v>0.93080000000000007</v>
      </c>
      <c r="W33" s="121">
        <f t="shared" si="11"/>
        <v>0.12000000000000004</v>
      </c>
      <c r="X33" s="121">
        <f t="shared" si="12"/>
        <v>1.0800000000000002E-2</v>
      </c>
      <c r="Y33" s="122">
        <f t="shared" si="13"/>
        <v>0.13080000000000003</v>
      </c>
      <c r="Z33" s="121">
        <f t="shared" si="14"/>
        <v>0.8</v>
      </c>
      <c r="AA33" s="123">
        <f t="shared" si="15"/>
        <v>0.25893524047016947</v>
      </c>
      <c r="AB33" s="124">
        <f t="shared" si="16"/>
        <v>0</v>
      </c>
      <c r="AC33" s="125">
        <v>0.7</v>
      </c>
    </row>
    <row r="34" spans="1:29" ht="45" customHeight="1" x14ac:dyDescent="0.25">
      <c r="A34" s="30">
        <v>28</v>
      </c>
      <c r="B34" s="103" t="s">
        <v>45</v>
      </c>
      <c r="C34" s="31">
        <v>1</v>
      </c>
      <c r="D34" s="32" t="s">
        <v>84</v>
      </c>
      <c r="E34" s="31">
        <f t="shared" si="0"/>
        <v>8</v>
      </c>
      <c r="F34" s="96">
        <v>11.5</v>
      </c>
      <c r="G34" s="33">
        <f t="shared" si="1"/>
        <v>1.4375</v>
      </c>
      <c r="H34" s="34">
        <f t="shared" si="2"/>
        <v>11.5</v>
      </c>
      <c r="I34" s="35"/>
      <c r="J34" s="38">
        <f t="shared" si="3"/>
        <v>1.4375</v>
      </c>
      <c r="K34" s="38">
        <f t="shared" si="3"/>
        <v>11.5</v>
      </c>
      <c r="L34" s="38">
        <f t="shared" si="4"/>
        <v>1.5733374894633325</v>
      </c>
      <c r="M34" s="38">
        <f t="shared" si="5"/>
        <v>12.58669991570666</v>
      </c>
      <c r="N34" s="37">
        <v>1.95</v>
      </c>
      <c r="O34" s="38">
        <f t="shared" si="6"/>
        <v>15.6</v>
      </c>
      <c r="P34" s="38">
        <f t="shared" si="7"/>
        <v>0.37666251053666744</v>
      </c>
      <c r="Q34" s="38">
        <f t="shared" si="8"/>
        <v>3.0133000842933395</v>
      </c>
      <c r="R34" s="39">
        <f t="shared" si="9"/>
        <v>0.19316026181367563</v>
      </c>
      <c r="S34" s="116"/>
      <c r="T34" s="119">
        <f t="shared" si="10"/>
        <v>1.95</v>
      </c>
      <c r="U34" s="131">
        <v>0.16350000000000001</v>
      </c>
      <c r="V34" s="120">
        <f t="shared" si="17"/>
        <v>2.2688250000000001</v>
      </c>
      <c r="W34" s="121">
        <f t="shared" si="11"/>
        <v>0.29250000000000015</v>
      </c>
      <c r="X34" s="121">
        <f t="shared" si="12"/>
        <v>2.6325000000000012E-2</v>
      </c>
      <c r="Y34" s="122">
        <f t="shared" si="13"/>
        <v>0.31882500000000014</v>
      </c>
      <c r="Z34" s="121">
        <f t="shared" si="14"/>
        <v>1.95</v>
      </c>
      <c r="AA34" s="123">
        <f t="shared" si="15"/>
        <v>0.19316026181367563</v>
      </c>
      <c r="AB34" s="124">
        <f t="shared" si="16"/>
        <v>0</v>
      </c>
      <c r="AC34" s="125" t="s">
        <v>226</v>
      </c>
    </row>
    <row r="35" spans="1:29" ht="45" customHeight="1" x14ac:dyDescent="0.25">
      <c r="A35" s="30">
        <v>29</v>
      </c>
      <c r="B35" s="103" t="s">
        <v>198</v>
      </c>
      <c r="C35" s="31">
        <v>1</v>
      </c>
      <c r="D35" s="32" t="s">
        <v>84</v>
      </c>
      <c r="E35" s="31">
        <f t="shared" si="0"/>
        <v>8</v>
      </c>
      <c r="F35" s="96">
        <v>11.5</v>
      </c>
      <c r="G35" s="33">
        <f t="shared" si="1"/>
        <v>1.4375</v>
      </c>
      <c r="H35" s="34">
        <f t="shared" si="2"/>
        <v>11.5</v>
      </c>
      <c r="I35" s="35"/>
      <c r="J35" s="38">
        <f t="shared" si="3"/>
        <v>1.4375</v>
      </c>
      <c r="K35" s="38">
        <f t="shared" si="3"/>
        <v>11.5</v>
      </c>
      <c r="L35" s="38">
        <f t="shared" si="4"/>
        <v>1.5733374894633325</v>
      </c>
      <c r="M35" s="38">
        <f t="shared" si="5"/>
        <v>12.58669991570666</v>
      </c>
      <c r="N35" s="37">
        <v>1.95</v>
      </c>
      <c r="O35" s="38">
        <f t="shared" si="6"/>
        <v>15.6</v>
      </c>
      <c r="P35" s="38">
        <f t="shared" si="7"/>
        <v>0.37666251053666744</v>
      </c>
      <c r="Q35" s="38">
        <f t="shared" si="8"/>
        <v>3.0133000842933395</v>
      </c>
      <c r="R35" s="39">
        <f t="shared" si="9"/>
        <v>0.19316026181367563</v>
      </c>
      <c r="S35" s="116"/>
      <c r="T35" s="119">
        <f t="shared" si="10"/>
        <v>1.95</v>
      </c>
      <c r="U35" s="131">
        <v>0.16350000000000001</v>
      </c>
      <c r="V35" s="120">
        <f t="shared" si="17"/>
        <v>2.2688250000000001</v>
      </c>
      <c r="W35" s="121">
        <f t="shared" si="11"/>
        <v>0.29250000000000015</v>
      </c>
      <c r="X35" s="121">
        <f t="shared" si="12"/>
        <v>2.6325000000000012E-2</v>
      </c>
      <c r="Y35" s="122">
        <f t="shared" si="13"/>
        <v>0.31882500000000014</v>
      </c>
      <c r="Z35" s="121">
        <f t="shared" si="14"/>
        <v>1.95</v>
      </c>
      <c r="AA35" s="123">
        <f t="shared" si="15"/>
        <v>0.19316026181367563</v>
      </c>
      <c r="AB35" s="124">
        <f t="shared" si="16"/>
        <v>0</v>
      </c>
      <c r="AC35" s="125" t="s">
        <v>226</v>
      </c>
    </row>
    <row r="36" spans="1:29" ht="45" customHeight="1" x14ac:dyDescent="0.25">
      <c r="A36" s="30">
        <v>30</v>
      </c>
      <c r="B36" s="100" t="s">
        <v>181</v>
      </c>
      <c r="C36" s="31">
        <v>1</v>
      </c>
      <c r="D36" s="32" t="s">
        <v>84</v>
      </c>
      <c r="E36" s="31">
        <f t="shared" si="0"/>
        <v>8</v>
      </c>
      <c r="F36" s="96">
        <v>11.5</v>
      </c>
      <c r="G36" s="33">
        <f t="shared" si="1"/>
        <v>1.4375</v>
      </c>
      <c r="H36" s="34">
        <f t="shared" si="2"/>
        <v>11.5</v>
      </c>
      <c r="I36" s="35"/>
      <c r="J36" s="38">
        <f t="shared" si="3"/>
        <v>1.4375</v>
      </c>
      <c r="K36" s="38">
        <f t="shared" si="3"/>
        <v>11.5</v>
      </c>
      <c r="L36" s="38">
        <f t="shared" si="4"/>
        <v>1.5733374894633325</v>
      </c>
      <c r="M36" s="38">
        <f t="shared" si="5"/>
        <v>12.58669991570666</v>
      </c>
      <c r="N36" s="37">
        <v>1.95</v>
      </c>
      <c r="O36" s="38">
        <f t="shared" si="6"/>
        <v>15.6</v>
      </c>
      <c r="P36" s="38">
        <f t="shared" si="7"/>
        <v>0.37666251053666744</v>
      </c>
      <c r="Q36" s="38">
        <f t="shared" si="8"/>
        <v>3.0133000842933395</v>
      </c>
      <c r="R36" s="39">
        <f t="shared" si="9"/>
        <v>0.19316026181367563</v>
      </c>
      <c r="S36" s="113"/>
      <c r="T36" s="119">
        <f t="shared" si="10"/>
        <v>1.95</v>
      </c>
      <c r="U36" s="131">
        <v>0.16350000000000001</v>
      </c>
      <c r="V36" s="120">
        <f t="shared" si="17"/>
        <v>2.2688250000000001</v>
      </c>
      <c r="W36" s="121">
        <f t="shared" si="11"/>
        <v>0.29250000000000015</v>
      </c>
      <c r="X36" s="121">
        <f t="shared" si="12"/>
        <v>2.6325000000000012E-2</v>
      </c>
      <c r="Y36" s="122">
        <f t="shared" si="13"/>
        <v>0.31882500000000014</v>
      </c>
      <c r="Z36" s="121">
        <f t="shared" si="14"/>
        <v>1.95</v>
      </c>
      <c r="AA36" s="123">
        <f t="shared" si="15"/>
        <v>0.19316026181367563</v>
      </c>
      <c r="AB36" s="124">
        <f t="shared" si="16"/>
        <v>0</v>
      </c>
      <c r="AC36" s="125" t="s">
        <v>226</v>
      </c>
    </row>
    <row r="37" spans="1:29" ht="45" customHeight="1" x14ac:dyDescent="0.25">
      <c r="A37" s="30">
        <v>31</v>
      </c>
      <c r="B37" s="100" t="s">
        <v>194</v>
      </c>
      <c r="C37" s="31">
        <v>1</v>
      </c>
      <c r="D37" s="32" t="s">
        <v>84</v>
      </c>
      <c r="E37" s="31">
        <f t="shared" si="0"/>
        <v>8</v>
      </c>
      <c r="F37" s="96">
        <v>11.5</v>
      </c>
      <c r="G37" s="33">
        <f t="shared" si="1"/>
        <v>1.4375</v>
      </c>
      <c r="H37" s="34">
        <f t="shared" si="2"/>
        <v>11.5</v>
      </c>
      <c r="I37" s="35"/>
      <c r="J37" s="38">
        <f t="shared" si="3"/>
        <v>1.4375</v>
      </c>
      <c r="K37" s="38">
        <f t="shared" si="3"/>
        <v>11.5</v>
      </c>
      <c r="L37" s="38">
        <f t="shared" si="4"/>
        <v>1.5733374894633325</v>
      </c>
      <c r="M37" s="38">
        <f t="shared" si="5"/>
        <v>12.58669991570666</v>
      </c>
      <c r="N37" s="37">
        <v>1.95</v>
      </c>
      <c r="O37" s="38">
        <f t="shared" si="6"/>
        <v>15.6</v>
      </c>
      <c r="P37" s="38">
        <f t="shared" si="7"/>
        <v>0.37666251053666744</v>
      </c>
      <c r="Q37" s="38">
        <f t="shared" si="8"/>
        <v>3.0133000842933395</v>
      </c>
      <c r="R37" s="39">
        <f t="shared" si="9"/>
        <v>0.19316026181367563</v>
      </c>
      <c r="S37" s="113"/>
      <c r="T37" s="119">
        <f t="shared" si="10"/>
        <v>1.95</v>
      </c>
      <c r="U37" s="131">
        <v>0.16350000000000001</v>
      </c>
      <c r="V37" s="120">
        <f t="shared" si="17"/>
        <v>2.2688250000000001</v>
      </c>
      <c r="W37" s="121">
        <f t="shared" si="11"/>
        <v>0.29250000000000015</v>
      </c>
      <c r="X37" s="121">
        <f t="shared" si="12"/>
        <v>2.6325000000000012E-2</v>
      </c>
      <c r="Y37" s="122">
        <f t="shared" si="13"/>
        <v>0.31882500000000014</v>
      </c>
      <c r="Z37" s="121">
        <f t="shared" si="14"/>
        <v>1.95</v>
      </c>
      <c r="AA37" s="123">
        <f t="shared" si="15"/>
        <v>0.19316026181367563</v>
      </c>
      <c r="AB37" s="124">
        <f t="shared" si="16"/>
        <v>0</v>
      </c>
      <c r="AC37" s="125" t="s">
        <v>226</v>
      </c>
    </row>
    <row r="38" spans="1:29" ht="45" customHeight="1" x14ac:dyDescent="0.25">
      <c r="A38" s="30">
        <v>32</v>
      </c>
      <c r="B38" s="104" t="s">
        <v>197</v>
      </c>
      <c r="C38" s="31">
        <v>1</v>
      </c>
      <c r="D38" s="32" t="s">
        <v>84</v>
      </c>
      <c r="E38" s="31">
        <f t="shared" si="0"/>
        <v>8</v>
      </c>
      <c r="F38" s="96">
        <v>11.5</v>
      </c>
      <c r="G38" s="33">
        <f t="shared" si="1"/>
        <v>1.4375</v>
      </c>
      <c r="H38" s="34">
        <f t="shared" si="2"/>
        <v>11.5</v>
      </c>
      <c r="I38" s="35"/>
      <c r="J38" s="38">
        <f t="shared" si="3"/>
        <v>1.4375</v>
      </c>
      <c r="K38" s="38">
        <f t="shared" si="3"/>
        <v>11.5</v>
      </c>
      <c r="L38" s="38">
        <f t="shared" si="4"/>
        <v>1.5733374894633325</v>
      </c>
      <c r="M38" s="38">
        <f t="shared" si="5"/>
        <v>12.58669991570666</v>
      </c>
      <c r="N38" s="37">
        <v>1.95</v>
      </c>
      <c r="O38" s="38">
        <f t="shared" si="6"/>
        <v>15.6</v>
      </c>
      <c r="P38" s="38">
        <f t="shared" si="7"/>
        <v>0.37666251053666744</v>
      </c>
      <c r="Q38" s="38">
        <f t="shared" si="8"/>
        <v>3.0133000842933395</v>
      </c>
      <c r="R38" s="39">
        <f t="shared" si="9"/>
        <v>0.19316026181367563</v>
      </c>
      <c r="S38" s="116"/>
      <c r="T38" s="119">
        <f t="shared" si="10"/>
        <v>1.95</v>
      </c>
      <c r="U38" s="131">
        <v>0.16350000000000001</v>
      </c>
      <c r="V38" s="120">
        <f t="shared" si="17"/>
        <v>2.2688250000000001</v>
      </c>
      <c r="W38" s="121">
        <f t="shared" si="11"/>
        <v>0.29250000000000015</v>
      </c>
      <c r="X38" s="121">
        <f t="shared" si="12"/>
        <v>2.6325000000000012E-2</v>
      </c>
      <c r="Y38" s="122">
        <f t="shared" si="13"/>
        <v>0.31882500000000014</v>
      </c>
      <c r="Z38" s="121">
        <f t="shared" si="14"/>
        <v>1.95</v>
      </c>
      <c r="AA38" s="123">
        <f t="shared" si="15"/>
        <v>0.19316026181367563</v>
      </c>
      <c r="AB38" s="124">
        <f t="shared" si="16"/>
        <v>0</v>
      </c>
      <c r="AC38" s="125" t="s">
        <v>226</v>
      </c>
    </row>
    <row r="39" spans="1:29" ht="45" customHeight="1" x14ac:dyDescent="0.25">
      <c r="A39" s="30">
        <v>33</v>
      </c>
      <c r="B39" s="100" t="s">
        <v>46</v>
      </c>
      <c r="C39" s="31">
        <v>1</v>
      </c>
      <c r="D39" s="32" t="s">
        <v>84</v>
      </c>
      <c r="E39" s="31">
        <f t="shared" si="0"/>
        <v>8</v>
      </c>
      <c r="F39" s="96">
        <v>11.5</v>
      </c>
      <c r="G39" s="33">
        <f t="shared" si="1"/>
        <v>1.4375</v>
      </c>
      <c r="H39" s="34">
        <f t="shared" si="2"/>
        <v>11.5</v>
      </c>
      <c r="I39" s="35"/>
      <c r="J39" s="38">
        <f t="shared" ref="J39:K70" si="18">G39/$Q$2</f>
        <v>1.4375</v>
      </c>
      <c r="K39" s="38">
        <f t="shared" si="18"/>
        <v>11.5</v>
      </c>
      <c r="L39" s="38">
        <f t="shared" ref="L39:L70" si="19">J39*(1+$M$174+9%)</f>
        <v>1.5733374894633325</v>
      </c>
      <c r="M39" s="38">
        <f t="shared" si="5"/>
        <v>12.58669991570666</v>
      </c>
      <c r="N39" s="37">
        <v>1.95</v>
      </c>
      <c r="O39" s="38">
        <f t="shared" si="6"/>
        <v>15.6</v>
      </c>
      <c r="P39" s="38">
        <f t="shared" si="7"/>
        <v>0.37666251053666744</v>
      </c>
      <c r="Q39" s="38">
        <f t="shared" si="8"/>
        <v>3.0133000842933395</v>
      </c>
      <c r="R39" s="39">
        <f t="shared" si="9"/>
        <v>0.19316026181367563</v>
      </c>
      <c r="S39" s="113"/>
      <c r="T39" s="119">
        <f t="shared" si="10"/>
        <v>1.95</v>
      </c>
      <c r="U39" s="131">
        <v>0.16350000000000001</v>
      </c>
      <c r="V39" s="120">
        <f t="shared" si="17"/>
        <v>2.2688250000000001</v>
      </c>
      <c r="W39" s="121">
        <f t="shared" si="11"/>
        <v>0.29250000000000015</v>
      </c>
      <c r="X39" s="121">
        <f t="shared" si="12"/>
        <v>2.6325000000000012E-2</v>
      </c>
      <c r="Y39" s="122">
        <f t="shared" si="13"/>
        <v>0.31882500000000014</v>
      </c>
      <c r="Z39" s="121">
        <f t="shared" si="14"/>
        <v>1.95</v>
      </c>
      <c r="AA39" s="123">
        <f t="shared" si="15"/>
        <v>0.19316026181367563</v>
      </c>
      <c r="AB39" s="124">
        <f t="shared" si="16"/>
        <v>0</v>
      </c>
      <c r="AC39" s="125" t="s">
        <v>226</v>
      </c>
    </row>
    <row r="40" spans="1:29" ht="45" customHeight="1" x14ac:dyDescent="0.25">
      <c r="A40" s="30">
        <v>34</v>
      </c>
      <c r="B40" s="100" t="s">
        <v>47</v>
      </c>
      <c r="C40" s="31">
        <v>1</v>
      </c>
      <c r="D40" s="32" t="s">
        <v>84</v>
      </c>
      <c r="E40" s="31">
        <f t="shared" si="0"/>
        <v>8</v>
      </c>
      <c r="F40" s="96">
        <v>15</v>
      </c>
      <c r="G40" s="33">
        <f t="shared" si="1"/>
        <v>1.875</v>
      </c>
      <c r="H40" s="34">
        <f t="shared" si="2"/>
        <v>15</v>
      </c>
      <c r="I40" s="35"/>
      <c r="J40" s="38">
        <f t="shared" si="18"/>
        <v>1.875</v>
      </c>
      <c r="K40" s="38">
        <f t="shared" si="18"/>
        <v>15</v>
      </c>
      <c r="L40" s="38">
        <f t="shared" si="19"/>
        <v>2.0521793340826076</v>
      </c>
      <c r="M40" s="38">
        <f t="shared" si="5"/>
        <v>16.41743467266086</v>
      </c>
      <c r="N40" s="37">
        <v>2.5</v>
      </c>
      <c r="O40" s="38">
        <f t="shared" si="6"/>
        <v>20</v>
      </c>
      <c r="P40" s="38">
        <f t="shared" si="7"/>
        <v>0.44782066591739245</v>
      </c>
      <c r="Q40" s="38">
        <f t="shared" si="8"/>
        <v>3.5825653273391396</v>
      </c>
      <c r="R40" s="39">
        <f t="shared" si="9"/>
        <v>0.17912826636695697</v>
      </c>
      <c r="S40" s="114"/>
      <c r="T40" s="119">
        <f t="shared" si="10"/>
        <v>2.5</v>
      </c>
      <c r="U40" s="131">
        <v>0.16350000000000001</v>
      </c>
      <c r="V40" s="120">
        <f t="shared" si="17"/>
        <v>2.9087499999999999</v>
      </c>
      <c r="W40" s="121">
        <f t="shared" si="11"/>
        <v>0.37499999999999994</v>
      </c>
      <c r="X40" s="121">
        <f t="shared" si="12"/>
        <v>3.3749999999999995E-2</v>
      </c>
      <c r="Y40" s="122">
        <f t="shared" si="13"/>
        <v>0.40874999999999995</v>
      </c>
      <c r="Z40" s="121">
        <f t="shared" si="14"/>
        <v>2.5</v>
      </c>
      <c r="AA40" s="123">
        <f t="shared" si="15"/>
        <v>0.17912826636695697</v>
      </c>
      <c r="AB40" s="124">
        <f t="shared" si="16"/>
        <v>0</v>
      </c>
      <c r="AC40" s="125" t="s">
        <v>226</v>
      </c>
    </row>
    <row r="41" spans="1:29" ht="45" customHeight="1" x14ac:dyDescent="0.25">
      <c r="A41" s="30">
        <v>35</v>
      </c>
      <c r="B41" s="100" t="s">
        <v>48</v>
      </c>
      <c r="C41" s="31">
        <v>1</v>
      </c>
      <c r="D41" s="32" t="s">
        <v>84</v>
      </c>
      <c r="E41" s="31">
        <f t="shared" si="0"/>
        <v>8</v>
      </c>
      <c r="F41" s="96">
        <v>15</v>
      </c>
      <c r="G41" s="33">
        <f t="shared" si="1"/>
        <v>1.875</v>
      </c>
      <c r="H41" s="34">
        <f t="shared" si="2"/>
        <v>15</v>
      </c>
      <c r="I41" s="35"/>
      <c r="J41" s="38">
        <f t="shared" si="18"/>
        <v>1.875</v>
      </c>
      <c r="K41" s="38">
        <f t="shared" si="18"/>
        <v>15</v>
      </c>
      <c r="L41" s="38">
        <f t="shared" si="19"/>
        <v>2.0521793340826076</v>
      </c>
      <c r="M41" s="38">
        <f t="shared" si="5"/>
        <v>16.41743467266086</v>
      </c>
      <c r="N41" s="37">
        <v>2.5</v>
      </c>
      <c r="O41" s="38">
        <f t="shared" si="6"/>
        <v>20</v>
      </c>
      <c r="P41" s="38">
        <f t="shared" si="7"/>
        <v>0.44782066591739245</v>
      </c>
      <c r="Q41" s="38">
        <f t="shared" si="8"/>
        <v>3.5825653273391396</v>
      </c>
      <c r="R41" s="39">
        <f t="shared" si="9"/>
        <v>0.17912826636695697</v>
      </c>
      <c r="S41" s="115"/>
      <c r="T41" s="119">
        <f t="shared" si="10"/>
        <v>2.5</v>
      </c>
      <c r="U41" s="131">
        <v>0.16350000000000001</v>
      </c>
      <c r="V41" s="120">
        <f t="shared" si="17"/>
        <v>2.9087499999999999</v>
      </c>
      <c r="W41" s="121">
        <f t="shared" si="11"/>
        <v>0.37499999999999994</v>
      </c>
      <c r="X41" s="121">
        <f t="shared" si="12"/>
        <v>3.3749999999999995E-2</v>
      </c>
      <c r="Y41" s="122">
        <f t="shared" si="13"/>
        <v>0.40874999999999995</v>
      </c>
      <c r="Z41" s="121">
        <f t="shared" si="14"/>
        <v>2.5</v>
      </c>
      <c r="AA41" s="123">
        <f t="shared" si="15"/>
        <v>0.17912826636695697</v>
      </c>
      <c r="AB41" s="124">
        <f t="shared" si="16"/>
        <v>0</v>
      </c>
      <c r="AC41" s="125" t="s">
        <v>226</v>
      </c>
    </row>
    <row r="42" spans="1:29" ht="45" customHeight="1" x14ac:dyDescent="0.25">
      <c r="A42" s="30">
        <v>36</v>
      </c>
      <c r="B42" s="101" t="s">
        <v>49</v>
      </c>
      <c r="C42" s="31">
        <v>1</v>
      </c>
      <c r="D42" s="32" t="s">
        <v>84</v>
      </c>
      <c r="E42" s="31">
        <f t="shared" si="0"/>
        <v>8</v>
      </c>
      <c r="F42" s="96">
        <v>15</v>
      </c>
      <c r="G42" s="33">
        <f t="shared" si="1"/>
        <v>1.875</v>
      </c>
      <c r="H42" s="34">
        <f t="shared" si="2"/>
        <v>15</v>
      </c>
      <c r="I42" s="35"/>
      <c r="J42" s="38">
        <f t="shared" si="18"/>
        <v>1.875</v>
      </c>
      <c r="K42" s="38">
        <f t="shared" si="18"/>
        <v>15</v>
      </c>
      <c r="L42" s="38">
        <f t="shared" si="19"/>
        <v>2.0521793340826076</v>
      </c>
      <c r="M42" s="38">
        <f t="shared" si="5"/>
        <v>16.41743467266086</v>
      </c>
      <c r="N42" s="37">
        <v>2.5</v>
      </c>
      <c r="O42" s="38">
        <f t="shared" si="6"/>
        <v>20</v>
      </c>
      <c r="P42" s="38">
        <f t="shared" si="7"/>
        <v>0.44782066591739245</v>
      </c>
      <c r="Q42" s="38">
        <f t="shared" si="8"/>
        <v>3.5825653273391396</v>
      </c>
      <c r="R42" s="39">
        <f t="shared" si="9"/>
        <v>0.17912826636695697</v>
      </c>
      <c r="S42" s="115"/>
      <c r="T42" s="119">
        <f t="shared" si="10"/>
        <v>2.5</v>
      </c>
      <c r="U42" s="131">
        <v>0.16350000000000001</v>
      </c>
      <c r="V42" s="120">
        <f t="shared" si="17"/>
        <v>2.9087499999999999</v>
      </c>
      <c r="W42" s="121">
        <f t="shared" si="11"/>
        <v>0.37499999999999994</v>
      </c>
      <c r="X42" s="121">
        <f t="shared" si="12"/>
        <v>3.3749999999999995E-2</v>
      </c>
      <c r="Y42" s="122">
        <f t="shared" si="13"/>
        <v>0.40874999999999995</v>
      </c>
      <c r="Z42" s="121">
        <f t="shared" si="14"/>
        <v>2.5</v>
      </c>
      <c r="AA42" s="123">
        <f t="shared" si="15"/>
        <v>0.17912826636695697</v>
      </c>
      <c r="AB42" s="124">
        <f t="shared" si="16"/>
        <v>0</v>
      </c>
      <c r="AC42" s="125" t="s">
        <v>226</v>
      </c>
    </row>
    <row r="43" spans="1:29" ht="45" customHeight="1" x14ac:dyDescent="0.25">
      <c r="A43" s="30">
        <v>37</v>
      </c>
      <c r="B43" s="102" t="s">
        <v>50</v>
      </c>
      <c r="C43" s="31">
        <v>1</v>
      </c>
      <c r="D43" s="32" t="s">
        <v>73</v>
      </c>
      <c r="E43" s="31">
        <f t="shared" si="0"/>
        <v>12</v>
      </c>
      <c r="F43" s="96">
        <v>20.5</v>
      </c>
      <c r="G43" s="33">
        <f t="shared" si="1"/>
        <v>1.7083333333333333</v>
      </c>
      <c r="H43" s="34">
        <f t="shared" si="2"/>
        <v>20.5</v>
      </c>
      <c r="I43" s="35"/>
      <c r="J43" s="38">
        <f t="shared" si="18"/>
        <v>1.7083333333333333</v>
      </c>
      <c r="K43" s="38">
        <f t="shared" si="18"/>
        <v>20.5</v>
      </c>
      <c r="L43" s="38">
        <f t="shared" si="19"/>
        <v>1.8697633932752649</v>
      </c>
      <c r="M43" s="38">
        <f t="shared" si="5"/>
        <v>22.437160719303179</v>
      </c>
      <c r="N43" s="37">
        <v>2.75</v>
      </c>
      <c r="O43" s="38">
        <f t="shared" si="6"/>
        <v>33</v>
      </c>
      <c r="P43" s="38">
        <f t="shared" si="7"/>
        <v>0.88023660672473514</v>
      </c>
      <c r="Q43" s="38">
        <f t="shared" si="8"/>
        <v>10.562839280696821</v>
      </c>
      <c r="R43" s="39">
        <f t="shared" si="9"/>
        <v>0.32008603880899461</v>
      </c>
      <c r="S43" s="115"/>
      <c r="T43" s="119">
        <f t="shared" si="10"/>
        <v>2.75</v>
      </c>
      <c r="U43" s="131">
        <v>0.16350000000000001</v>
      </c>
      <c r="V43" s="120">
        <f t="shared" si="17"/>
        <v>3.1996250000000002</v>
      </c>
      <c r="W43" s="121">
        <f t="shared" si="11"/>
        <v>0.4125000000000002</v>
      </c>
      <c r="X43" s="121">
        <f t="shared" si="12"/>
        <v>3.7125000000000012E-2</v>
      </c>
      <c r="Y43" s="122">
        <f t="shared" si="13"/>
        <v>0.44962500000000016</v>
      </c>
      <c r="Z43" s="121">
        <f t="shared" si="14"/>
        <v>2.75</v>
      </c>
      <c r="AA43" s="123">
        <f t="shared" si="15"/>
        <v>0.32008603880899461</v>
      </c>
      <c r="AB43" s="124">
        <f t="shared" si="16"/>
        <v>0</v>
      </c>
      <c r="AC43" s="125" t="s">
        <v>226</v>
      </c>
    </row>
    <row r="44" spans="1:29" ht="45" customHeight="1" x14ac:dyDescent="0.25">
      <c r="A44" s="30">
        <v>38</v>
      </c>
      <c r="B44" s="103" t="s">
        <v>51</v>
      </c>
      <c r="C44" s="31">
        <v>1</v>
      </c>
      <c r="D44" s="32" t="s">
        <v>73</v>
      </c>
      <c r="E44" s="31">
        <f t="shared" si="0"/>
        <v>12</v>
      </c>
      <c r="F44" s="96">
        <v>18.850000000000001</v>
      </c>
      <c r="G44" s="33">
        <f t="shared" si="1"/>
        <v>1.5708333333333335</v>
      </c>
      <c r="H44" s="34">
        <f t="shared" si="2"/>
        <v>18.850000000000001</v>
      </c>
      <c r="I44" s="35"/>
      <c r="J44" s="38">
        <f t="shared" si="18"/>
        <v>1.5708333333333335</v>
      </c>
      <c r="K44" s="38">
        <f t="shared" si="18"/>
        <v>18.850000000000001</v>
      </c>
      <c r="L44" s="38">
        <f t="shared" si="19"/>
        <v>1.7192702421092072</v>
      </c>
      <c r="M44" s="38">
        <f t="shared" si="5"/>
        <v>20.631242905310486</v>
      </c>
      <c r="N44" s="37">
        <v>2.75</v>
      </c>
      <c r="O44" s="38">
        <f t="shared" si="6"/>
        <v>33</v>
      </c>
      <c r="P44" s="38">
        <f t="shared" si="7"/>
        <v>1.0307297578907928</v>
      </c>
      <c r="Q44" s="38">
        <f t="shared" si="8"/>
        <v>12.368757094689514</v>
      </c>
      <c r="R44" s="39">
        <f t="shared" si="9"/>
        <v>0.3748108210511974</v>
      </c>
      <c r="S44" s="116"/>
      <c r="T44" s="119">
        <f t="shared" si="10"/>
        <v>2.75</v>
      </c>
      <c r="U44" s="131">
        <v>0.16350000000000001</v>
      </c>
      <c r="V44" s="120">
        <f t="shared" si="17"/>
        <v>3.1996250000000002</v>
      </c>
      <c r="W44" s="121">
        <f t="shared" si="11"/>
        <v>0.4125000000000002</v>
      </c>
      <c r="X44" s="121">
        <f t="shared" si="12"/>
        <v>3.7125000000000012E-2</v>
      </c>
      <c r="Y44" s="122">
        <f t="shared" si="13"/>
        <v>0.44962500000000016</v>
      </c>
      <c r="Z44" s="121">
        <f t="shared" si="14"/>
        <v>2.75</v>
      </c>
      <c r="AA44" s="123">
        <f t="shared" si="15"/>
        <v>0.3748108210511974</v>
      </c>
      <c r="AB44" s="124">
        <f t="shared" si="16"/>
        <v>0</v>
      </c>
      <c r="AC44" s="125" t="s">
        <v>226</v>
      </c>
    </row>
    <row r="45" spans="1:29" ht="45" customHeight="1" x14ac:dyDescent="0.25">
      <c r="A45" s="30">
        <v>39</v>
      </c>
      <c r="B45" s="100" t="s">
        <v>52</v>
      </c>
      <c r="C45" s="31">
        <v>1</v>
      </c>
      <c r="D45" s="32" t="s">
        <v>73</v>
      </c>
      <c r="E45" s="31">
        <f t="shared" si="0"/>
        <v>12</v>
      </c>
      <c r="F45" s="96">
        <v>20.5</v>
      </c>
      <c r="G45" s="33">
        <f t="shared" si="1"/>
        <v>1.7083333333333333</v>
      </c>
      <c r="H45" s="34">
        <f t="shared" si="2"/>
        <v>20.5</v>
      </c>
      <c r="I45" s="35"/>
      <c r="J45" s="38">
        <f t="shared" si="18"/>
        <v>1.7083333333333333</v>
      </c>
      <c r="K45" s="38">
        <f t="shared" si="18"/>
        <v>20.5</v>
      </c>
      <c r="L45" s="38">
        <f t="shared" si="19"/>
        <v>1.8697633932752649</v>
      </c>
      <c r="M45" s="38">
        <f t="shared" si="5"/>
        <v>22.437160719303179</v>
      </c>
      <c r="N45" s="37">
        <v>2.75</v>
      </c>
      <c r="O45" s="38">
        <f t="shared" si="6"/>
        <v>33</v>
      </c>
      <c r="P45" s="38">
        <f t="shared" si="7"/>
        <v>0.88023660672473514</v>
      </c>
      <c r="Q45" s="38">
        <f t="shared" si="8"/>
        <v>10.562839280696821</v>
      </c>
      <c r="R45" s="39">
        <f t="shared" si="9"/>
        <v>0.32008603880899461</v>
      </c>
      <c r="S45" s="113"/>
      <c r="T45" s="119">
        <f t="shared" si="10"/>
        <v>2.75</v>
      </c>
      <c r="U45" s="131">
        <v>0.16350000000000001</v>
      </c>
      <c r="V45" s="120">
        <f t="shared" si="17"/>
        <v>3.1996250000000002</v>
      </c>
      <c r="W45" s="121">
        <f t="shared" si="11"/>
        <v>0.4125000000000002</v>
      </c>
      <c r="X45" s="121">
        <f t="shared" si="12"/>
        <v>3.7125000000000012E-2</v>
      </c>
      <c r="Y45" s="122">
        <f t="shared" si="13"/>
        <v>0.44962500000000016</v>
      </c>
      <c r="Z45" s="121">
        <f t="shared" si="14"/>
        <v>2.75</v>
      </c>
      <c r="AA45" s="123">
        <f t="shared" si="15"/>
        <v>0.32008603880899461</v>
      </c>
      <c r="AB45" s="124">
        <f t="shared" si="16"/>
        <v>0</v>
      </c>
      <c r="AC45" s="125" t="s">
        <v>226</v>
      </c>
    </row>
    <row r="46" spans="1:29" ht="45" customHeight="1" x14ac:dyDescent="0.25">
      <c r="A46" s="30">
        <v>40</v>
      </c>
      <c r="B46" s="100" t="s">
        <v>180</v>
      </c>
      <c r="C46" s="31">
        <v>1</v>
      </c>
      <c r="D46" s="32" t="s">
        <v>73</v>
      </c>
      <c r="E46" s="31">
        <f t="shared" si="0"/>
        <v>12</v>
      </c>
      <c r="F46" s="96">
        <v>20.5</v>
      </c>
      <c r="G46" s="33">
        <f t="shared" si="1"/>
        <v>1.7083333333333333</v>
      </c>
      <c r="H46" s="34">
        <f t="shared" si="2"/>
        <v>20.5</v>
      </c>
      <c r="I46" s="35"/>
      <c r="J46" s="38">
        <f t="shared" si="18"/>
        <v>1.7083333333333333</v>
      </c>
      <c r="K46" s="38">
        <f t="shared" si="18"/>
        <v>20.5</v>
      </c>
      <c r="L46" s="38">
        <f t="shared" si="19"/>
        <v>1.8697633932752649</v>
      </c>
      <c r="M46" s="38">
        <f t="shared" si="5"/>
        <v>22.437160719303179</v>
      </c>
      <c r="N46" s="37">
        <v>2.75</v>
      </c>
      <c r="O46" s="38">
        <f t="shared" si="6"/>
        <v>33</v>
      </c>
      <c r="P46" s="38">
        <f t="shared" si="7"/>
        <v>0.88023660672473514</v>
      </c>
      <c r="Q46" s="38">
        <f t="shared" si="8"/>
        <v>10.562839280696821</v>
      </c>
      <c r="R46" s="39">
        <f t="shared" si="9"/>
        <v>0.32008603880899461</v>
      </c>
      <c r="S46" s="114"/>
      <c r="T46" s="119">
        <f t="shared" si="10"/>
        <v>2.75</v>
      </c>
      <c r="U46" s="131">
        <v>0.16350000000000001</v>
      </c>
      <c r="V46" s="120">
        <f t="shared" si="17"/>
        <v>3.1996250000000002</v>
      </c>
      <c r="W46" s="121">
        <f t="shared" si="11"/>
        <v>0.4125000000000002</v>
      </c>
      <c r="X46" s="121">
        <f t="shared" si="12"/>
        <v>3.7125000000000012E-2</v>
      </c>
      <c r="Y46" s="122">
        <f t="shared" si="13"/>
        <v>0.44962500000000016</v>
      </c>
      <c r="Z46" s="121">
        <f t="shared" si="14"/>
        <v>2.75</v>
      </c>
      <c r="AA46" s="123">
        <f t="shared" si="15"/>
        <v>0.32008603880899461</v>
      </c>
      <c r="AB46" s="124">
        <f t="shared" si="16"/>
        <v>0</v>
      </c>
      <c r="AC46" s="125" t="s">
        <v>226</v>
      </c>
    </row>
    <row r="47" spans="1:29" ht="45" customHeight="1" x14ac:dyDescent="0.25">
      <c r="A47" s="30">
        <v>41</v>
      </c>
      <c r="B47" s="100" t="s">
        <v>53</v>
      </c>
      <c r="C47" s="31">
        <v>1</v>
      </c>
      <c r="D47" s="32" t="s">
        <v>73</v>
      </c>
      <c r="E47" s="31">
        <f t="shared" si="0"/>
        <v>12</v>
      </c>
      <c r="F47" s="96">
        <v>20.5</v>
      </c>
      <c r="G47" s="33">
        <f t="shared" si="1"/>
        <v>1.7083333333333333</v>
      </c>
      <c r="H47" s="34">
        <f t="shared" si="2"/>
        <v>20.5</v>
      </c>
      <c r="I47" s="35"/>
      <c r="J47" s="38">
        <f t="shared" si="18"/>
        <v>1.7083333333333333</v>
      </c>
      <c r="K47" s="38">
        <f t="shared" si="18"/>
        <v>20.5</v>
      </c>
      <c r="L47" s="38">
        <f t="shared" si="19"/>
        <v>1.8697633932752649</v>
      </c>
      <c r="M47" s="38">
        <f t="shared" si="5"/>
        <v>22.437160719303179</v>
      </c>
      <c r="N47" s="37">
        <v>2.75</v>
      </c>
      <c r="O47" s="38">
        <f t="shared" si="6"/>
        <v>33</v>
      </c>
      <c r="P47" s="38">
        <f t="shared" si="7"/>
        <v>0.88023660672473514</v>
      </c>
      <c r="Q47" s="38">
        <f t="shared" si="8"/>
        <v>10.562839280696821</v>
      </c>
      <c r="R47" s="39">
        <f t="shared" si="9"/>
        <v>0.32008603880899461</v>
      </c>
      <c r="S47" s="114"/>
      <c r="T47" s="119">
        <f t="shared" si="10"/>
        <v>2.75</v>
      </c>
      <c r="U47" s="131">
        <v>0.16350000000000001</v>
      </c>
      <c r="V47" s="120">
        <f t="shared" si="17"/>
        <v>3.1996250000000002</v>
      </c>
      <c r="W47" s="121">
        <f t="shared" si="11"/>
        <v>0.4125000000000002</v>
      </c>
      <c r="X47" s="121">
        <f t="shared" si="12"/>
        <v>3.7125000000000012E-2</v>
      </c>
      <c r="Y47" s="122">
        <f t="shared" si="13"/>
        <v>0.44962500000000016</v>
      </c>
      <c r="Z47" s="121">
        <f t="shared" si="14"/>
        <v>2.75</v>
      </c>
      <c r="AA47" s="123">
        <f t="shared" si="15"/>
        <v>0.32008603880899461</v>
      </c>
      <c r="AB47" s="124">
        <f t="shared" si="16"/>
        <v>0</v>
      </c>
      <c r="AC47" s="125" t="s">
        <v>226</v>
      </c>
    </row>
    <row r="48" spans="1:29" ht="45" customHeight="1" x14ac:dyDescent="0.25">
      <c r="A48" s="30">
        <v>42</v>
      </c>
      <c r="B48" s="100" t="s">
        <v>54</v>
      </c>
      <c r="C48" s="31">
        <v>1</v>
      </c>
      <c r="D48" s="32" t="s">
        <v>73</v>
      </c>
      <c r="E48" s="31">
        <f t="shared" si="0"/>
        <v>12</v>
      </c>
      <c r="F48" s="96">
        <v>20.5</v>
      </c>
      <c r="G48" s="33">
        <f t="shared" si="1"/>
        <v>1.7083333333333333</v>
      </c>
      <c r="H48" s="34">
        <f t="shared" si="2"/>
        <v>20.5</v>
      </c>
      <c r="I48" s="35"/>
      <c r="J48" s="38">
        <f t="shared" si="18"/>
        <v>1.7083333333333333</v>
      </c>
      <c r="K48" s="38">
        <f t="shared" si="18"/>
        <v>20.5</v>
      </c>
      <c r="L48" s="38">
        <f t="shared" si="19"/>
        <v>1.8697633932752649</v>
      </c>
      <c r="M48" s="38">
        <f t="shared" si="5"/>
        <v>22.437160719303179</v>
      </c>
      <c r="N48" s="37">
        <v>2.75</v>
      </c>
      <c r="O48" s="38">
        <f t="shared" si="6"/>
        <v>33</v>
      </c>
      <c r="P48" s="38">
        <f t="shared" si="7"/>
        <v>0.88023660672473514</v>
      </c>
      <c r="Q48" s="38">
        <f t="shared" si="8"/>
        <v>10.562839280696821</v>
      </c>
      <c r="R48" s="39">
        <f t="shared" si="9"/>
        <v>0.32008603880899461</v>
      </c>
      <c r="S48" s="115"/>
      <c r="T48" s="119">
        <f t="shared" si="10"/>
        <v>2.75</v>
      </c>
      <c r="U48" s="131">
        <v>0.16350000000000001</v>
      </c>
      <c r="V48" s="120">
        <f t="shared" si="17"/>
        <v>3.1996250000000002</v>
      </c>
      <c r="W48" s="121">
        <f t="shared" si="11"/>
        <v>0.4125000000000002</v>
      </c>
      <c r="X48" s="121">
        <f t="shared" si="12"/>
        <v>3.7125000000000012E-2</v>
      </c>
      <c r="Y48" s="122">
        <f t="shared" si="13"/>
        <v>0.44962500000000016</v>
      </c>
      <c r="Z48" s="121">
        <f t="shared" si="14"/>
        <v>2.75</v>
      </c>
      <c r="AA48" s="123">
        <f t="shared" si="15"/>
        <v>0.32008603880899461</v>
      </c>
      <c r="AB48" s="124">
        <f t="shared" si="16"/>
        <v>0</v>
      </c>
      <c r="AC48" s="125" t="s">
        <v>226</v>
      </c>
    </row>
    <row r="49" spans="1:29" ht="45" customHeight="1" x14ac:dyDescent="0.25">
      <c r="A49" s="30">
        <v>43</v>
      </c>
      <c r="B49" s="105" t="s">
        <v>188</v>
      </c>
      <c r="C49" s="31">
        <v>1</v>
      </c>
      <c r="D49" s="32" t="s">
        <v>73</v>
      </c>
      <c r="E49" s="31">
        <f t="shared" si="0"/>
        <v>12</v>
      </c>
      <c r="F49" s="96">
        <v>36.5</v>
      </c>
      <c r="G49" s="33">
        <f t="shared" si="1"/>
        <v>3.0416666666666665</v>
      </c>
      <c r="H49" s="34">
        <f t="shared" si="2"/>
        <v>36.5</v>
      </c>
      <c r="I49" s="35"/>
      <c r="J49" s="38">
        <f t="shared" si="18"/>
        <v>3.0416666666666665</v>
      </c>
      <c r="K49" s="38">
        <f t="shared" si="18"/>
        <v>36.5</v>
      </c>
      <c r="L49" s="38">
        <f t="shared" si="19"/>
        <v>3.3290909197340079</v>
      </c>
      <c r="M49" s="38">
        <f t="shared" si="5"/>
        <v>39.949091036808099</v>
      </c>
      <c r="N49" s="37">
        <v>4.95</v>
      </c>
      <c r="O49" s="38">
        <f t="shared" si="6"/>
        <v>59.400000000000006</v>
      </c>
      <c r="P49" s="38">
        <f t="shared" si="7"/>
        <v>1.6209090802659922</v>
      </c>
      <c r="Q49" s="38">
        <f t="shared" si="8"/>
        <v>19.450908963191907</v>
      </c>
      <c r="R49" s="39">
        <f t="shared" si="9"/>
        <v>0.32745637985171561</v>
      </c>
      <c r="S49" s="115"/>
      <c r="T49" s="119">
        <f t="shared" si="10"/>
        <v>4.95</v>
      </c>
      <c r="U49" s="131">
        <v>0.16350000000000001</v>
      </c>
      <c r="V49" s="120">
        <f t="shared" si="17"/>
        <v>5.7593250000000005</v>
      </c>
      <c r="W49" s="121">
        <f t="shared" si="11"/>
        <v>0.74250000000000027</v>
      </c>
      <c r="X49" s="121">
        <f t="shared" si="12"/>
        <v>6.6825000000000023E-2</v>
      </c>
      <c r="Y49" s="122">
        <f t="shared" si="13"/>
        <v>0.80932500000000029</v>
      </c>
      <c r="Z49" s="121">
        <f t="shared" si="14"/>
        <v>4.95</v>
      </c>
      <c r="AA49" s="123">
        <f t="shared" si="15"/>
        <v>0.32745637985171561</v>
      </c>
      <c r="AB49" s="124">
        <f t="shared" si="16"/>
        <v>0</v>
      </c>
      <c r="AC49" s="125" t="s">
        <v>226</v>
      </c>
    </row>
    <row r="50" spans="1:29" ht="45" customHeight="1" x14ac:dyDescent="0.25">
      <c r="A50" s="30">
        <v>44</v>
      </c>
      <c r="B50" s="101" t="s">
        <v>55</v>
      </c>
      <c r="C50" s="31">
        <v>1</v>
      </c>
      <c r="D50" s="32" t="s">
        <v>73</v>
      </c>
      <c r="E50" s="31">
        <f t="shared" si="0"/>
        <v>12</v>
      </c>
      <c r="F50" s="96">
        <v>36.5</v>
      </c>
      <c r="G50" s="33">
        <f t="shared" si="1"/>
        <v>3.0416666666666665</v>
      </c>
      <c r="H50" s="34">
        <f t="shared" si="2"/>
        <v>36.5</v>
      </c>
      <c r="I50" s="35"/>
      <c r="J50" s="38">
        <f t="shared" si="18"/>
        <v>3.0416666666666665</v>
      </c>
      <c r="K50" s="38">
        <f t="shared" si="18"/>
        <v>36.5</v>
      </c>
      <c r="L50" s="38">
        <f t="shared" si="19"/>
        <v>3.3290909197340079</v>
      </c>
      <c r="M50" s="38">
        <f t="shared" si="5"/>
        <v>39.949091036808099</v>
      </c>
      <c r="N50" s="37">
        <v>4.95</v>
      </c>
      <c r="O50" s="38">
        <f t="shared" si="6"/>
        <v>59.400000000000006</v>
      </c>
      <c r="P50" s="38">
        <f t="shared" si="7"/>
        <v>1.6209090802659922</v>
      </c>
      <c r="Q50" s="38">
        <f t="shared" si="8"/>
        <v>19.450908963191907</v>
      </c>
      <c r="R50" s="39">
        <f t="shared" si="9"/>
        <v>0.32745637985171561</v>
      </c>
      <c r="S50" s="115"/>
      <c r="T50" s="119">
        <f t="shared" si="10"/>
        <v>4.95</v>
      </c>
      <c r="U50" s="131">
        <v>0.16350000000000001</v>
      </c>
      <c r="V50" s="120">
        <f t="shared" si="17"/>
        <v>5.7593250000000005</v>
      </c>
      <c r="W50" s="121">
        <f t="shared" si="11"/>
        <v>0.74250000000000027</v>
      </c>
      <c r="X50" s="121">
        <f t="shared" si="12"/>
        <v>6.6825000000000023E-2</v>
      </c>
      <c r="Y50" s="122">
        <f t="shared" si="13"/>
        <v>0.80932500000000029</v>
      </c>
      <c r="Z50" s="121">
        <f t="shared" si="14"/>
        <v>4.95</v>
      </c>
      <c r="AA50" s="123">
        <f t="shared" si="15"/>
        <v>0.32745637985171561</v>
      </c>
      <c r="AB50" s="124">
        <f t="shared" si="16"/>
        <v>0</v>
      </c>
      <c r="AC50" s="125" t="s">
        <v>226</v>
      </c>
    </row>
    <row r="51" spans="1:29" ht="45" customHeight="1" x14ac:dyDescent="0.25">
      <c r="A51" s="30">
        <v>45</v>
      </c>
      <c r="B51" s="102" t="s">
        <v>56</v>
      </c>
      <c r="C51" s="31">
        <v>1</v>
      </c>
      <c r="D51" s="32" t="s">
        <v>73</v>
      </c>
      <c r="E51" s="31">
        <f t="shared" si="0"/>
        <v>12</v>
      </c>
      <c r="F51" s="96">
        <v>36.5</v>
      </c>
      <c r="G51" s="33">
        <f t="shared" si="1"/>
        <v>3.0416666666666665</v>
      </c>
      <c r="H51" s="34">
        <f t="shared" si="2"/>
        <v>36.5</v>
      </c>
      <c r="I51" s="35"/>
      <c r="J51" s="38">
        <f t="shared" si="18"/>
        <v>3.0416666666666665</v>
      </c>
      <c r="K51" s="38">
        <f t="shared" si="18"/>
        <v>36.5</v>
      </c>
      <c r="L51" s="38">
        <f t="shared" si="19"/>
        <v>3.3290909197340079</v>
      </c>
      <c r="M51" s="38">
        <f t="shared" si="5"/>
        <v>39.949091036808099</v>
      </c>
      <c r="N51" s="37">
        <v>4.95</v>
      </c>
      <c r="O51" s="38">
        <f t="shared" si="6"/>
        <v>59.400000000000006</v>
      </c>
      <c r="P51" s="38">
        <f t="shared" si="7"/>
        <v>1.6209090802659922</v>
      </c>
      <c r="Q51" s="38">
        <f t="shared" si="8"/>
        <v>19.450908963191907</v>
      </c>
      <c r="R51" s="39">
        <f t="shared" si="9"/>
        <v>0.32745637985171561</v>
      </c>
      <c r="S51" s="115"/>
      <c r="T51" s="119">
        <f t="shared" si="10"/>
        <v>4.95</v>
      </c>
      <c r="U51" s="131">
        <v>0.16350000000000001</v>
      </c>
      <c r="V51" s="120">
        <f t="shared" si="17"/>
        <v>5.7593250000000005</v>
      </c>
      <c r="W51" s="121">
        <f t="shared" si="11"/>
        <v>0.74250000000000027</v>
      </c>
      <c r="X51" s="121">
        <f t="shared" si="12"/>
        <v>6.6825000000000023E-2</v>
      </c>
      <c r="Y51" s="122">
        <f t="shared" si="13"/>
        <v>0.80932500000000029</v>
      </c>
      <c r="Z51" s="121">
        <f t="shared" si="14"/>
        <v>4.95</v>
      </c>
      <c r="AA51" s="123">
        <f t="shared" si="15"/>
        <v>0.32745637985171561</v>
      </c>
      <c r="AB51" s="124">
        <f t="shared" si="16"/>
        <v>0</v>
      </c>
      <c r="AC51" s="125" t="s">
        <v>226</v>
      </c>
    </row>
    <row r="52" spans="1:29" ht="45" customHeight="1" x14ac:dyDescent="0.25">
      <c r="A52" s="30">
        <v>46</v>
      </c>
      <c r="B52" s="103" t="s">
        <v>142</v>
      </c>
      <c r="C52" s="31">
        <v>1</v>
      </c>
      <c r="D52" s="32" t="s">
        <v>144</v>
      </c>
      <c r="E52" s="31">
        <f t="shared" si="0"/>
        <v>30</v>
      </c>
      <c r="F52" s="96">
        <v>16.2</v>
      </c>
      <c r="G52" s="33">
        <f t="shared" si="1"/>
        <v>0.53999999999999992</v>
      </c>
      <c r="H52" s="34">
        <f t="shared" si="2"/>
        <v>16.2</v>
      </c>
      <c r="I52" s="35"/>
      <c r="J52" s="38">
        <f t="shared" si="18"/>
        <v>0.53999999999999992</v>
      </c>
      <c r="K52" s="38">
        <f t="shared" si="18"/>
        <v>16.2</v>
      </c>
      <c r="L52" s="38">
        <f t="shared" si="19"/>
        <v>0.5910276482157909</v>
      </c>
      <c r="M52" s="38">
        <f t="shared" si="5"/>
        <v>17.730829446473727</v>
      </c>
      <c r="N52" s="37">
        <v>1.35</v>
      </c>
      <c r="O52" s="38">
        <f t="shared" si="6"/>
        <v>40.5</v>
      </c>
      <c r="P52" s="38">
        <f t="shared" si="7"/>
        <v>0.75897235178420919</v>
      </c>
      <c r="Q52" s="38">
        <f t="shared" si="8"/>
        <v>22.769170553526276</v>
      </c>
      <c r="R52" s="39">
        <f t="shared" si="9"/>
        <v>0.56220174206237716</v>
      </c>
      <c r="S52" s="116"/>
      <c r="T52" s="119">
        <f t="shared" si="10"/>
        <v>1.35</v>
      </c>
      <c r="U52" s="131">
        <v>0.16350000000000001</v>
      </c>
      <c r="V52" s="120">
        <f t="shared" si="17"/>
        <v>1.5707250000000001</v>
      </c>
      <c r="W52" s="121">
        <f t="shared" si="11"/>
        <v>0.20250000000000007</v>
      </c>
      <c r="X52" s="121">
        <f t="shared" si="12"/>
        <v>1.8225000000000005E-2</v>
      </c>
      <c r="Y52" s="122">
        <f t="shared" si="13"/>
        <v>0.22072500000000006</v>
      </c>
      <c r="Z52" s="121">
        <f t="shared" si="14"/>
        <v>1.35</v>
      </c>
      <c r="AA52" s="123">
        <f t="shared" si="15"/>
        <v>0.56220174206237716</v>
      </c>
      <c r="AB52" s="124">
        <f t="shared" si="16"/>
        <v>0</v>
      </c>
      <c r="AC52" s="125" t="s">
        <v>226</v>
      </c>
    </row>
    <row r="53" spans="1:29" ht="45" customHeight="1" x14ac:dyDescent="0.25">
      <c r="A53" s="30">
        <v>47</v>
      </c>
      <c r="B53" s="103" t="s">
        <v>143</v>
      </c>
      <c r="C53" s="31">
        <v>1</v>
      </c>
      <c r="D53" s="32" t="s">
        <v>177</v>
      </c>
      <c r="E53" s="31">
        <f t="shared" si="0"/>
        <v>40</v>
      </c>
      <c r="F53" s="96">
        <v>21.6</v>
      </c>
      <c r="G53" s="33">
        <f t="shared" si="1"/>
        <v>0.54</v>
      </c>
      <c r="H53" s="34">
        <f t="shared" si="2"/>
        <v>21.6</v>
      </c>
      <c r="I53" s="35"/>
      <c r="J53" s="38">
        <f t="shared" si="18"/>
        <v>0.54</v>
      </c>
      <c r="K53" s="38">
        <f t="shared" si="18"/>
        <v>21.6</v>
      </c>
      <c r="L53" s="38">
        <f t="shared" si="19"/>
        <v>0.59102764821579112</v>
      </c>
      <c r="M53" s="38">
        <f t="shared" si="5"/>
        <v>23.641105928631646</v>
      </c>
      <c r="N53" s="37">
        <v>1.35</v>
      </c>
      <c r="O53" s="38">
        <f t="shared" si="6"/>
        <v>54</v>
      </c>
      <c r="P53" s="38">
        <f t="shared" si="7"/>
        <v>0.75897235178420897</v>
      </c>
      <c r="Q53" s="38">
        <f t="shared" si="8"/>
        <v>30.358894071368358</v>
      </c>
      <c r="R53" s="39">
        <f t="shared" si="9"/>
        <v>0.56220174206237694</v>
      </c>
      <c r="S53" s="116"/>
      <c r="T53" s="119">
        <f t="shared" si="10"/>
        <v>1.35</v>
      </c>
      <c r="U53" s="131">
        <v>0.16350000000000001</v>
      </c>
      <c r="V53" s="120">
        <f t="shared" si="17"/>
        <v>1.5707250000000001</v>
      </c>
      <c r="W53" s="121">
        <f t="shared" si="11"/>
        <v>0.20250000000000007</v>
      </c>
      <c r="X53" s="121">
        <f t="shared" si="12"/>
        <v>1.8225000000000005E-2</v>
      </c>
      <c r="Y53" s="122">
        <f t="shared" si="13"/>
        <v>0.22072500000000006</v>
      </c>
      <c r="Z53" s="121">
        <f t="shared" si="14"/>
        <v>1.35</v>
      </c>
      <c r="AA53" s="123">
        <f t="shared" si="15"/>
        <v>0.56220174206237694</v>
      </c>
      <c r="AB53" s="124">
        <f t="shared" si="16"/>
        <v>0</v>
      </c>
      <c r="AC53" s="125" t="s">
        <v>226</v>
      </c>
    </row>
    <row r="54" spans="1:29" ht="45" customHeight="1" x14ac:dyDescent="0.25">
      <c r="A54" s="30">
        <v>48</v>
      </c>
      <c r="B54" s="103" t="s">
        <v>137</v>
      </c>
      <c r="C54" s="31">
        <v>1</v>
      </c>
      <c r="D54" s="32" t="s">
        <v>24</v>
      </c>
      <c r="E54" s="31">
        <f t="shared" si="0"/>
        <v>24</v>
      </c>
      <c r="F54" s="96">
        <v>34.5</v>
      </c>
      <c r="G54" s="33">
        <f t="shared" si="1"/>
        <v>1.4375</v>
      </c>
      <c r="H54" s="34">
        <f t="shared" si="2"/>
        <v>34.5</v>
      </c>
      <c r="I54" s="35"/>
      <c r="J54" s="38">
        <f t="shared" si="18"/>
        <v>1.4375</v>
      </c>
      <c r="K54" s="38">
        <f t="shared" si="18"/>
        <v>34.5</v>
      </c>
      <c r="L54" s="38">
        <f t="shared" si="19"/>
        <v>1.5733374894633325</v>
      </c>
      <c r="M54" s="38">
        <f t="shared" si="5"/>
        <v>37.76009974711998</v>
      </c>
      <c r="N54" s="37">
        <v>2.25</v>
      </c>
      <c r="O54" s="38">
        <f t="shared" si="6"/>
        <v>54</v>
      </c>
      <c r="P54" s="38">
        <f t="shared" si="7"/>
        <v>0.67666251053666748</v>
      </c>
      <c r="Q54" s="38">
        <f t="shared" si="8"/>
        <v>16.23990025288002</v>
      </c>
      <c r="R54" s="39">
        <f t="shared" si="9"/>
        <v>0.30073889357185224</v>
      </c>
      <c r="S54" s="116"/>
      <c r="T54" s="119">
        <f t="shared" si="10"/>
        <v>2.25</v>
      </c>
      <c r="U54" s="131">
        <v>0.16350000000000001</v>
      </c>
      <c r="V54" s="120">
        <f t="shared" si="17"/>
        <v>2.6178750000000002</v>
      </c>
      <c r="W54" s="121">
        <f t="shared" si="11"/>
        <v>0.33750000000000019</v>
      </c>
      <c r="X54" s="121">
        <f t="shared" si="12"/>
        <v>3.0375000000000017E-2</v>
      </c>
      <c r="Y54" s="122">
        <f t="shared" si="13"/>
        <v>0.36787500000000017</v>
      </c>
      <c r="Z54" s="121">
        <f t="shared" si="14"/>
        <v>2.25</v>
      </c>
      <c r="AA54" s="123">
        <f t="shared" si="15"/>
        <v>0.30073889357185224</v>
      </c>
      <c r="AB54" s="124">
        <f t="shared" si="16"/>
        <v>0</v>
      </c>
      <c r="AC54" s="125" t="s">
        <v>226</v>
      </c>
    </row>
    <row r="55" spans="1:29" ht="45" customHeight="1" x14ac:dyDescent="0.25">
      <c r="A55" s="30">
        <v>49</v>
      </c>
      <c r="B55" s="103" t="s">
        <v>57</v>
      </c>
      <c r="C55" s="31">
        <v>1</v>
      </c>
      <c r="D55" s="32" t="s">
        <v>73</v>
      </c>
      <c r="E55" s="31">
        <f t="shared" si="0"/>
        <v>12</v>
      </c>
      <c r="F55" s="96">
        <v>34.5</v>
      </c>
      <c r="G55" s="33">
        <f t="shared" si="1"/>
        <v>2.875</v>
      </c>
      <c r="H55" s="34">
        <f t="shared" si="2"/>
        <v>34.5</v>
      </c>
      <c r="I55" s="35"/>
      <c r="J55" s="38">
        <f t="shared" si="18"/>
        <v>2.875</v>
      </c>
      <c r="K55" s="38">
        <f t="shared" si="18"/>
        <v>34.5</v>
      </c>
      <c r="L55" s="38">
        <f t="shared" si="19"/>
        <v>3.146674978926665</v>
      </c>
      <c r="M55" s="38">
        <f t="shared" si="5"/>
        <v>37.76009974711998</v>
      </c>
      <c r="N55" s="37">
        <v>4.95</v>
      </c>
      <c r="O55" s="38">
        <f t="shared" si="6"/>
        <v>59.400000000000006</v>
      </c>
      <c r="P55" s="38">
        <f t="shared" si="7"/>
        <v>1.8033250210733351</v>
      </c>
      <c r="Q55" s="38">
        <f t="shared" si="8"/>
        <v>21.639900252880022</v>
      </c>
      <c r="R55" s="39">
        <f t="shared" si="9"/>
        <v>0.3643080850653202</v>
      </c>
      <c r="S55" s="116"/>
      <c r="T55" s="119">
        <f t="shared" si="10"/>
        <v>4.95</v>
      </c>
      <c r="U55" s="131">
        <v>0.16350000000000001</v>
      </c>
      <c r="V55" s="120">
        <f t="shared" si="17"/>
        <v>5.7593250000000005</v>
      </c>
      <c r="W55" s="121">
        <f t="shared" si="11"/>
        <v>0.74250000000000027</v>
      </c>
      <c r="X55" s="121">
        <f t="shared" si="12"/>
        <v>6.6825000000000023E-2</v>
      </c>
      <c r="Y55" s="122">
        <f t="shared" si="13"/>
        <v>0.80932500000000029</v>
      </c>
      <c r="Z55" s="121">
        <f t="shared" si="14"/>
        <v>4.95</v>
      </c>
      <c r="AA55" s="123">
        <f t="shared" si="15"/>
        <v>0.3643080850653202</v>
      </c>
      <c r="AB55" s="124">
        <f t="shared" si="16"/>
        <v>0</v>
      </c>
      <c r="AC55" s="125" t="s">
        <v>226</v>
      </c>
    </row>
    <row r="56" spans="1:29" ht="45" customHeight="1" x14ac:dyDescent="0.25">
      <c r="A56" s="30">
        <v>50</v>
      </c>
      <c r="B56" s="100" t="s">
        <v>58</v>
      </c>
      <c r="C56" s="31">
        <v>1</v>
      </c>
      <c r="D56" s="32" t="s">
        <v>73</v>
      </c>
      <c r="E56" s="31">
        <f t="shared" si="0"/>
        <v>12</v>
      </c>
      <c r="F56" s="96">
        <v>34.200000000000003</v>
      </c>
      <c r="G56" s="33">
        <f t="shared" si="1"/>
        <v>2.85</v>
      </c>
      <c r="H56" s="34">
        <f t="shared" si="2"/>
        <v>34.200000000000003</v>
      </c>
      <c r="I56" s="35"/>
      <c r="J56" s="38">
        <f t="shared" si="18"/>
        <v>2.85</v>
      </c>
      <c r="K56" s="38">
        <f t="shared" si="18"/>
        <v>34.200000000000003</v>
      </c>
      <c r="L56" s="38">
        <f t="shared" si="19"/>
        <v>3.1193125878055641</v>
      </c>
      <c r="M56" s="38">
        <f t="shared" si="5"/>
        <v>37.431751053666773</v>
      </c>
      <c r="N56" s="37">
        <v>4.5</v>
      </c>
      <c r="O56" s="38">
        <f t="shared" si="6"/>
        <v>54</v>
      </c>
      <c r="P56" s="38">
        <f t="shared" si="7"/>
        <v>1.3806874121944359</v>
      </c>
      <c r="Q56" s="38">
        <f t="shared" si="8"/>
        <v>16.568248946333231</v>
      </c>
      <c r="R56" s="39">
        <f t="shared" si="9"/>
        <v>0.30681942493209685</v>
      </c>
      <c r="S56" s="113"/>
      <c r="T56" s="119">
        <f t="shared" si="10"/>
        <v>4.5</v>
      </c>
      <c r="U56" s="131">
        <v>0.16350000000000001</v>
      </c>
      <c r="V56" s="120">
        <f t="shared" si="17"/>
        <v>5.2357500000000003</v>
      </c>
      <c r="W56" s="121">
        <f t="shared" si="11"/>
        <v>0.67500000000000038</v>
      </c>
      <c r="X56" s="121">
        <f t="shared" si="12"/>
        <v>6.0750000000000033E-2</v>
      </c>
      <c r="Y56" s="122">
        <f t="shared" si="13"/>
        <v>0.73575000000000035</v>
      </c>
      <c r="Z56" s="121">
        <f t="shared" si="14"/>
        <v>4.5</v>
      </c>
      <c r="AA56" s="123">
        <f t="shared" si="15"/>
        <v>0.30681942493209685</v>
      </c>
      <c r="AB56" s="124">
        <f t="shared" si="16"/>
        <v>0</v>
      </c>
      <c r="AC56" s="125" t="s">
        <v>226</v>
      </c>
    </row>
    <row r="57" spans="1:29" ht="45" customHeight="1" x14ac:dyDescent="0.25">
      <c r="A57" s="30">
        <v>51</v>
      </c>
      <c r="B57" s="100" t="s">
        <v>154</v>
      </c>
      <c r="C57" s="31">
        <v>1</v>
      </c>
      <c r="D57" s="32" t="s">
        <v>24</v>
      </c>
      <c r="E57" s="31">
        <f t="shared" si="0"/>
        <v>24</v>
      </c>
      <c r="F57" s="96">
        <v>54.5</v>
      </c>
      <c r="G57" s="33">
        <f t="shared" si="1"/>
        <v>2.2708333333333335</v>
      </c>
      <c r="H57" s="34">
        <f t="shared" si="2"/>
        <v>54.5</v>
      </c>
      <c r="I57" s="35"/>
      <c r="J57" s="38">
        <f t="shared" si="18"/>
        <v>2.2708333333333335</v>
      </c>
      <c r="K57" s="38">
        <f t="shared" si="18"/>
        <v>54.5</v>
      </c>
      <c r="L57" s="38">
        <f t="shared" si="19"/>
        <v>2.4854171935000475</v>
      </c>
      <c r="M57" s="38">
        <f t="shared" si="5"/>
        <v>59.650012644001137</v>
      </c>
      <c r="N57" s="37">
        <v>2.95</v>
      </c>
      <c r="O57" s="38">
        <f t="shared" si="6"/>
        <v>70.800000000000011</v>
      </c>
      <c r="P57" s="38">
        <f t="shared" si="7"/>
        <v>0.46458280649995265</v>
      </c>
      <c r="Q57" s="38">
        <f t="shared" si="8"/>
        <v>11.149987355998864</v>
      </c>
      <c r="R57" s="99">
        <f t="shared" si="9"/>
        <v>0.157485697118628</v>
      </c>
      <c r="S57" s="114"/>
      <c r="T57" s="119">
        <f t="shared" si="10"/>
        <v>2.95</v>
      </c>
      <c r="U57" s="131">
        <v>0.16350000000000001</v>
      </c>
      <c r="V57" s="120">
        <f t="shared" si="17"/>
        <v>3.4323250000000001</v>
      </c>
      <c r="W57" s="121">
        <f t="shared" si="11"/>
        <v>0.44249999999999995</v>
      </c>
      <c r="X57" s="121">
        <f t="shared" si="12"/>
        <v>3.9824999999999992E-2</v>
      </c>
      <c r="Y57" s="122">
        <f t="shared" si="13"/>
        <v>0.48232499999999989</v>
      </c>
      <c r="Z57" s="121">
        <f t="shared" si="14"/>
        <v>2.95</v>
      </c>
      <c r="AA57" s="123">
        <f t="shared" si="15"/>
        <v>0.157485697118628</v>
      </c>
      <c r="AB57" s="124">
        <f t="shared" si="16"/>
        <v>0</v>
      </c>
      <c r="AC57" s="125" t="s">
        <v>226</v>
      </c>
    </row>
    <row r="58" spans="1:29" ht="45" customHeight="1" x14ac:dyDescent="0.25">
      <c r="A58" s="30">
        <v>52</v>
      </c>
      <c r="B58" s="100" t="s">
        <v>155</v>
      </c>
      <c r="C58" s="31">
        <v>1</v>
      </c>
      <c r="D58" s="32" t="s">
        <v>24</v>
      </c>
      <c r="E58" s="31">
        <f t="shared" si="0"/>
        <v>24</v>
      </c>
      <c r="F58" s="96">
        <v>54.5</v>
      </c>
      <c r="G58" s="33">
        <f t="shared" si="1"/>
        <v>2.2708333333333335</v>
      </c>
      <c r="H58" s="34">
        <f t="shared" si="2"/>
        <v>54.5</v>
      </c>
      <c r="I58" s="35"/>
      <c r="J58" s="38">
        <f t="shared" si="18"/>
        <v>2.2708333333333335</v>
      </c>
      <c r="K58" s="38">
        <f t="shared" si="18"/>
        <v>54.5</v>
      </c>
      <c r="L58" s="38">
        <f t="shared" si="19"/>
        <v>2.4854171935000475</v>
      </c>
      <c r="M58" s="38">
        <f t="shared" si="5"/>
        <v>59.650012644001137</v>
      </c>
      <c r="N58" s="37">
        <v>2.95</v>
      </c>
      <c r="O58" s="38">
        <f t="shared" si="6"/>
        <v>70.800000000000011</v>
      </c>
      <c r="P58" s="38">
        <f t="shared" si="7"/>
        <v>0.46458280649995265</v>
      </c>
      <c r="Q58" s="38">
        <f t="shared" si="8"/>
        <v>11.149987355998864</v>
      </c>
      <c r="R58" s="39">
        <f t="shared" si="9"/>
        <v>0.157485697118628</v>
      </c>
      <c r="S58" s="114"/>
      <c r="T58" s="119">
        <f t="shared" si="10"/>
        <v>2.95</v>
      </c>
      <c r="U58" s="131">
        <v>0.16350000000000001</v>
      </c>
      <c r="V58" s="120">
        <f t="shared" si="17"/>
        <v>3.4323250000000001</v>
      </c>
      <c r="W58" s="121">
        <f t="shared" si="11"/>
        <v>0.44249999999999995</v>
      </c>
      <c r="X58" s="121">
        <f t="shared" si="12"/>
        <v>3.9824999999999992E-2</v>
      </c>
      <c r="Y58" s="122">
        <f t="shared" si="13"/>
        <v>0.48232499999999989</v>
      </c>
      <c r="Z58" s="121">
        <f t="shared" si="14"/>
        <v>2.95</v>
      </c>
      <c r="AA58" s="123">
        <f t="shared" si="15"/>
        <v>0.157485697118628</v>
      </c>
      <c r="AB58" s="124">
        <f t="shared" si="16"/>
        <v>0</v>
      </c>
      <c r="AC58" s="125" t="s">
        <v>226</v>
      </c>
    </row>
    <row r="59" spans="1:29" ht="45" customHeight="1" x14ac:dyDescent="0.25">
      <c r="A59" s="30">
        <v>53</v>
      </c>
      <c r="B59" s="100" t="s">
        <v>196</v>
      </c>
      <c r="C59" s="31">
        <v>1</v>
      </c>
      <c r="D59" s="32" t="s">
        <v>73</v>
      </c>
      <c r="E59" s="31">
        <f t="shared" si="0"/>
        <v>12</v>
      </c>
      <c r="F59" s="96">
        <v>34.200000000000003</v>
      </c>
      <c r="G59" s="33">
        <f t="shared" si="1"/>
        <v>2.85</v>
      </c>
      <c r="H59" s="34">
        <f t="shared" si="2"/>
        <v>34.200000000000003</v>
      </c>
      <c r="I59" s="35"/>
      <c r="J59" s="38">
        <f t="shared" si="18"/>
        <v>2.85</v>
      </c>
      <c r="K59" s="38">
        <f t="shared" si="18"/>
        <v>34.200000000000003</v>
      </c>
      <c r="L59" s="38">
        <f t="shared" si="19"/>
        <v>3.1193125878055641</v>
      </c>
      <c r="M59" s="38">
        <f t="shared" si="5"/>
        <v>37.431751053666773</v>
      </c>
      <c r="N59" s="37">
        <v>4.5</v>
      </c>
      <c r="O59" s="38">
        <f t="shared" si="6"/>
        <v>54</v>
      </c>
      <c r="P59" s="38">
        <f t="shared" si="7"/>
        <v>1.3806874121944359</v>
      </c>
      <c r="Q59" s="38">
        <f t="shared" si="8"/>
        <v>16.568248946333231</v>
      </c>
      <c r="R59" s="39">
        <f t="shared" si="9"/>
        <v>0.30681942493209685</v>
      </c>
      <c r="S59" s="114"/>
      <c r="T59" s="119">
        <f t="shared" si="10"/>
        <v>4.5</v>
      </c>
      <c r="U59" s="131">
        <v>0.16350000000000001</v>
      </c>
      <c r="V59" s="120">
        <f t="shared" si="17"/>
        <v>5.2357500000000003</v>
      </c>
      <c r="W59" s="121">
        <f t="shared" si="11"/>
        <v>0.67500000000000038</v>
      </c>
      <c r="X59" s="121">
        <f t="shared" si="12"/>
        <v>6.0750000000000033E-2</v>
      </c>
      <c r="Y59" s="122">
        <f t="shared" si="13"/>
        <v>0.73575000000000035</v>
      </c>
      <c r="Z59" s="121">
        <f t="shared" si="14"/>
        <v>4.5</v>
      </c>
      <c r="AA59" s="123">
        <f t="shared" si="15"/>
        <v>0.30681942493209685</v>
      </c>
      <c r="AB59" s="124">
        <f t="shared" si="16"/>
        <v>0</v>
      </c>
      <c r="AC59" s="125" t="s">
        <v>226</v>
      </c>
    </row>
    <row r="60" spans="1:29" ht="45" customHeight="1" x14ac:dyDescent="0.25">
      <c r="A60" s="30">
        <v>54</v>
      </c>
      <c r="B60" s="100" t="s">
        <v>59</v>
      </c>
      <c r="C60" s="31">
        <v>1</v>
      </c>
      <c r="D60" s="32" t="s">
        <v>73</v>
      </c>
      <c r="E60" s="31">
        <f t="shared" si="0"/>
        <v>12</v>
      </c>
      <c r="F60" s="96">
        <v>34.200000000000003</v>
      </c>
      <c r="G60" s="33">
        <f t="shared" si="1"/>
        <v>2.85</v>
      </c>
      <c r="H60" s="34">
        <f t="shared" si="2"/>
        <v>34.200000000000003</v>
      </c>
      <c r="I60" s="35"/>
      <c r="J60" s="38">
        <f t="shared" si="18"/>
        <v>2.85</v>
      </c>
      <c r="K60" s="38">
        <f t="shared" si="18"/>
        <v>34.200000000000003</v>
      </c>
      <c r="L60" s="38">
        <f t="shared" si="19"/>
        <v>3.1193125878055641</v>
      </c>
      <c r="M60" s="38">
        <f t="shared" si="5"/>
        <v>37.431751053666773</v>
      </c>
      <c r="N60" s="37">
        <v>4.5</v>
      </c>
      <c r="O60" s="38">
        <f t="shared" si="6"/>
        <v>54</v>
      </c>
      <c r="P60" s="38">
        <f t="shared" si="7"/>
        <v>1.3806874121944359</v>
      </c>
      <c r="Q60" s="38">
        <f t="shared" si="8"/>
        <v>16.568248946333231</v>
      </c>
      <c r="R60" s="39">
        <f t="shared" si="9"/>
        <v>0.30681942493209685</v>
      </c>
      <c r="S60" s="114"/>
      <c r="T60" s="119">
        <f t="shared" si="10"/>
        <v>4.5</v>
      </c>
      <c r="U60" s="131">
        <v>0.16350000000000001</v>
      </c>
      <c r="V60" s="120">
        <f t="shared" si="17"/>
        <v>5.2357500000000003</v>
      </c>
      <c r="W60" s="121">
        <f t="shared" si="11"/>
        <v>0.67500000000000038</v>
      </c>
      <c r="X60" s="121">
        <f t="shared" si="12"/>
        <v>6.0750000000000033E-2</v>
      </c>
      <c r="Y60" s="122">
        <f t="shared" si="13"/>
        <v>0.73575000000000035</v>
      </c>
      <c r="Z60" s="121">
        <f t="shared" si="14"/>
        <v>4.5</v>
      </c>
      <c r="AA60" s="123">
        <f t="shared" si="15"/>
        <v>0.30681942493209685</v>
      </c>
      <c r="AB60" s="124">
        <f t="shared" si="16"/>
        <v>0</v>
      </c>
      <c r="AC60" s="125" t="s">
        <v>226</v>
      </c>
    </row>
    <row r="61" spans="1:29" ht="45" customHeight="1" x14ac:dyDescent="0.25">
      <c r="A61" s="30">
        <v>55</v>
      </c>
      <c r="B61" s="100" t="s">
        <v>176</v>
      </c>
      <c r="C61" s="31">
        <v>1</v>
      </c>
      <c r="D61" s="32" t="s">
        <v>24</v>
      </c>
      <c r="E61" s="31">
        <f t="shared" si="0"/>
        <v>24</v>
      </c>
      <c r="F61" s="96">
        <v>22.5</v>
      </c>
      <c r="G61" s="33">
        <f t="shared" si="1"/>
        <v>0.9375</v>
      </c>
      <c r="H61" s="34">
        <f t="shared" si="2"/>
        <v>22.5</v>
      </c>
      <c r="I61" s="35"/>
      <c r="J61" s="38">
        <f t="shared" si="18"/>
        <v>0.9375</v>
      </c>
      <c r="K61" s="38">
        <f t="shared" si="18"/>
        <v>22.5</v>
      </c>
      <c r="L61" s="38">
        <f t="shared" si="19"/>
        <v>1.0260896670413038</v>
      </c>
      <c r="M61" s="38">
        <f t="shared" si="5"/>
        <v>24.626152008991291</v>
      </c>
      <c r="N61" s="37"/>
      <c r="O61" s="38">
        <f t="shared" si="6"/>
        <v>0</v>
      </c>
      <c r="P61" s="38">
        <f t="shared" si="7"/>
        <v>-1.0260896670413038</v>
      </c>
      <c r="Q61" s="38">
        <f t="shared" si="8"/>
        <v>-24.626152008991291</v>
      </c>
      <c r="R61" s="39" t="e">
        <f t="shared" si="9"/>
        <v>#DIV/0!</v>
      </c>
      <c r="S61" s="115"/>
      <c r="T61" s="119">
        <f t="shared" si="10"/>
        <v>0</v>
      </c>
      <c r="U61" s="131">
        <v>0.16350000000000001</v>
      </c>
      <c r="V61" s="120">
        <f t="shared" si="17"/>
        <v>0</v>
      </c>
      <c r="W61" s="121">
        <f t="shared" si="11"/>
        <v>0</v>
      </c>
      <c r="X61" s="121">
        <f t="shared" si="12"/>
        <v>0</v>
      </c>
      <c r="Y61" s="122">
        <f t="shared" si="13"/>
        <v>0</v>
      </c>
      <c r="Z61" s="121">
        <f t="shared" si="14"/>
        <v>0</v>
      </c>
      <c r="AA61" s="123" t="e">
        <f t="shared" si="15"/>
        <v>#DIV/0!</v>
      </c>
      <c r="AB61" s="124" t="e">
        <f t="shared" si="16"/>
        <v>#DIV/0!</v>
      </c>
      <c r="AC61" s="125" t="s">
        <v>226</v>
      </c>
    </row>
    <row r="62" spans="1:29" ht="45" customHeight="1" x14ac:dyDescent="0.25">
      <c r="A62" s="30">
        <v>56</v>
      </c>
      <c r="B62" s="100" t="s">
        <v>60</v>
      </c>
      <c r="C62" s="31">
        <v>1</v>
      </c>
      <c r="D62" s="32" t="s">
        <v>157</v>
      </c>
      <c r="E62" s="31">
        <f t="shared" si="0"/>
        <v>60</v>
      </c>
      <c r="F62" s="96">
        <v>28</v>
      </c>
      <c r="G62" s="33">
        <f t="shared" si="1"/>
        <v>0.46666666666666667</v>
      </c>
      <c r="H62" s="34">
        <f t="shared" si="2"/>
        <v>28</v>
      </c>
      <c r="I62" s="35"/>
      <c r="J62" s="38">
        <f t="shared" si="18"/>
        <v>0.46666666666666667</v>
      </c>
      <c r="K62" s="38">
        <f t="shared" si="18"/>
        <v>28</v>
      </c>
      <c r="L62" s="38">
        <f t="shared" si="19"/>
        <v>0.51076463426056018</v>
      </c>
      <c r="M62" s="38">
        <f t="shared" si="5"/>
        <v>30.645878055633609</v>
      </c>
      <c r="N62" s="37">
        <v>0.85</v>
      </c>
      <c r="O62" s="38">
        <f t="shared" si="6"/>
        <v>51</v>
      </c>
      <c r="P62" s="38">
        <f t="shared" si="7"/>
        <v>0.3392353657394398</v>
      </c>
      <c r="Q62" s="38">
        <f t="shared" si="8"/>
        <v>20.354121944366387</v>
      </c>
      <c r="R62" s="39">
        <f t="shared" si="9"/>
        <v>0.3991004302816939</v>
      </c>
      <c r="S62" s="115"/>
      <c r="T62" s="119">
        <f t="shared" si="10"/>
        <v>0.85</v>
      </c>
      <c r="U62" s="131">
        <v>0.16350000000000001</v>
      </c>
      <c r="V62" s="120">
        <f t="shared" si="17"/>
        <v>0.98897499999999994</v>
      </c>
      <c r="W62" s="121">
        <f t="shared" si="11"/>
        <v>0.12749999999999997</v>
      </c>
      <c r="X62" s="121">
        <f t="shared" si="12"/>
        <v>1.1474999999999997E-2</v>
      </c>
      <c r="Y62" s="122">
        <f t="shared" si="13"/>
        <v>0.13897499999999996</v>
      </c>
      <c r="Z62" s="121">
        <f t="shared" si="14"/>
        <v>0.85</v>
      </c>
      <c r="AA62" s="123">
        <f t="shared" si="15"/>
        <v>0.3991004302816939</v>
      </c>
      <c r="AB62" s="124">
        <f t="shared" si="16"/>
        <v>0</v>
      </c>
      <c r="AC62" s="125" t="s">
        <v>226</v>
      </c>
    </row>
    <row r="63" spans="1:29" ht="45" customHeight="1" x14ac:dyDescent="0.25">
      <c r="A63" s="30">
        <v>57</v>
      </c>
      <c r="B63" s="101" t="s">
        <v>61</v>
      </c>
      <c r="C63" s="31">
        <v>1</v>
      </c>
      <c r="D63" s="32" t="s">
        <v>136</v>
      </c>
      <c r="E63" s="31">
        <f t="shared" si="0"/>
        <v>10</v>
      </c>
      <c r="F63" s="96">
        <v>8.5</v>
      </c>
      <c r="G63" s="33">
        <f t="shared" si="1"/>
        <v>0.85</v>
      </c>
      <c r="H63" s="34">
        <f t="shared" si="2"/>
        <v>8.5</v>
      </c>
      <c r="I63" s="35"/>
      <c r="J63" s="38">
        <f t="shared" si="18"/>
        <v>0.85</v>
      </c>
      <c r="K63" s="38">
        <f t="shared" si="18"/>
        <v>8.5</v>
      </c>
      <c r="L63" s="38">
        <f t="shared" si="19"/>
        <v>0.93032129811744879</v>
      </c>
      <c r="M63" s="38">
        <f t="shared" si="5"/>
        <v>9.3032129811744877</v>
      </c>
      <c r="N63" s="37">
        <v>1.5</v>
      </c>
      <c r="O63" s="38">
        <f t="shared" si="6"/>
        <v>15</v>
      </c>
      <c r="P63" s="38">
        <f t="shared" si="7"/>
        <v>0.56967870188255121</v>
      </c>
      <c r="Q63" s="38">
        <f t="shared" si="8"/>
        <v>5.6967870188255123</v>
      </c>
      <c r="R63" s="39">
        <f t="shared" si="9"/>
        <v>0.37978580125503414</v>
      </c>
      <c r="S63" s="115"/>
      <c r="T63" s="119">
        <f t="shared" si="10"/>
        <v>1.5</v>
      </c>
      <c r="U63" s="131">
        <v>0.16350000000000001</v>
      </c>
      <c r="V63" s="120">
        <f t="shared" si="17"/>
        <v>1.74525</v>
      </c>
      <c r="W63" s="121">
        <f t="shared" si="11"/>
        <v>0.22499999999999998</v>
      </c>
      <c r="X63" s="121">
        <f t="shared" si="12"/>
        <v>2.0249999999999997E-2</v>
      </c>
      <c r="Y63" s="122">
        <f t="shared" si="13"/>
        <v>0.24524999999999997</v>
      </c>
      <c r="Z63" s="121">
        <f t="shared" si="14"/>
        <v>1.5</v>
      </c>
      <c r="AA63" s="123">
        <f t="shared" si="15"/>
        <v>0.37978580125503414</v>
      </c>
      <c r="AB63" s="124">
        <f t="shared" si="16"/>
        <v>0</v>
      </c>
      <c r="AC63" s="125">
        <v>1.5</v>
      </c>
    </row>
    <row r="64" spans="1:29" ht="45" customHeight="1" x14ac:dyDescent="0.25">
      <c r="A64" s="30">
        <v>58</v>
      </c>
      <c r="B64" s="103" t="s">
        <v>62</v>
      </c>
      <c r="C64" s="31">
        <v>1</v>
      </c>
      <c r="D64" s="32" t="s">
        <v>136</v>
      </c>
      <c r="E64" s="31">
        <f t="shared" si="0"/>
        <v>10</v>
      </c>
      <c r="F64" s="96">
        <v>13.5</v>
      </c>
      <c r="G64" s="33">
        <f t="shared" si="1"/>
        <v>1.35</v>
      </c>
      <c r="H64" s="34">
        <f t="shared" si="2"/>
        <v>13.5</v>
      </c>
      <c r="I64" s="35"/>
      <c r="J64" s="38">
        <f t="shared" si="18"/>
        <v>1.35</v>
      </c>
      <c r="K64" s="38">
        <f t="shared" si="18"/>
        <v>13.5</v>
      </c>
      <c r="L64" s="38">
        <f t="shared" si="19"/>
        <v>1.4775691205394776</v>
      </c>
      <c r="M64" s="38">
        <f t="shared" si="5"/>
        <v>14.775691205394777</v>
      </c>
      <c r="N64" s="37">
        <v>1.95</v>
      </c>
      <c r="O64" s="38">
        <f t="shared" si="6"/>
        <v>19.5</v>
      </c>
      <c r="P64" s="38">
        <f t="shared" si="7"/>
        <v>0.47243087946052231</v>
      </c>
      <c r="Q64" s="38">
        <f t="shared" si="8"/>
        <v>4.7243087946052231</v>
      </c>
      <c r="R64" s="39">
        <f t="shared" si="9"/>
        <v>0.24227224587719093</v>
      </c>
      <c r="S64" s="116"/>
      <c r="T64" s="119">
        <f t="shared" si="10"/>
        <v>1.95</v>
      </c>
      <c r="U64" s="131">
        <v>0.16350000000000001</v>
      </c>
      <c r="V64" s="120">
        <f t="shared" si="17"/>
        <v>2.2688250000000001</v>
      </c>
      <c r="W64" s="121">
        <f t="shared" si="11"/>
        <v>0.29250000000000015</v>
      </c>
      <c r="X64" s="121">
        <f t="shared" si="12"/>
        <v>2.6325000000000012E-2</v>
      </c>
      <c r="Y64" s="122">
        <f t="shared" si="13"/>
        <v>0.31882500000000014</v>
      </c>
      <c r="Z64" s="121">
        <f t="shared" si="14"/>
        <v>1.95</v>
      </c>
      <c r="AA64" s="123">
        <f t="shared" si="15"/>
        <v>0.24227224587719093</v>
      </c>
      <c r="AB64" s="124">
        <f t="shared" si="16"/>
        <v>0</v>
      </c>
      <c r="AC64" s="125">
        <v>1.5</v>
      </c>
    </row>
    <row r="65" spans="1:29" ht="45" customHeight="1" x14ac:dyDescent="0.25">
      <c r="A65" s="30">
        <v>59</v>
      </c>
      <c r="B65" s="100" t="s">
        <v>63</v>
      </c>
      <c r="C65" s="31">
        <v>1</v>
      </c>
      <c r="D65" s="32" t="s">
        <v>157</v>
      </c>
      <c r="E65" s="31">
        <f t="shared" si="0"/>
        <v>60</v>
      </c>
      <c r="F65" s="96">
        <v>34</v>
      </c>
      <c r="G65" s="33">
        <f t="shared" si="1"/>
        <v>0.56666666666666665</v>
      </c>
      <c r="H65" s="34">
        <f t="shared" si="2"/>
        <v>34</v>
      </c>
      <c r="I65" s="35"/>
      <c r="J65" s="38">
        <f t="shared" si="18"/>
        <v>0.56666666666666665</v>
      </c>
      <c r="K65" s="38">
        <f t="shared" si="18"/>
        <v>34</v>
      </c>
      <c r="L65" s="38">
        <f t="shared" si="19"/>
        <v>0.62021419874496586</v>
      </c>
      <c r="M65" s="38">
        <f t="shared" si="5"/>
        <v>37.212851924697951</v>
      </c>
      <c r="N65" s="37">
        <v>0.85</v>
      </c>
      <c r="O65" s="38">
        <f t="shared" si="6"/>
        <v>51</v>
      </c>
      <c r="P65" s="38">
        <f t="shared" si="7"/>
        <v>0.22978580125503412</v>
      </c>
      <c r="Q65" s="38">
        <f t="shared" si="8"/>
        <v>13.787148075302047</v>
      </c>
      <c r="R65" s="39">
        <f t="shared" si="9"/>
        <v>0.2703362367706284</v>
      </c>
      <c r="S65" s="113"/>
      <c r="T65" s="119">
        <f t="shared" si="10"/>
        <v>0.85</v>
      </c>
      <c r="U65" s="131">
        <v>0.16350000000000001</v>
      </c>
      <c r="V65" s="120">
        <f t="shared" si="17"/>
        <v>0.98897499999999994</v>
      </c>
      <c r="W65" s="121">
        <f t="shared" si="11"/>
        <v>0.12749999999999997</v>
      </c>
      <c r="X65" s="121">
        <f t="shared" si="12"/>
        <v>1.1474999999999997E-2</v>
      </c>
      <c r="Y65" s="122">
        <f t="shared" si="13"/>
        <v>0.13897499999999996</v>
      </c>
      <c r="Z65" s="121">
        <f t="shared" si="14"/>
        <v>0.85</v>
      </c>
      <c r="AA65" s="123">
        <f t="shared" si="15"/>
        <v>0.2703362367706284</v>
      </c>
      <c r="AB65" s="124">
        <f t="shared" si="16"/>
        <v>0</v>
      </c>
      <c r="AC65" s="125" t="s">
        <v>226</v>
      </c>
    </row>
    <row r="66" spans="1:29" ht="45" customHeight="1" x14ac:dyDescent="0.25">
      <c r="A66" s="30">
        <v>60</v>
      </c>
      <c r="B66" s="100" t="s">
        <v>64</v>
      </c>
      <c r="C66" s="31">
        <v>1</v>
      </c>
      <c r="D66" s="32" t="s">
        <v>144</v>
      </c>
      <c r="E66" s="31">
        <f t="shared" si="0"/>
        <v>30</v>
      </c>
      <c r="F66" s="96">
        <v>37</v>
      </c>
      <c r="G66" s="33">
        <f t="shared" si="1"/>
        <v>1.2333333333333334</v>
      </c>
      <c r="H66" s="34">
        <f t="shared" si="2"/>
        <v>37</v>
      </c>
      <c r="I66" s="35"/>
      <c r="J66" s="38">
        <f t="shared" si="18"/>
        <v>1.2333333333333334</v>
      </c>
      <c r="K66" s="38">
        <f t="shared" si="18"/>
        <v>37</v>
      </c>
      <c r="L66" s="38">
        <f t="shared" si="19"/>
        <v>1.3498779619743375</v>
      </c>
      <c r="M66" s="38">
        <f t="shared" si="5"/>
        <v>40.496338859230129</v>
      </c>
      <c r="N66" s="37">
        <v>1.95</v>
      </c>
      <c r="O66" s="38">
        <f t="shared" si="6"/>
        <v>58.5</v>
      </c>
      <c r="P66" s="38">
        <f t="shared" si="7"/>
        <v>0.60012203802566244</v>
      </c>
      <c r="Q66" s="38">
        <f t="shared" si="8"/>
        <v>18.003661140769871</v>
      </c>
      <c r="R66" s="39">
        <f t="shared" si="9"/>
        <v>0.3077548912952115</v>
      </c>
      <c r="S66" s="114"/>
      <c r="T66" s="119">
        <f t="shared" si="10"/>
        <v>1.95</v>
      </c>
      <c r="U66" s="131">
        <v>0.16350000000000001</v>
      </c>
      <c r="V66" s="120">
        <f t="shared" si="17"/>
        <v>2.2688250000000001</v>
      </c>
      <c r="W66" s="121">
        <f t="shared" si="11"/>
        <v>0.29250000000000015</v>
      </c>
      <c r="X66" s="121">
        <f t="shared" si="12"/>
        <v>2.6325000000000012E-2</v>
      </c>
      <c r="Y66" s="122">
        <f t="shared" si="13"/>
        <v>0.31882500000000014</v>
      </c>
      <c r="Z66" s="121">
        <f t="shared" si="14"/>
        <v>1.95</v>
      </c>
      <c r="AA66" s="123">
        <f t="shared" si="15"/>
        <v>0.3077548912952115</v>
      </c>
      <c r="AB66" s="124">
        <f t="shared" si="16"/>
        <v>0</v>
      </c>
      <c r="AC66" s="125" t="s">
        <v>226</v>
      </c>
    </row>
    <row r="67" spans="1:29" ht="45" customHeight="1" x14ac:dyDescent="0.25">
      <c r="A67" s="30">
        <v>61</v>
      </c>
      <c r="B67" s="100" t="s">
        <v>147</v>
      </c>
      <c r="C67" s="31">
        <v>1</v>
      </c>
      <c r="D67" s="32" t="s">
        <v>144</v>
      </c>
      <c r="E67" s="31">
        <f t="shared" si="0"/>
        <v>30</v>
      </c>
      <c r="F67" s="96">
        <v>37</v>
      </c>
      <c r="G67" s="33">
        <f t="shared" si="1"/>
        <v>1.2333333333333334</v>
      </c>
      <c r="H67" s="34">
        <f t="shared" si="2"/>
        <v>37</v>
      </c>
      <c r="I67" s="35"/>
      <c r="J67" s="38">
        <f t="shared" si="18"/>
        <v>1.2333333333333334</v>
      </c>
      <c r="K67" s="38">
        <f t="shared" si="18"/>
        <v>37</v>
      </c>
      <c r="L67" s="38">
        <f t="shared" si="19"/>
        <v>1.3498779619743375</v>
      </c>
      <c r="M67" s="38">
        <f t="shared" si="5"/>
        <v>40.496338859230129</v>
      </c>
      <c r="N67" s="37">
        <v>1.95</v>
      </c>
      <c r="O67" s="38">
        <f t="shared" si="6"/>
        <v>58.5</v>
      </c>
      <c r="P67" s="38">
        <f t="shared" si="7"/>
        <v>0.60012203802566244</v>
      </c>
      <c r="Q67" s="38">
        <f t="shared" si="8"/>
        <v>18.003661140769871</v>
      </c>
      <c r="R67" s="39">
        <f t="shared" si="9"/>
        <v>0.3077548912952115</v>
      </c>
      <c r="S67" s="115"/>
      <c r="T67" s="119">
        <f t="shared" si="10"/>
        <v>1.95</v>
      </c>
      <c r="U67" s="131">
        <v>0.16350000000000001</v>
      </c>
      <c r="V67" s="120">
        <f t="shared" si="17"/>
        <v>2.2688250000000001</v>
      </c>
      <c r="W67" s="121">
        <f t="shared" si="11"/>
        <v>0.29250000000000015</v>
      </c>
      <c r="X67" s="121">
        <f t="shared" si="12"/>
        <v>2.6325000000000012E-2</v>
      </c>
      <c r="Y67" s="122">
        <f t="shared" si="13"/>
        <v>0.31882500000000014</v>
      </c>
      <c r="Z67" s="121">
        <f t="shared" si="14"/>
        <v>1.95</v>
      </c>
      <c r="AA67" s="123">
        <f t="shared" si="15"/>
        <v>0.3077548912952115</v>
      </c>
      <c r="AB67" s="124">
        <f t="shared" si="16"/>
        <v>0</v>
      </c>
      <c r="AC67" s="125" t="s">
        <v>226</v>
      </c>
    </row>
    <row r="68" spans="1:29" ht="45" customHeight="1" x14ac:dyDescent="0.25">
      <c r="A68" s="30">
        <v>62</v>
      </c>
      <c r="B68" s="100" t="s">
        <v>65</v>
      </c>
      <c r="C68" s="31">
        <v>1</v>
      </c>
      <c r="D68" s="32" t="s">
        <v>144</v>
      </c>
      <c r="E68" s="31">
        <f t="shared" si="0"/>
        <v>30</v>
      </c>
      <c r="F68" s="96">
        <v>37</v>
      </c>
      <c r="G68" s="33">
        <f t="shared" si="1"/>
        <v>1.2333333333333334</v>
      </c>
      <c r="H68" s="34">
        <f t="shared" si="2"/>
        <v>37</v>
      </c>
      <c r="I68" s="35"/>
      <c r="J68" s="38">
        <f t="shared" si="18"/>
        <v>1.2333333333333334</v>
      </c>
      <c r="K68" s="38">
        <f t="shared" si="18"/>
        <v>37</v>
      </c>
      <c r="L68" s="38">
        <f t="shared" si="19"/>
        <v>1.3498779619743375</v>
      </c>
      <c r="M68" s="38">
        <f t="shared" si="5"/>
        <v>40.496338859230129</v>
      </c>
      <c r="N68" s="37">
        <v>1.95</v>
      </c>
      <c r="O68" s="38">
        <f t="shared" si="6"/>
        <v>58.5</v>
      </c>
      <c r="P68" s="38">
        <f t="shared" si="7"/>
        <v>0.60012203802566244</v>
      </c>
      <c r="Q68" s="38">
        <f t="shared" si="8"/>
        <v>18.003661140769871</v>
      </c>
      <c r="R68" s="39">
        <f t="shared" si="9"/>
        <v>0.3077548912952115</v>
      </c>
      <c r="S68" s="115"/>
      <c r="T68" s="119">
        <f t="shared" si="10"/>
        <v>1.95</v>
      </c>
      <c r="U68" s="131">
        <v>0.16350000000000001</v>
      </c>
      <c r="V68" s="120">
        <f t="shared" si="17"/>
        <v>2.2688250000000001</v>
      </c>
      <c r="W68" s="121">
        <f t="shared" si="11"/>
        <v>0.29250000000000015</v>
      </c>
      <c r="X68" s="121">
        <f t="shared" si="12"/>
        <v>2.6325000000000012E-2</v>
      </c>
      <c r="Y68" s="122">
        <f t="shared" si="13"/>
        <v>0.31882500000000014</v>
      </c>
      <c r="Z68" s="121">
        <f t="shared" si="14"/>
        <v>1.95</v>
      </c>
      <c r="AA68" s="123">
        <f t="shared" si="15"/>
        <v>0.3077548912952115</v>
      </c>
      <c r="AB68" s="124">
        <f t="shared" si="16"/>
        <v>0</v>
      </c>
      <c r="AC68" s="125" t="s">
        <v>226</v>
      </c>
    </row>
    <row r="69" spans="1:29" ht="45" customHeight="1" x14ac:dyDescent="0.25">
      <c r="A69" s="30">
        <v>63</v>
      </c>
      <c r="B69" s="101" t="s">
        <v>66</v>
      </c>
      <c r="C69" s="31">
        <v>1</v>
      </c>
      <c r="D69" s="32" t="s">
        <v>144</v>
      </c>
      <c r="E69" s="31">
        <f t="shared" si="0"/>
        <v>30</v>
      </c>
      <c r="F69" s="96">
        <v>37</v>
      </c>
      <c r="G69" s="33">
        <f t="shared" si="1"/>
        <v>1.2333333333333334</v>
      </c>
      <c r="H69" s="34">
        <f t="shared" si="2"/>
        <v>37</v>
      </c>
      <c r="I69" s="35"/>
      <c r="J69" s="38">
        <f t="shared" si="18"/>
        <v>1.2333333333333334</v>
      </c>
      <c r="K69" s="38">
        <f t="shared" si="18"/>
        <v>37</v>
      </c>
      <c r="L69" s="38">
        <f t="shared" si="19"/>
        <v>1.3498779619743375</v>
      </c>
      <c r="M69" s="38">
        <f t="shared" si="5"/>
        <v>40.496338859230129</v>
      </c>
      <c r="N69" s="37">
        <v>1.95</v>
      </c>
      <c r="O69" s="38">
        <f t="shared" si="6"/>
        <v>58.5</v>
      </c>
      <c r="P69" s="38">
        <f t="shared" si="7"/>
        <v>0.60012203802566244</v>
      </c>
      <c r="Q69" s="38">
        <f t="shared" si="8"/>
        <v>18.003661140769871</v>
      </c>
      <c r="R69" s="39">
        <f t="shared" si="9"/>
        <v>0.3077548912952115</v>
      </c>
      <c r="S69" s="115"/>
      <c r="T69" s="119">
        <f t="shared" si="10"/>
        <v>1.95</v>
      </c>
      <c r="U69" s="131">
        <v>0.16350000000000001</v>
      </c>
      <c r="V69" s="120">
        <f t="shared" si="17"/>
        <v>2.2688250000000001</v>
      </c>
      <c r="W69" s="121">
        <f t="shared" si="11"/>
        <v>0.29250000000000015</v>
      </c>
      <c r="X69" s="121">
        <f t="shared" si="12"/>
        <v>2.6325000000000012E-2</v>
      </c>
      <c r="Y69" s="122">
        <f t="shared" si="13"/>
        <v>0.31882500000000014</v>
      </c>
      <c r="Z69" s="121">
        <f t="shared" si="14"/>
        <v>1.95</v>
      </c>
      <c r="AA69" s="123">
        <f t="shared" si="15"/>
        <v>0.3077548912952115</v>
      </c>
      <c r="AB69" s="124">
        <f t="shared" si="16"/>
        <v>0</v>
      </c>
      <c r="AC69" s="125" t="s">
        <v>226</v>
      </c>
    </row>
    <row r="70" spans="1:29" ht="45" customHeight="1" x14ac:dyDescent="0.25">
      <c r="A70" s="30">
        <v>64</v>
      </c>
      <c r="B70" s="102" t="s">
        <v>67</v>
      </c>
      <c r="C70" s="31">
        <v>1</v>
      </c>
      <c r="D70" s="32" t="s">
        <v>141</v>
      </c>
      <c r="E70" s="31">
        <f t="shared" si="0"/>
        <v>20</v>
      </c>
      <c r="F70" s="96">
        <v>30.5</v>
      </c>
      <c r="G70" s="33">
        <f t="shared" si="1"/>
        <v>1.5249999999999999</v>
      </c>
      <c r="H70" s="34">
        <f t="shared" si="2"/>
        <v>30.5</v>
      </c>
      <c r="I70" s="35"/>
      <c r="J70" s="38">
        <f t="shared" si="18"/>
        <v>1.5249999999999999</v>
      </c>
      <c r="K70" s="38">
        <f t="shared" si="18"/>
        <v>30.5</v>
      </c>
      <c r="L70" s="38">
        <f t="shared" si="19"/>
        <v>1.6691058583871876</v>
      </c>
      <c r="M70" s="38">
        <f t="shared" si="5"/>
        <v>33.38211716774375</v>
      </c>
      <c r="N70" s="37">
        <v>2.5</v>
      </c>
      <c r="O70" s="38">
        <f t="shared" si="6"/>
        <v>50</v>
      </c>
      <c r="P70" s="38">
        <f t="shared" si="7"/>
        <v>0.83089414161281239</v>
      </c>
      <c r="Q70" s="38">
        <f t="shared" si="8"/>
        <v>16.61788283225625</v>
      </c>
      <c r="R70" s="39">
        <f t="shared" si="9"/>
        <v>0.33235765664512495</v>
      </c>
      <c r="S70" s="115"/>
      <c r="T70" s="119">
        <f t="shared" si="10"/>
        <v>2.5</v>
      </c>
      <c r="U70" s="131">
        <v>0.16350000000000001</v>
      </c>
      <c r="V70" s="120">
        <f t="shared" si="17"/>
        <v>2.9087499999999999</v>
      </c>
      <c r="W70" s="121">
        <f t="shared" si="11"/>
        <v>0.37499999999999994</v>
      </c>
      <c r="X70" s="121">
        <f t="shared" si="12"/>
        <v>3.3749999999999995E-2</v>
      </c>
      <c r="Y70" s="122">
        <f t="shared" si="13"/>
        <v>0.40874999999999995</v>
      </c>
      <c r="Z70" s="121">
        <f t="shared" si="14"/>
        <v>2.5</v>
      </c>
      <c r="AA70" s="123">
        <f t="shared" si="15"/>
        <v>0.33235765664512495</v>
      </c>
      <c r="AB70" s="124">
        <f t="shared" si="16"/>
        <v>0</v>
      </c>
      <c r="AC70" s="125" t="s">
        <v>226</v>
      </c>
    </row>
    <row r="71" spans="1:29" ht="45" customHeight="1" x14ac:dyDescent="0.25">
      <c r="A71" s="30">
        <v>65</v>
      </c>
      <c r="B71" s="103" t="s">
        <v>68</v>
      </c>
      <c r="C71" s="31">
        <v>1</v>
      </c>
      <c r="D71" s="32" t="s">
        <v>141</v>
      </c>
      <c r="E71" s="31">
        <f t="shared" ref="E71:E129" si="20">D71*C71</f>
        <v>20</v>
      </c>
      <c r="F71" s="96">
        <v>30.5</v>
      </c>
      <c r="G71" s="33">
        <f t="shared" ref="G71:G129" si="21">F71/D71</f>
        <v>1.5249999999999999</v>
      </c>
      <c r="H71" s="34">
        <f t="shared" ref="H71:H129" si="22">G71*E71</f>
        <v>30.5</v>
      </c>
      <c r="I71" s="35"/>
      <c r="J71" s="38">
        <f t="shared" ref="J71:K102" si="23">G71/$Q$2</f>
        <v>1.5249999999999999</v>
      </c>
      <c r="K71" s="38">
        <f t="shared" si="23"/>
        <v>30.5</v>
      </c>
      <c r="L71" s="38">
        <f t="shared" ref="L71:L102" si="24">J71*(1+$M$174+9%)</f>
        <v>1.6691058583871876</v>
      </c>
      <c r="M71" s="38">
        <f t="shared" ref="M71:M129" si="25">L71*E71</f>
        <v>33.38211716774375</v>
      </c>
      <c r="N71" s="37">
        <v>2.5</v>
      </c>
      <c r="O71" s="38">
        <f t="shared" ref="O71:O88" si="26">N71*E71</f>
        <v>50</v>
      </c>
      <c r="P71" s="38">
        <f t="shared" ref="P71:P88" si="27">N71-L71</f>
        <v>0.83089414161281239</v>
      </c>
      <c r="Q71" s="38">
        <f t="shared" ref="Q71:Q88" si="28">P71*E71</f>
        <v>16.61788283225625</v>
      </c>
      <c r="R71" s="39">
        <f t="shared" ref="R71:R88" si="29">P71/N71</f>
        <v>0.33235765664512495</v>
      </c>
      <c r="S71" s="116"/>
      <c r="T71" s="119">
        <f t="shared" si="10"/>
        <v>2.5</v>
      </c>
      <c r="U71" s="131">
        <v>0.16350000000000001</v>
      </c>
      <c r="V71" s="120">
        <f t="shared" si="17"/>
        <v>2.9087499999999999</v>
      </c>
      <c r="W71" s="121">
        <f t="shared" si="11"/>
        <v>0.37499999999999994</v>
      </c>
      <c r="X71" s="121">
        <f t="shared" si="12"/>
        <v>3.3749999999999995E-2</v>
      </c>
      <c r="Y71" s="122">
        <f t="shared" si="13"/>
        <v>0.40874999999999995</v>
      </c>
      <c r="Z71" s="121">
        <f t="shared" si="14"/>
        <v>2.5</v>
      </c>
      <c r="AA71" s="123">
        <f t="shared" si="15"/>
        <v>0.33235765664512495</v>
      </c>
      <c r="AB71" s="124">
        <f t="shared" si="16"/>
        <v>0</v>
      </c>
      <c r="AC71" s="125" t="s">
        <v>226</v>
      </c>
    </row>
    <row r="72" spans="1:29" ht="45" customHeight="1" x14ac:dyDescent="0.25">
      <c r="A72" s="30">
        <v>66</v>
      </c>
      <c r="B72" s="100" t="s">
        <v>69</v>
      </c>
      <c r="C72" s="31">
        <v>1</v>
      </c>
      <c r="D72" s="32" t="s">
        <v>75</v>
      </c>
      <c r="E72" s="31">
        <f t="shared" si="20"/>
        <v>48</v>
      </c>
      <c r="F72" s="96">
        <v>33.5</v>
      </c>
      <c r="G72" s="33">
        <f t="shared" si="21"/>
        <v>0.69791666666666663</v>
      </c>
      <c r="H72" s="34">
        <f t="shared" si="22"/>
        <v>33.5</v>
      </c>
      <c r="I72" s="35"/>
      <c r="J72" s="38">
        <f t="shared" si="23"/>
        <v>0.69791666666666663</v>
      </c>
      <c r="K72" s="38">
        <f t="shared" si="23"/>
        <v>33.5</v>
      </c>
      <c r="L72" s="38">
        <f t="shared" si="24"/>
        <v>0.76386675213074839</v>
      </c>
      <c r="M72" s="38">
        <f t="shared" si="25"/>
        <v>36.665604102275921</v>
      </c>
      <c r="N72" s="37">
        <v>1.25</v>
      </c>
      <c r="O72" s="38">
        <f t="shared" si="26"/>
        <v>60</v>
      </c>
      <c r="P72" s="38">
        <f t="shared" si="27"/>
        <v>0.48613324786925161</v>
      </c>
      <c r="Q72" s="38">
        <f t="shared" si="28"/>
        <v>23.334395897724079</v>
      </c>
      <c r="R72" s="39">
        <f t="shared" si="29"/>
        <v>0.38890659829540131</v>
      </c>
      <c r="S72" s="114"/>
      <c r="T72" s="119">
        <f t="shared" ref="T72:T130" si="30">N72</f>
        <v>1.25</v>
      </c>
      <c r="U72" s="131">
        <v>0.16350000000000001</v>
      </c>
      <c r="V72" s="120">
        <f t="shared" ref="V72:V135" si="31">T72+(T72*U72)</f>
        <v>1.454375</v>
      </c>
      <c r="W72" s="121">
        <f t="shared" ref="W72:W135" si="32">(100/109)*Y72</f>
        <v>0.18749999999999997</v>
      </c>
      <c r="X72" s="121">
        <f t="shared" ref="X72:X135" si="33">(9/109)*Y72</f>
        <v>1.6874999999999998E-2</v>
      </c>
      <c r="Y72" s="122">
        <f t="shared" ref="Y72:Y135" si="34">V72-T72</f>
        <v>0.20437499999999997</v>
      </c>
      <c r="Z72" s="121">
        <f t="shared" ref="Z72:Z135" si="35">V72-Y72</f>
        <v>1.25</v>
      </c>
      <c r="AA72" s="123">
        <f t="shared" ref="AA72:AA135" si="36">(Z72-L72)/Z72</f>
        <v>0.38890659829540131</v>
      </c>
      <c r="AB72" s="124">
        <f t="shared" ref="AB72:AB135" si="37">AA72-R72</f>
        <v>0</v>
      </c>
      <c r="AC72" s="125">
        <v>1.05</v>
      </c>
    </row>
    <row r="73" spans="1:29" ht="45" customHeight="1" x14ac:dyDescent="0.25">
      <c r="A73" s="30">
        <v>67</v>
      </c>
      <c r="B73" s="100" t="s">
        <v>203</v>
      </c>
      <c r="C73" s="31">
        <v>1</v>
      </c>
      <c r="D73" s="32" t="s">
        <v>75</v>
      </c>
      <c r="E73" s="31">
        <f t="shared" si="20"/>
        <v>48</v>
      </c>
      <c r="F73" s="96">
        <v>33.5</v>
      </c>
      <c r="G73" s="33">
        <f t="shared" si="21"/>
        <v>0.69791666666666663</v>
      </c>
      <c r="H73" s="34">
        <f t="shared" si="22"/>
        <v>33.5</v>
      </c>
      <c r="I73" s="35"/>
      <c r="J73" s="38">
        <f t="shared" si="23"/>
        <v>0.69791666666666663</v>
      </c>
      <c r="K73" s="38">
        <f t="shared" si="23"/>
        <v>33.5</v>
      </c>
      <c r="L73" s="38">
        <f t="shared" si="24"/>
        <v>0.76386675213074839</v>
      </c>
      <c r="M73" s="38">
        <f t="shared" si="25"/>
        <v>36.665604102275921</v>
      </c>
      <c r="N73" s="37">
        <v>1.25</v>
      </c>
      <c r="O73" s="38">
        <f t="shared" si="26"/>
        <v>60</v>
      </c>
      <c r="P73" s="38">
        <f t="shared" si="27"/>
        <v>0.48613324786925161</v>
      </c>
      <c r="Q73" s="38">
        <f t="shared" si="28"/>
        <v>23.334395897724079</v>
      </c>
      <c r="R73" s="39">
        <f t="shared" si="29"/>
        <v>0.38890659829540131</v>
      </c>
      <c r="S73" s="115"/>
      <c r="T73" s="119">
        <f t="shared" si="30"/>
        <v>1.25</v>
      </c>
      <c r="U73" s="131">
        <v>0.16350000000000001</v>
      </c>
      <c r="V73" s="120">
        <f t="shared" si="31"/>
        <v>1.454375</v>
      </c>
      <c r="W73" s="121">
        <f t="shared" si="32"/>
        <v>0.18749999999999997</v>
      </c>
      <c r="X73" s="121">
        <f t="shared" si="33"/>
        <v>1.6874999999999998E-2</v>
      </c>
      <c r="Y73" s="122">
        <f t="shared" si="34"/>
        <v>0.20437499999999997</v>
      </c>
      <c r="Z73" s="121">
        <f t="shared" si="35"/>
        <v>1.25</v>
      </c>
      <c r="AA73" s="123">
        <f t="shared" si="36"/>
        <v>0.38890659829540131</v>
      </c>
      <c r="AB73" s="124">
        <f t="shared" si="37"/>
        <v>0</v>
      </c>
      <c r="AC73" s="125">
        <v>1.05</v>
      </c>
    </row>
    <row r="74" spans="1:29" ht="45" customHeight="1" x14ac:dyDescent="0.25">
      <c r="A74" s="30">
        <v>68</v>
      </c>
      <c r="B74" s="100" t="s">
        <v>215</v>
      </c>
      <c r="C74" s="31">
        <v>1</v>
      </c>
      <c r="D74" s="32" t="s">
        <v>75</v>
      </c>
      <c r="E74" s="31">
        <f t="shared" si="20"/>
        <v>48</v>
      </c>
      <c r="F74" s="96">
        <v>33.5</v>
      </c>
      <c r="G74" s="33">
        <f t="shared" si="21"/>
        <v>0.69791666666666663</v>
      </c>
      <c r="H74" s="34">
        <f t="shared" si="22"/>
        <v>33.5</v>
      </c>
      <c r="I74" s="35"/>
      <c r="J74" s="38">
        <f t="shared" si="23"/>
        <v>0.69791666666666663</v>
      </c>
      <c r="K74" s="38">
        <f t="shared" si="23"/>
        <v>33.5</v>
      </c>
      <c r="L74" s="38">
        <f t="shared" si="24"/>
        <v>0.76386675213074839</v>
      </c>
      <c r="M74" s="38">
        <f t="shared" si="25"/>
        <v>36.665604102275921</v>
      </c>
      <c r="N74" s="37">
        <v>1.25</v>
      </c>
      <c r="O74" s="38">
        <f t="shared" si="26"/>
        <v>60</v>
      </c>
      <c r="P74" s="38">
        <f t="shared" si="27"/>
        <v>0.48613324786925161</v>
      </c>
      <c r="Q74" s="38">
        <f t="shared" si="28"/>
        <v>23.334395897724079</v>
      </c>
      <c r="R74" s="39">
        <f t="shared" si="29"/>
        <v>0.38890659829540131</v>
      </c>
      <c r="S74" s="115"/>
      <c r="T74" s="119">
        <f t="shared" si="30"/>
        <v>1.25</v>
      </c>
      <c r="U74" s="131">
        <v>0.16350000000000001</v>
      </c>
      <c r="V74" s="120">
        <f t="shared" si="31"/>
        <v>1.454375</v>
      </c>
      <c r="W74" s="121">
        <f t="shared" si="32"/>
        <v>0.18749999999999997</v>
      </c>
      <c r="X74" s="121">
        <f t="shared" si="33"/>
        <v>1.6874999999999998E-2</v>
      </c>
      <c r="Y74" s="122">
        <f t="shared" si="34"/>
        <v>0.20437499999999997</v>
      </c>
      <c r="Z74" s="121">
        <f t="shared" si="35"/>
        <v>1.25</v>
      </c>
      <c r="AA74" s="123">
        <f t="shared" si="36"/>
        <v>0.38890659829540131</v>
      </c>
      <c r="AB74" s="124">
        <f t="shared" si="37"/>
        <v>0</v>
      </c>
      <c r="AC74" s="125">
        <v>1.05</v>
      </c>
    </row>
    <row r="75" spans="1:29" ht="45" customHeight="1" x14ac:dyDescent="0.25">
      <c r="A75" s="30">
        <v>69</v>
      </c>
      <c r="B75" s="100" t="s">
        <v>202</v>
      </c>
      <c r="C75" s="31">
        <v>1</v>
      </c>
      <c r="D75" s="32" t="s">
        <v>75</v>
      </c>
      <c r="E75" s="31">
        <f t="shared" si="20"/>
        <v>48</v>
      </c>
      <c r="F75" s="96">
        <v>33.5</v>
      </c>
      <c r="G75" s="33">
        <f t="shared" si="21"/>
        <v>0.69791666666666663</v>
      </c>
      <c r="H75" s="34">
        <f t="shared" si="22"/>
        <v>33.5</v>
      </c>
      <c r="I75" s="35"/>
      <c r="J75" s="38">
        <f t="shared" si="23"/>
        <v>0.69791666666666663</v>
      </c>
      <c r="K75" s="38">
        <f t="shared" si="23"/>
        <v>33.5</v>
      </c>
      <c r="L75" s="38">
        <f t="shared" si="24"/>
        <v>0.76386675213074839</v>
      </c>
      <c r="M75" s="38">
        <f t="shared" si="25"/>
        <v>36.665604102275921</v>
      </c>
      <c r="N75" s="37">
        <v>1.25</v>
      </c>
      <c r="O75" s="38">
        <f t="shared" si="26"/>
        <v>60</v>
      </c>
      <c r="P75" s="38">
        <f t="shared" si="27"/>
        <v>0.48613324786925161</v>
      </c>
      <c r="Q75" s="38">
        <f t="shared" si="28"/>
        <v>23.334395897724079</v>
      </c>
      <c r="R75" s="39">
        <f t="shared" si="29"/>
        <v>0.38890659829540131</v>
      </c>
      <c r="S75" s="115"/>
      <c r="T75" s="119">
        <f t="shared" si="30"/>
        <v>1.25</v>
      </c>
      <c r="U75" s="131">
        <v>0.16350000000000001</v>
      </c>
      <c r="V75" s="120">
        <f t="shared" si="31"/>
        <v>1.454375</v>
      </c>
      <c r="W75" s="121">
        <f t="shared" si="32"/>
        <v>0.18749999999999997</v>
      </c>
      <c r="X75" s="121">
        <f t="shared" si="33"/>
        <v>1.6874999999999998E-2</v>
      </c>
      <c r="Y75" s="122">
        <f t="shared" si="34"/>
        <v>0.20437499999999997</v>
      </c>
      <c r="Z75" s="121">
        <f t="shared" si="35"/>
        <v>1.25</v>
      </c>
      <c r="AA75" s="123">
        <f t="shared" si="36"/>
        <v>0.38890659829540131</v>
      </c>
      <c r="AB75" s="124">
        <f t="shared" si="37"/>
        <v>0</v>
      </c>
      <c r="AC75" s="125">
        <v>1.05</v>
      </c>
    </row>
    <row r="76" spans="1:29" ht="45" customHeight="1" x14ac:dyDescent="0.25">
      <c r="A76" s="30">
        <v>70</v>
      </c>
      <c r="B76" s="100" t="s">
        <v>70</v>
      </c>
      <c r="C76" s="31">
        <v>1</v>
      </c>
      <c r="D76" s="32" t="s">
        <v>75</v>
      </c>
      <c r="E76" s="31">
        <f t="shared" si="20"/>
        <v>48</v>
      </c>
      <c r="F76" s="96">
        <v>33.5</v>
      </c>
      <c r="G76" s="33">
        <f t="shared" si="21"/>
        <v>0.69791666666666663</v>
      </c>
      <c r="H76" s="34">
        <f t="shared" si="22"/>
        <v>33.5</v>
      </c>
      <c r="I76" s="35"/>
      <c r="J76" s="38">
        <f t="shared" si="23"/>
        <v>0.69791666666666663</v>
      </c>
      <c r="K76" s="38">
        <f t="shared" si="23"/>
        <v>33.5</v>
      </c>
      <c r="L76" s="38">
        <f t="shared" si="24"/>
        <v>0.76386675213074839</v>
      </c>
      <c r="M76" s="38">
        <f t="shared" si="25"/>
        <v>36.665604102275921</v>
      </c>
      <c r="N76" s="37">
        <v>1.25</v>
      </c>
      <c r="O76" s="38">
        <f t="shared" si="26"/>
        <v>60</v>
      </c>
      <c r="P76" s="38">
        <f t="shared" si="27"/>
        <v>0.48613324786925161</v>
      </c>
      <c r="Q76" s="38">
        <f t="shared" si="28"/>
        <v>23.334395897724079</v>
      </c>
      <c r="R76" s="39">
        <f t="shared" si="29"/>
        <v>0.38890659829540131</v>
      </c>
      <c r="S76" s="115"/>
      <c r="T76" s="119">
        <f t="shared" si="30"/>
        <v>1.25</v>
      </c>
      <c r="U76" s="131">
        <v>0.16350000000000001</v>
      </c>
      <c r="V76" s="120">
        <f t="shared" si="31"/>
        <v>1.454375</v>
      </c>
      <c r="W76" s="121">
        <f t="shared" si="32"/>
        <v>0.18749999999999997</v>
      </c>
      <c r="X76" s="121">
        <f t="shared" si="33"/>
        <v>1.6874999999999998E-2</v>
      </c>
      <c r="Y76" s="122">
        <f t="shared" si="34"/>
        <v>0.20437499999999997</v>
      </c>
      <c r="Z76" s="121">
        <f t="shared" si="35"/>
        <v>1.25</v>
      </c>
      <c r="AA76" s="123">
        <f t="shared" si="36"/>
        <v>0.38890659829540131</v>
      </c>
      <c r="AB76" s="124">
        <f t="shared" si="37"/>
        <v>0</v>
      </c>
      <c r="AC76" s="125">
        <v>1.05</v>
      </c>
    </row>
    <row r="77" spans="1:29" ht="45" customHeight="1" x14ac:dyDescent="0.25">
      <c r="A77" s="30">
        <v>71</v>
      </c>
      <c r="B77" s="101" t="s">
        <v>216</v>
      </c>
      <c r="C77" s="31">
        <v>1</v>
      </c>
      <c r="D77" s="32" t="s">
        <v>164</v>
      </c>
      <c r="E77" s="31">
        <f t="shared" si="20"/>
        <v>120</v>
      </c>
      <c r="F77" s="96">
        <v>94</v>
      </c>
      <c r="G77" s="33">
        <f t="shared" si="21"/>
        <v>0.78333333333333333</v>
      </c>
      <c r="H77" s="34">
        <f t="shared" si="22"/>
        <v>94</v>
      </c>
      <c r="I77" s="35"/>
      <c r="J77" s="38">
        <f t="shared" si="23"/>
        <v>0.78333333333333333</v>
      </c>
      <c r="K77" s="38">
        <f t="shared" si="23"/>
        <v>94</v>
      </c>
      <c r="L77" s="38">
        <f t="shared" si="24"/>
        <v>0.85735492179451167</v>
      </c>
      <c r="M77" s="38">
        <f t="shared" si="25"/>
        <v>102.8825906153414</v>
      </c>
      <c r="N77" s="37">
        <v>1.25</v>
      </c>
      <c r="O77" s="38">
        <f t="shared" si="26"/>
        <v>150</v>
      </c>
      <c r="P77" s="38">
        <f t="shared" si="27"/>
        <v>0.39264507820548833</v>
      </c>
      <c r="Q77" s="38">
        <f t="shared" si="28"/>
        <v>47.1174093846586</v>
      </c>
      <c r="R77" s="39">
        <f t="shared" si="29"/>
        <v>0.31411606256439067</v>
      </c>
      <c r="S77" s="115"/>
      <c r="T77" s="119">
        <f t="shared" si="30"/>
        <v>1.25</v>
      </c>
      <c r="U77" s="131">
        <v>0.16350000000000001</v>
      </c>
      <c r="V77" s="120">
        <f t="shared" si="31"/>
        <v>1.454375</v>
      </c>
      <c r="W77" s="121">
        <f t="shared" si="32"/>
        <v>0.18749999999999997</v>
      </c>
      <c r="X77" s="121">
        <f t="shared" si="33"/>
        <v>1.6874999999999998E-2</v>
      </c>
      <c r="Y77" s="122">
        <f t="shared" si="34"/>
        <v>0.20437499999999997</v>
      </c>
      <c r="Z77" s="121">
        <f t="shared" si="35"/>
        <v>1.25</v>
      </c>
      <c r="AA77" s="123">
        <f t="shared" si="36"/>
        <v>0.31411606256439067</v>
      </c>
      <c r="AB77" s="124">
        <f t="shared" si="37"/>
        <v>0</v>
      </c>
      <c r="AC77" s="125">
        <v>1.5</v>
      </c>
    </row>
    <row r="78" spans="1:29" ht="45" customHeight="1" x14ac:dyDescent="0.25">
      <c r="A78" s="30">
        <v>72</v>
      </c>
      <c r="B78" s="101" t="s">
        <v>71</v>
      </c>
      <c r="C78" s="31">
        <v>1</v>
      </c>
      <c r="D78" s="32" t="s">
        <v>164</v>
      </c>
      <c r="E78" s="31">
        <f t="shared" si="20"/>
        <v>120</v>
      </c>
      <c r="F78" s="96">
        <v>94</v>
      </c>
      <c r="G78" s="33">
        <f t="shared" si="21"/>
        <v>0.78333333333333333</v>
      </c>
      <c r="H78" s="34">
        <f t="shared" si="22"/>
        <v>94</v>
      </c>
      <c r="I78" s="35"/>
      <c r="J78" s="38">
        <f t="shared" si="23"/>
        <v>0.78333333333333333</v>
      </c>
      <c r="K78" s="38">
        <f t="shared" si="23"/>
        <v>94</v>
      </c>
      <c r="L78" s="38">
        <f t="shared" si="24"/>
        <v>0.85735492179451167</v>
      </c>
      <c r="M78" s="38">
        <f t="shared" si="25"/>
        <v>102.8825906153414</v>
      </c>
      <c r="N78" s="37">
        <v>1.25</v>
      </c>
      <c r="O78" s="38">
        <f t="shared" si="26"/>
        <v>150</v>
      </c>
      <c r="P78" s="38">
        <f t="shared" si="27"/>
        <v>0.39264507820548833</v>
      </c>
      <c r="Q78" s="38">
        <f t="shared" si="28"/>
        <v>47.1174093846586</v>
      </c>
      <c r="R78" s="39">
        <f t="shared" si="29"/>
        <v>0.31411606256439067</v>
      </c>
      <c r="S78" s="115"/>
      <c r="T78" s="119">
        <f t="shared" si="30"/>
        <v>1.25</v>
      </c>
      <c r="U78" s="131">
        <v>0.16350000000000001</v>
      </c>
      <c r="V78" s="120">
        <f t="shared" si="31"/>
        <v>1.454375</v>
      </c>
      <c r="W78" s="121">
        <f t="shared" si="32"/>
        <v>0.18749999999999997</v>
      </c>
      <c r="X78" s="121">
        <f t="shared" si="33"/>
        <v>1.6874999999999998E-2</v>
      </c>
      <c r="Y78" s="122">
        <f t="shared" si="34"/>
        <v>0.20437499999999997</v>
      </c>
      <c r="Z78" s="121">
        <f t="shared" si="35"/>
        <v>1.25</v>
      </c>
      <c r="AA78" s="123">
        <f t="shared" si="36"/>
        <v>0.31411606256439067</v>
      </c>
      <c r="AB78" s="124">
        <f t="shared" si="37"/>
        <v>0</v>
      </c>
      <c r="AC78" s="125">
        <v>1.5</v>
      </c>
    </row>
    <row r="79" spans="1:29" ht="45" customHeight="1" x14ac:dyDescent="0.25">
      <c r="A79" s="30">
        <v>73</v>
      </c>
      <c r="B79" s="102" t="s">
        <v>72</v>
      </c>
      <c r="C79" s="31">
        <v>1</v>
      </c>
      <c r="D79" s="32" t="s">
        <v>164</v>
      </c>
      <c r="E79" s="31">
        <f t="shared" si="20"/>
        <v>120</v>
      </c>
      <c r="F79" s="96">
        <v>94</v>
      </c>
      <c r="G79" s="33">
        <f t="shared" si="21"/>
        <v>0.78333333333333333</v>
      </c>
      <c r="H79" s="34">
        <f t="shared" si="22"/>
        <v>94</v>
      </c>
      <c r="I79" s="35"/>
      <c r="J79" s="38">
        <f t="shared" si="23"/>
        <v>0.78333333333333333</v>
      </c>
      <c r="K79" s="38">
        <f t="shared" si="23"/>
        <v>94</v>
      </c>
      <c r="L79" s="38">
        <f t="shared" si="24"/>
        <v>0.85735492179451167</v>
      </c>
      <c r="M79" s="38">
        <f t="shared" si="25"/>
        <v>102.8825906153414</v>
      </c>
      <c r="N79" s="37">
        <v>1.25</v>
      </c>
      <c r="O79" s="38">
        <f t="shared" si="26"/>
        <v>150</v>
      </c>
      <c r="P79" s="38">
        <f t="shared" si="27"/>
        <v>0.39264507820548833</v>
      </c>
      <c r="Q79" s="38">
        <f t="shared" si="28"/>
        <v>47.1174093846586</v>
      </c>
      <c r="R79" s="39">
        <f t="shared" si="29"/>
        <v>0.31411606256439067</v>
      </c>
      <c r="S79" s="115"/>
      <c r="T79" s="119">
        <f t="shared" si="30"/>
        <v>1.25</v>
      </c>
      <c r="U79" s="131">
        <v>0.16350000000000001</v>
      </c>
      <c r="V79" s="120">
        <f t="shared" si="31"/>
        <v>1.454375</v>
      </c>
      <c r="W79" s="121">
        <f t="shared" si="32"/>
        <v>0.18749999999999997</v>
      </c>
      <c r="X79" s="121">
        <f t="shared" si="33"/>
        <v>1.6874999999999998E-2</v>
      </c>
      <c r="Y79" s="122">
        <f t="shared" si="34"/>
        <v>0.20437499999999997</v>
      </c>
      <c r="Z79" s="121">
        <f t="shared" si="35"/>
        <v>1.25</v>
      </c>
      <c r="AA79" s="123">
        <f t="shared" si="36"/>
        <v>0.31411606256439067</v>
      </c>
      <c r="AB79" s="124">
        <f t="shared" si="37"/>
        <v>0</v>
      </c>
      <c r="AC79" s="125">
        <v>1.5</v>
      </c>
    </row>
    <row r="80" spans="1:29" ht="45" customHeight="1" x14ac:dyDescent="0.25">
      <c r="A80" s="30">
        <v>74</v>
      </c>
      <c r="B80" s="100" t="s">
        <v>135</v>
      </c>
      <c r="C80" s="31">
        <v>1</v>
      </c>
      <c r="D80" s="32" t="s">
        <v>73</v>
      </c>
      <c r="E80" s="31">
        <f t="shared" si="20"/>
        <v>12</v>
      </c>
      <c r="F80" s="96">
        <v>8.9</v>
      </c>
      <c r="G80" s="33">
        <f t="shared" si="21"/>
        <v>0.7416666666666667</v>
      </c>
      <c r="H80" s="34">
        <f t="shared" si="22"/>
        <v>8.9</v>
      </c>
      <c r="I80" s="35"/>
      <c r="J80" s="38">
        <f t="shared" si="23"/>
        <v>0.7416666666666667</v>
      </c>
      <c r="K80" s="38">
        <f t="shared" si="23"/>
        <v>8.9</v>
      </c>
      <c r="L80" s="38">
        <f t="shared" si="24"/>
        <v>0.81175093659267594</v>
      </c>
      <c r="M80" s="38">
        <f t="shared" si="25"/>
        <v>9.7410112391121118</v>
      </c>
      <c r="N80" s="37">
        <v>1.25</v>
      </c>
      <c r="O80" s="38">
        <f t="shared" si="26"/>
        <v>15</v>
      </c>
      <c r="P80" s="38">
        <f t="shared" si="27"/>
        <v>0.43824906340732406</v>
      </c>
      <c r="Q80" s="38">
        <f t="shared" si="28"/>
        <v>5.2589887608878882</v>
      </c>
      <c r="R80" s="39">
        <f t="shared" si="29"/>
        <v>0.35059925072585924</v>
      </c>
      <c r="S80" s="113"/>
      <c r="T80" s="119">
        <f t="shared" si="30"/>
        <v>1.25</v>
      </c>
      <c r="U80" s="131">
        <v>0.16350000000000001</v>
      </c>
      <c r="V80" s="120">
        <f t="shared" si="31"/>
        <v>1.454375</v>
      </c>
      <c r="W80" s="121">
        <f t="shared" si="32"/>
        <v>0.18749999999999997</v>
      </c>
      <c r="X80" s="121">
        <f t="shared" si="33"/>
        <v>1.6874999999999998E-2</v>
      </c>
      <c r="Y80" s="122">
        <f t="shared" si="34"/>
        <v>0.20437499999999997</v>
      </c>
      <c r="Z80" s="121">
        <f t="shared" si="35"/>
        <v>1.25</v>
      </c>
      <c r="AA80" s="123">
        <f t="shared" si="36"/>
        <v>0.35059925072585924</v>
      </c>
      <c r="AB80" s="124">
        <f t="shared" si="37"/>
        <v>0</v>
      </c>
      <c r="AC80" s="125" t="s">
        <v>226</v>
      </c>
    </row>
    <row r="81" spans="1:29" ht="45" customHeight="1" x14ac:dyDescent="0.25">
      <c r="A81" s="30">
        <v>75</v>
      </c>
      <c r="B81" s="100" t="s">
        <v>128</v>
      </c>
      <c r="C81" s="31">
        <v>1</v>
      </c>
      <c r="D81" s="32" t="s">
        <v>73</v>
      </c>
      <c r="E81" s="31">
        <f t="shared" si="20"/>
        <v>12</v>
      </c>
      <c r="F81" s="96">
        <v>8.9</v>
      </c>
      <c r="G81" s="33">
        <f t="shared" si="21"/>
        <v>0.7416666666666667</v>
      </c>
      <c r="H81" s="34">
        <f t="shared" si="22"/>
        <v>8.9</v>
      </c>
      <c r="I81" s="35"/>
      <c r="J81" s="38">
        <f t="shared" si="23"/>
        <v>0.7416666666666667</v>
      </c>
      <c r="K81" s="38">
        <f t="shared" si="23"/>
        <v>8.9</v>
      </c>
      <c r="L81" s="38">
        <f t="shared" si="24"/>
        <v>0.81175093659267594</v>
      </c>
      <c r="M81" s="38">
        <f t="shared" si="25"/>
        <v>9.7410112391121118</v>
      </c>
      <c r="N81" s="37">
        <v>1.25</v>
      </c>
      <c r="O81" s="38">
        <f t="shared" si="26"/>
        <v>15</v>
      </c>
      <c r="P81" s="38">
        <f t="shared" si="27"/>
        <v>0.43824906340732406</v>
      </c>
      <c r="Q81" s="38">
        <f t="shared" si="28"/>
        <v>5.2589887608878882</v>
      </c>
      <c r="R81" s="39">
        <f t="shared" si="29"/>
        <v>0.35059925072585924</v>
      </c>
      <c r="S81" s="114"/>
      <c r="T81" s="119">
        <f t="shared" si="30"/>
        <v>1.25</v>
      </c>
      <c r="U81" s="131">
        <v>0.16350000000000001</v>
      </c>
      <c r="V81" s="120">
        <f t="shared" si="31"/>
        <v>1.454375</v>
      </c>
      <c r="W81" s="121">
        <f t="shared" si="32"/>
        <v>0.18749999999999997</v>
      </c>
      <c r="X81" s="121">
        <f t="shared" si="33"/>
        <v>1.6874999999999998E-2</v>
      </c>
      <c r="Y81" s="122">
        <f t="shared" si="34"/>
        <v>0.20437499999999997</v>
      </c>
      <c r="Z81" s="121">
        <f t="shared" si="35"/>
        <v>1.25</v>
      </c>
      <c r="AA81" s="123">
        <f t="shared" si="36"/>
        <v>0.35059925072585924</v>
      </c>
      <c r="AB81" s="124">
        <f t="shared" si="37"/>
        <v>0</v>
      </c>
      <c r="AC81" s="125" t="s">
        <v>226</v>
      </c>
    </row>
    <row r="82" spans="1:29" ht="45" customHeight="1" x14ac:dyDescent="0.25">
      <c r="A82" s="30">
        <v>76</v>
      </c>
      <c r="B82" s="100" t="s">
        <v>129</v>
      </c>
      <c r="C82" s="31">
        <v>1</v>
      </c>
      <c r="D82" s="32" t="s">
        <v>73</v>
      </c>
      <c r="E82" s="31">
        <f t="shared" si="20"/>
        <v>12</v>
      </c>
      <c r="F82" s="96">
        <v>8.9</v>
      </c>
      <c r="G82" s="33">
        <f t="shared" si="21"/>
        <v>0.7416666666666667</v>
      </c>
      <c r="H82" s="34">
        <f t="shared" si="22"/>
        <v>8.9</v>
      </c>
      <c r="I82" s="35"/>
      <c r="J82" s="38">
        <f t="shared" si="23"/>
        <v>0.7416666666666667</v>
      </c>
      <c r="K82" s="38">
        <f t="shared" si="23"/>
        <v>8.9</v>
      </c>
      <c r="L82" s="38">
        <f t="shared" si="24"/>
        <v>0.81175093659267594</v>
      </c>
      <c r="M82" s="38">
        <f t="shared" si="25"/>
        <v>9.7410112391121118</v>
      </c>
      <c r="N82" s="37">
        <v>1.25</v>
      </c>
      <c r="O82" s="38">
        <f t="shared" si="26"/>
        <v>15</v>
      </c>
      <c r="P82" s="38">
        <f t="shared" si="27"/>
        <v>0.43824906340732406</v>
      </c>
      <c r="Q82" s="38">
        <f t="shared" si="28"/>
        <v>5.2589887608878882</v>
      </c>
      <c r="R82" s="39">
        <f t="shared" si="29"/>
        <v>0.35059925072585924</v>
      </c>
      <c r="S82" s="115"/>
      <c r="T82" s="119">
        <f t="shared" si="30"/>
        <v>1.25</v>
      </c>
      <c r="U82" s="131">
        <v>0.16350000000000001</v>
      </c>
      <c r="V82" s="120">
        <f t="shared" si="31"/>
        <v>1.454375</v>
      </c>
      <c r="W82" s="121">
        <f t="shared" si="32"/>
        <v>0.18749999999999997</v>
      </c>
      <c r="X82" s="121">
        <f t="shared" si="33"/>
        <v>1.6874999999999998E-2</v>
      </c>
      <c r="Y82" s="122">
        <f t="shared" si="34"/>
        <v>0.20437499999999997</v>
      </c>
      <c r="Z82" s="121">
        <f t="shared" si="35"/>
        <v>1.25</v>
      </c>
      <c r="AA82" s="123">
        <f t="shared" si="36"/>
        <v>0.35059925072585924</v>
      </c>
      <c r="AB82" s="124">
        <f t="shared" si="37"/>
        <v>0</v>
      </c>
      <c r="AC82" s="125">
        <v>1.25</v>
      </c>
    </row>
    <row r="83" spans="1:29" ht="45" customHeight="1" x14ac:dyDescent="0.25">
      <c r="A83" s="30">
        <v>77</v>
      </c>
      <c r="B83" s="100" t="s">
        <v>205</v>
      </c>
      <c r="C83" s="31">
        <v>1</v>
      </c>
      <c r="D83" s="32" t="s">
        <v>24</v>
      </c>
      <c r="E83" s="31">
        <f t="shared" si="20"/>
        <v>24</v>
      </c>
      <c r="F83" s="96">
        <v>9.1999999999999993</v>
      </c>
      <c r="G83" s="33">
        <f t="shared" si="21"/>
        <v>0.3833333333333333</v>
      </c>
      <c r="H83" s="34">
        <f t="shared" si="22"/>
        <v>9.1999999999999993</v>
      </c>
      <c r="I83" s="35"/>
      <c r="J83" s="38">
        <f t="shared" si="23"/>
        <v>0.3833333333333333</v>
      </c>
      <c r="K83" s="38">
        <f t="shared" si="23"/>
        <v>9.1999999999999993</v>
      </c>
      <c r="L83" s="38">
        <f t="shared" si="24"/>
        <v>0.41955666385688867</v>
      </c>
      <c r="M83" s="38">
        <f t="shared" si="25"/>
        <v>10.069359932565328</v>
      </c>
      <c r="N83" s="37">
        <v>0.6</v>
      </c>
      <c r="O83" s="38">
        <f t="shared" si="26"/>
        <v>14.399999999999999</v>
      </c>
      <c r="P83" s="38">
        <f t="shared" si="27"/>
        <v>0.18044333614311131</v>
      </c>
      <c r="Q83" s="38">
        <f t="shared" si="28"/>
        <v>4.3306400674346719</v>
      </c>
      <c r="R83" s="39">
        <f t="shared" si="29"/>
        <v>0.30073889357185218</v>
      </c>
      <c r="S83" s="114"/>
      <c r="T83" s="119">
        <f t="shared" si="30"/>
        <v>0.6</v>
      </c>
      <c r="U83" s="131">
        <v>0.16350000000000001</v>
      </c>
      <c r="V83" s="120">
        <f t="shared" si="31"/>
        <v>0.69809999999999994</v>
      </c>
      <c r="W83" s="121">
        <f t="shared" si="32"/>
        <v>8.9999999999999969E-2</v>
      </c>
      <c r="X83" s="121">
        <f t="shared" si="33"/>
        <v>8.0999999999999978E-3</v>
      </c>
      <c r="Y83" s="122">
        <f t="shared" si="34"/>
        <v>9.8099999999999965E-2</v>
      </c>
      <c r="Z83" s="121">
        <f t="shared" si="35"/>
        <v>0.6</v>
      </c>
      <c r="AA83" s="123">
        <f t="shared" si="36"/>
        <v>0.30073889357185218</v>
      </c>
      <c r="AB83" s="124">
        <f t="shared" si="37"/>
        <v>0</v>
      </c>
      <c r="AC83" s="125">
        <v>0.95</v>
      </c>
    </row>
    <row r="84" spans="1:29" ht="45" customHeight="1" x14ac:dyDescent="0.25">
      <c r="A84" s="30">
        <v>78</v>
      </c>
      <c r="B84" s="104" t="s">
        <v>77</v>
      </c>
      <c r="C84" s="31">
        <v>1</v>
      </c>
      <c r="D84" s="32" t="s">
        <v>84</v>
      </c>
      <c r="E84" s="31">
        <f t="shared" si="20"/>
        <v>8</v>
      </c>
      <c r="F84" s="96">
        <v>11.5</v>
      </c>
      <c r="G84" s="33">
        <f t="shared" si="21"/>
        <v>1.4375</v>
      </c>
      <c r="H84" s="34">
        <f t="shared" si="22"/>
        <v>11.5</v>
      </c>
      <c r="I84" s="35"/>
      <c r="J84" s="38">
        <f t="shared" si="23"/>
        <v>1.4375</v>
      </c>
      <c r="K84" s="38">
        <f t="shared" si="23"/>
        <v>11.5</v>
      </c>
      <c r="L84" s="38">
        <f t="shared" si="24"/>
        <v>1.5733374894633325</v>
      </c>
      <c r="M84" s="38">
        <f t="shared" si="25"/>
        <v>12.58669991570666</v>
      </c>
      <c r="N84" s="37">
        <v>1.95</v>
      </c>
      <c r="O84" s="38">
        <f t="shared" si="26"/>
        <v>15.6</v>
      </c>
      <c r="P84" s="38">
        <f t="shared" si="27"/>
        <v>0.37666251053666744</v>
      </c>
      <c r="Q84" s="38">
        <f t="shared" si="28"/>
        <v>3.0133000842933395</v>
      </c>
      <c r="R84" s="39">
        <f t="shared" si="29"/>
        <v>0.19316026181367563</v>
      </c>
      <c r="S84" s="116"/>
      <c r="T84" s="119">
        <f t="shared" si="30"/>
        <v>1.95</v>
      </c>
      <c r="U84" s="131">
        <v>0.16350000000000001</v>
      </c>
      <c r="V84" s="120">
        <f t="shared" si="31"/>
        <v>2.2688250000000001</v>
      </c>
      <c r="W84" s="121">
        <f t="shared" si="32"/>
        <v>0.29250000000000015</v>
      </c>
      <c r="X84" s="121">
        <f t="shared" si="33"/>
        <v>2.6325000000000012E-2</v>
      </c>
      <c r="Y84" s="122">
        <f t="shared" si="34"/>
        <v>0.31882500000000014</v>
      </c>
      <c r="Z84" s="121">
        <f t="shared" si="35"/>
        <v>1.95</v>
      </c>
      <c r="AA84" s="123">
        <f t="shared" si="36"/>
        <v>0.19316026181367563</v>
      </c>
      <c r="AB84" s="124">
        <f t="shared" si="37"/>
        <v>0</v>
      </c>
      <c r="AC84" s="125" t="s">
        <v>226</v>
      </c>
    </row>
    <row r="85" spans="1:29" ht="45" customHeight="1" x14ac:dyDescent="0.25">
      <c r="A85" s="30">
        <v>79</v>
      </c>
      <c r="B85" s="100" t="s">
        <v>78</v>
      </c>
      <c r="C85" s="31">
        <v>1</v>
      </c>
      <c r="D85" s="32" t="s">
        <v>141</v>
      </c>
      <c r="E85" s="31">
        <f t="shared" si="20"/>
        <v>20</v>
      </c>
      <c r="F85" s="96">
        <v>30.5</v>
      </c>
      <c r="G85" s="33">
        <f t="shared" si="21"/>
        <v>1.5249999999999999</v>
      </c>
      <c r="H85" s="34">
        <f t="shared" si="22"/>
        <v>30.5</v>
      </c>
      <c r="I85" s="35"/>
      <c r="J85" s="38">
        <f t="shared" si="23"/>
        <v>1.5249999999999999</v>
      </c>
      <c r="K85" s="38">
        <f t="shared" si="23"/>
        <v>30.5</v>
      </c>
      <c r="L85" s="38">
        <f t="shared" si="24"/>
        <v>1.6691058583871876</v>
      </c>
      <c r="M85" s="38">
        <f t="shared" si="25"/>
        <v>33.38211716774375</v>
      </c>
      <c r="N85" s="37">
        <v>2.5</v>
      </c>
      <c r="O85" s="38">
        <f t="shared" si="26"/>
        <v>50</v>
      </c>
      <c r="P85" s="38">
        <f t="shared" si="27"/>
        <v>0.83089414161281239</v>
      </c>
      <c r="Q85" s="38">
        <f t="shared" si="28"/>
        <v>16.61788283225625</v>
      </c>
      <c r="R85" s="39">
        <f t="shared" si="29"/>
        <v>0.33235765664512495</v>
      </c>
      <c r="S85" s="114"/>
      <c r="T85" s="119">
        <f t="shared" si="30"/>
        <v>2.5</v>
      </c>
      <c r="U85" s="131">
        <v>0.16350000000000001</v>
      </c>
      <c r="V85" s="120">
        <f t="shared" si="31"/>
        <v>2.9087499999999999</v>
      </c>
      <c r="W85" s="121">
        <f t="shared" si="32"/>
        <v>0.37499999999999994</v>
      </c>
      <c r="X85" s="121">
        <f t="shared" si="33"/>
        <v>3.3749999999999995E-2</v>
      </c>
      <c r="Y85" s="122">
        <f t="shared" si="34"/>
        <v>0.40874999999999995</v>
      </c>
      <c r="Z85" s="121">
        <f t="shared" si="35"/>
        <v>2.5</v>
      </c>
      <c r="AA85" s="123">
        <f t="shared" si="36"/>
        <v>0.33235765664512495</v>
      </c>
      <c r="AB85" s="124">
        <f t="shared" si="37"/>
        <v>0</v>
      </c>
      <c r="AC85" s="125" t="s">
        <v>226</v>
      </c>
    </row>
    <row r="86" spans="1:29" ht="45" customHeight="1" x14ac:dyDescent="0.25">
      <c r="A86" s="30">
        <v>80</v>
      </c>
      <c r="B86" s="106" t="s">
        <v>79</v>
      </c>
      <c r="C86" s="31">
        <v>1</v>
      </c>
      <c r="D86" s="32" t="s">
        <v>141</v>
      </c>
      <c r="E86" s="31">
        <f t="shared" si="20"/>
        <v>20</v>
      </c>
      <c r="F86" s="96">
        <v>30.5</v>
      </c>
      <c r="G86" s="33">
        <f t="shared" si="21"/>
        <v>1.5249999999999999</v>
      </c>
      <c r="H86" s="34">
        <f t="shared" si="22"/>
        <v>30.5</v>
      </c>
      <c r="I86" s="35"/>
      <c r="J86" s="38">
        <f t="shared" si="23"/>
        <v>1.5249999999999999</v>
      </c>
      <c r="K86" s="38">
        <f t="shared" si="23"/>
        <v>30.5</v>
      </c>
      <c r="L86" s="38">
        <f t="shared" si="24"/>
        <v>1.6691058583871876</v>
      </c>
      <c r="M86" s="38">
        <f t="shared" si="25"/>
        <v>33.38211716774375</v>
      </c>
      <c r="N86" s="37">
        <v>2.5</v>
      </c>
      <c r="O86" s="38">
        <f t="shared" si="26"/>
        <v>50</v>
      </c>
      <c r="P86" s="38">
        <f t="shared" si="27"/>
        <v>0.83089414161281239</v>
      </c>
      <c r="Q86" s="38">
        <f t="shared" si="28"/>
        <v>16.61788283225625</v>
      </c>
      <c r="R86" s="39">
        <f t="shared" si="29"/>
        <v>0.33235765664512495</v>
      </c>
      <c r="S86" s="115"/>
      <c r="T86" s="119">
        <f t="shared" si="30"/>
        <v>2.5</v>
      </c>
      <c r="U86" s="131">
        <v>0.16350000000000001</v>
      </c>
      <c r="V86" s="120">
        <f t="shared" si="31"/>
        <v>2.9087499999999999</v>
      </c>
      <c r="W86" s="121">
        <f t="shared" si="32"/>
        <v>0.37499999999999994</v>
      </c>
      <c r="X86" s="121">
        <f t="shared" si="33"/>
        <v>3.3749999999999995E-2</v>
      </c>
      <c r="Y86" s="122">
        <f t="shared" si="34"/>
        <v>0.40874999999999995</v>
      </c>
      <c r="Z86" s="121">
        <f t="shared" si="35"/>
        <v>2.5</v>
      </c>
      <c r="AA86" s="123">
        <f t="shared" si="36"/>
        <v>0.33235765664512495</v>
      </c>
      <c r="AB86" s="124">
        <f t="shared" si="37"/>
        <v>0</v>
      </c>
      <c r="AC86" s="125" t="s">
        <v>226</v>
      </c>
    </row>
    <row r="87" spans="1:29" ht="45" customHeight="1" x14ac:dyDescent="0.25">
      <c r="A87" s="30">
        <v>81</v>
      </c>
      <c r="B87" s="102" t="s">
        <v>80</v>
      </c>
      <c r="C87" s="31">
        <v>1</v>
      </c>
      <c r="D87" s="32" t="s">
        <v>73</v>
      </c>
      <c r="E87" s="31">
        <f t="shared" si="20"/>
        <v>12</v>
      </c>
      <c r="F87" s="96">
        <v>34.5</v>
      </c>
      <c r="G87" s="33">
        <f t="shared" si="21"/>
        <v>2.875</v>
      </c>
      <c r="H87" s="34">
        <f t="shared" si="22"/>
        <v>34.5</v>
      </c>
      <c r="I87" s="35"/>
      <c r="J87" s="38">
        <f t="shared" si="23"/>
        <v>2.875</v>
      </c>
      <c r="K87" s="38">
        <f t="shared" si="23"/>
        <v>34.5</v>
      </c>
      <c r="L87" s="38">
        <f t="shared" si="24"/>
        <v>3.146674978926665</v>
      </c>
      <c r="M87" s="38">
        <f t="shared" si="25"/>
        <v>37.76009974711998</v>
      </c>
      <c r="N87" s="37">
        <v>4.9000000000000004</v>
      </c>
      <c r="O87" s="38">
        <f t="shared" si="26"/>
        <v>58.800000000000004</v>
      </c>
      <c r="P87" s="38">
        <f t="shared" si="27"/>
        <v>1.7533250210733353</v>
      </c>
      <c r="Q87" s="38">
        <f t="shared" si="28"/>
        <v>21.039900252880024</v>
      </c>
      <c r="R87" s="39">
        <f t="shared" si="29"/>
        <v>0.35782143287210921</v>
      </c>
      <c r="S87" s="115"/>
      <c r="T87" s="119">
        <f t="shared" si="30"/>
        <v>4.9000000000000004</v>
      </c>
      <c r="U87" s="131">
        <v>0.16350000000000001</v>
      </c>
      <c r="V87" s="120">
        <f t="shared" si="31"/>
        <v>5.7011500000000002</v>
      </c>
      <c r="W87" s="121">
        <f t="shared" si="32"/>
        <v>0.73499999999999988</v>
      </c>
      <c r="X87" s="121">
        <f t="shared" si="33"/>
        <v>6.6149999999999987E-2</v>
      </c>
      <c r="Y87" s="122">
        <f t="shared" si="34"/>
        <v>0.80114999999999981</v>
      </c>
      <c r="Z87" s="121">
        <f t="shared" si="35"/>
        <v>4.9000000000000004</v>
      </c>
      <c r="AA87" s="123">
        <f t="shared" si="36"/>
        <v>0.35782143287210921</v>
      </c>
      <c r="AB87" s="124">
        <f t="shared" si="37"/>
        <v>0</v>
      </c>
      <c r="AC87" s="125" t="s">
        <v>226</v>
      </c>
    </row>
    <row r="88" spans="1:29" ht="45" customHeight="1" x14ac:dyDescent="0.25">
      <c r="A88" s="30">
        <v>82</v>
      </c>
      <c r="B88" s="101" t="s">
        <v>81</v>
      </c>
      <c r="C88" s="31">
        <v>1</v>
      </c>
      <c r="D88" s="32" t="s">
        <v>82</v>
      </c>
      <c r="E88" s="31">
        <f t="shared" si="20"/>
        <v>28</v>
      </c>
      <c r="F88" s="96">
        <v>9.1999999999999993</v>
      </c>
      <c r="G88" s="33">
        <f t="shared" si="21"/>
        <v>0.32857142857142857</v>
      </c>
      <c r="H88" s="34">
        <f t="shared" si="22"/>
        <v>9.1999999999999993</v>
      </c>
      <c r="I88" s="35"/>
      <c r="J88" s="38">
        <f t="shared" si="23"/>
        <v>0.32857142857142857</v>
      </c>
      <c r="K88" s="38">
        <f t="shared" si="23"/>
        <v>9.1999999999999993</v>
      </c>
      <c r="L88" s="38">
        <f t="shared" si="24"/>
        <v>0.35961999759161889</v>
      </c>
      <c r="M88" s="38">
        <f t="shared" si="25"/>
        <v>10.069359932565328</v>
      </c>
      <c r="N88" s="37">
        <v>0.65</v>
      </c>
      <c r="O88" s="38">
        <f t="shared" si="26"/>
        <v>18.2</v>
      </c>
      <c r="P88" s="38">
        <f t="shared" si="27"/>
        <v>0.29038000240838113</v>
      </c>
      <c r="Q88" s="38">
        <f t="shared" si="28"/>
        <v>8.1306400674346726</v>
      </c>
      <c r="R88" s="39">
        <f t="shared" si="29"/>
        <v>0.44673846524366329</v>
      </c>
      <c r="S88" s="115"/>
      <c r="T88" s="119">
        <f t="shared" si="30"/>
        <v>0.65</v>
      </c>
      <c r="U88" s="131">
        <v>0.16350000000000001</v>
      </c>
      <c r="V88" s="120">
        <f t="shared" si="31"/>
        <v>0.75627500000000003</v>
      </c>
      <c r="W88" s="121">
        <f t="shared" si="32"/>
        <v>9.7500000000000017E-2</v>
      </c>
      <c r="X88" s="121">
        <f t="shared" si="33"/>
        <v>8.7750000000000015E-3</v>
      </c>
      <c r="Y88" s="122">
        <f t="shared" si="34"/>
        <v>0.10627500000000001</v>
      </c>
      <c r="Z88" s="121">
        <f t="shared" si="35"/>
        <v>0.65</v>
      </c>
      <c r="AA88" s="123">
        <f t="shared" si="36"/>
        <v>0.44673846524366329</v>
      </c>
      <c r="AB88" s="124">
        <f t="shared" si="37"/>
        <v>0</v>
      </c>
      <c r="AC88" s="125" t="s">
        <v>226</v>
      </c>
    </row>
    <row r="89" spans="1:29" ht="45" customHeight="1" x14ac:dyDescent="0.25">
      <c r="A89" s="30">
        <v>83</v>
      </c>
      <c r="B89" s="105" t="s">
        <v>169</v>
      </c>
      <c r="C89" s="31">
        <v>1</v>
      </c>
      <c r="D89" s="32" t="s">
        <v>73</v>
      </c>
      <c r="E89" s="31">
        <f t="shared" si="20"/>
        <v>12</v>
      </c>
      <c r="F89" s="96">
        <v>34.5</v>
      </c>
      <c r="G89" s="33">
        <f t="shared" si="21"/>
        <v>2.875</v>
      </c>
      <c r="H89" s="34">
        <f t="shared" si="22"/>
        <v>34.5</v>
      </c>
      <c r="I89" s="35"/>
      <c r="J89" s="38">
        <f t="shared" si="23"/>
        <v>2.875</v>
      </c>
      <c r="K89" s="38">
        <f t="shared" si="23"/>
        <v>34.5</v>
      </c>
      <c r="L89" s="38">
        <f t="shared" si="24"/>
        <v>3.146674978926665</v>
      </c>
      <c r="M89" s="38">
        <f t="shared" si="25"/>
        <v>37.76009974711998</v>
      </c>
      <c r="N89" s="37"/>
      <c r="O89" s="38"/>
      <c r="P89" s="38"/>
      <c r="Q89" s="38"/>
      <c r="R89" s="39"/>
      <c r="S89" s="116"/>
      <c r="T89" s="119">
        <f t="shared" si="30"/>
        <v>0</v>
      </c>
      <c r="U89" s="131">
        <v>0.16350000000000001</v>
      </c>
      <c r="V89" s="120">
        <f t="shared" si="31"/>
        <v>0</v>
      </c>
      <c r="W89" s="121">
        <f t="shared" si="32"/>
        <v>0</v>
      </c>
      <c r="X89" s="121">
        <f t="shared" si="33"/>
        <v>0</v>
      </c>
      <c r="Y89" s="122">
        <f t="shared" si="34"/>
        <v>0</v>
      </c>
      <c r="Z89" s="121">
        <f t="shared" si="35"/>
        <v>0</v>
      </c>
      <c r="AA89" s="123" t="e">
        <f t="shared" si="36"/>
        <v>#DIV/0!</v>
      </c>
      <c r="AB89" s="124" t="e">
        <f t="shared" si="37"/>
        <v>#DIV/0!</v>
      </c>
      <c r="AC89" s="125" t="s">
        <v>226</v>
      </c>
    </row>
    <row r="90" spans="1:29" ht="45" customHeight="1" x14ac:dyDescent="0.25">
      <c r="A90" s="30">
        <v>84</v>
      </c>
      <c r="B90" s="100" t="s">
        <v>85</v>
      </c>
      <c r="C90" s="31">
        <v>1</v>
      </c>
      <c r="D90" s="32" t="s">
        <v>25</v>
      </c>
      <c r="E90" s="31">
        <f t="shared" si="20"/>
        <v>6</v>
      </c>
      <c r="F90" s="96">
        <v>20.5</v>
      </c>
      <c r="G90" s="33">
        <f t="shared" si="21"/>
        <v>3.4166666666666665</v>
      </c>
      <c r="H90" s="34">
        <f t="shared" si="22"/>
        <v>20.5</v>
      </c>
      <c r="I90" s="35"/>
      <c r="J90" s="38">
        <f t="shared" si="23"/>
        <v>3.4166666666666665</v>
      </c>
      <c r="K90" s="38">
        <f t="shared" si="23"/>
        <v>20.5</v>
      </c>
      <c r="L90" s="38">
        <f t="shared" si="24"/>
        <v>3.7395267865505297</v>
      </c>
      <c r="M90" s="38">
        <f t="shared" si="25"/>
        <v>22.437160719303179</v>
      </c>
      <c r="N90" s="37">
        <v>4.95</v>
      </c>
      <c r="O90" s="38">
        <f t="shared" ref="O90:O117" si="38">N90*E90</f>
        <v>29.700000000000003</v>
      </c>
      <c r="P90" s="38">
        <f t="shared" ref="P90:P117" si="39">N90-L90</f>
        <v>1.2104732134494705</v>
      </c>
      <c r="Q90" s="38">
        <f t="shared" ref="Q90:Q117" si="40">P90*E90</f>
        <v>7.2628392806968227</v>
      </c>
      <c r="R90" s="39">
        <f t="shared" ref="R90:R117" si="41">P90/N90</f>
        <v>0.24454004312110514</v>
      </c>
      <c r="S90" s="113"/>
      <c r="T90" s="119">
        <f t="shared" si="30"/>
        <v>4.95</v>
      </c>
      <c r="U90" s="131">
        <v>0.16350000000000001</v>
      </c>
      <c r="V90" s="120">
        <f t="shared" si="31"/>
        <v>5.7593250000000005</v>
      </c>
      <c r="W90" s="121">
        <f t="shared" si="32"/>
        <v>0.74250000000000027</v>
      </c>
      <c r="X90" s="121">
        <f t="shared" si="33"/>
        <v>6.6825000000000023E-2</v>
      </c>
      <c r="Y90" s="122">
        <f t="shared" si="34"/>
        <v>0.80932500000000029</v>
      </c>
      <c r="Z90" s="121">
        <f t="shared" si="35"/>
        <v>4.95</v>
      </c>
      <c r="AA90" s="123">
        <f t="shared" si="36"/>
        <v>0.24454004312110514</v>
      </c>
      <c r="AB90" s="124">
        <f t="shared" si="37"/>
        <v>0</v>
      </c>
      <c r="AC90" s="125" t="s">
        <v>226</v>
      </c>
    </row>
    <row r="91" spans="1:29" ht="45" customHeight="1" x14ac:dyDescent="0.25">
      <c r="A91" s="30">
        <v>85</v>
      </c>
      <c r="B91" s="100" t="s">
        <v>87</v>
      </c>
      <c r="C91" s="31">
        <v>1</v>
      </c>
      <c r="D91" s="32" t="s">
        <v>83</v>
      </c>
      <c r="E91" s="31">
        <f t="shared" si="20"/>
        <v>4</v>
      </c>
      <c r="F91" s="96">
        <v>25.7</v>
      </c>
      <c r="G91" s="33">
        <f t="shared" si="21"/>
        <v>6.4249999999999998</v>
      </c>
      <c r="H91" s="34">
        <f t="shared" si="22"/>
        <v>25.7</v>
      </c>
      <c r="I91" s="35"/>
      <c r="J91" s="38">
        <f t="shared" si="23"/>
        <v>6.4249999999999998</v>
      </c>
      <c r="K91" s="38">
        <f t="shared" si="23"/>
        <v>25.7</v>
      </c>
      <c r="L91" s="38">
        <f t="shared" si="24"/>
        <v>7.032134518123069</v>
      </c>
      <c r="M91" s="38">
        <f t="shared" si="25"/>
        <v>28.128538072492276</v>
      </c>
      <c r="N91" s="37">
        <v>8.5</v>
      </c>
      <c r="O91" s="38">
        <f t="shared" si="38"/>
        <v>34</v>
      </c>
      <c r="P91" s="38">
        <f t="shared" si="39"/>
        <v>1.467865481876931</v>
      </c>
      <c r="Q91" s="38">
        <f t="shared" si="40"/>
        <v>5.871461927507724</v>
      </c>
      <c r="R91" s="39">
        <f t="shared" si="41"/>
        <v>0.17269005669140364</v>
      </c>
      <c r="S91" s="113"/>
      <c r="T91" s="119">
        <f t="shared" si="30"/>
        <v>8.5</v>
      </c>
      <c r="U91" s="131">
        <v>0.16350000000000001</v>
      </c>
      <c r="V91" s="120">
        <f t="shared" si="31"/>
        <v>9.8897499999999994</v>
      </c>
      <c r="W91" s="121">
        <f t="shared" si="32"/>
        <v>1.2749999999999995</v>
      </c>
      <c r="X91" s="121">
        <f t="shared" si="33"/>
        <v>0.11474999999999995</v>
      </c>
      <c r="Y91" s="122">
        <f t="shared" si="34"/>
        <v>1.3897499999999994</v>
      </c>
      <c r="Z91" s="121">
        <f t="shared" si="35"/>
        <v>8.5</v>
      </c>
      <c r="AA91" s="123">
        <f t="shared" si="36"/>
        <v>0.17269005669140364</v>
      </c>
      <c r="AB91" s="124">
        <f t="shared" si="37"/>
        <v>0</v>
      </c>
      <c r="AC91" s="125">
        <v>9.9</v>
      </c>
    </row>
    <row r="92" spans="1:29" ht="45" customHeight="1" x14ac:dyDescent="0.25">
      <c r="A92" s="30">
        <v>86</v>
      </c>
      <c r="B92" s="100" t="s">
        <v>86</v>
      </c>
      <c r="C92" s="31">
        <v>1</v>
      </c>
      <c r="D92" s="32" t="s">
        <v>83</v>
      </c>
      <c r="E92" s="31">
        <f t="shared" si="20"/>
        <v>4</v>
      </c>
      <c r="F92" s="96">
        <v>25.7</v>
      </c>
      <c r="G92" s="33">
        <f t="shared" si="21"/>
        <v>6.4249999999999998</v>
      </c>
      <c r="H92" s="34">
        <f t="shared" si="22"/>
        <v>25.7</v>
      </c>
      <c r="I92" s="35"/>
      <c r="J92" s="38">
        <f t="shared" si="23"/>
        <v>6.4249999999999998</v>
      </c>
      <c r="K92" s="38">
        <f t="shared" si="23"/>
        <v>25.7</v>
      </c>
      <c r="L92" s="38">
        <f t="shared" si="24"/>
        <v>7.032134518123069</v>
      </c>
      <c r="M92" s="38">
        <f t="shared" si="25"/>
        <v>28.128538072492276</v>
      </c>
      <c r="N92" s="37">
        <v>8.5</v>
      </c>
      <c r="O92" s="38">
        <f t="shared" si="38"/>
        <v>34</v>
      </c>
      <c r="P92" s="38">
        <f t="shared" si="39"/>
        <v>1.467865481876931</v>
      </c>
      <c r="Q92" s="38">
        <f t="shared" si="40"/>
        <v>5.871461927507724</v>
      </c>
      <c r="R92" s="39">
        <f t="shared" si="41"/>
        <v>0.17269005669140364</v>
      </c>
      <c r="S92" s="114"/>
      <c r="T92" s="119">
        <f t="shared" si="30"/>
        <v>8.5</v>
      </c>
      <c r="U92" s="131">
        <v>0.16350000000000001</v>
      </c>
      <c r="V92" s="120">
        <f t="shared" si="31"/>
        <v>9.8897499999999994</v>
      </c>
      <c r="W92" s="121">
        <f t="shared" si="32"/>
        <v>1.2749999999999995</v>
      </c>
      <c r="X92" s="121">
        <f t="shared" si="33"/>
        <v>0.11474999999999995</v>
      </c>
      <c r="Y92" s="122">
        <f t="shared" si="34"/>
        <v>1.3897499999999994</v>
      </c>
      <c r="Z92" s="121">
        <f t="shared" si="35"/>
        <v>8.5</v>
      </c>
      <c r="AA92" s="123">
        <f t="shared" si="36"/>
        <v>0.17269005669140364</v>
      </c>
      <c r="AB92" s="124">
        <f t="shared" si="37"/>
        <v>0</v>
      </c>
      <c r="AC92" s="125">
        <v>9.9</v>
      </c>
    </row>
    <row r="93" spans="1:29" ht="45" customHeight="1" x14ac:dyDescent="0.25">
      <c r="A93" s="30">
        <v>87</v>
      </c>
      <c r="B93" s="100" t="s">
        <v>182</v>
      </c>
      <c r="C93" s="31">
        <v>1</v>
      </c>
      <c r="D93" s="32" t="s">
        <v>83</v>
      </c>
      <c r="E93" s="31">
        <f t="shared" si="20"/>
        <v>4</v>
      </c>
      <c r="F93" s="96">
        <v>25.7</v>
      </c>
      <c r="G93" s="33">
        <f t="shared" si="21"/>
        <v>6.4249999999999998</v>
      </c>
      <c r="H93" s="34">
        <f t="shared" si="22"/>
        <v>25.7</v>
      </c>
      <c r="I93" s="35"/>
      <c r="J93" s="38">
        <f t="shared" si="23"/>
        <v>6.4249999999999998</v>
      </c>
      <c r="K93" s="38">
        <f t="shared" si="23"/>
        <v>25.7</v>
      </c>
      <c r="L93" s="38">
        <f t="shared" si="24"/>
        <v>7.032134518123069</v>
      </c>
      <c r="M93" s="38">
        <f t="shared" si="25"/>
        <v>28.128538072492276</v>
      </c>
      <c r="N93" s="37">
        <v>8.5</v>
      </c>
      <c r="O93" s="38">
        <f t="shared" si="38"/>
        <v>34</v>
      </c>
      <c r="P93" s="38">
        <f t="shared" si="39"/>
        <v>1.467865481876931</v>
      </c>
      <c r="Q93" s="38">
        <f t="shared" si="40"/>
        <v>5.871461927507724</v>
      </c>
      <c r="R93" s="39">
        <f t="shared" si="41"/>
        <v>0.17269005669140364</v>
      </c>
      <c r="S93" s="114"/>
      <c r="T93" s="119">
        <f t="shared" si="30"/>
        <v>8.5</v>
      </c>
      <c r="U93" s="131">
        <v>0.16350000000000001</v>
      </c>
      <c r="V93" s="120">
        <f t="shared" si="31"/>
        <v>9.8897499999999994</v>
      </c>
      <c r="W93" s="121">
        <f t="shared" si="32"/>
        <v>1.2749999999999995</v>
      </c>
      <c r="X93" s="121">
        <f t="shared" si="33"/>
        <v>0.11474999999999995</v>
      </c>
      <c r="Y93" s="122">
        <f t="shared" si="34"/>
        <v>1.3897499999999994</v>
      </c>
      <c r="Z93" s="121">
        <f t="shared" si="35"/>
        <v>8.5</v>
      </c>
      <c r="AA93" s="123">
        <f t="shared" si="36"/>
        <v>0.17269005669140364</v>
      </c>
      <c r="AB93" s="124">
        <f t="shared" si="37"/>
        <v>0</v>
      </c>
      <c r="AC93" s="125">
        <v>9.9</v>
      </c>
    </row>
    <row r="94" spans="1:29" ht="45" customHeight="1" x14ac:dyDescent="0.25">
      <c r="A94" s="30">
        <v>88</v>
      </c>
      <c r="B94" s="106" t="s">
        <v>88</v>
      </c>
      <c r="C94" s="31">
        <v>1</v>
      </c>
      <c r="D94" s="32" t="s">
        <v>83</v>
      </c>
      <c r="E94" s="31">
        <f t="shared" si="20"/>
        <v>4</v>
      </c>
      <c r="F94" s="96">
        <v>25.7</v>
      </c>
      <c r="G94" s="33">
        <f t="shared" si="21"/>
        <v>6.4249999999999998</v>
      </c>
      <c r="H94" s="34">
        <f t="shared" si="22"/>
        <v>25.7</v>
      </c>
      <c r="I94" s="35"/>
      <c r="J94" s="38">
        <f t="shared" si="23"/>
        <v>6.4249999999999998</v>
      </c>
      <c r="K94" s="38">
        <f t="shared" si="23"/>
        <v>25.7</v>
      </c>
      <c r="L94" s="38">
        <f t="shared" si="24"/>
        <v>7.032134518123069</v>
      </c>
      <c r="M94" s="38">
        <f t="shared" si="25"/>
        <v>28.128538072492276</v>
      </c>
      <c r="N94" s="37">
        <v>8.5</v>
      </c>
      <c r="O94" s="38">
        <f t="shared" si="38"/>
        <v>34</v>
      </c>
      <c r="P94" s="38">
        <f t="shared" si="39"/>
        <v>1.467865481876931</v>
      </c>
      <c r="Q94" s="38">
        <f t="shared" si="40"/>
        <v>5.871461927507724</v>
      </c>
      <c r="R94" s="39">
        <f t="shared" si="41"/>
        <v>0.17269005669140364</v>
      </c>
      <c r="S94" s="115"/>
      <c r="T94" s="119">
        <f t="shared" si="30"/>
        <v>8.5</v>
      </c>
      <c r="U94" s="131">
        <v>0.16350000000000001</v>
      </c>
      <c r="V94" s="120">
        <f t="shared" si="31"/>
        <v>9.8897499999999994</v>
      </c>
      <c r="W94" s="121">
        <f t="shared" si="32"/>
        <v>1.2749999999999995</v>
      </c>
      <c r="X94" s="121">
        <f t="shared" si="33"/>
        <v>0.11474999999999995</v>
      </c>
      <c r="Y94" s="122">
        <f t="shared" si="34"/>
        <v>1.3897499999999994</v>
      </c>
      <c r="Z94" s="121">
        <f t="shared" si="35"/>
        <v>8.5</v>
      </c>
      <c r="AA94" s="123">
        <f t="shared" si="36"/>
        <v>0.17269005669140364</v>
      </c>
      <c r="AB94" s="124">
        <f t="shared" si="37"/>
        <v>0</v>
      </c>
      <c r="AC94" s="125">
        <v>9.9</v>
      </c>
    </row>
    <row r="95" spans="1:29" ht="45" customHeight="1" x14ac:dyDescent="0.25">
      <c r="A95" s="30">
        <v>89</v>
      </c>
      <c r="B95" s="102" t="s">
        <v>162</v>
      </c>
      <c r="C95" s="31">
        <v>1</v>
      </c>
      <c r="D95" s="32" t="s">
        <v>84</v>
      </c>
      <c r="E95" s="31">
        <f t="shared" si="20"/>
        <v>8</v>
      </c>
      <c r="F95" s="96">
        <v>13.6</v>
      </c>
      <c r="G95" s="33">
        <f t="shared" si="21"/>
        <v>1.7</v>
      </c>
      <c r="H95" s="34">
        <f t="shared" si="22"/>
        <v>13.6</v>
      </c>
      <c r="I95" s="35"/>
      <c r="J95" s="38">
        <f t="shared" si="23"/>
        <v>1.7</v>
      </c>
      <c r="K95" s="38">
        <f t="shared" si="23"/>
        <v>13.6</v>
      </c>
      <c r="L95" s="38">
        <f t="shared" si="24"/>
        <v>1.8606425962348976</v>
      </c>
      <c r="M95" s="38">
        <f t="shared" si="25"/>
        <v>14.885140769879181</v>
      </c>
      <c r="N95" s="37">
        <v>2.5</v>
      </c>
      <c r="O95" s="38">
        <f t="shared" si="38"/>
        <v>20</v>
      </c>
      <c r="P95" s="38">
        <f t="shared" si="39"/>
        <v>0.63935740376510242</v>
      </c>
      <c r="Q95" s="38">
        <f t="shared" si="40"/>
        <v>5.1148592301208193</v>
      </c>
      <c r="R95" s="39">
        <f t="shared" si="41"/>
        <v>0.25574296150604098</v>
      </c>
      <c r="S95" s="115"/>
      <c r="T95" s="119">
        <f t="shared" si="30"/>
        <v>2.5</v>
      </c>
      <c r="U95" s="131">
        <v>0.16350000000000001</v>
      </c>
      <c r="V95" s="120">
        <f t="shared" si="31"/>
        <v>2.9087499999999999</v>
      </c>
      <c r="W95" s="121">
        <f t="shared" si="32"/>
        <v>0.37499999999999994</v>
      </c>
      <c r="X95" s="121">
        <f t="shared" si="33"/>
        <v>3.3749999999999995E-2</v>
      </c>
      <c r="Y95" s="122">
        <f t="shared" si="34"/>
        <v>0.40874999999999995</v>
      </c>
      <c r="Z95" s="121">
        <f t="shared" si="35"/>
        <v>2.5</v>
      </c>
      <c r="AA95" s="123">
        <f t="shared" si="36"/>
        <v>0.25574296150604098</v>
      </c>
      <c r="AB95" s="124">
        <f t="shared" si="37"/>
        <v>0</v>
      </c>
      <c r="AC95" s="125">
        <v>2.95</v>
      </c>
    </row>
    <row r="96" spans="1:29" ht="45" customHeight="1" x14ac:dyDescent="0.25">
      <c r="A96" s="30">
        <v>90</v>
      </c>
      <c r="B96" s="102" t="s">
        <v>175</v>
      </c>
      <c r="C96" s="31">
        <v>1</v>
      </c>
      <c r="D96" s="32" t="s">
        <v>84</v>
      </c>
      <c r="E96" s="31">
        <f t="shared" si="20"/>
        <v>8</v>
      </c>
      <c r="F96" s="96">
        <v>13.6</v>
      </c>
      <c r="G96" s="33">
        <f t="shared" si="21"/>
        <v>1.7</v>
      </c>
      <c r="H96" s="34">
        <f t="shared" si="22"/>
        <v>13.6</v>
      </c>
      <c r="I96" s="35"/>
      <c r="J96" s="38">
        <f t="shared" si="23"/>
        <v>1.7</v>
      </c>
      <c r="K96" s="38">
        <f t="shared" si="23"/>
        <v>13.6</v>
      </c>
      <c r="L96" s="38">
        <f t="shared" si="24"/>
        <v>1.8606425962348976</v>
      </c>
      <c r="M96" s="38">
        <f t="shared" si="25"/>
        <v>14.885140769879181</v>
      </c>
      <c r="N96" s="37">
        <v>2.5</v>
      </c>
      <c r="O96" s="38">
        <f t="shared" si="38"/>
        <v>20</v>
      </c>
      <c r="P96" s="38">
        <f t="shared" si="39"/>
        <v>0.63935740376510242</v>
      </c>
      <c r="Q96" s="38">
        <f t="shared" si="40"/>
        <v>5.1148592301208193</v>
      </c>
      <c r="R96" s="39">
        <f t="shared" si="41"/>
        <v>0.25574296150604098</v>
      </c>
      <c r="S96" s="115"/>
      <c r="T96" s="119">
        <f t="shared" si="30"/>
        <v>2.5</v>
      </c>
      <c r="U96" s="131">
        <v>0.16350000000000001</v>
      </c>
      <c r="V96" s="120">
        <f t="shared" si="31"/>
        <v>2.9087499999999999</v>
      </c>
      <c r="W96" s="121">
        <f t="shared" si="32"/>
        <v>0.37499999999999994</v>
      </c>
      <c r="X96" s="121">
        <f t="shared" si="33"/>
        <v>3.3749999999999995E-2</v>
      </c>
      <c r="Y96" s="122">
        <f t="shared" si="34"/>
        <v>0.40874999999999995</v>
      </c>
      <c r="Z96" s="121">
        <f t="shared" si="35"/>
        <v>2.5</v>
      </c>
      <c r="AA96" s="123">
        <f t="shared" si="36"/>
        <v>0.25574296150604098</v>
      </c>
      <c r="AB96" s="124">
        <f t="shared" si="37"/>
        <v>0</v>
      </c>
      <c r="AC96" s="125">
        <v>2.95</v>
      </c>
    </row>
    <row r="97" spans="1:29" ht="45" customHeight="1" x14ac:dyDescent="0.25">
      <c r="A97" s="30">
        <v>91</v>
      </c>
      <c r="B97" s="102" t="s">
        <v>134</v>
      </c>
      <c r="C97" s="31">
        <v>1</v>
      </c>
      <c r="D97" s="32" t="s">
        <v>84</v>
      </c>
      <c r="E97" s="31">
        <f t="shared" si="20"/>
        <v>8</v>
      </c>
      <c r="F97" s="96">
        <v>13.6</v>
      </c>
      <c r="G97" s="33">
        <f t="shared" si="21"/>
        <v>1.7</v>
      </c>
      <c r="H97" s="34">
        <f t="shared" si="22"/>
        <v>13.6</v>
      </c>
      <c r="I97" s="35"/>
      <c r="J97" s="38">
        <f t="shared" si="23"/>
        <v>1.7</v>
      </c>
      <c r="K97" s="38">
        <f t="shared" si="23"/>
        <v>13.6</v>
      </c>
      <c r="L97" s="38">
        <f t="shared" si="24"/>
        <v>1.8606425962348976</v>
      </c>
      <c r="M97" s="38">
        <f t="shared" si="25"/>
        <v>14.885140769879181</v>
      </c>
      <c r="N97" s="37">
        <v>2.5</v>
      </c>
      <c r="O97" s="38">
        <f t="shared" si="38"/>
        <v>20</v>
      </c>
      <c r="P97" s="38">
        <f t="shared" si="39"/>
        <v>0.63935740376510242</v>
      </c>
      <c r="Q97" s="38">
        <f t="shared" si="40"/>
        <v>5.1148592301208193</v>
      </c>
      <c r="R97" s="39">
        <f t="shared" si="41"/>
        <v>0.25574296150604098</v>
      </c>
      <c r="S97" s="115"/>
      <c r="T97" s="119">
        <f t="shared" si="30"/>
        <v>2.5</v>
      </c>
      <c r="U97" s="131">
        <v>0.16350000000000001</v>
      </c>
      <c r="V97" s="120">
        <f t="shared" si="31"/>
        <v>2.9087499999999999</v>
      </c>
      <c r="W97" s="121">
        <f t="shared" si="32"/>
        <v>0.37499999999999994</v>
      </c>
      <c r="X97" s="121">
        <f t="shared" si="33"/>
        <v>3.3749999999999995E-2</v>
      </c>
      <c r="Y97" s="122">
        <f t="shared" si="34"/>
        <v>0.40874999999999995</v>
      </c>
      <c r="Z97" s="121">
        <f t="shared" si="35"/>
        <v>2.5</v>
      </c>
      <c r="AA97" s="123">
        <f t="shared" si="36"/>
        <v>0.25574296150604098</v>
      </c>
      <c r="AB97" s="124">
        <f t="shared" si="37"/>
        <v>0</v>
      </c>
      <c r="AC97" s="125">
        <v>2.95</v>
      </c>
    </row>
    <row r="98" spans="1:29" ht="45" customHeight="1" x14ac:dyDescent="0.25">
      <c r="A98" s="30">
        <v>92</v>
      </c>
      <c r="B98" s="101" t="s">
        <v>130</v>
      </c>
      <c r="C98" s="31">
        <v>1</v>
      </c>
      <c r="D98" s="32" t="s">
        <v>73</v>
      </c>
      <c r="E98" s="31">
        <f t="shared" si="20"/>
        <v>12</v>
      </c>
      <c r="F98" s="96">
        <v>8.9</v>
      </c>
      <c r="G98" s="33">
        <f t="shared" si="21"/>
        <v>0.7416666666666667</v>
      </c>
      <c r="H98" s="34">
        <f t="shared" si="22"/>
        <v>8.9</v>
      </c>
      <c r="I98" s="35"/>
      <c r="J98" s="38">
        <f t="shared" si="23"/>
        <v>0.7416666666666667</v>
      </c>
      <c r="K98" s="38">
        <f t="shared" si="23"/>
        <v>8.9</v>
      </c>
      <c r="L98" s="38">
        <f t="shared" si="24"/>
        <v>0.81175093659267594</v>
      </c>
      <c r="M98" s="38">
        <f t="shared" si="25"/>
        <v>9.7410112391121118</v>
      </c>
      <c r="N98" s="37">
        <v>1.25</v>
      </c>
      <c r="O98" s="38">
        <f t="shared" si="38"/>
        <v>15</v>
      </c>
      <c r="P98" s="38">
        <f t="shared" si="39"/>
        <v>0.43824906340732406</v>
      </c>
      <c r="Q98" s="38">
        <f t="shared" si="40"/>
        <v>5.2589887608878882</v>
      </c>
      <c r="R98" s="39">
        <f t="shared" si="41"/>
        <v>0.35059925072585924</v>
      </c>
      <c r="S98" s="115"/>
      <c r="T98" s="119">
        <f t="shared" si="30"/>
        <v>1.25</v>
      </c>
      <c r="U98" s="131">
        <v>0.16350000000000001</v>
      </c>
      <c r="V98" s="120">
        <f t="shared" si="31"/>
        <v>1.454375</v>
      </c>
      <c r="W98" s="121">
        <f t="shared" si="32"/>
        <v>0.18749999999999997</v>
      </c>
      <c r="X98" s="121">
        <f t="shared" si="33"/>
        <v>1.6874999999999998E-2</v>
      </c>
      <c r="Y98" s="122">
        <f t="shared" si="34"/>
        <v>0.20437499999999997</v>
      </c>
      <c r="Z98" s="121">
        <f t="shared" si="35"/>
        <v>1.25</v>
      </c>
      <c r="AA98" s="123">
        <f t="shared" si="36"/>
        <v>0.35059925072585924</v>
      </c>
      <c r="AB98" s="124">
        <f t="shared" si="37"/>
        <v>0</v>
      </c>
      <c r="AC98" s="125" t="s">
        <v>226</v>
      </c>
    </row>
    <row r="99" spans="1:29" ht="45" customHeight="1" x14ac:dyDescent="0.25">
      <c r="A99" s="30">
        <v>93</v>
      </c>
      <c r="B99" s="104" t="s">
        <v>89</v>
      </c>
      <c r="C99" s="31">
        <v>1</v>
      </c>
      <c r="D99" s="32" t="s">
        <v>25</v>
      </c>
      <c r="E99" s="31">
        <f t="shared" si="20"/>
        <v>6</v>
      </c>
      <c r="F99" s="96">
        <v>20.5</v>
      </c>
      <c r="G99" s="33">
        <f t="shared" si="21"/>
        <v>3.4166666666666665</v>
      </c>
      <c r="H99" s="34">
        <f t="shared" si="22"/>
        <v>20.5</v>
      </c>
      <c r="I99" s="35"/>
      <c r="J99" s="38">
        <f t="shared" si="23"/>
        <v>3.4166666666666665</v>
      </c>
      <c r="K99" s="38">
        <f t="shared" si="23"/>
        <v>20.5</v>
      </c>
      <c r="L99" s="38">
        <f t="shared" si="24"/>
        <v>3.7395267865505297</v>
      </c>
      <c r="M99" s="38">
        <f t="shared" si="25"/>
        <v>22.437160719303179</v>
      </c>
      <c r="N99" s="37">
        <v>4.95</v>
      </c>
      <c r="O99" s="38">
        <f t="shared" si="38"/>
        <v>29.700000000000003</v>
      </c>
      <c r="P99" s="38">
        <f t="shared" si="39"/>
        <v>1.2104732134494705</v>
      </c>
      <c r="Q99" s="38">
        <f t="shared" si="40"/>
        <v>7.2628392806968227</v>
      </c>
      <c r="R99" s="39">
        <f t="shared" si="41"/>
        <v>0.24454004312110514</v>
      </c>
      <c r="S99" s="116"/>
      <c r="T99" s="119">
        <f t="shared" si="30"/>
        <v>4.95</v>
      </c>
      <c r="U99" s="131">
        <v>0.16350000000000001</v>
      </c>
      <c r="V99" s="120">
        <f t="shared" si="31"/>
        <v>5.7593250000000005</v>
      </c>
      <c r="W99" s="121">
        <f t="shared" si="32"/>
        <v>0.74250000000000027</v>
      </c>
      <c r="X99" s="121">
        <f t="shared" si="33"/>
        <v>6.6825000000000023E-2</v>
      </c>
      <c r="Y99" s="122">
        <f t="shared" si="34"/>
        <v>0.80932500000000029</v>
      </c>
      <c r="Z99" s="121">
        <f t="shared" si="35"/>
        <v>4.95</v>
      </c>
      <c r="AA99" s="123">
        <f t="shared" si="36"/>
        <v>0.24454004312110514</v>
      </c>
      <c r="AB99" s="124">
        <f t="shared" si="37"/>
        <v>0</v>
      </c>
      <c r="AC99" s="125" t="s">
        <v>226</v>
      </c>
    </row>
    <row r="100" spans="1:29" ht="45" customHeight="1" x14ac:dyDescent="0.25">
      <c r="A100" s="30">
        <v>94</v>
      </c>
      <c r="B100" s="100" t="s">
        <v>199</v>
      </c>
      <c r="C100" s="31">
        <v>1</v>
      </c>
      <c r="D100" s="32" t="s">
        <v>24</v>
      </c>
      <c r="E100" s="31">
        <f t="shared" si="20"/>
        <v>24</v>
      </c>
      <c r="F100" s="96">
        <v>10</v>
      </c>
      <c r="G100" s="33">
        <f t="shared" si="21"/>
        <v>0.41666666666666669</v>
      </c>
      <c r="H100" s="34">
        <f t="shared" si="22"/>
        <v>10</v>
      </c>
      <c r="I100" s="35"/>
      <c r="J100" s="38">
        <f t="shared" si="23"/>
        <v>0.41666666666666669</v>
      </c>
      <c r="K100" s="38">
        <f t="shared" si="23"/>
        <v>10</v>
      </c>
      <c r="L100" s="38">
        <f t="shared" si="24"/>
        <v>0.45603985201835728</v>
      </c>
      <c r="M100" s="38">
        <f t="shared" si="25"/>
        <v>10.944956448440575</v>
      </c>
      <c r="N100" s="37"/>
      <c r="O100" s="38">
        <f t="shared" si="38"/>
        <v>0</v>
      </c>
      <c r="P100" s="38">
        <f t="shared" si="39"/>
        <v>-0.45603985201835728</v>
      </c>
      <c r="Q100" s="38">
        <f t="shared" si="40"/>
        <v>-10.944956448440575</v>
      </c>
      <c r="R100" s="39" t="e">
        <f t="shared" si="41"/>
        <v>#DIV/0!</v>
      </c>
      <c r="S100" s="114"/>
      <c r="T100" s="119">
        <f t="shared" si="30"/>
        <v>0</v>
      </c>
      <c r="U100" s="131">
        <v>0.16350000000000001</v>
      </c>
      <c r="V100" s="120">
        <f t="shared" si="31"/>
        <v>0</v>
      </c>
      <c r="W100" s="121">
        <f t="shared" si="32"/>
        <v>0</v>
      </c>
      <c r="X100" s="121">
        <f t="shared" si="33"/>
        <v>0</v>
      </c>
      <c r="Y100" s="122">
        <f t="shared" si="34"/>
        <v>0</v>
      </c>
      <c r="Z100" s="121">
        <f t="shared" si="35"/>
        <v>0</v>
      </c>
      <c r="AA100" s="123" t="e">
        <f t="shared" si="36"/>
        <v>#DIV/0!</v>
      </c>
      <c r="AB100" s="124" t="e">
        <f t="shared" si="37"/>
        <v>#DIV/0!</v>
      </c>
      <c r="AC100" s="125" t="s">
        <v>226</v>
      </c>
    </row>
    <row r="101" spans="1:29" ht="45" customHeight="1" x14ac:dyDescent="0.25">
      <c r="A101" s="30">
        <v>95</v>
      </c>
      <c r="B101" s="100" t="s">
        <v>213</v>
      </c>
      <c r="C101" s="31">
        <v>1</v>
      </c>
      <c r="D101" s="32" t="s">
        <v>73</v>
      </c>
      <c r="E101" s="31">
        <f t="shared" si="20"/>
        <v>12</v>
      </c>
      <c r="F101" s="96">
        <v>19</v>
      </c>
      <c r="G101" s="33">
        <f t="shared" si="21"/>
        <v>1.5833333333333333</v>
      </c>
      <c r="H101" s="34">
        <f t="shared" si="22"/>
        <v>19</v>
      </c>
      <c r="I101" s="35"/>
      <c r="J101" s="38">
        <f t="shared" si="23"/>
        <v>1.5833333333333333</v>
      </c>
      <c r="K101" s="38">
        <f t="shared" si="23"/>
        <v>19</v>
      </c>
      <c r="L101" s="38">
        <f t="shared" si="24"/>
        <v>1.7329514376697577</v>
      </c>
      <c r="M101" s="38">
        <f t="shared" si="25"/>
        <v>20.79541725203709</v>
      </c>
      <c r="N101" s="37"/>
      <c r="O101" s="38">
        <f t="shared" si="38"/>
        <v>0</v>
      </c>
      <c r="P101" s="38">
        <f t="shared" si="39"/>
        <v>-1.7329514376697577</v>
      </c>
      <c r="Q101" s="38">
        <f t="shared" si="40"/>
        <v>-20.79541725203709</v>
      </c>
      <c r="R101" s="39" t="e">
        <f t="shared" si="41"/>
        <v>#DIV/0!</v>
      </c>
      <c r="S101" s="114"/>
      <c r="T101" s="119">
        <f t="shared" si="30"/>
        <v>0</v>
      </c>
      <c r="U101" s="131">
        <v>0.16350000000000001</v>
      </c>
      <c r="V101" s="120">
        <f t="shared" si="31"/>
        <v>0</v>
      </c>
      <c r="W101" s="121">
        <f t="shared" si="32"/>
        <v>0</v>
      </c>
      <c r="X101" s="121">
        <f t="shared" si="33"/>
        <v>0</v>
      </c>
      <c r="Y101" s="122">
        <f t="shared" si="34"/>
        <v>0</v>
      </c>
      <c r="Z101" s="121">
        <f t="shared" si="35"/>
        <v>0</v>
      </c>
      <c r="AA101" s="123" t="e">
        <f t="shared" si="36"/>
        <v>#DIV/0!</v>
      </c>
      <c r="AB101" s="124" t="e">
        <f t="shared" si="37"/>
        <v>#DIV/0!</v>
      </c>
      <c r="AC101" s="125" t="s">
        <v>226</v>
      </c>
    </row>
    <row r="102" spans="1:29" ht="45" customHeight="1" x14ac:dyDescent="0.25">
      <c r="A102" s="30">
        <v>96</v>
      </c>
      <c r="B102" s="100" t="s">
        <v>209</v>
      </c>
      <c r="C102" s="31">
        <v>1</v>
      </c>
      <c r="D102" s="32" t="s">
        <v>24</v>
      </c>
      <c r="E102" s="31">
        <f t="shared" si="20"/>
        <v>24</v>
      </c>
      <c r="F102" s="96">
        <v>17.2</v>
      </c>
      <c r="G102" s="33">
        <f t="shared" si="21"/>
        <v>0.71666666666666667</v>
      </c>
      <c r="H102" s="34">
        <f t="shared" si="22"/>
        <v>17.2</v>
      </c>
      <c r="I102" s="35"/>
      <c r="J102" s="38">
        <f t="shared" si="23"/>
        <v>0.71666666666666667</v>
      </c>
      <c r="K102" s="38">
        <f t="shared" si="23"/>
        <v>17.2</v>
      </c>
      <c r="L102" s="38">
        <f t="shared" si="24"/>
        <v>0.78438854547157455</v>
      </c>
      <c r="M102" s="38">
        <f t="shared" si="25"/>
        <v>18.82532509131779</v>
      </c>
      <c r="N102" s="37"/>
      <c r="O102" s="38">
        <f t="shared" si="38"/>
        <v>0</v>
      </c>
      <c r="P102" s="38">
        <f t="shared" si="39"/>
        <v>-0.78438854547157455</v>
      </c>
      <c r="Q102" s="38">
        <f t="shared" si="40"/>
        <v>-18.82532509131779</v>
      </c>
      <c r="R102" s="39" t="e">
        <f t="shared" si="41"/>
        <v>#DIV/0!</v>
      </c>
      <c r="S102" s="114"/>
      <c r="T102" s="119">
        <f t="shared" si="30"/>
        <v>0</v>
      </c>
      <c r="U102" s="131">
        <v>0.16350000000000001</v>
      </c>
      <c r="V102" s="120">
        <f t="shared" si="31"/>
        <v>0</v>
      </c>
      <c r="W102" s="121">
        <f t="shared" si="32"/>
        <v>0</v>
      </c>
      <c r="X102" s="121">
        <f t="shared" si="33"/>
        <v>0</v>
      </c>
      <c r="Y102" s="122">
        <f t="shared" si="34"/>
        <v>0</v>
      </c>
      <c r="Z102" s="121">
        <f t="shared" si="35"/>
        <v>0</v>
      </c>
      <c r="AA102" s="123" t="e">
        <f t="shared" si="36"/>
        <v>#DIV/0!</v>
      </c>
      <c r="AB102" s="124" t="e">
        <f t="shared" si="37"/>
        <v>#DIV/0!</v>
      </c>
      <c r="AC102" s="125">
        <v>1.05</v>
      </c>
    </row>
    <row r="103" spans="1:29" ht="45" customHeight="1" x14ac:dyDescent="0.25">
      <c r="A103" s="30">
        <v>97</v>
      </c>
      <c r="B103" s="100" t="s">
        <v>92</v>
      </c>
      <c r="C103" s="31">
        <v>1</v>
      </c>
      <c r="D103" s="32" t="s">
        <v>83</v>
      </c>
      <c r="E103" s="31">
        <f t="shared" si="20"/>
        <v>4</v>
      </c>
      <c r="F103" s="96">
        <v>8.9</v>
      </c>
      <c r="G103" s="33">
        <f t="shared" si="21"/>
        <v>2.2250000000000001</v>
      </c>
      <c r="H103" s="34">
        <f t="shared" si="22"/>
        <v>8.9</v>
      </c>
      <c r="I103" s="35"/>
      <c r="J103" s="38">
        <f t="shared" ref="J103:K129" si="42">G103/$Q$2</f>
        <v>2.2250000000000001</v>
      </c>
      <c r="K103" s="38">
        <f t="shared" si="42"/>
        <v>8.9</v>
      </c>
      <c r="L103" s="38">
        <f t="shared" ref="L103:L129" si="43">J103*(1+$M$174+9%)</f>
        <v>2.4352528097780279</v>
      </c>
      <c r="M103" s="38">
        <f t="shared" si="25"/>
        <v>9.7410112391121118</v>
      </c>
      <c r="N103" s="37">
        <v>3.25</v>
      </c>
      <c r="O103" s="38">
        <f t="shared" si="38"/>
        <v>13</v>
      </c>
      <c r="P103" s="38">
        <f t="shared" si="39"/>
        <v>0.81474719022197206</v>
      </c>
      <c r="Q103" s="38">
        <f t="shared" si="40"/>
        <v>3.2589887608878882</v>
      </c>
      <c r="R103" s="39">
        <f t="shared" si="41"/>
        <v>0.25069144314522218</v>
      </c>
      <c r="S103" s="114"/>
      <c r="T103" s="119">
        <f t="shared" si="30"/>
        <v>3.25</v>
      </c>
      <c r="U103" s="131">
        <v>0.16350000000000001</v>
      </c>
      <c r="V103" s="120">
        <f t="shared" si="31"/>
        <v>3.7813750000000002</v>
      </c>
      <c r="W103" s="121">
        <f t="shared" si="32"/>
        <v>0.48750000000000016</v>
      </c>
      <c r="X103" s="121">
        <f t="shared" si="33"/>
        <v>4.3875000000000018E-2</v>
      </c>
      <c r="Y103" s="122">
        <f t="shared" si="34"/>
        <v>0.53137500000000015</v>
      </c>
      <c r="Z103" s="121">
        <f t="shared" si="35"/>
        <v>3.25</v>
      </c>
      <c r="AA103" s="123">
        <f t="shared" si="36"/>
        <v>0.25069144314522218</v>
      </c>
      <c r="AB103" s="124">
        <f t="shared" si="37"/>
        <v>0</v>
      </c>
      <c r="AC103" s="125" t="s">
        <v>226</v>
      </c>
    </row>
    <row r="104" spans="1:29" ht="45" customHeight="1" x14ac:dyDescent="0.25">
      <c r="A104" s="30">
        <v>98</v>
      </c>
      <c r="B104" s="100" t="s">
        <v>93</v>
      </c>
      <c r="C104" s="31">
        <v>1</v>
      </c>
      <c r="D104" s="32" t="s">
        <v>73</v>
      </c>
      <c r="E104" s="31">
        <f t="shared" si="20"/>
        <v>12</v>
      </c>
      <c r="F104" s="96">
        <v>12.3</v>
      </c>
      <c r="G104" s="33">
        <f t="shared" si="21"/>
        <v>1.0250000000000001</v>
      </c>
      <c r="H104" s="34">
        <f t="shared" si="22"/>
        <v>12.3</v>
      </c>
      <c r="I104" s="35"/>
      <c r="J104" s="38">
        <f t="shared" si="42"/>
        <v>1.0250000000000001</v>
      </c>
      <c r="K104" s="38">
        <f t="shared" si="42"/>
        <v>12.3</v>
      </c>
      <c r="L104" s="38">
        <f t="shared" si="43"/>
        <v>1.1218580359651591</v>
      </c>
      <c r="M104" s="38">
        <f t="shared" si="25"/>
        <v>13.462296431581908</v>
      </c>
      <c r="N104" s="37">
        <v>1.75</v>
      </c>
      <c r="O104" s="38">
        <f t="shared" si="38"/>
        <v>21</v>
      </c>
      <c r="P104" s="38">
        <f t="shared" si="39"/>
        <v>0.62814196403484091</v>
      </c>
      <c r="Q104" s="38">
        <f t="shared" si="40"/>
        <v>7.5377035684180909</v>
      </c>
      <c r="R104" s="39">
        <f t="shared" si="41"/>
        <v>0.35893826516276622</v>
      </c>
      <c r="S104" s="115"/>
      <c r="T104" s="119">
        <f t="shared" si="30"/>
        <v>1.75</v>
      </c>
      <c r="U104" s="131">
        <v>0.16350000000000001</v>
      </c>
      <c r="V104" s="120">
        <f t="shared" si="31"/>
        <v>2.0361250000000002</v>
      </c>
      <c r="W104" s="121">
        <f t="shared" si="32"/>
        <v>0.26250000000000018</v>
      </c>
      <c r="X104" s="121">
        <f t="shared" si="33"/>
        <v>2.3625000000000018E-2</v>
      </c>
      <c r="Y104" s="122">
        <f t="shared" si="34"/>
        <v>0.28612500000000018</v>
      </c>
      <c r="Z104" s="121">
        <f t="shared" si="35"/>
        <v>1.75</v>
      </c>
      <c r="AA104" s="123">
        <f t="shared" si="36"/>
        <v>0.35893826516276622</v>
      </c>
      <c r="AB104" s="124">
        <f t="shared" si="37"/>
        <v>0</v>
      </c>
      <c r="AC104" s="125">
        <v>1.55</v>
      </c>
    </row>
    <row r="105" spans="1:29" ht="45" customHeight="1" x14ac:dyDescent="0.25">
      <c r="A105" s="30">
        <v>99</v>
      </c>
      <c r="B105" s="101" t="s">
        <v>94</v>
      </c>
      <c r="C105" s="31">
        <v>1</v>
      </c>
      <c r="D105" s="32" t="s">
        <v>24</v>
      </c>
      <c r="E105" s="31">
        <f t="shared" si="20"/>
        <v>24</v>
      </c>
      <c r="F105" s="96">
        <v>13</v>
      </c>
      <c r="G105" s="33">
        <f t="shared" si="21"/>
        <v>0.54166666666666663</v>
      </c>
      <c r="H105" s="34">
        <f t="shared" si="22"/>
        <v>13</v>
      </c>
      <c r="I105" s="35"/>
      <c r="J105" s="38">
        <f t="shared" si="42"/>
        <v>0.54166666666666663</v>
      </c>
      <c r="K105" s="38">
        <f t="shared" si="42"/>
        <v>13</v>
      </c>
      <c r="L105" s="38">
        <f t="shared" si="43"/>
        <v>0.59285180762386447</v>
      </c>
      <c r="M105" s="38">
        <f t="shared" si="25"/>
        <v>14.228443382972747</v>
      </c>
      <c r="N105" s="37">
        <v>0.8</v>
      </c>
      <c r="O105" s="38">
        <f t="shared" si="38"/>
        <v>19.200000000000003</v>
      </c>
      <c r="P105" s="38">
        <f t="shared" si="39"/>
        <v>0.20714819237613558</v>
      </c>
      <c r="Q105" s="38">
        <f t="shared" si="40"/>
        <v>4.9715566170272538</v>
      </c>
      <c r="R105" s="39">
        <f t="shared" si="41"/>
        <v>0.25893524047016947</v>
      </c>
      <c r="S105" s="115"/>
      <c r="T105" s="119">
        <f t="shared" si="30"/>
        <v>0.8</v>
      </c>
      <c r="U105" s="131">
        <v>0.16350000000000001</v>
      </c>
      <c r="V105" s="120">
        <f t="shared" si="31"/>
        <v>0.93080000000000007</v>
      </c>
      <c r="W105" s="121">
        <f t="shared" si="32"/>
        <v>0.12000000000000004</v>
      </c>
      <c r="X105" s="121">
        <f t="shared" si="33"/>
        <v>1.0800000000000002E-2</v>
      </c>
      <c r="Y105" s="122">
        <f t="shared" si="34"/>
        <v>0.13080000000000003</v>
      </c>
      <c r="Z105" s="121">
        <f t="shared" si="35"/>
        <v>0.8</v>
      </c>
      <c r="AA105" s="123">
        <f t="shared" si="36"/>
        <v>0.25893524047016947</v>
      </c>
      <c r="AB105" s="124">
        <f t="shared" si="37"/>
        <v>0</v>
      </c>
      <c r="AC105" s="125">
        <v>0.7</v>
      </c>
    </row>
    <row r="106" spans="1:29" ht="45" customHeight="1" x14ac:dyDescent="0.25">
      <c r="A106" s="30">
        <v>100</v>
      </c>
      <c r="B106" s="103" t="s">
        <v>95</v>
      </c>
      <c r="C106" s="31">
        <v>1</v>
      </c>
      <c r="D106" s="32" t="s">
        <v>24</v>
      </c>
      <c r="E106" s="31">
        <f t="shared" si="20"/>
        <v>24</v>
      </c>
      <c r="F106" s="96">
        <v>13</v>
      </c>
      <c r="G106" s="33">
        <f t="shared" si="21"/>
        <v>0.54166666666666663</v>
      </c>
      <c r="H106" s="34">
        <f t="shared" si="22"/>
        <v>13</v>
      </c>
      <c r="I106" s="35"/>
      <c r="J106" s="38">
        <f t="shared" si="42"/>
        <v>0.54166666666666663</v>
      </c>
      <c r="K106" s="38">
        <f t="shared" si="42"/>
        <v>13</v>
      </c>
      <c r="L106" s="38">
        <f t="shared" si="43"/>
        <v>0.59285180762386447</v>
      </c>
      <c r="M106" s="38">
        <f t="shared" si="25"/>
        <v>14.228443382972747</v>
      </c>
      <c r="N106" s="37">
        <v>0.8</v>
      </c>
      <c r="O106" s="38">
        <f t="shared" si="38"/>
        <v>19.200000000000003</v>
      </c>
      <c r="P106" s="38">
        <f t="shared" si="39"/>
        <v>0.20714819237613558</v>
      </c>
      <c r="Q106" s="38">
        <f t="shared" si="40"/>
        <v>4.9715566170272538</v>
      </c>
      <c r="R106" s="39">
        <f t="shared" si="41"/>
        <v>0.25893524047016947</v>
      </c>
      <c r="S106" s="116"/>
      <c r="T106" s="119">
        <f t="shared" si="30"/>
        <v>0.8</v>
      </c>
      <c r="U106" s="131">
        <v>0.16350000000000001</v>
      </c>
      <c r="V106" s="120">
        <f t="shared" si="31"/>
        <v>0.93080000000000007</v>
      </c>
      <c r="W106" s="121">
        <f t="shared" si="32"/>
        <v>0.12000000000000004</v>
      </c>
      <c r="X106" s="121">
        <f t="shared" si="33"/>
        <v>1.0800000000000002E-2</v>
      </c>
      <c r="Y106" s="122">
        <f t="shared" si="34"/>
        <v>0.13080000000000003</v>
      </c>
      <c r="Z106" s="121">
        <f t="shared" si="35"/>
        <v>0.8</v>
      </c>
      <c r="AA106" s="123">
        <f t="shared" si="36"/>
        <v>0.25893524047016947</v>
      </c>
      <c r="AB106" s="124">
        <f t="shared" si="37"/>
        <v>0</v>
      </c>
      <c r="AC106" s="125">
        <v>0.7</v>
      </c>
    </row>
    <row r="107" spans="1:29" ht="45" customHeight="1" x14ac:dyDescent="0.25">
      <c r="A107" s="30">
        <v>101</v>
      </c>
      <c r="B107" s="106" t="s">
        <v>96</v>
      </c>
      <c r="C107" s="31">
        <v>1</v>
      </c>
      <c r="D107" s="32" t="s">
        <v>24</v>
      </c>
      <c r="E107" s="31">
        <f t="shared" si="20"/>
        <v>24</v>
      </c>
      <c r="F107" s="96">
        <v>13</v>
      </c>
      <c r="G107" s="33">
        <f t="shared" si="21"/>
        <v>0.54166666666666663</v>
      </c>
      <c r="H107" s="34">
        <f t="shared" si="22"/>
        <v>13</v>
      </c>
      <c r="I107" s="35"/>
      <c r="J107" s="38">
        <f t="shared" si="42"/>
        <v>0.54166666666666663</v>
      </c>
      <c r="K107" s="38">
        <f t="shared" si="42"/>
        <v>13</v>
      </c>
      <c r="L107" s="38">
        <f t="shared" si="43"/>
        <v>0.59285180762386447</v>
      </c>
      <c r="M107" s="38">
        <f t="shared" si="25"/>
        <v>14.228443382972747</v>
      </c>
      <c r="N107" s="37">
        <v>0.8</v>
      </c>
      <c r="O107" s="38">
        <f t="shared" si="38"/>
        <v>19.200000000000003</v>
      </c>
      <c r="P107" s="38">
        <f t="shared" si="39"/>
        <v>0.20714819237613558</v>
      </c>
      <c r="Q107" s="38">
        <f t="shared" si="40"/>
        <v>4.9715566170272538</v>
      </c>
      <c r="R107" s="39">
        <f t="shared" si="41"/>
        <v>0.25893524047016947</v>
      </c>
      <c r="S107" s="113"/>
      <c r="T107" s="119">
        <f t="shared" si="30"/>
        <v>0.8</v>
      </c>
      <c r="U107" s="131">
        <v>0.16350000000000001</v>
      </c>
      <c r="V107" s="120">
        <f t="shared" si="31"/>
        <v>0.93080000000000007</v>
      </c>
      <c r="W107" s="121">
        <f t="shared" si="32"/>
        <v>0.12000000000000004</v>
      </c>
      <c r="X107" s="121">
        <f t="shared" si="33"/>
        <v>1.0800000000000002E-2</v>
      </c>
      <c r="Y107" s="122">
        <f t="shared" si="34"/>
        <v>0.13080000000000003</v>
      </c>
      <c r="Z107" s="121">
        <f t="shared" si="35"/>
        <v>0.8</v>
      </c>
      <c r="AA107" s="123">
        <f t="shared" si="36"/>
        <v>0.25893524047016947</v>
      </c>
      <c r="AB107" s="124">
        <f t="shared" si="37"/>
        <v>0</v>
      </c>
      <c r="AC107" s="125">
        <v>0.7</v>
      </c>
    </row>
    <row r="108" spans="1:29" ht="45" customHeight="1" x14ac:dyDescent="0.25">
      <c r="A108" s="30">
        <v>102</v>
      </c>
      <c r="B108" s="106" t="s">
        <v>201</v>
      </c>
      <c r="C108" s="31">
        <v>1</v>
      </c>
      <c r="D108" s="32" t="s">
        <v>25</v>
      </c>
      <c r="E108" s="31">
        <f t="shared" si="20"/>
        <v>6</v>
      </c>
      <c r="F108" s="96">
        <v>26.5</v>
      </c>
      <c r="G108" s="33">
        <f t="shared" si="21"/>
        <v>4.416666666666667</v>
      </c>
      <c r="H108" s="34">
        <f t="shared" si="22"/>
        <v>26.5</v>
      </c>
      <c r="I108" s="35"/>
      <c r="J108" s="38">
        <f t="shared" si="42"/>
        <v>4.416666666666667</v>
      </c>
      <c r="K108" s="38">
        <f t="shared" si="42"/>
        <v>26.5</v>
      </c>
      <c r="L108" s="38">
        <f t="shared" si="43"/>
        <v>4.8340224313945876</v>
      </c>
      <c r="M108" s="38">
        <f t="shared" si="25"/>
        <v>29.004134588367528</v>
      </c>
      <c r="N108" s="37"/>
      <c r="O108" s="38">
        <f t="shared" si="38"/>
        <v>0</v>
      </c>
      <c r="P108" s="38">
        <f t="shared" si="39"/>
        <v>-4.8340224313945876</v>
      </c>
      <c r="Q108" s="38">
        <f t="shared" si="40"/>
        <v>-29.004134588367528</v>
      </c>
      <c r="R108" s="39" t="e">
        <f t="shared" si="41"/>
        <v>#DIV/0!</v>
      </c>
      <c r="S108" s="115"/>
      <c r="T108" s="119">
        <f t="shared" si="30"/>
        <v>0</v>
      </c>
      <c r="U108" s="131">
        <v>0.16350000000000001</v>
      </c>
      <c r="V108" s="120">
        <f t="shared" si="31"/>
        <v>0</v>
      </c>
      <c r="W108" s="121">
        <f t="shared" si="32"/>
        <v>0</v>
      </c>
      <c r="X108" s="121">
        <f t="shared" si="33"/>
        <v>0</v>
      </c>
      <c r="Y108" s="122">
        <f t="shared" si="34"/>
        <v>0</v>
      </c>
      <c r="Z108" s="121">
        <f t="shared" si="35"/>
        <v>0</v>
      </c>
      <c r="AA108" s="123" t="e">
        <f t="shared" si="36"/>
        <v>#DIV/0!</v>
      </c>
      <c r="AB108" s="124" t="e">
        <f t="shared" si="37"/>
        <v>#DIV/0!</v>
      </c>
      <c r="AC108" s="125" t="s">
        <v>226</v>
      </c>
    </row>
    <row r="109" spans="1:29" ht="45" customHeight="1" x14ac:dyDescent="0.25">
      <c r="A109" s="30">
        <v>103</v>
      </c>
      <c r="B109" s="106" t="s">
        <v>200</v>
      </c>
      <c r="C109" s="31">
        <v>1</v>
      </c>
      <c r="D109" s="32" t="s">
        <v>73</v>
      </c>
      <c r="E109" s="31">
        <f t="shared" si="20"/>
        <v>12</v>
      </c>
      <c r="F109" s="96">
        <v>18.850000000000001</v>
      </c>
      <c r="G109" s="33">
        <f t="shared" si="21"/>
        <v>1.5708333333333335</v>
      </c>
      <c r="H109" s="34">
        <f t="shared" si="22"/>
        <v>18.850000000000001</v>
      </c>
      <c r="I109" s="35"/>
      <c r="J109" s="38">
        <f t="shared" si="42"/>
        <v>1.5708333333333335</v>
      </c>
      <c r="K109" s="38">
        <f t="shared" si="42"/>
        <v>18.850000000000001</v>
      </c>
      <c r="L109" s="38">
        <f t="shared" si="43"/>
        <v>1.7192702421092072</v>
      </c>
      <c r="M109" s="38">
        <f t="shared" si="25"/>
        <v>20.631242905310486</v>
      </c>
      <c r="N109" s="37">
        <v>2.5</v>
      </c>
      <c r="O109" s="38">
        <f t="shared" si="38"/>
        <v>30</v>
      </c>
      <c r="P109" s="38">
        <f t="shared" si="39"/>
        <v>0.7807297578907928</v>
      </c>
      <c r="Q109" s="38">
        <f t="shared" si="40"/>
        <v>9.3687570946895136</v>
      </c>
      <c r="R109" s="39">
        <f t="shared" si="41"/>
        <v>0.31229190315631711</v>
      </c>
      <c r="S109" s="115"/>
      <c r="T109" s="119">
        <f t="shared" si="30"/>
        <v>2.5</v>
      </c>
      <c r="U109" s="131">
        <v>0.16350000000000001</v>
      </c>
      <c r="V109" s="120">
        <f t="shared" si="31"/>
        <v>2.9087499999999999</v>
      </c>
      <c r="W109" s="121">
        <f t="shared" si="32"/>
        <v>0.37499999999999994</v>
      </c>
      <c r="X109" s="121">
        <f t="shared" si="33"/>
        <v>3.3749999999999995E-2</v>
      </c>
      <c r="Y109" s="122">
        <f t="shared" si="34"/>
        <v>0.40874999999999995</v>
      </c>
      <c r="Z109" s="121">
        <f t="shared" si="35"/>
        <v>2.5</v>
      </c>
      <c r="AA109" s="123">
        <f t="shared" si="36"/>
        <v>0.31229190315631711</v>
      </c>
      <c r="AB109" s="124">
        <f t="shared" si="37"/>
        <v>0</v>
      </c>
      <c r="AC109" s="125" t="s">
        <v>226</v>
      </c>
    </row>
    <row r="110" spans="1:29" ht="45" customHeight="1" x14ac:dyDescent="0.25">
      <c r="A110" s="30">
        <v>104</v>
      </c>
      <c r="B110" s="106" t="s">
        <v>179</v>
      </c>
      <c r="C110" s="31">
        <v>1</v>
      </c>
      <c r="D110" s="32" t="s">
        <v>73</v>
      </c>
      <c r="E110" s="31">
        <f t="shared" si="20"/>
        <v>12</v>
      </c>
      <c r="F110" s="96">
        <v>18.850000000000001</v>
      </c>
      <c r="G110" s="33">
        <f t="shared" si="21"/>
        <v>1.5708333333333335</v>
      </c>
      <c r="H110" s="34">
        <f t="shared" si="22"/>
        <v>18.850000000000001</v>
      </c>
      <c r="I110" s="35"/>
      <c r="J110" s="38">
        <f t="shared" si="42"/>
        <v>1.5708333333333335</v>
      </c>
      <c r="K110" s="38">
        <f t="shared" si="42"/>
        <v>18.850000000000001</v>
      </c>
      <c r="L110" s="38">
        <f t="shared" si="43"/>
        <v>1.7192702421092072</v>
      </c>
      <c r="M110" s="38">
        <f t="shared" si="25"/>
        <v>20.631242905310486</v>
      </c>
      <c r="N110" s="37">
        <v>2.5</v>
      </c>
      <c r="O110" s="38">
        <f t="shared" si="38"/>
        <v>30</v>
      </c>
      <c r="P110" s="38">
        <f t="shared" si="39"/>
        <v>0.7807297578907928</v>
      </c>
      <c r="Q110" s="38">
        <f t="shared" si="40"/>
        <v>9.3687570946895136</v>
      </c>
      <c r="R110" s="39">
        <f t="shared" si="41"/>
        <v>0.31229190315631711</v>
      </c>
      <c r="S110" s="115"/>
      <c r="T110" s="119">
        <f t="shared" si="30"/>
        <v>2.5</v>
      </c>
      <c r="U110" s="131">
        <v>0.16350000000000001</v>
      </c>
      <c r="V110" s="120">
        <f t="shared" si="31"/>
        <v>2.9087499999999999</v>
      </c>
      <c r="W110" s="121">
        <f t="shared" si="32"/>
        <v>0.37499999999999994</v>
      </c>
      <c r="X110" s="121">
        <f t="shared" si="33"/>
        <v>3.3749999999999995E-2</v>
      </c>
      <c r="Y110" s="122">
        <f t="shared" si="34"/>
        <v>0.40874999999999995</v>
      </c>
      <c r="Z110" s="121">
        <f t="shared" si="35"/>
        <v>2.5</v>
      </c>
      <c r="AA110" s="123">
        <f t="shared" si="36"/>
        <v>0.31229190315631711</v>
      </c>
      <c r="AB110" s="124">
        <f t="shared" si="37"/>
        <v>0</v>
      </c>
      <c r="AC110" s="125" t="s">
        <v>226</v>
      </c>
    </row>
    <row r="111" spans="1:29" ht="45" customHeight="1" x14ac:dyDescent="0.25">
      <c r="A111" s="30">
        <v>105</v>
      </c>
      <c r="B111" s="106" t="s">
        <v>90</v>
      </c>
      <c r="C111" s="31">
        <v>1</v>
      </c>
      <c r="D111" s="32" t="s">
        <v>73</v>
      </c>
      <c r="E111" s="31">
        <f t="shared" si="20"/>
        <v>12</v>
      </c>
      <c r="F111" s="96">
        <v>18.850000000000001</v>
      </c>
      <c r="G111" s="33">
        <f t="shared" si="21"/>
        <v>1.5708333333333335</v>
      </c>
      <c r="H111" s="34">
        <f t="shared" si="22"/>
        <v>18.850000000000001</v>
      </c>
      <c r="I111" s="35"/>
      <c r="J111" s="38">
        <f t="shared" si="42"/>
        <v>1.5708333333333335</v>
      </c>
      <c r="K111" s="38">
        <f t="shared" si="42"/>
        <v>18.850000000000001</v>
      </c>
      <c r="L111" s="38">
        <f t="shared" si="43"/>
        <v>1.7192702421092072</v>
      </c>
      <c r="M111" s="38">
        <f t="shared" si="25"/>
        <v>20.631242905310486</v>
      </c>
      <c r="N111" s="37">
        <v>2.5</v>
      </c>
      <c r="O111" s="38">
        <f t="shared" si="38"/>
        <v>30</v>
      </c>
      <c r="P111" s="38">
        <f t="shared" si="39"/>
        <v>0.7807297578907928</v>
      </c>
      <c r="Q111" s="38">
        <f t="shared" si="40"/>
        <v>9.3687570946895136</v>
      </c>
      <c r="R111" s="39">
        <f t="shared" si="41"/>
        <v>0.31229190315631711</v>
      </c>
      <c r="S111" s="115"/>
      <c r="T111" s="119">
        <f t="shared" si="30"/>
        <v>2.5</v>
      </c>
      <c r="U111" s="131">
        <v>0.16350000000000001</v>
      </c>
      <c r="V111" s="120">
        <f t="shared" si="31"/>
        <v>2.9087499999999999</v>
      </c>
      <c r="W111" s="121">
        <f t="shared" si="32"/>
        <v>0.37499999999999994</v>
      </c>
      <c r="X111" s="121">
        <f t="shared" si="33"/>
        <v>3.3749999999999995E-2</v>
      </c>
      <c r="Y111" s="122">
        <f t="shared" si="34"/>
        <v>0.40874999999999995</v>
      </c>
      <c r="Z111" s="121">
        <f t="shared" si="35"/>
        <v>2.5</v>
      </c>
      <c r="AA111" s="123">
        <f t="shared" si="36"/>
        <v>0.31229190315631711</v>
      </c>
      <c r="AB111" s="124">
        <f t="shared" si="37"/>
        <v>0</v>
      </c>
      <c r="AC111" s="125" t="s">
        <v>226</v>
      </c>
    </row>
    <row r="112" spans="1:29" ht="45" customHeight="1" x14ac:dyDescent="0.25">
      <c r="A112" s="30">
        <v>106</v>
      </c>
      <c r="B112" s="101" t="s">
        <v>139</v>
      </c>
      <c r="C112" s="31">
        <v>1</v>
      </c>
      <c r="D112" s="32" t="s">
        <v>75</v>
      </c>
      <c r="E112" s="31">
        <f t="shared" si="20"/>
        <v>48</v>
      </c>
      <c r="F112" s="96">
        <v>20.5</v>
      </c>
      <c r="G112" s="33">
        <f t="shared" si="21"/>
        <v>0.42708333333333331</v>
      </c>
      <c r="H112" s="34">
        <f t="shared" si="22"/>
        <v>20.5</v>
      </c>
      <c r="I112" s="35"/>
      <c r="J112" s="38">
        <f t="shared" si="42"/>
        <v>0.42708333333333331</v>
      </c>
      <c r="K112" s="38">
        <f t="shared" si="42"/>
        <v>20.5</v>
      </c>
      <c r="L112" s="38">
        <f t="shared" si="43"/>
        <v>0.46744084831881622</v>
      </c>
      <c r="M112" s="38">
        <f t="shared" si="25"/>
        <v>22.437160719303179</v>
      </c>
      <c r="N112" s="37">
        <v>0.6</v>
      </c>
      <c r="O112" s="38">
        <f t="shared" si="38"/>
        <v>28.799999999999997</v>
      </c>
      <c r="P112" s="38">
        <f t="shared" si="39"/>
        <v>0.13255915168118376</v>
      </c>
      <c r="Q112" s="38">
        <f t="shared" si="40"/>
        <v>6.3628392806968206</v>
      </c>
      <c r="R112" s="39">
        <f t="shared" si="41"/>
        <v>0.2209319194686396</v>
      </c>
      <c r="S112" s="115"/>
      <c r="T112" s="119">
        <f t="shared" si="30"/>
        <v>0.6</v>
      </c>
      <c r="U112" s="131">
        <v>0.16350000000000001</v>
      </c>
      <c r="V112" s="120">
        <f t="shared" si="31"/>
        <v>0.69809999999999994</v>
      </c>
      <c r="W112" s="121">
        <f t="shared" si="32"/>
        <v>8.9999999999999969E-2</v>
      </c>
      <c r="X112" s="121">
        <f t="shared" si="33"/>
        <v>8.0999999999999978E-3</v>
      </c>
      <c r="Y112" s="122">
        <f t="shared" si="34"/>
        <v>9.8099999999999965E-2</v>
      </c>
      <c r="Z112" s="121">
        <f t="shared" si="35"/>
        <v>0.6</v>
      </c>
      <c r="AA112" s="123">
        <f t="shared" si="36"/>
        <v>0.2209319194686396</v>
      </c>
      <c r="AB112" s="124">
        <f t="shared" si="37"/>
        <v>0</v>
      </c>
      <c r="AC112" s="125" t="s">
        <v>226</v>
      </c>
    </row>
    <row r="113" spans="1:29" ht="45" customHeight="1" x14ac:dyDescent="0.25">
      <c r="A113" s="30">
        <v>107</v>
      </c>
      <c r="B113" s="101" t="s">
        <v>146</v>
      </c>
      <c r="C113" s="31">
        <v>1</v>
      </c>
      <c r="D113" s="32" t="s">
        <v>73</v>
      </c>
      <c r="E113" s="31">
        <f t="shared" si="20"/>
        <v>12</v>
      </c>
      <c r="F113" s="96">
        <v>21</v>
      </c>
      <c r="G113" s="33">
        <f t="shared" si="21"/>
        <v>1.75</v>
      </c>
      <c r="H113" s="34">
        <f t="shared" si="22"/>
        <v>21</v>
      </c>
      <c r="I113" s="35"/>
      <c r="J113" s="38">
        <f t="shared" si="42"/>
        <v>1.75</v>
      </c>
      <c r="K113" s="38">
        <f t="shared" si="42"/>
        <v>21</v>
      </c>
      <c r="L113" s="38">
        <f t="shared" si="43"/>
        <v>1.9153673784771006</v>
      </c>
      <c r="M113" s="38">
        <f t="shared" si="25"/>
        <v>22.984408541725209</v>
      </c>
      <c r="N113" s="37">
        <v>2.25</v>
      </c>
      <c r="O113" s="38">
        <f t="shared" si="38"/>
        <v>27</v>
      </c>
      <c r="P113" s="38">
        <f t="shared" si="39"/>
        <v>0.33463262152289941</v>
      </c>
      <c r="Q113" s="38">
        <f t="shared" si="40"/>
        <v>4.0155914582747929</v>
      </c>
      <c r="R113" s="39">
        <f t="shared" si="41"/>
        <v>0.14872560956573308</v>
      </c>
      <c r="S113" s="115"/>
      <c r="T113" s="119">
        <f t="shared" si="30"/>
        <v>2.25</v>
      </c>
      <c r="U113" s="131">
        <v>0.16350000000000001</v>
      </c>
      <c r="V113" s="120">
        <f t="shared" si="31"/>
        <v>2.6178750000000002</v>
      </c>
      <c r="W113" s="121">
        <f t="shared" si="32"/>
        <v>0.33750000000000019</v>
      </c>
      <c r="X113" s="121">
        <f t="shared" si="33"/>
        <v>3.0375000000000017E-2</v>
      </c>
      <c r="Y113" s="122">
        <f t="shared" si="34"/>
        <v>0.36787500000000017</v>
      </c>
      <c r="Z113" s="121">
        <f t="shared" si="35"/>
        <v>2.25</v>
      </c>
      <c r="AA113" s="123">
        <f t="shared" si="36"/>
        <v>0.14872560956573308</v>
      </c>
      <c r="AB113" s="124">
        <f t="shared" si="37"/>
        <v>0</v>
      </c>
      <c r="AC113" s="125" t="s">
        <v>226</v>
      </c>
    </row>
    <row r="114" spans="1:29" ht="45" customHeight="1" x14ac:dyDescent="0.25">
      <c r="A114" s="30">
        <v>108</v>
      </c>
      <c r="B114" s="101" t="s">
        <v>163</v>
      </c>
      <c r="C114" s="31">
        <v>1</v>
      </c>
      <c r="D114" s="32" t="s">
        <v>73</v>
      </c>
      <c r="E114" s="31">
        <f t="shared" si="20"/>
        <v>12</v>
      </c>
      <c r="F114" s="96">
        <v>21</v>
      </c>
      <c r="G114" s="33">
        <f t="shared" si="21"/>
        <v>1.75</v>
      </c>
      <c r="H114" s="34">
        <f t="shared" si="22"/>
        <v>21</v>
      </c>
      <c r="I114" s="35"/>
      <c r="J114" s="38">
        <f t="shared" si="42"/>
        <v>1.75</v>
      </c>
      <c r="K114" s="38">
        <f t="shared" si="42"/>
        <v>21</v>
      </c>
      <c r="L114" s="38">
        <f t="shared" si="43"/>
        <v>1.9153673784771006</v>
      </c>
      <c r="M114" s="38">
        <f t="shared" si="25"/>
        <v>22.984408541725209</v>
      </c>
      <c r="N114" s="37">
        <v>2.25</v>
      </c>
      <c r="O114" s="38">
        <f t="shared" si="38"/>
        <v>27</v>
      </c>
      <c r="P114" s="38">
        <f t="shared" si="39"/>
        <v>0.33463262152289941</v>
      </c>
      <c r="Q114" s="38">
        <f t="shared" si="40"/>
        <v>4.0155914582747929</v>
      </c>
      <c r="R114" s="39">
        <f t="shared" si="41"/>
        <v>0.14872560956573308</v>
      </c>
      <c r="S114" s="115"/>
      <c r="T114" s="119">
        <f t="shared" si="30"/>
        <v>2.25</v>
      </c>
      <c r="U114" s="131">
        <v>0.16350000000000001</v>
      </c>
      <c r="V114" s="120">
        <f t="shared" si="31"/>
        <v>2.6178750000000002</v>
      </c>
      <c r="W114" s="121">
        <f t="shared" si="32"/>
        <v>0.33750000000000019</v>
      </c>
      <c r="X114" s="121">
        <f t="shared" si="33"/>
        <v>3.0375000000000017E-2</v>
      </c>
      <c r="Y114" s="122">
        <f t="shared" si="34"/>
        <v>0.36787500000000017</v>
      </c>
      <c r="Z114" s="121">
        <f t="shared" si="35"/>
        <v>2.25</v>
      </c>
      <c r="AA114" s="123">
        <f t="shared" si="36"/>
        <v>0.14872560956573308</v>
      </c>
      <c r="AB114" s="124">
        <f t="shared" si="37"/>
        <v>0</v>
      </c>
      <c r="AC114" s="125" t="s">
        <v>226</v>
      </c>
    </row>
    <row r="115" spans="1:29" ht="45" customHeight="1" x14ac:dyDescent="0.25">
      <c r="A115" s="30">
        <v>109</v>
      </c>
      <c r="B115" s="101" t="s">
        <v>140</v>
      </c>
      <c r="C115" s="31">
        <v>1</v>
      </c>
      <c r="D115" s="32" t="s">
        <v>75</v>
      </c>
      <c r="E115" s="31">
        <f t="shared" si="20"/>
        <v>48</v>
      </c>
      <c r="F115" s="96">
        <v>20.5</v>
      </c>
      <c r="G115" s="33">
        <f t="shared" si="21"/>
        <v>0.42708333333333331</v>
      </c>
      <c r="H115" s="34">
        <f t="shared" si="22"/>
        <v>20.5</v>
      </c>
      <c r="I115" s="35"/>
      <c r="J115" s="38">
        <f t="shared" si="42"/>
        <v>0.42708333333333331</v>
      </c>
      <c r="K115" s="38">
        <f t="shared" si="42"/>
        <v>20.5</v>
      </c>
      <c r="L115" s="38">
        <f t="shared" si="43"/>
        <v>0.46744084831881622</v>
      </c>
      <c r="M115" s="38">
        <f t="shared" si="25"/>
        <v>22.437160719303179</v>
      </c>
      <c r="N115" s="37">
        <v>0.6</v>
      </c>
      <c r="O115" s="38">
        <f t="shared" si="38"/>
        <v>28.799999999999997</v>
      </c>
      <c r="P115" s="38">
        <f t="shared" si="39"/>
        <v>0.13255915168118376</v>
      </c>
      <c r="Q115" s="38">
        <f t="shared" si="40"/>
        <v>6.3628392806968206</v>
      </c>
      <c r="R115" s="39">
        <f t="shared" si="41"/>
        <v>0.2209319194686396</v>
      </c>
      <c r="S115" s="115"/>
      <c r="T115" s="119">
        <f t="shared" si="30"/>
        <v>0.6</v>
      </c>
      <c r="U115" s="131">
        <v>0.16350000000000001</v>
      </c>
      <c r="V115" s="120">
        <f t="shared" si="31"/>
        <v>0.69809999999999994</v>
      </c>
      <c r="W115" s="121">
        <f t="shared" si="32"/>
        <v>8.9999999999999969E-2</v>
      </c>
      <c r="X115" s="121">
        <f t="shared" si="33"/>
        <v>8.0999999999999978E-3</v>
      </c>
      <c r="Y115" s="122">
        <f t="shared" si="34"/>
        <v>9.8099999999999965E-2</v>
      </c>
      <c r="Z115" s="121">
        <f t="shared" si="35"/>
        <v>0.6</v>
      </c>
      <c r="AA115" s="123">
        <f t="shared" si="36"/>
        <v>0.2209319194686396</v>
      </c>
      <c r="AB115" s="124">
        <f t="shared" si="37"/>
        <v>0</v>
      </c>
      <c r="AC115" s="125" t="s">
        <v>226</v>
      </c>
    </row>
    <row r="116" spans="1:29" ht="45" customHeight="1" x14ac:dyDescent="0.25">
      <c r="A116" s="30">
        <v>110</v>
      </c>
      <c r="B116" s="101" t="s">
        <v>91</v>
      </c>
      <c r="C116" s="31">
        <v>1</v>
      </c>
      <c r="D116" s="32" t="s">
        <v>73</v>
      </c>
      <c r="E116" s="31">
        <f t="shared" si="20"/>
        <v>12</v>
      </c>
      <c r="F116" s="96">
        <v>18.850000000000001</v>
      </c>
      <c r="G116" s="33">
        <f t="shared" si="21"/>
        <v>1.5708333333333335</v>
      </c>
      <c r="H116" s="34">
        <f t="shared" si="22"/>
        <v>18.850000000000001</v>
      </c>
      <c r="I116" s="35"/>
      <c r="J116" s="38">
        <f t="shared" si="42"/>
        <v>1.5708333333333335</v>
      </c>
      <c r="K116" s="38">
        <f t="shared" si="42"/>
        <v>18.850000000000001</v>
      </c>
      <c r="L116" s="38">
        <f t="shared" si="43"/>
        <v>1.7192702421092072</v>
      </c>
      <c r="M116" s="38">
        <f t="shared" si="25"/>
        <v>20.631242905310486</v>
      </c>
      <c r="N116" s="37">
        <v>2.5</v>
      </c>
      <c r="O116" s="38">
        <f t="shared" si="38"/>
        <v>30</v>
      </c>
      <c r="P116" s="38">
        <f t="shared" si="39"/>
        <v>0.7807297578907928</v>
      </c>
      <c r="Q116" s="38">
        <f t="shared" si="40"/>
        <v>9.3687570946895136</v>
      </c>
      <c r="R116" s="39">
        <f t="shared" si="41"/>
        <v>0.31229190315631711</v>
      </c>
      <c r="S116" s="115"/>
      <c r="T116" s="119">
        <f t="shared" si="30"/>
        <v>2.5</v>
      </c>
      <c r="U116" s="131">
        <v>0.16350000000000001</v>
      </c>
      <c r="V116" s="120">
        <f t="shared" si="31"/>
        <v>2.9087499999999999</v>
      </c>
      <c r="W116" s="121">
        <f t="shared" si="32"/>
        <v>0.37499999999999994</v>
      </c>
      <c r="X116" s="121">
        <f t="shared" si="33"/>
        <v>3.3749999999999995E-2</v>
      </c>
      <c r="Y116" s="122">
        <f t="shared" si="34"/>
        <v>0.40874999999999995</v>
      </c>
      <c r="Z116" s="121">
        <f t="shared" si="35"/>
        <v>2.5</v>
      </c>
      <c r="AA116" s="123">
        <f t="shared" si="36"/>
        <v>0.31229190315631711</v>
      </c>
      <c r="AB116" s="124">
        <f t="shared" si="37"/>
        <v>0</v>
      </c>
      <c r="AC116" s="125" t="s">
        <v>226</v>
      </c>
    </row>
    <row r="117" spans="1:29" ht="45" customHeight="1" x14ac:dyDescent="0.25">
      <c r="A117" s="30">
        <v>111</v>
      </c>
      <c r="B117" s="101" t="s">
        <v>97</v>
      </c>
      <c r="C117" s="31">
        <v>1</v>
      </c>
      <c r="D117" s="32" t="s">
        <v>136</v>
      </c>
      <c r="E117" s="31">
        <f t="shared" si="20"/>
        <v>10</v>
      </c>
      <c r="F117" s="96">
        <v>13.5</v>
      </c>
      <c r="G117" s="33">
        <f t="shared" si="21"/>
        <v>1.35</v>
      </c>
      <c r="H117" s="34">
        <f t="shared" si="22"/>
        <v>13.5</v>
      </c>
      <c r="I117" s="35"/>
      <c r="J117" s="38">
        <f t="shared" si="42"/>
        <v>1.35</v>
      </c>
      <c r="K117" s="38">
        <f t="shared" si="42"/>
        <v>13.5</v>
      </c>
      <c r="L117" s="38">
        <f t="shared" si="43"/>
        <v>1.4775691205394776</v>
      </c>
      <c r="M117" s="38">
        <f t="shared" si="25"/>
        <v>14.775691205394777</v>
      </c>
      <c r="N117" s="37">
        <v>1.95</v>
      </c>
      <c r="O117" s="38">
        <f t="shared" si="38"/>
        <v>19.5</v>
      </c>
      <c r="P117" s="38">
        <f t="shared" si="39"/>
        <v>0.47243087946052231</v>
      </c>
      <c r="Q117" s="38">
        <f t="shared" si="40"/>
        <v>4.7243087946052231</v>
      </c>
      <c r="R117" s="39">
        <f t="shared" si="41"/>
        <v>0.24227224587719093</v>
      </c>
      <c r="S117" s="115"/>
      <c r="T117" s="119">
        <f t="shared" si="30"/>
        <v>1.95</v>
      </c>
      <c r="U117" s="131">
        <v>0.16350000000000001</v>
      </c>
      <c r="V117" s="120">
        <f t="shared" si="31"/>
        <v>2.2688250000000001</v>
      </c>
      <c r="W117" s="121">
        <f t="shared" si="32"/>
        <v>0.29250000000000015</v>
      </c>
      <c r="X117" s="121">
        <f t="shared" si="33"/>
        <v>2.6325000000000012E-2</v>
      </c>
      <c r="Y117" s="122">
        <f t="shared" si="34"/>
        <v>0.31882500000000014</v>
      </c>
      <c r="Z117" s="121">
        <f t="shared" si="35"/>
        <v>1.95</v>
      </c>
      <c r="AA117" s="123">
        <f t="shared" si="36"/>
        <v>0.24227224587719093</v>
      </c>
      <c r="AB117" s="124">
        <f t="shared" si="37"/>
        <v>0</v>
      </c>
      <c r="AC117" s="125">
        <v>1.5</v>
      </c>
    </row>
    <row r="118" spans="1:29" ht="45" customHeight="1" x14ac:dyDescent="0.25">
      <c r="A118" s="30">
        <v>112</v>
      </c>
      <c r="B118" s="104" t="s">
        <v>211</v>
      </c>
      <c r="C118" s="31">
        <v>1</v>
      </c>
      <c r="D118" s="32" t="s">
        <v>84</v>
      </c>
      <c r="E118" s="31">
        <f t="shared" si="20"/>
        <v>8</v>
      </c>
      <c r="F118" s="96">
        <v>11.8</v>
      </c>
      <c r="G118" s="33">
        <f t="shared" si="21"/>
        <v>1.4750000000000001</v>
      </c>
      <c r="H118" s="34">
        <f t="shared" si="22"/>
        <v>11.8</v>
      </c>
      <c r="I118" s="35"/>
      <c r="J118" s="38">
        <f t="shared" si="42"/>
        <v>1.4750000000000001</v>
      </c>
      <c r="K118" s="38">
        <f t="shared" si="42"/>
        <v>11.8</v>
      </c>
      <c r="L118" s="38">
        <f t="shared" si="43"/>
        <v>1.6143810761449848</v>
      </c>
      <c r="M118" s="38">
        <f t="shared" si="25"/>
        <v>12.915048609159879</v>
      </c>
      <c r="N118" s="37"/>
      <c r="O118" s="38"/>
      <c r="P118" s="38"/>
      <c r="Q118" s="38"/>
      <c r="R118" s="39"/>
      <c r="S118" s="116"/>
      <c r="T118" s="119">
        <f t="shared" si="30"/>
        <v>0</v>
      </c>
      <c r="U118" s="131">
        <v>0.16350000000000001</v>
      </c>
      <c r="V118" s="120">
        <f t="shared" si="31"/>
        <v>0</v>
      </c>
      <c r="W118" s="121">
        <f t="shared" si="32"/>
        <v>0</v>
      </c>
      <c r="X118" s="121">
        <f t="shared" si="33"/>
        <v>0</v>
      </c>
      <c r="Y118" s="122">
        <f t="shared" si="34"/>
        <v>0</v>
      </c>
      <c r="Z118" s="121">
        <f t="shared" si="35"/>
        <v>0</v>
      </c>
      <c r="AA118" s="123" t="e">
        <f t="shared" si="36"/>
        <v>#DIV/0!</v>
      </c>
      <c r="AB118" s="124" t="e">
        <f t="shared" si="37"/>
        <v>#DIV/0!</v>
      </c>
      <c r="AC118" s="125" t="s">
        <v>226</v>
      </c>
    </row>
    <row r="119" spans="1:29" ht="45" customHeight="1" x14ac:dyDescent="0.25">
      <c r="A119" s="30">
        <v>113</v>
      </c>
      <c r="B119" s="104" t="s">
        <v>170</v>
      </c>
      <c r="C119" s="31">
        <v>1</v>
      </c>
      <c r="D119" s="32" t="s">
        <v>73</v>
      </c>
      <c r="E119" s="31">
        <f t="shared" si="20"/>
        <v>12</v>
      </c>
      <c r="F119" s="96">
        <v>18.5</v>
      </c>
      <c r="G119" s="33">
        <f t="shared" si="21"/>
        <v>1.5416666666666667</v>
      </c>
      <c r="H119" s="34">
        <f t="shared" si="22"/>
        <v>18.5</v>
      </c>
      <c r="I119" s="35"/>
      <c r="J119" s="38">
        <f t="shared" si="42"/>
        <v>1.5416666666666667</v>
      </c>
      <c r="K119" s="38">
        <f t="shared" si="42"/>
        <v>18.5</v>
      </c>
      <c r="L119" s="38">
        <f t="shared" si="43"/>
        <v>1.6873474524679219</v>
      </c>
      <c r="M119" s="38">
        <f t="shared" si="25"/>
        <v>20.248169429615064</v>
      </c>
      <c r="N119" s="37"/>
      <c r="O119" s="38"/>
      <c r="P119" s="38"/>
      <c r="Q119" s="38"/>
      <c r="R119" s="39"/>
      <c r="S119" s="116"/>
      <c r="T119" s="119">
        <f t="shared" si="30"/>
        <v>0</v>
      </c>
      <c r="U119" s="131">
        <v>0.16350000000000001</v>
      </c>
      <c r="V119" s="120">
        <f t="shared" si="31"/>
        <v>0</v>
      </c>
      <c r="W119" s="121">
        <f t="shared" si="32"/>
        <v>0</v>
      </c>
      <c r="X119" s="121">
        <f t="shared" si="33"/>
        <v>0</v>
      </c>
      <c r="Y119" s="122">
        <f t="shared" si="34"/>
        <v>0</v>
      </c>
      <c r="Z119" s="121">
        <f t="shared" si="35"/>
        <v>0</v>
      </c>
      <c r="AA119" s="123" t="e">
        <f t="shared" si="36"/>
        <v>#DIV/0!</v>
      </c>
      <c r="AB119" s="124" t="e">
        <f t="shared" si="37"/>
        <v>#DIV/0!</v>
      </c>
      <c r="AC119" s="125" t="s">
        <v>226</v>
      </c>
    </row>
    <row r="120" spans="1:29" ht="45" customHeight="1" x14ac:dyDescent="0.25">
      <c r="A120" s="30">
        <v>114</v>
      </c>
      <c r="B120" s="104" t="s">
        <v>98</v>
      </c>
      <c r="C120" s="31">
        <v>1</v>
      </c>
      <c r="D120" s="32" t="s">
        <v>157</v>
      </c>
      <c r="E120" s="31">
        <f t="shared" si="20"/>
        <v>60</v>
      </c>
      <c r="F120" s="96">
        <v>34</v>
      </c>
      <c r="G120" s="33">
        <f t="shared" si="21"/>
        <v>0.56666666666666665</v>
      </c>
      <c r="H120" s="34">
        <f t="shared" si="22"/>
        <v>34</v>
      </c>
      <c r="I120" s="35"/>
      <c r="J120" s="38">
        <f t="shared" si="42"/>
        <v>0.56666666666666665</v>
      </c>
      <c r="K120" s="38">
        <f t="shared" si="42"/>
        <v>34</v>
      </c>
      <c r="L120" s="38">
        <f t="shared" si="43"/>
        <v>0.62021419874496586</v>
      </c>
      <c r="M120" s="38">
        <f t="shared" si="25"/>
        <v>37.212851924697951</v>
      </c>
      <c r="N120" s="37">
        <v>0.85</v>
      </c>
      <c r="O120" s="38">
        <f t="shared" ref="O120:O170" si="44">N120*E120</f>
        <v>51</v>
      </c>
      <c r="P120" s="38">
        <f t="shared" ref="P120:P170" si="45">N120-L120</f>
        <v>0.22978580125503412</v>
      </c>
      <c r="Q120" s="38">
        <f t="shared" ref="Q120:Q170" si="46">P120*E120</f>
        <v>13.787148075302047</v>
      </c>
      <c r="R120" s="39">
        <f t="shared" ref="R120:R170" si="47">P120/N120</f>
        <v>0.2703362367706284</v>
      </c>
      <c r="S120" s="116"/>
      <c r="T120" s="119">
        <f t="shared" si="30"/>
        <v>0.85</v>
      </c>
      <c r="U120" s="131">
        <v>0.16350000000000001</v>
      </c>
      <c r="V120" s="120">
        <f t="shared" si="31"/>
        <v>0.98897499999999994</v>
      </c>
      <c r="W120" s="121">
        <f t="shared" si="32"/>
        <v>0.12749999999999997</v>
      </c>
      <c r="X120" s="121">
        <f t="shared" si="33"/>
        <v>1.1474999999999997E-2</v>
      </c>
      <c r="Y120" s="122">
        <f t="shared" si="34"/>
        <v>0.13897499999999996</v>
      </c>
      <c r="Z120" s="121">
        <f t="shared" si="35"/>
        <v>0.85</v>
      </c>
      <c r="AA120" s="123">
        <f t="shared" si="36"/>
        <v>0.2703362367706284</v>
      </c>
      <c r="AB120" s="124">
        <f t="shared" si="37"/>
        <v>0</v>
      </c>
      <c r="AC120" s="125" t="s">
        <v>226</v>
      </c>
    </row>
    <row r="121" spans="1:29" ht="45" customHeight="1" x14ac:dyDescent="0.25">
      <c r="A121" s="30">
        <v>115</v>
      </c>
      <c r="B121" s="100" t="s">
        <v>99</v>
      </c>
      <c r="C121" s="31">
        <v>1</v>
      </c>
      <c r="D121" s="32" t="s">
        <v>157</v>
      </c>
      <c r="E121" s="31">
        <f t="shared" si="20"/>
        <v>60</v>
      </c>
      <c r="F121" s="96">
        <v>34</v>
      </c>
      <c r="G121" s="33">
        <f t="shared" si="21"/>
        <v>0.56666666666666665</v>
      </c>
      <c r="H121" s="34">
        <f t="shared" si="22"/>
        <v>34</v>
      </c>
      <c r="I121" s="35"/>
      <c r="J121" s="38">
        <f t="shared" si="42"/>
        <v>0.56666666666666665</v>
      </c>
      <c r="K121" s="38">
        <f t="shared" si="42"/>
        <v>34</v>
      </c>
      <c r="L121" s="38">
        <f t="shared" si="43"/>
        <v>0.62021419874496586</v>
      </c>
      <c r="M121" s="38">
        <f t="shared" si="25"/>
        <v>37.212851924697951</v>
      </c>
      <c r="N121" s="37">
        <v>0.85</v>
      </c>
      <c r="O121" s="38">
        <f t="shared" si="44"/>
        <v>51</v>
      </c>
      <c r="P121" s="38">
        <f t="shared" si="45"/>
        <v>0.22978580125503412</v>
      </c>
      <c r="Q121" s="38">
        <f t="shared" si="46"/>
        <v>13.787148075302047</v>
      </c>
      <c r="R121" s="39">
        <f t="shared" si="47"/>
        <v>0.2703362367706284</v>
      </c>
      <c r="S121" s="113"/>
      <c r="T121" s="119">
        <f t="shared" si="30"/>
        <v>0.85</v>
      </c>
      <c r="U121" s="131">
        <v>0.16350000000000001</v>
      </c>
      <c r="V121" s="120">
        <f t="shared" si="31"/>
        <v>0.98897499999999994</v>
      </c>
      <c r="W121" s="121">
        <f t="shared" si="32"/>
        <v>0.12749999999999997</v>
      </c>
      <c r="X121" s="121">
        <f t="shared" si="33"/>
        <v>1.1474999999999997E-2</v>
      </c>
      <c r="Y121" s="122">
        <f t="shared" si="34"/>
        <v>0.13897499999999996</v>
      </c>
      <c r="Z121" s="121">
        <f t="shared" si="35"/>
        <v>0.85</v>
      </c>
      <c r="AA121" s="123">
        <f t="shared" si="36"/>
        <v>0.2703362367706284</v>
      </c>
      <c r="AB121" s="124">
        <f t="shared" si="37"/>
        <v>0</v>
      </c>
      <c r="AC121" s="125" t="s">
        <v>226</v>
      </c>
    </row>
    <row r="122" spans="1:29" ht="45" customHeight="1" x14ac:dyDescent="0.25">
      <c r="A122" s="30">
        <v>116</v>
      </c>
      <c r="B122" s="100" t="s">
        <v>100</v>
      </c>
      <c r="C122" s="31">
        <v>1</v>
      </c>
      <c r="D122" s="32" t="s">
        <v>165</v>
      </c>
      <c r="E122" s="31">
        <f t="shared" si="20"/>
        <v>72</v>
      </c>
      <c r="F122" s="96">
        <v>52.2</v>
      </c>
      <c r="G122" s="33">
        <f t="shared" si="21"/>
        <v>0.72500000000000009</v>
      </c>
      <c r="H122" s="34">
        <f t="shared" si="22"/>
        <v>52.2</v>
      </c>
      <c r="I122" s="35"/>
      <c r="J122" s="38">
        <f t="shared" si="42"/>
        <v>0.72500000000000009</v>
      </c>
      <c r="K122" s="38">
        <f t="shared" si="42"/>
        <v>52.2</v>
      </c>
      <c r="L122" s="38">
        <f t="shared" si="43"/>
        <v>0.79350934251194172</v>
      </c>
      <c r="M122" s="38">
        <f t="shared" si="25"/>
        <v>57.132672660859804</v>
      </c>
      <c r="N122" s="37">
        <v>1</v>
      </c>
      <c r="O122" s="38">
        <f t="shared" si="44"/>
        <v>72</v>
      </c>
      <c r="P122" s="38">
        <f t="shared" si="45"/>
        <v>0.20649065748805828</v>
      </c>
      <c r="Q122" s="38">
        <f t="shared" si="46"/>
        <v>14.867327339140196</v>
      </c>
      <c r="R122" s="39">
        <f t="shared" si="47"/>
        <v>0.20649065748805828</v>
      </c>
      <c r="S122" s="114"/>
      <c r="T122" s="119">
        <f t="shared" si="30"/>
        <v>1</v>
      </c>
      <c r="U122" s="131">
        <v>0.16350000000000001</v>
      </c>
      <c r="V122" s="120">
        <f t="shared" si="31"/>
        <v>1.1635</v>
      </c>
      <c r="W122" s="121">
        <f t="shared" si="32"/>
        <v>0.15</v>
      </c>
      <c r="X122" s="121">
        <f t="shared" si="33"/>
        <v>1.35E-2</v>
      </c>
      <c r="Y122" s="122">
        <f t="shared" si="34"/>
        <v>0.16349999999999998</v>
      </c>
      <c r="Z122" s="121">
        <f t="shared" si="35"/>
        <v>1</v>
      </c>
      <c r="AA122" s="123">
        <f t="shared" si="36"/>
        <v>0.20649065748805828</v>
      </c>
      <c r="AB122" s="124">
        <f t="shared" si="37"/>
        <v>0</v>
      </c>
      <c r="AC122" s="125" t="s">
        <v>226</v>
      </c>
    </row>
    <row r="123" spans="1:29" ht="45" customHeight="1" x14ac:dyDescent="0.25">
      <c r="A123" s="30">
        <v>117</v>
      </c>
      <c r="B123" s="100" t="s">
        <v>101</v>
      </c>
      <c r="C123" s="31">
        <v>1</v>
      </c>
      <c r="D123" s="32" t="s">
        <v>165</v>
      </c>
      <c r="E123" s="31">
        <f t="shared" si="20"/>
        <v>72</v>
      </c>
      <c r="F123" s="96">
        <v>52.2</v>
      </c>
      <c r="G123" s="33">
        <f t="shared" si="21"/>
        <v>0.72500000000000009</v>
      </c>
      <c r="H123" s="34">
        <f t="shared" si="22"/>
        <v>52.2</v>
      </c>
      <c r="I123" s="35"/>
      <c r="J123" s="38">
        <f t="shared" si="42"/>
        <v>0.72500000000000009</v>
      </c>
      <c r="K123" s="38">
        <f t="shared" si="42"/>
        <v>52.2</v>
      </c>
      <c r="L123" s="38">
        <f t="shared" si="43"/>
        <v>0.79350934251194172</v>
      </c>
      <c r="M123" s="38">
        <f t="shared" si="25"/>
        <v>57.132672660859804</v>
      </c>
      <c r="N123" s="37">
        <v>1</v>
      </c>
      <c r="O123" s="38">
        <f t="shared" si="44"/>
        <v>72</v>
      </c>
      <c r="P123" s="38">
        <f t="shared" si="45"/>
        <v>0.20649065748805828</v>
      </c>
      <c r="Q123" s="38">
        <f t="shared" si="46"/>
        <v>14.867327339140196</v>
      </c>
      <c r="R123" s="39">
        <f t="shared" si="47"/>
        <v>0.20649065748805828</v>
      </c>
      <c r="S123" s="115"/>
      <c r="T123" s="119">
        <f t="shared" si="30"/>
        <v>1</v>
      </c>
      <c r="U123" s="131">
        <v>0.16350000000000001</v>
      </c>
      <c r="V123" s="120">
        <f t="shared" si="31"/>
        <v>1.1635</v>
      </c>
      <c r="W123" s="121">
        <f t="shared" si="32"/>
        <v>0.15</v>
      </c>
      <c r="X123" s="121">
        <f t="shared" si="33"/>
        <v>1.35E-2</v>
      </c>
      <c r="Y123" s="122">
        <f t="shared" si="34"/>
        <v>0.16349999999999998</v>
      </c>
      <c r="Z123" s="121">
        <f t="shared" si="35"/>
        <v>1</v>
      </c>
      <c r="AA123" s="123">
        <f t="shared" si="36"/>
        <v>0.20649065748805828</v>
      </c>
      <c r="AB123" s="124">
        <f t="shared" si="37"/>
        <v>0</v>
      </c>
      <c r="AC123" s="125" t="s">
        <v>226</v>
      </c>
    </row>
    <row r="124" spans="1:29" ht="45" customHeight="1" x14ac:dyDescent="0.25">
      <c r="A124" s="30">
        <v>118</v>
      </c>
      <c r="B124" s="101" t="s">
        <v>212</v>
      </c>
      <c r="C124" s="31">
        <v>1</v>
      </c>
      <c r="D124" s="32" t="s">
        <v>24</v>
      </c>
      <c r="E124" s="31">
        <f t="shared" si="20"/>
        <v>24</v>
      </c>
      <c r="F124" s="96">
        <v>39</v>
      </c>
      <c r="G124" s="33">
        <f t="shared" si="21"/>
        <v>1.625</v>
      </c>
      <c r="H124" s="34">
        <f t="shared" si="22"/>
        <v>39</v>
      </c>
      <c r="I124" s="35"/>
      <c r="J124" s="38">
        <f t="shared" si="42"/>
        <v>1.625</v>
      </c>
      <c r="K124" s="38">
        <f t="shared" si="42"/>
        <v>39</v>
      </c>
      <c r="L124" s="38">
        <f t="shared" si="43"/>
        <v>1.7785554228715934</v>
      </c>
      <c r="M124" s="38">
        <f t="shared" si="25"/>
        <v>42.68533014891824</v>
      </c>
      <c r="N124" s="37"/>
      <c r="O124" s="38">
        <f t="shared" si="44"/>
        <v>0</v>
      </c>
      <c r="P124" s="38">
        <f t="shared" si="45"/>
        <v>-1.7785554228715934</v>
      </c>
      <c r="Q124" s="38">
        <f t="shared" si="46"/>
        <v>-42.68533014891824</v>
      </c>
      <c r="R124" s="39" t="e">
        <f t="shared" si="47"/>
        <v>#DIV/0!</v>
      </c>
      <c r="S124" s="115"/>
      <c r="T124" s="119">
        <f t="shared" si="30"/>
        <v>0</v>
      </c>
      <c r="U124" s="131">
        <v>0.16350000000000001</v>
      </c>
      <c r="V124" s="120">
        <f t="shared" si="31"/>
        <v>0</v>
      </c>
      <c r="W124" s="121">
        <f t="shared" si="32"/>
        <v>0</v>
      </c>
      <c r="X124" s="121">
        <f t="shared" si="33"/>
        <v>0</v>
      </c>
      <c r="Y124" s="122">
        <f t="shared" si="34"/>
        <v>0</v>
      </c>
      <c r="Z124" s="121">
        <f t="shared" si="35"/>
        <v>0</v>
      </c>
      <c r="AA124" s="123" t="e">
        <f t="shared" si="36"/>
        <v>#DIV/0!</v>
      </c>
      <c r="AB124" s="124" t="e">
        <f t="shared" si="37"/>
        <v>#DIV/0!</v>
      </c>
      <c r="AC124" s="125" t="s">
        <v>226</v>
      </c>
    </row>
    <row r="125" spans="1:29" ht="45" customHeight="1" x14ac:dyDescent="0.25">
      <c r="A125" s="30">
        <v>119</v>
      </c>
      <c r="B125" s="101" t="s">
        <v>193</v>
      </c>
      <c r="C125" s="31">
        <v>1</v>
      </c>
      <c r="D125" s="32" t="s">
        <v>165</v>
      </c>
      <c r="E125" s="31">
        <f t="shared" si="20"/>
        <v>72</v>
      </c>
      <c r="F125" s="96">
        <v>52.2</v>
      </c>
      <c r="G125" s="33">
        <f t="shared" si="21"/>
        <v>0.72500000000000009</v>
      </c>
      <c r="H125" s="34">
        <f t="shared" si="22"/>
        <v>52.2</v>
      </c>
      <c r="I125" s="35"/>
      <c r="J125" s="38">
        <f t="shared" si="42"/>
        <v>0.72500000000000009</v>
      </c>
      <c r="K125" s="38">
        <f t="shared" si="42"/>
        <v>52.2</v>
      </c>
      <c r="L125" s="38">
        <f t="shared" si="43"/>
        <v>0.79350934251194172</v>
      </c>
      <c r="M125" s="38">
        <f t="shared" si="25"/>
        <v>57.132672660859804</v>
      </c>
      <c r="N125" s="37">
        <v>1</v>
      </c>
      <c r="O125" s="38">
        <f t="shared" si="44"/>
        <v>72</v>
      </c>
      <c r="P125" s="38">
        <f t="shared" si="45"/>
        <v>0.20649065748805828</v>
      </c>
      <c r="Q125" s="38">
        <f t="shared" si="46"/>
        <v>14.867327339140196</v>
      </c>
      <c r="R125" s="39">
        <f t="shared" si="47"/>
        <v>0.20649065748805828</v>
      </c>
      <c r="S125" s="115"/>
      <c r="T125" s="119">
        <f t="shared" si="30"/>
        <v>1</v>
      </c>
      <c r="U125" s="131">
        <v>0.16350000000000001</v>
      </c>
      <c r="V125" s="120">
        <f t="shared" si="31"/>
        <v>1.1635</v>
      </c>
      <c r="W125" s="121">
        <f t="shared" si="32"/>
        <v>0.15</v>
      </c>
      <c r="X125" s="121">
        <f t="shared" si="33"/>
        <v>1.35E-2</v>
      </c>
      <c r="Y125" s="122">
        <f t="shared" si="34"/>
        <v>0.16349999999999998</v>
      </c>
      <c r="Z125" s="121">
        <f t="shared" si="35"/>
        <v>1</v>
      </c>
      <c r="AA125" s="123">
        <f t="shared" si="36"/>
        <v>0.20649065748805828</v>
      </c>
      <c r="AB125" s="124">
        <f t="shared" si="37"/>
        <v>0</v>
      </c>
      <c r="AC125" s="125" t="s">
        <v>226</v>
      </c>
    </row>
    <row r="126" spans="1:29" ht="45" customHeight="1" x14ac:dyDescent="0.25">
      <c r="A126" s="30">
        <v>120</v>
      </c>
      <c r="B126" s="101" t="s">
        <v>102</v>
      </c>
      <c r="C126" s="31">
        <v>1</v>
      </c>
      <c r="D126" s="32" t="s">
        <v>165</v>
      </c>
      <c r="E126" s="31">
        <f t="shared" si="20"/>
        <v>72</v>
      </c>
      <c r="F126" s="96">
        <v>52.2</v>
      </c>
      <c r="G126" s="33">
        <f t="shared" si="21"/>
        <v>0.72500000000000009</v>
      </c>
      <c r="H126" s="34">
        <f t="shared" si="22"/>
        <v>52.2</v>
      </c>
      <c r="I126" s="35"/>
      <c r="J126" s="38">
        <f t="shared" si="42"/>
        <v>0.72500000000000009</v>
      </c>
      <c r="K126" s="38">
        <f t="shared" si="42"/>
        <v>52.2</v>
      </c>
      <c r="L126" s="38">
        <f t="shared" si="43"/>
        <v>0.79350934251194172</v>
      </c>
      <c r="M126" s="38">
        <f t="shared" si="25"/>
        <v>57.132672660859804</v>
      </c>
      <c r="N126" s="37">
        <v>1</v>
      </c>
      <c r="O126" s="38">
        <f t="shared" si="44"/>
        <v>72</v>
      </c>
      <c r="P126" s="38">
        <f t="shared" si="45"/>
        <v>0.20649065748805828</v>
      </c>
      <c r="Q126" s="38">
        <f t="shared" si="46"/>
        <v>14.867327339140196</v>
      </c>
      <c r="R126" s="39">
        <f t="shared" si="47"/>
        <v>0.20649065748805828</v>
      </c>
      <c r="S126" s="115"/>
      <c r="T126" s="119">
        <f t="shared" si="30"/>
        <v>1</v>
      </c>
      <c r="U126" s="131">
        <v>0.16350000000000001</v>
      </c>
      <c r="V126" s="120">
        <f t="shared" si="31"/>
        <v>1.1635</v>
      </c>
      <c r="W126" s="121">
        <f t="shared" si="32"/>
        <v>0.15</v>
      </c>
      <c r="X126" s="121">
        <f t="shared" si="33"/>
        <v>1.35E-2</v>
      </c>
      <c r="Y126" s="122">
        <f t="shared" si="34"/>
        <v>0.16349999999999998</v>
      </c>
      <c r="Z126" s="121">
        <f t="shared" si="35"/>
        <v>1</v>
      </c>
      <c r="AA126" s="123">
        <f t="shared" si="36"/>
        <v>0.20649065748805828</v>
      </c>
      <c r="AB126" s="124">
        <f t="shared" si="37"/>
        <v>0</v>
      </c>
      <c r="AC126" s="125" t="s">
        <v>226</v>
      </c>
    </row>
    <row r="127" spans="1:29" ht="45" customHeight="1" x14ac:dyDescent="0.25">
      <c r="A127" s="30">
        <v>121</v>
      </c>
      <c r="B127" s="106" t="s">
        <v>195</v>
      </c>
      <c r="C127" s="31">
        <v>1</v>
      </c>
      <c r="D127" s="32" t="s">
        <v>83</v>
      </c>
      <c r="E127" s="31">
        <f t="shared" si="20"/>
        <v>4</v>
      </c>
      <c r="F127" s="96">
        <v>25.7</v>
      </c>
      <c r="G127" s="33">
        <f t="shared" si="21"/>
        <v>6.4249999999999998</v>
      </c>
      <c r="H127" s="34">
        <f t="shared" si="22"/>
        <v>25.7</v>
      </c>
      <c r="I127" s="35"/>
      <c r="J127" s="38">
        <f t="shared" si="42"/>
        <v>6.4249999999999998</v>
      </c>
      <c r="K127" s="38">
        <f t="shared" si="42"/>
        <v>25.7</v>
      </c>
      <c r="L127" s="38">
        <f t="shared" si="43"/>
        <v>7.032134518123069</v>
      </c>
      <c r="M127" s="38">
        <f t="shared" si="25"/>
        <v>28.128538072492276</v>
      </c>
      <c r="N127" s="37">
        <v>8.5</v>
      </c>
      <c r="O127" s="38">
        <f t="shared" si="44"/>
        <v>34</v>
      </c>
      <c r="P127" s="38">
        <f t="shared" si="45"/>
        <v>1.467865481876931</v>
      </c>
      <c r="Q127" s="38">
        <f t="shared" si="46"/>
        <v>5.871461927507724</v>
      </c>
      <c r="R127" s="39">
        <f t="shared" si="47"/>
        <v>0.17269005669140364</v>
      </c>
      <c r="S127" s="113"/>
      <c r="T127" s="119">
        <f t="shared" si="30"/>
        <v>8.5</v>
      </c>
      <c r="U127" s="131">
        <v>0.16350000000000001</v>
      </c>
      <c r="V127" s="120">
        <f t="shared" si="31"/>
        <v>9.8897499999999994</v>
      </c>
      <c r="W127" s="121">
        <f t="shared" si="32"/>
        <v>1.2749999999999995</v>
      </c>
      <c r="X127" s="121">
        <f t="shared" si="33"/>
        <v>0.11474999999999995</v>
      </c>
      <c r="Y127" s="122">
        <f t="shared" si="34"/>
        <v>1.3897499999999994</v>
      </c>
      <c r="Z127" s="121">
        <f t="shared" si="35"/>
        <v>8.5</v>
      </c>
      <c r="AA127" s="123">
        <f t="shared" si="36"/>
        <v>0.17269005669140364</v>
      </c>
      <c r="AB127" s="124">
        <f t="shared" si="37"/>
        <v>0</v>
      </c>
      <c r="AC127" s="125">
        <v>9.9</v>
      </c>
    </row>
    <row r="128" spans="1:29" ht="45" customHeight="1" x14ac:dyDescent="0.25">
      <c r="A128" s="30">
        <v>122</v>
      </c>
      <c r="B128" s="106" t="s">
        <v>103</v>
      </c>
      <c r="C128" s="31">
        <v>1</v>
      </c>
      <c r="D128" s="32" t="s">
        <v>83</v>
      </c>
      <c r="E128" s="31">
        <f t="shared" si="20"/>
        <v>4</v>
      </c>
      <c r="F128" s="96">
        <v>25.7</v>
      </c>
      <c r="G128" s="33">
        <f t="shared" si="21"/>
        <v>6.4249999999999998</v>
      </c>
      <c r="H128" s="34">
        <f t="shared" si="22"/>
        <v>25.7</v>
      </c>
      <c r="I128" s="35"/>
      <c r="J128" s="38">
        <f t="shared" si="42"/>
        <v>6.4249999999999998</v>
      </c>
      <c r="K128" s="38">
        <f t="shared" si="42"/>
        <v>25.7</v>
      </c>
      <c r="L128" s="38">
        <f t="shared" si="43"/>
        <v>7.032134518123069</v>
      </c>
      <c r="M128" s="38">
        <f t="shared" si="25"/>
        <v>28.128538072492276</v>
      </c>
      <c r="N128" s="37">
        <v>8.5</v>
      </c>
      <c r="O128" s="38">
        <f t="shared" si="44"/>
        <v>34</v>
      </c>
      <c r="P128" s="38">
        <f t="shared" si="45"/>
        <v>1.467865481876931</v>
      </c>
      <c r="Q128" s="38">
        <f t="shared" si="46"/>
        <v>5.871461927507724</v>
      </c>
      <c r="R128" s="39">
        <f t="shared" si="47"/>
        <v>0.17269005669140364</v>
      </c>
      <c r="S128" s="113"/>
      <c r="T128" s="119">
        <f t="shared" si="30"/>
        <v>8.5</v>
      </c>
      <c r="U128" s="131">
        <v>0.16350000000000001</v>
      </c>
      <c r="V128" s="120">
        <f t="shared" si="31"/>
        <v>9.8897499999999994</v>
      </c>
      <c r="W128" s="121">
        <f t="shared" si="32"/>
        <v>1.2749999999999995</v>
      </c>
      <c r="X128" s="121">
        <f t="shared" si="33"/>
        <v>0.11474999999999995</v>
      </c>
      <c r="Y128" s="122">
        <f t="shared" si="34"/>
        <v>1.3897499999999994</v>
      </c>
      <c r="Z128" s="121">
        <f t="shared" si="35"/>
        <v>8.5</v>
      </c>
      <c r="AA128" s="123">
        <f t="shared" si="36"/>
        <v>0.17269005669140364</v>
      </c>
      <c r="AB128" s="124">
        <f t="shared" si="37"/>
        <v>0</v>
      </c>
      <c r="AC128" s="125">
        <v>9.9</v>
      </c>
    </row>
    <row r="129" spans="1:29" ht="45" customHeight="1" x14ac:dyDescent="0.25">
      <c r="A129" s="30">
        <v>123</v>
      </c>
      <c r="B129" s="100" t="s">
        <v>183</v>
      </c>
      <c r="C129" s="31">
        <v>1</v>
      </c>
      <c r="D129" s="32" t="s">
        <v>83</v>
      </c>
      <c r="E129" s="31">
        <f t="shared" si="20"/>
        <v>4</v>
      </c>
      <c r="F129" s="96">
        <v>25.7</v>
      </c>
      <c r="G129" s="33">
        <f t="shared" si="21"/>
        <v>6.4249999999999998</v>
      </c>
      <c r="H129" s="34">
        <f t="shared" si="22"/>
        <v>25.7</v>
      </c>
      <c r="I129" s="35"/>
      <c r="J129" s="38">
        <f t="shared" si="42"/>
        <v>6.4249999999999998</v>
      </c>
      <c r="K129" s="38">
        <f t="shared" si="42"/>
        <v>25.7</v>
      </c>
      <c r="L129" s="38">
        <f t="shared" si="43"/>
        <v>7.032134518123069</v>
      </c>
      <c r="M129" s="38">
        <f t="shared" si="25"/>
        <v>28.128538072492276</v>
      </c>
      <c r="N129" s="37">
        <v>8.5</v>
      </c>
      <c r="O129" s="38">
        <f t="shared" si="44"/>
        <v>34</v>
      </c>
      <c r="P129" s="38">
        <f t="shared" si="45"/>
        <v>1.467865481876931</v>
      </c>
      <c r="Q129" s="38">
        <f t="shared" si="46"/>
        <v>5.871461927507724</v>
      </c>
      <c r="R129" s="39">
        <f t="shared" si="47"/>
        <v>0.17269005669140364</v>
      </c>
      <c r="S129" s="114"/>
      <c r="T129" s="119">
        <f t="shared" si="30"/>
        <v>8.5</v>
      </c>
      <c r="U129" s="131">
        <v>0.16350000000000001</v>
      </c>
      <c r="V129" s="120">
        <f t="shared" si="31"/>
        <v>9.8897499999999994</v>
      </c>
      <c r="W129" s="121">
        <f t="shared" si="32"/>
        <v>1.2749999999999995</v>
      </c>
      <c r="X129" s="121">
        <f t="shared" si="33"/>
        <v>0.11474999999999995</v>
      </c>
      <c r="Y129" s="122">
        <f t="shared" si="34"/>
        <v>1.3897499999999994</v>
      </c>
      <c r="Z129" s="121">
        <f t="shared" si="35"/>
        <v>8.5</v>
      </c>
      <c r="AA129" s="123">
        <f t="shared" si="36"/>
        <v>0.17269005669140364</v>
      </c>
      <c r="AB129" s="124">
        <f t="shared" si="37"/>
        <v>0</v>
      </c>
      <c r="AC129" s="125">
        <v>9.9</v>
      </c>
    </row>
    <row r="130" spans="1:29" ht="45" customHeight="1" x14ac:dyDescent="0.25">
      <c r="A130" s="30">
        <v>124</v>
      </c>
      <c r="B130" s="100" t="s">
        <v>104</v>
      </c>
      <c r="C130" s="31">
        <v>1</v>
      </c>
      <c r="D130" s="32" t="s">
        <v>83</v>
      </c>
      <c r="E130" s="31">
        <f t="shared" ref="E130:E170" si="48">D130*C130</f>
        <v>4</v>
      </c>
      <c r="F130" s="96">
        <v>25.7</v>
      </c>
      <c r="G130" s="33">
        <f t="shared" ref="G130:G170" si="49">F130/D130</f>
        <v>6.4249999999999998</v>
      </c>
      <c r="H130" s="34">
        <f t="shared" ref="H130:H170" si="50">G130*E130</f>
        <v>25.7</v>
      </c>
      <c r="I130" s="35"/>
      <c r="J130" s="38">
        <f t="shared" ref="J130:K161" si="51">G130/$Q$2</f>
        <v>6.4249999999999998</v>
      </c>
      <c r="K130" s="38">
        <f t="shared" si="51"/>
        <v>25.7</v>
      </c>
      <c r="L130" s="38">
        <f t="shared" ref="L130:L170" si="52">J130*(1+$M$174+9%)</f>
        <v>7.032134518123069</v>
      </c>
      <c r="M130" s="38">
        <f t="shared" ref="M130:M170" si="53">L130*E130</f>
        <v>28.128538072492276</v>
      </c>
      <c r="N130" s="37">
        <v>8.5</v>
      </c>
      <c r="O130" s="38">
        <f t="shared" si="44"/>
        <v>34</v>
      </c>
      <c r="P130" s="38">
        <f t="shared" si="45"/>
        <v>1.467865481876931</v>
      </c>
      <c r="Q130" s="38">
        <f t="shared" si="46"/>
        <v>5.871461927507724</v>
      </c>
      <c r="R130" s="39">
        <f t="shared" si="47"/>
        <v>0.17269005669140364</v>
      </c>
      <c r="S130" s="114"/>
      <c r="T130" s="119">
        <f t="shared" si="30"/>
        <v>8.5</v>
      </c>
      <c r="U130" s="131">
        <v>0.16350000000000001</v>
      </c>
      <c r="V130" s="120">
        <f t="shared" si="31"/>
        <v>9.8897499999999994</v>
      </c>
      <c r="W130" s="121">
        <f t="shared" si="32"/>
        <v>1.2749999999999995</v>
      </c>
      <c r="X130" s="121">
        <f t="shared" si="33"/>
        <v>0.11474999999999995</v>
      </c>
      <c r="Y130" s="122">
        <f t="shared" si="34"/>
        <v>1.3897499999999994</v>
      </c>
      <c r="Z130" s="121">
        <f t="shared" si="35"/>
        <v>8.5</v>
      </c>
      <c r="AA130" s="123">
        <f t="shared" si="36"/>
        <v>0.17269005669140364</v>
      </c>
      <c r="AB130" s="124">
        <f t="shared" si="37"/>
        <v>0</v>
      </c>
      <c r="AC130" s="125">
        <v>9.9</v>
      </c>
    </row>
    <row r="131" spans="1:29" ht="45" customHeight="1" x14ac:dyDescent="0.25">
      <c r="A131" s="30">
        <v>125</v>
      </c>
      <c r="B131" s="100" t="s">
        <v>105</v>
      </c>
      <c r="C131" s="31">
        <v>1</v>
      </c>
      <c r="D131" s="32" t="s">
        <v>73</v>
      </c>
      <c r="E131" s="31">
        <f t="shared" si="48"/>
        <v>12</v>
      </c>
      <c r="F131" s="96">
        <v>25.5</v>
      </c>
      <c r="G131" s="33">
        <f t="shared" si="49"/>
        <v>2.125</v>
      </c>
      <c r="H131" s="34">
        <f t="shared" si="50"/>
        <v>25.5</v>
      </c>
      <c r="I131" s="35"/>
      <c r="J131" s="38">
        <f t="shared" si="51"/>
        <v>2.125</v>
      </c>
      <c r="K131" s="38">
        <f t="shared" si="51"/>
        <v>25.5</v>
      </c>
      <c r="L131" s="38">
        <f t="shared" si="52"/>
        <v>2.3258032452936224</v>
      </c>
      <c r="M131" s="38">
        <f t="shared" si="53"/>
        <v>27.909638943523468</v>
      </c>
      <c r="N131" s="37">
        <v>3.9</v>
      </c>
      <c r="O131" s="38">
        <f t="shared" si="44"/>
        <v>46.8</v>
      </c>
      <c r="P131" s="38">
        <f t="shared" si="45"/>
        <v>1.5741967547063775</v>
      </c>
      <c r="Q131" s="38">
        <f t="shared" si="46"/>
        <v>18.890361056476529</v>
      </c>
      <c r="R131" s="39">
        <f t="shared" si="47"/>
        <v>0.40364019351445579</v>
      </c>
      <c r="S131" s="115"/>
      <c r="T131" s="119">
        <f t="shared" ref="T131:T170" si="54">N131</f>
        <v>3.9</v>
      </c>
      <c r="U131" s="131">
        <v>0.16350000000000001</v>
      </c>
      <c r="V131" s="120">
        <f t="shared" si="31"/>
        <v>4.5376500000000002</v>
      </c>
      <c r="W131" s="121">
        <f t="shared" si="32"/>
        <v>0.5850000000000003</v>
      </c>
      <c r="X131" s="121">
        <f t="shared" si="33"/>
        <v>5.2650000000000023E-2</v>
      </c>
      <c r="Y131" s="122">
        <f t="shared" si="34"/>
        <v>0.63765000000000027</v>
      </c>
      <c r="Z131" s="121">
        <f t="shared" si="35"/>
        <v>3.9</v>
      </c>
      <c r="AA131" s="123">
        <f t="shared" si="36"/>
        <v>0.40364019351445579</v>
      </c>
      <c r="AB131" s="124">
        <f t="shared" si="37"/>
        <v>0</v>
      </c>
      <c r="AC131" s="125" t="s">
        <v>226</v>
      </c>
    </row>
    <row r="132" spans="1:29" ht="45" customHeight="1" x14ac:dyDescent="0.25">
      <c r="A132" s="30">
        <v>126</v>
      </c>
      <c r="B132" s="100" t="s">
        <v>184</v>
      </c>
      <c r="C132" s="31">
        <v>1</v>
      </c>
      <c r="D132" s="32" t="s">
        <v>24</v>
      </c>
      <c r="E132" s="31">
        <f t="shared" si="48"/>
        <v>24</v>
      </c>
      <c r="F132" s="96">
        <v>49</v>
      </c>
      <c r="G132" s="33">
        <f t="shared" si="49"/>
        <v>2.0416666666666665</v>
      </c>
      <c r="H132" s="34">
        <f t="shared" si="50"/>
        <v>49</v>
      </c>
      <c r="I132" s="35"/>
      <c r="J132" s="38">
        <f t="shared" si="51"/>
        <v>2.0416666666666665</v>
      </c>
      <c r="K132" s="38">
        <f t="shared" si="51"/>
        <v>49</v>
      </c>
      <c r="L132" s="38">
        <f t="shared" si="52"/>
        <v>2.2345952748899505</v>
      </c>
      <c r="M132" s="38">
        <f t="shared" si="53"/>
        <v>53.630286597358811</v>
      </c>
      <c r="N132" s="37">
        <v>3.9</v>
      </c>
      <c r="O132" s="38">
        <f t="shared" si="44"/>
        <v>93.6</v>
      </c>
      <c r="P132" s="38">
        <f t="shared" si="45"/>
        <v>1.6654047251100494</v>
      </c>
      <c r="Q132" s="38">
        <f t="shared" si="46"/>
        <v>39.96971340264119</v>
      </c>
      <c r="R132" s="39">
        <f t="shared" si="47"/>
        <v>0.42702685259232037</v>
      </c>
      <c r="S132" s="115"/>
      <c r="T132" s="119">
        <f t="shared" si="54"/>
        <v>3.9</v>
      </c>
      <c r="U132" s="131">
        <v>0.16350000000000001</v>
      </c>
      <c r="V132" s="120">
        <f t="shared" si="31"/>
        <v>4.5376500000000002</v>
      </c>
      <c r="W132" s="121">
        <f t="shared" si="32"/>
        <v>0.5850000000000003</v>
      </c>
      <c r="X132" s="121">
        <f t="shared" si="33"/>
        <v>5.2650000000000023E-2</v>
      </c>
      <c r="Y132" s="122">
        <f t="shared" si="34"/>
        <v>0.63765000000000027</v>
      </c>
      <c r="Z132" s="121">
        <f t="shared" si="35"/>
        <v>3.9</v>
      </c>
      <c r="AA132" s="123">
        <f t="shared" si="36"/>
        <v>0.42702685259232037</v>
      </c>
      <c r="AB132" s="124">
        <f t="shared" si="37"/>
        <v>0</v>
      </c>
      <c r="AC132" s="125" t="s">
        <v>226</v>
      </c>
    </row>
    <row r="133" spans="1:29" ht="45" customHeight="1" x14ac:dyDescent="0.25">
      <c r="A133" s="30">
        <v>127</v>
      </c>
      <c r="B133" s="100" t="s">
        <v>185</v>
      </c>
      <c r="C133" s="31">
        <v>1</v>
      </c>
      <c r="D133" s="32" t="s">
        <v>73</v>
      </c>
      <c r="E133" s="31">
        <f t="shared" si="48"/>
        <v>12</v>
      </c>
      <c r="F133" s="96">
        <v>24</v>
      </c>
      <c r="G133" s="33">
        <f t="shared" si="49"/>
        <v>2</v>
      </c>
      <c r="H133" s="34">
        <f t="shared" si="50"/>
        <v>24</v>
      </c>
      <c r="I133" s="35"/>
      <c r="J133" s="38">
        <f t="shared" si="51"/>
        <v>2</v>
      </c>
      <c r="K133" s="38">
        <f t="shared" si="51"/>
        <v>24</v>
      </c>
      <c r="L133" s="38">
        <f t="shared" si="52"/>
        <v>2.188991289688115</v>
      </c>
      <c r="M133" s="38">
        <f t="shared" si="53"/>
        <v>26.26789547625738</v>
      </c>
      <c r="N133" s="37"/>
      <c r="O133" s="38">
        <f t="shared" si="44"/>
        <v>0</v>
      </c>
      <c r="P133" s="38">
        <f t="shared" si="45"/>
        <v>-2.188991289688115</v>
      </c>
      <c r="Q133" s="38">
        <f t="shared" si="46"/>
        <v>-26.26789547625738</v>
      </c>
      <c r="R133" s="39" t="e">
        <f t="shared" si="47"/>
        <v>#DIV/0!</v>
      </c>
      <c r="S133" s="115"/>
      <c r="T133" s="119">
        <f t="shared" si="54"/>
        <v>0</v>
      </c>
      <c r="U133" s="131">
        <v>0.16350000000000001</v>
      </c>
      <c r="V133" s="120">
        <f t="shared" si="31"/>
        <v>0</v>
      </c>
      <c r="W133" s="121">
        <f t="shared" si="32"/>
        <v>0</v>
      </c>
      <c r="X133" s="121">
        <f t="shared" si="33"/>
        <v>0</v>
      </c>
      <c r="Y133" s="122">
        <f t="shared" si="34"/>
        <v>0</v>
      </c>
      <c r="Z133" s="121">
        <f t="shared" si="35"/>
        <v>0</v>
      </c>
      <c r="AA133" s="123" t="e">
        <f t="shared" si="36"/>
        <v>#DIV/0!</v>
      </c>
      <c r="AB133" s="124" t="e">
        <f t="shared" si="37"/>
        <v>#DIV/0!</v>
      </c>
      <c r="AC133" s="125" t="s">
        <v>226</v>
      </c>
    </row>
    <row r="134" spans="1:29" ht="45" customHeight="1" x14ac:dyDescent="0.25">
      <c r="A134" s="30">
        <v>128</v>
      </c>
      <c r="B134" s="100" t="s">
        <v>178</v>
      </c>
      <c r="C134" s="31">
        <v>1</v>
      </c>
      <c r="D134" s="32" t="s">
        <v>24</v>
      </c>
      <c r="E134" s="31">
        <f t="shared" si="48"/>
        <v>24</v>
      </c>
      <c r="F134" s="96">
        <v>49.8</v>
      </c>
      <c r="G134" s="33">
        <f t="shared" si="49"/>
        <v>2.0749999999999997</v>
      </c>
      <c r="H134" s="34">
        <f t="shared" si="50"/>
        <v>49.8</v>
      </c>
      <c r="I134" s="35"/>
      <c r="J134" s="38">
        <f t="shared" si="51"/>
        <v>2.0749999999999997</v>
      </c>
      <c r="K134" s="38">
        <f t="shared" si="51"/>
        <v>49.8</v>
      </c>
      <c r="L134" s="38">
        <f t="shared" si="52"/>
        <v>2.2710784630514191</v>
      </c>
      <c r="M134" s="38">
        <f t="shared" si="53"/>
        <v>54.505883113234063</v>
      </c>
      <c r="N134" s="37">
        <v>3.9</v>
      </c>
      <c r="O134" s="38">
        <f t="shared" si="44"/>
        <v>93.6</v>
      </c>
      <c r="P134" s="38">
        <f t="shared" si="45"/>
        <v>1.6289215369485808</v>
      </c>
      <c r="Q134" s="38">
        <f t="shared" si="46"/>
        <v>39.094116886765939</v>
      </c>
      <c r="R134" s="39">
        <f t="shared" si="47"/>
        <v>0.41767218896117458</v>
      </c>
      <c r="S134" s="115"/>
      <c r="T134" s="119">
        <f t="shared" si="54"/>
        <v>3.9</v>
      </c>
      <c r="U134" s="131">
        <v>0.16350000000000001</v>
      </c>
      <c r="V134" s="120">
        <f t="shared" si="31"/>
        <v>4.5376500000000002</v>
      </c>
      <c r="W134" s="121">
        <f t="shared" si="32"/>
        <v>0.5850000000000003</v>
      </c>
      <c r="X134" s="121">
        <f t="shared" si="33"/>
        <v>5.2650000000000023E-2</v>
      </c>
      <c r="Y134" s="122">
        <f t="shared" si="34"/>
        <v>0.63765000000000027</v>
      </c>
      <c r="Z134" s="121">
        <f t="shared" si="35"/>
        <v>3.9</v>
      </c>
      <c r="AA134" s="123">
        <f t="shared" si="36"/>
        <v>0.41767218896117458</v>
      </c>
      <c r="AB134" s="124">
        <f t="shared" si="37"/>
        <v>0</v>
      </c>
      <c r="AC134" s="125" t="s">
        <v>226</v>
      </c>
    </row>
    <row r="135" spans="1:29" ht="45" customHeight="1" x14ac:dyDescent="0.25">
      <c r="A135" s="30">
        <v>129</v>
      </c>
      <c r="B135" s="100" t="s">
        <v>148</v>
      </c>
      <c r="C135" s="31">
        <v>1</v>
      </c>
      <c r="D135" s="32" t="s">
        <v>24</v>
      </c>
      <c r="E135" s="31">
        <f t="shared" si="48"/>
        <v>24</v>
      </c>
      <c r="F135" s="96">
        <v>58</v>
      </c>
      <c r="G135" s="33">
        <f t="shared" si="49"/>
        <v>2.4166666666666665</v>
      </c>
      <c r="H135" s="34">
        <f t="shared" si="50"/>
        <v>58</v>
      </c>
      <c r="I135" s="35"/>
      <c r="J135" s="38">
        <f t="shared" si="51"/>
        <v>2.4166666666666665</v>
      </c>
      <c r="K135" s="38">
        <f t="shared" si="51"/>
        <v>58</v>
      </c>
      <c r="L135" s="38">
        <f t="shared" si="52"/>
        <v>2.6450311417064722</v>
      </c>
      <c r="M135" s="38">
        <f t="shared" si="53"/>
        <v>63.480747400955337</v>
      </c>
      <c r="N135" s="37">
        <v>3.95</v>
      </c>
      <c r="O135" s="38">
        <f t="shared" si="44"/>
        <v>94.800000000000011</v>
      </c>
      <c r="P135" s="38">
        <f t="shared" si="45"/>
        <v>1.3049688582935279</v>
      </c>
      <c r="Q135" s="38">
        <f t="shared" si="46"/>
        <v>31.31925259904467</v>
      </c>
      <c r="R135" s="39">
        <f t="shared" si="47"/>
        <v>0.33037186285912096</v>
      </c>
      <c r="S135" s="115"/>
      <c r="T135" s="119">
        <f t="shared" si="54"/>
        <v>3.95</v>
      </c>
      <c r="U135" s="131">
        <v>0.16350000000000001</v>
      </c>
      <c r="V135" s="120">
        <f t="shared" si="31"/>
        <v>4.5958250000000005</v>
      </c>
      <c r="W135" s="121">
        <f t="shared" si="32"/>
        <v>0.59250000000000036</v>
      </c>
      <c r="X135" s="121">
        <f t="shared" si="33"/>
        <v>5.3325000000000032E-2</v>
      </c>
      <c r="Y135" s="122">
        <f t="shared" si="34"/>
        <v>0.64582500000000032</v>
      </c>
      <c r="Z135" s="121">
        <f t="shared" si="35"/>
        <v>3.95</v>
      </c>
      <c r="AA135" s="123">
        <f t="shared" si="36"/>
        <v>0.33037186285912096</v>
      </c>
      <c r="AB135" s="124">
        <f t="shared" si="37"/>
        <v>0</v>
      </c>
      <c r="AC135" s="125" t="s">
        <v>226</v>
      </c>
    </row>
    <row r="136" spans="1:29" ht="45" customHeight="1" x14ac:dyDescent="0.25">
      <c r="A136" s="30">
        <v>130</v>
      </c>
      <c r="B136" s="102" t="s">
        <v>106</v>
      </c>
      <c r="C136" s="31">
        <v>1</v>
      </c>
      <c r="D136" s="32" t="s">
        <v>136</v>
      </c>
      <c r="E136" s="31">
        <f t="shared" si="48"/>
        <v>10</v>
      </c>
      <c r="F136" s="96">
        <v>13.5</v>
      </c>
      <c r="G136" s="33">
        <f t="shared" si="49"/>
        <v>1.35</v>
      </c>
      <c r="H136" s="34">
        <f t="shared" si="50"/>
        <v>13.5</v>
      </c>
      <c r="I136" s="35"/>
      <c r="J136" s="38">
        <f t="shared" si="51"/>
        <v>1.35</v>
      </c>
      <c r="K136" s="38">
        <f t="shared" si="51"/>
        <v>13.5</v>
      </c>
      <c r="L136" s="38">
        <f t="shared" si="52"/>
        <v>1.4775691205394776</v>
      </c>
      <c r="M136" s="38">
        <f t="shared" si="53"/>
        <v>14.775691205394777</v>
      </c>
      <c r="N136" s="37">
        <v>1.95</v>
      </c>
      <c r="O136" s="38">
        <f t="shared" si="44"/>
        <v>19.5</v>
      </c>
      <c r="P136" s="38">
        <f t="shared" si="45"/>
        <v>0.47243087946052231</v>
      </c>
      <c r="Q136" s="38">
        <f t="shared" si="46"/>
        <v>4.7243087946052231</v>
      </c>
      <c r="R136" s="39">
        <f t="shared" si="47"/>
        <v>0.24227224587719093</v>
      </c>
      <c r="S136" s="115"/>
      <c r="T136" s="119">
        <f t="shared" si="54"/>
        <v>1.95</v>
      </c>
      <c r="U136" s="131">
        <v>0.16350000000000001</v>
      </c>
      <c r="V136" s="120">
        <f t="shared" ref="V136:V170" si="55">T136+(T136*U136)</f>
        <v>2.2688250000000001</v>
      </c>
      <c r="W136" s="121">
        <f t="shared" ref="W136:W170" si="56">(100/109)*Y136</f>
        <v>0.29250000000000015</v>
      </c>
      <c r="X136" s="121">
        <f t="shared" ref="X136:X170" si="57">(9/109)*Y136</f>
        <v>2.6325000000000012E-2</v>
      </c>
      <c r="Y136" s="122">
        <f t="shared" ref="Y136:Y170" si="58">V136-T136</f>
        <v>0.31882500000000014</v>
      </c>
      <c r="Z136" s="121">
        <f t="shared" ref="Z136:Z170" si="59">V136-Y136</f>
        <v>1.95</v>
      </c>
      <c r="AA136" s="123">
        <f t="shared" ref="AA136:AA170" si="60">(Z136-L136)/Z136</f>
        <v>0.24227224587719093</v>
      </c>
      <c r="AB136" s="124">
        <f t="shared" ref="AB136:AB170" si="61">AA136-R136</f>
        <v>0</v>
      </c>
      <c r="AC136" s="125">
        <v>1.5</v>
      </c>
    </row>
    <row r="137" spans="1:29" ht="45" customHeight="1" x14ac:dyDescent="0.25">
      <c r="A137" s="30">
        <v>131</v>
      </c>
      <c r="B137" s="100" t="s">
        <v>218</v>
      </c>
      <c r="C137" s="31">
        <v>1</v>
      </c>
      <c r="D137" s="32" t="s">
        <v>157</v>
      </c>
      <c r="E137" s="31">
        <f t="shared" si="48"/>
        <v>60</v>
      </c>
      <c r="F137" s="96">
        <v>34</v>
      </c>
      <c r="G137" s="33">
        <f t="shared" si="49"/>
        <v>0.56666666666666665</v>
      </c>
      <c r="H137" s="34">
        <f t="shared" si="50"/>
        <v>34</v>
      </c>
      <c r="I137" s="35"/>
      <c r="J137" s="38">
        <f t="shared" si="51"/>
        <v>0.56666666666666665</v>
      </c>
      <c r="K137" s="38">
        <f t="shared" si="51"/>
        <v>34</v>
      </c>
      <c r="L137" s="38">
        <f t="shared" si="52"/>
        <v>0.62021419874496586</v>
      </c>
      <c r="M137" s="38">
        <f t="shared" si="53"/>
        <v>37.212851924697951</v>
      </c>
      <c r="N137" s="37">
        <v>0.85</v>
      </c>
      <c r="O137" s="38">
        <f t="shared" si="44"/>
        <v>51</v>
      </c>
      <c r="P137" s="38">
        <f t="shared" si="45"/>
        <v>0.22978580125503412</v>
      </c>
      <c r="Q137" s="38">
        <f t="shared" si="46"/>
        <v>13.787148075302047</v>
      </c>
      <c r="R137" s="39">
        <f t="shared" si="47"/>
        <v>0.2703362367706284</v>
      </c>
      <c r="S137" s="115"/>
      <c r="T137" s="119">
        <f t="shared" si="54"/>
        <v>0.85</v>
      </c>
      <c r="U137" s="131">
        <v>0.16350000000000001</v>
      </c>
      <c r="V137" s="120">
        <f t="shared" si="55"/>
        <v>0.98897499999999994</v>
      </c>
      <c r="W137" s="121">
        <f t="shared" si="56"/>
        <v>0.12749999999999997</v>
      </c>
      <c r="X137" s="121">
        <f t="shared" si="57"/>
        <v>1.1474999999999997E-2</v>
      </c>
      <c r="Y137" s="122">
        <f t="shared" si="58"/>
        <v>0.13897499999999996</v>
      </c>
      <c r="Z137" s="121">
        <f t="shared" si="59"/>
        <v>0.85</v>
      </c>
      <c r="AA137" s="123">
        <f t="shared" si="60"/>
        <v>0.2703362367706284</v>
      </c>
      <c r="AB137" s="124">
        <f t="shared" si="61"/>
        <v>0</v>
      </c>
      <c r="AC137" s="125" t="s">
        <v>226</v>
      </c>
    </row>
    <row r="138" spans="1:29" ht="45" customHeight="1" x14ac:dyDescent="0.25">
      <c r="A138" s="30">
        <v>132</v>
      </c>
      <c r="B138" s="104" t="s">
        <v>107</v>
      </c>
      <c r="C138" s="31">
        <v>1</v>
      </c>
      <c r="D138" s="32" t="s">
        <v>157</v>
      </c>
      <c r="E138" s="31">
        <f t="shared" si="48"/>
        <v>60</v>
      </c>
      <c r="F138" s="96">
        <v>34</v>
      </c>
      <c r="G138" s="33">
        <f t="shared" si="49"/>
        <v>0.56666666666666665</v>
      </c>
      <c r="H138" s="34">
        <f t="shared" si="50"/>
        <v>34</v>
      </c>
      <c r="I138" s="35"/>
      <c r="J138" s="38">
        <f t="shared" si="51"/>
        <v>0.56666666666666665</v>
      </c>
      <c r="K138" s="38">
        <f t="shared" si="51"/>
        <v>34</v>
      </c>
      <c r="L138" s="38">
        <f t="shared" si="52"/>
        <v>0.62021419874496586</v>
      </c>
      <c r="M138" s="38">
        <f t="shared" si="53"/>
        <v>37.212851924697951</v>
      </c>
      <c r="N138" s="37">
        <v>0.85</v>
      </c>
      <c r="O138" s="38">
        <f t="shared" si="44"/>
        <v>51</v>
      </c>
      <c r="P138" s="38">
        <f t="shared" si="45"/>
        <v>0.22978580125503412</v>
      </c>
      <c r="Q138" s="38">
        <f t="shared" si="46"/>
        <v>13.787148075302047</v>
      </c>
      <c r="R138" s="39">
        <f t="shared" si="47"/>
        <v>0.2703362367706284</v>
      </c>
      <c r="S138" s="116"/>
      <c r="T138" s="119">
        <f t="shared" si="54"/>
        <v>0.85</v>
      </c>
      <c r="U138" s="131">
        <v>0.16350000000000001</v>
      </c>
      <c r="V138" s="120">
        <f t="shared" si="55"/>
        <v>0.98897499999999994</v>
      </c>
      <c r="W138" s="121">
        <f t="shared" si="56"/>
        <v>0.12749999999999997</v>
      </c>
      <c r="X138" s="121">
        <f t="shared" si="57"/>
        <v>1.1474999999999997E-2</v>
      </c>
      <c r="Y138" s="122">
        <f t="shared" si="58"/>
        <v>0.13897499999999996</v>
      </c>
      <c r="Z138" s="121">
        <f t="shared" si="59"/>
        <v>0.85</v>
      </c>
      <c r="AA138" s="123">
        <f t="shared" si="60"/>
        <v>0.2703362367706284</v>
      </c>
      <c r="AB138" s="124">
        <f t="shared" si="61"/>
        <v>0</v>
      </c>
      <c r="AC138" s="125" t="s">
        <v>226</v>
      </c>
    </row>
    <row r="139" spans="1:29" ht="45" customHeight="1" x14ac:dyDescent="0.25">
      <c r="A139" s="30">
        <v>133</v>
      </c>
      <c r="B139" s="106" t="s">
        <v>108</v>
      </c>
      <c r="C139" s="31">
        <v>1</v>
      </c>
      <c r="D139" s="32" t="s">
        <v>25</v>
      </c>
      <c r="E139" s="31">
        <f t="shared" si="48"/>
        <v>6</v>
      </c>
      <c r="F139" s="96">
        <v>21</v>
      </c>
      <c r="G139" s="33">
        <f t="shared" si="49"/>
        <v>3.5</v>
      </c>
      <c r="H139" s="34">
        <f t="shared" si="50"/>
        <v>21</v>
      </c>
      <c r="I139" s="35"/>
      <c r="J139" s="38">
        <f t="shared" si="51"/>
        <v>3.5</v>
      </c>
      <c r="K139" s="38">
        <f t="shared" si="51"/>
        <v>21</v>
      </c>
      <c r="L139" s="38">
        <f t="shared" si="52"/>
        <v>3.8307347569542012</v>
      </c>
      <c r="M139" s="38">
        <f t="shared" si="53"/>
        <v>22.984408541725209</v>
      </c>
      <c r="N139" s="37">
        <v>4.95</v>
      </c>
      <c r="O139" s="38">
        <f t="shared" si="44"/>
        <v>29.700000000000003</v>
      </c>
      <c r="P139" s="38">
        <f t="shared" si="45"/>
        <v>1.119265243045799</v>
      </c>
      <c r="Q139" s="38">
        <f t="shared" si="46"/>
        <v>6.715591458274794</v>
      </c>
      <c r="R139" s="39">
        <f t="shared" si="47"/>
        <v>0.22611419051430282</v>
      </c>
      <c r="S139" s="113"/>
      <c r="T139" s="119">
        <f t="shared" si="54"/>
        <v>4.95</v>
      </c>
      <c r="U139" s="131">
        <v>0.16350000000000001</v>
      </c>
      <c r="V139" s="120">
        <f t="shared" si="55"/>
        <v>5.7593250000000005</v>
      </c>
      <c r="W139" s="121">
        <f t="shared" si="56"/>
        <v>0.74250000000000027</v>
      </c>
      <c r="X139" s="121">
        <f t="shared" si="57"/>
        <v>6.6825000000000023E-2</v>
      </c>
      <c r="Y139" s="122">
        <f t="shared" si="58"/>
        <v>0.80932500000000029</v>
      </c>
      <c r="Z139" s="121">
        <f t="shared" si="59"/>
        <v>4.95</v>
      </c>
      <c r="AA139" s="123">
        <f t="shared" si="60"/>
        <v>0.22611419051430282</v>
      </c>
      <c r="AB139" s="124">
        <f t="shared" si="61"/>
        <v>0</v>
      </c>
      <c r="AC139" s="125" t="s">
        <v>226</v>
      </c>
    </row>
    <row r="140" spans="1:29" ht="45" customHeight="1" x14ac:dyDescent="0.25">
      <c r="A140" s="30">
        <v>134</v>
      </c>
      <c r="B140" s="104" t="s">
        <v>109</v>
      </c>
      <c r="C140" s="31">
        <v>1</v>
      </c>
      <c r="D140" s="32" t="s">
        <v>73</v>
      </c>
      <c r="E140" s="31">
        <f t="shared" si="48"/>
        <v>12</v>
      </c>
      <c r="F140" s="96">
        <v>19</v>
      </c>
      <c r="G140" s="33">
        <f t="shared" si="49"/>
        <v>1.5833333333333333</v>
      </c>
      <c r="H140" s="34">
        <f t="shared" si="50"/>
        <v>19</v>
      </c>
      <c r="I140" s="35"/>
      <c r="J140" s="38">
        <f t="shared" si="51"/>
        <v>1.5833333333333333</v>
      </c>
      <c r="K140" s="38">
        <f t="shared" si="51"/>
        <v>19</v>
      </c>
      <c r="L140" s="38">
        <f t="shared" si="52"/>
        <v>1.7329514376697577</v>
      </c>
      <c r="M140" s="38">
        <f t="shared" si="53"/>
        <v>20.79541725203709</v>
      </c>
      <c r="N140" s="37">
        <v>2.5</v>
      </c>
      <c r="O140" s="38">
        <f t="shared" si="44"/>
        <v>30</v>
      </c>
      <c r="P140" s="38">
        <f t="shared" si="45"/>
        <v>0.76704856233024232</v>
      </c>
      <c r="Q140" s="38">
        <f t="shared" si="46"/>
        <v>9.2045827479629079</v>
      </c>
      <c r="R140" s="39">
        <f t="shared" si="47"/>
        <v>0.30681942493209691</v>
      </c>
      <c r="S140" s="116"/>
      <c r="T140" s="119">
        <f t="shared" si="54"/>
        <v>2.5</v>
      </c>
      <c r="U140" s="131">
        <v>0.16350000000000001</v>
      </c>
      <c r="V140" s="120">
        <f t="shared" si="55"/>
        <v>2.9087499999999999</v>
      </c>
      <c r="W140" s="121">
        <f t="shared" si="56"/>
        <v>0.37499999999999994</v>
      </c>
      <c r="X140" s="121">
        <f t="shared" si="57"/>
        <v>3.3749999999999995E-2</v>
      </c>
      <c r="Y140" s="122">
        <f t="shared" si="58"/>
        <v>0.40874999999999995</v>
      </c>
      <c r="Z140" s="121">
        <f t="shared" si="59"/>
        <v>2.5</v>
      </c>
      <c r="AA140" s="123">
        <f t="shared" si="60"/>
        <v>0.30681942493209691</v>
      </c>
      <c r="AB140" s="124">
        <f t="shared" si="61"/>
        <v>0</v>
      </c>
      <c r="AC140" s="125" t="s">
        <v>226</v>
      </c>
    </row>
    <row r="141" spans="1:29" ht="45" customHeight="1" x14ac:dyDescent="0.25">
      <c r="A141" s="30">
        <v>135</v>
      </c>
      <c r="B141" s="103" t="s">
        <v>190</v>
      </c>
      <c r="C141" s="31">
        <v>1</v>
      </c>
      <c r="D141" s="32" t="s">
        <v>73</v>
      </c>
      <c r="E141" s="31">
        <f t="shared" si="48"/>
        <v>12</v>
      </c>
      <c r="F141" s="96">
        <v>19</v>
      </c>
      <c r="G141" s="33">
        <f t="shared" si="49"/>
        <v>1.5833333333333333</v>
      </c>
      <c r="H141" s="34">
        <f t="shared" si="50"/>
        <v>19</v>
      </c>
      <c r="I141" s="35"/>
      <c r="J141" s="38">
        <f t="shared" si="51"/>
        <v>1.5833333333333333</v>
      </c>
      <c r="K141" s="38">
        <f t="shared" si="51"/>
        <v>19</v>
      </c>
      <c r="L141" s="38">
        <f t="shared" si="52"/>
        <v>1.7329514376697577</v>
      </c>
      <c r="M141" s="38">
        <f t="shared" si="53"/>
        <v>20.79541725203709</v>
      </c>
      <c r="N141" s="37"/>
      <c r="O141" s="38">
        <f t="shared" si="44"/>
        <v>0</v>
      </c>
      <c r="P141" s="38">
        <f t="shared" si="45"/>
        <v>-1.7329514376697577</v>
      </c>
      <c r="Q141" s="38">
        <f t="shared" si="46"/>
        <v>-20.79541725203709</v>
      </c>
      <c r="R141" s="39" t="e">
        <f t="shared" si="47"/>
        <v>#DIV/0!</v>
      </c>
      <c r="S141" s="116"/>
      <c r="T141" s="119">
        <f t="shared" si="54"/>
        <v>0</v>
      </c>
      <c r="U141" s="131">
        <v>0.16350000000000001</v>
      </c>
      <c r="V141" s="120">
        <f t="shared" si="55"/>
        <v>0</v>
      </c>
      <c r="W141" s="121">
        <f t="shared" si="56"/>
        <v>0</v>
      </c>
      <c r="X141" s="121">
        <f t="shared" si="57"/>
        <v>0</v>
      </c>
      <c r="Y141" s="122">
        <f t="shared" si="58"/>
        <v>0</v>
      </c>
      <c r="Z141" s="121">
        <f t="shared" si="59"/>
        <v>0</v>
      </c>
      <c r="AA141" s="123" t="e">
        <f t="shared" si="60"/>
        <v>#DIV/0!</v>
      </c>
      <c r="AB141" s="124" t="e">
        <f t="shared" si="61"/>
        <v>#DIV/0!</v>
      </c>
      <c r="AC141" s="125" t="s">
        <v>226</v>
      </c>
    </row>
    <row r="142" spans="1:29" ht="45" customHeight="1" x14ac:dyDescent="0.25">
      <c r="A142" s="30">
        <v>136</v>
      </c>
      <c r="B142" s="104" t="s">
        <v>191</v>
      </c>
      <c r="C142" s="31">
        <v>1</v>
      </c>
      <c r="D142" s="32" t="s">
        <v>73</v>
      </c>
      <c r="E142" s="31">
        <f t="shared" si="48"/>
        <v>12</v>
      </c>
      <c r="F142" s="96">
        <v>19</v>
      </c>
      <c r="G142" s="33">
        <f t="shared" si="49"/>
        <v>1.5833333333333333</v>
      </c>
      <c r="H142" s="34">
        <f t="shared" si="50"/>
        <v>19</v>
      </c>
      <c r="I142" s="35"/>
      <c r="J142" s="38">
        <f t="shared" si="51"/>
        <v>1.5833333333333333</v>
      </c>
      <c r="K142" s="38">
        <f t="shared" si="51"/>
        <v>19</v>
      </c>
      <c r="L142" s="38">
        <f t="shared" si="52"/>
        <v>1.7329514376697577</v>
      </c>
      <c r="M142" s="38">
        <f t="shared" si="53"/>
        <v>20.79541725203709</v>
      </c>
      <c r="N142" s="37"/>
      <c r="O142" s="38">
        <f t="shared" si="44"/>
        <v>0</v>
      </c>
      <c r="P142" s="38">
        <f t="shared" si="45"/>
        <v>-1.7329514376697577</v>
      </c>
      <c r="Q142" s="38">
        <f t="shared" si="46"/>
        <v>-20.79541725203709</v>
      </c>
      <c r="R142" s="39" t="e">
        <f t="shared" si="47"/>
        <v>#DIV/0!</v>
      </c>
      <c r="S142" s="116"/>
      <c r="T142" s="119">
        <f t="shared" si="54"/>
        <v>0</v>
      </c>
      <c r="U142" s="131">
        <v>0.16350000000000001</v>
      </c>
      <c r="V142" s="120">
        <f t="shared" si="55"/>
        <v>0</v>
      </c>
      <c r="W142" s="121">
        <f t="shared" si="56"/>
        <v>0</v>
      </c>
      <c r="X142" s="121">
        <f t="shared" si="57"/>
        <v>0</v>
      </c>
      <c r="Y142" s="122">
        <f t="shared" si="58"/>
        <v>0</v>
      </c>
      <c r="Z142" s="121">
        <f t="shared" si="59"/>
        <v>0</v>
      </c>
      <c r="AA142" s="123" t="e">
        <f t="shared" si="60"/>
        <v>#DIV/0!</v>
      </c>
      <c r="AB142" s="124" t="e">
        <f t="shared" si="61"/>
        <v>#DIV/0!</v>
      </c>
      <c r="AC142" s="125" t="s">
        <v>226</v>
      </c>
    </row>
    <row r="143" spans="1:29" ht="45" customHeight="1" x14ac:dyDescent="0.25">
      <c r="A143" s="30">
        <v>137</v>
      </c>
      <c r="B143" s="103" t="s">
        <v>110</v>
      </c>
      <c r="C143" s="31">
        <v>1</v>
      </c>
      <c r="D143" s="32" t="s">
        <v>73</v>
      </c>
      <c r="E143" s="31">
        <f t="shared" si="48"/>
        <v>12</v>
      </c>
      <c r="F143" s="96">
        <v>19</v>
      </c>
      <c r="G143" s="33">
        <f t="shared" si="49"/>
        <v>1.5833333333333333</v>
      </c>
      <c r="H143" s="34">
        <f t="shared" si="50"/>
        <v>19</v>
      </c>
      <c r="I143" s="35"/>
      <c r="J143" s="38">
        <f t="shared" si="51"/>
        <v>1.5833333333333333</v>
      </c>
      <c r="K143" s="38">
        <f t="shared" si="51"/>
        <v>19</v>
      </c>
      <c r="L143" s="38">
        <f t="shared" si="52"/>
        <v>1.7329514376697577</v>
      </c>
      <c r="M143" s="38">
        <f t="shared" si="53"/>
        <v>20.79541725203709</v>
      </c>
      <c r="N143" s="37">
        <v>2.5</v>
      </c>
      <c r="O143" s="38">
        <f t="shared" si="44"/>
        <v>30</v>
      </c>
      <c r="P143" s="38">
        <f t="shared" si="45"/>
        <v>0.76704856233024232</v>
      </c>
      <c r="Q143" s="38">
        <f t="shared" si="46"/>
        <v>9.2045827479629079</v>
      </c>
      <c r="R143" s="39">
        <f t="shared" si="47"/>
        <v>0.30681942493209691</v>
      </c>
      <c r="S143" s="116"/>
      <c r="T143" s="119">
        <f t="shared" si="54"/>
        <v>2.5</v>
      </c>
      <c r="U143" s="131">
        <v>0.16350000000000001</v>
      </c>
      <c r="V143" s="120">
        <f t="shared" si="55"/>
        <v>2.9087499999999999</v>
      </c>
      <c r="W143" s="121">
        <f t="shared" si="56"/>
        <v>0.37499999999999994</v>
      </c>
      <c r="X143" s="121">
        <f t="shared" si="57"/>
        <v>3.3749999999999995E-2</v>
      </c>
      <c r="Y143" s="122">
        <f t="shared" si="58"/>
        <v>0.40874999999999995</v>
      </c>
      <c r="Z143" s="121">
        <f t="shared" si="59"/>
        <v>2.5</v>
      </c>
      <c r="AA143" s="123">
        <f t="shared" si="60"/>
        <v>0.30681942493209691</v>
      </c>
      <c r="AB143" s="124">
        <f t="shared" si="61"/>
        <v>0</v>
      </c>
      <c r="AC143" s="125" t="s">
        <v>226</v>
      </c>
    </row>
    <row r="144" spans="1:29" ht="45" customHeight="1" x14ac:dyDescent="0.25">
      <c r="A144" s="30">
        <v>138</v>
      </c>
      <c r="B144" s="100" t="s">
        <v>112</v>
      </c>
      <c r="C144" s="31">
        <v>1</v>
      </c>
      <c r="D144" s="32" t="s">
        <v>141</v>
      </c>
      <c r="E144" s="31">
        <f t="shared" si="48"/>
        <v>20</v>
      </c>
      <c r="F144" s="96">
        <v>12.5</v>
      </c>
      <c r="G144" s="33">
        <f t="shared" si="49"/>
        <v>0.625</v>
      </c>
      <c r="H144" s="34">
        <f t="shared" si="50"/>
        <v>12.5</v>
      </c>
      <c r="I144" s="35"/>
      <c r="J144" s="38">
        <f t="shared" si="51"/>
        <v>0.625</v>
      </c>
      <c r="K144" s="38">
        <f t="shared" si="51"/>
        <v>12.5</v>
      </c>
      <c r="L144" s="38">
        <f t="shared" si="52"/>
        <v>0.68405977802753593</v>
      </c>
      <c r="M144" s="38">
        <f t="shared" si="53"/>
        <v>13.681195560550719</v>
      </c>
      <c r="N144" s="37">
        <v>1</v>
      </c>
      <c r="O144" s="38">
        <f t="shared" si="44"/>
        <v>20</v>
      </c>
      <c r="P144" s="38">
        <f t="shared" si="45"/>
        <v>0.31594022197246407</v>
      </c>
      <c r="Q144" s="38">
        <f t="shared" si="46"/>
        <v>6.3188044394492815</v>
      </c>
      <c r="R144" s="39">
        <f t="shared" si="47"/>
        <v>0.31594022197246407</v>
      </c>
      <c r="S144" s="114"/>
      <c r="T144" s="119">
        <f t="shared" si="54"/>
        <v>1</v>
      </c>
      <c r="U144" s="131">
        <v>0.16350000000000001</v>
      </c>
      <c r="V144" s="120">
        <f t="shared" si="55"/>
        <v>1.1635</v>
      </c>
      <c r="W144" s="121">
        <f t="shared" si="56"/>
        <v>0.15</v>
      </c>
      <c r="X144" s="121">
        <f t="shared" si="57"/>
        <v>1.35E-2</v>
      </c>
      <c r="Y144" s="122">
        <f t="shared" si="58"/>
        <v>0.16349999999999998</v>
      </c>
      <c r="Z144" s="121">
        <f t="shared" si="59"/>
        <v>1</v>
      </c>
      <c r="AA144" s="123">
        <f t="shared" si="60"/>
        <v>0.31594022197246407</v>
      </c>
      <c r="AB144" s="124">
        <f t="shared" si="61"/>
        <v>0</v>
      </c>
      <c r="AC144" s="125" t="s">
        <v>226</v>
      </c>
    </row>
    <row r="145" spans="1:29" ht="45" customHeight="1" x14ac:dyDescent="0.25">
      <c r="A145" s="30">
        <v>139</v>
      </c>
      <c r="B145" s="100" t="s">
        <v>192</v>
      </c>
      <c r="C145" s="31">
        <v>1</v>
      </c>
      <c r="D145" s="32" t="s">
        <v>141</v>
      </c>
      <c r="E145" s="31">
        <f t="shared" si="48"/>
        <v>20</v>
      </c>
      <c r="F145" s="96">
        <v>12.5</v>
      </c>
      <c r="G145" s="33">
        <f t="shared" si="49"/>
        <v>0.625</v>
      </c>
      <c r="H145" s="34">
        <f t="shared" si="50"/>
        <v>12.5</v>
      </c>
      <c r="I145" s="35"/>
      <c r="J145" s="38">
        <f t="shared" si="51"/>
        <v>0.625</v>
      </c>
      <c r="K145" s="38">
        <f t="shared" si="51"/>
        <v>12.5</v>
      </c>
      <c r="L145" s="38">
        <f t="shared" si="52"/>
        <v>0.68405977802753593</v>
      </c>
      <c r="M145" s="38">
        <f t="shared" si="53"/>
        <v>13.681195560550719</v>
      </c>
      <c r="N145" s="37">
        <v>1</v>
      </c>
      <c r="O145" s="38">
        <f t="shared" si="44"/>
        <v>20</v>
      </c>
      <c r="P145" s="38">
        <f t="shared" si="45"/>
        <v>0.31594022197246407</v>
      </c>
      <c r="Q145" s="38">
        <f t="shared" si="46"/>
        <v>6.3188044394492815</v>
      </c>
      <c r="R145" s="39">
        <f t="shared" si="47"/>
        <v>0.31594022197246407</v>
      </c>
      <c r="S145" s="115"/>
      <c r="T145" s="119">
        <f t="shared" si="54"/>
        <v>1</v>
      </c>
      <c r="U145" s="131">
        <v>0.16350000000000001</v>
      </c>
      <c r="V145" s="120">
        <f t="shared" si="55"/>
        <v>1.1635</v>
      </c>
      <c r="W145" s="121">
        <f t="shared" si="56"/>
        <v>0.15</v>
      </c>
      <c r="X145" s="121">
        <f t="shared" si="57"/>
        <v>1.35E-2</v>
      </c>
      <c r="Y145" s="122">
        <f t="shared" si="58"/>
        <v>0.16349999999999998</v>
      </c>
      <c r="Z145" s="121">
        <f t="shared" si="59"/>
        <v>1</v>
      </c>
      <c r="AA145" s="123">
        <f t="shared" si="60"/>
        <v>0.31594022197246407</v>
      </c>
      <c r="AB145" s="124">
        <f t="shared" si="61"/>
        <v>0</v>
      </c>
      <c r="AC145" s="125" t="s">
        <v>226</v>
      </c>
    </row>
    <row r="146" spans="1:29" ht="45" customHeight="1" x14ac:dyDescent="0.25">
      <c r="A146" s="30">
        <v>140</v>
      </c>
      <c r="B146" s="100" t="s">
        <v>111</v>
      </c>
      <c r="C146" s="31">
        <v>1</v>
      </c>
      <c r="D146" s="32" t="s">
        <v>141</v>
      </c>
      <c r="E146" s="31">
        <f t="shared" si="48"/>
        <v>20</v>
      </c>
      <c r="F146" s="96">
        <v>12.5</v>
      </c>
      <c r="G146" s="33">
        <f t="shared" si="49"/>
        <v>0.625</v>
      </c>
      <c r="H146" s="34">
        <f t="shared" si="50"/>
        <v>12.5</v>
      </c>
      <c r="I146" s="35"/>
      <c r="J146" s="38">
        <f t="shared" si="51"/>
        <v>0.625</v>
      </c>
      <c r="K146" s="38">
        <f t="shared" si="51"/>
        <v>12.5</v>
      </c>
      <c r="L146" s="38">
        <f t="shared" si="52"/>
        <v>0.68405977802753593</v>
      </c>
      <c r="M146" s="38">
        <f t="shared" si="53"/>
        <v>13.681195560550719</v>
      </c>
      <c r="N146" s="37">
        <v>1</v>
      </c>
      <c r="O146" s="38">
        <f t="shared" si="44"/>
        <v>20</v>
      </c>
      <c r="P146" s="38">
        <f t="shared" si="45"/>
        <v>0.31594022197246407</v>
      </c>
      <c r="Q146" s="38">
        <f t="shared" si="46"/>
        <v>6.3188044394492815</v>
      </c>
      <c r="R146" s="39">
        <f t="shared" si="47"/>
        <v>0.31594022197246407</v>
      </c>
      <c r="S146" s="115"/>
      <c r="T146" s="119">
        <f t="shared" si="54"/>
        <v>1</v>
      </c>
      <c r="U146" s="131">
        <v>0.16350000000000001</v>
      </c>
      <c r="V146" s="120">
        <f t="shared" si="55"/>
        <v>1.1635</v>
      </c>
      <c r="W146" s="121">
        <f t="shared" si="56"/>
        <v>0.15</v>
      </c>
      <c r="X146" s="121">
        <f t="shared" si="57"/>
        <v>1.35E-2</v>
      </c>
      <c r="Y146" s="122">
        <f t="shared" si="58"/>
        <v>0.16349999999999998</v>
      </c>
      <c r="Z146" s="121">
        <f t="shared" si="59"/>
        <v>1</v>
      </c>
      <c r="AA146" s="123">
        <f t="shared" si="60"/>
        <v>0.31594022197246407</v>
      </c>
      <c r="AB146" s="124">
        <f t="shared" si="61"/>
        <v>0</v>
      </c>
      <c r="AC146" s="125" t="s">
        <v>226</v>
      </c>
    </row>
    <row r="147" spans="1:29" ht="45" customHeight="1" x14ac:dyDescent="0.25">
      <c r="A147" s="30">
        <v>141</v>
      </c>
      <c r="B147" s="102" t="s">
        <v>113</v>
      </c>
      <c r="C147" s="31">
        <v>1</v>
      </c>
      <c r="D147" s="32" t="s">
        <v>24</v>
      </c>
      <c r="E147" s="31">
        <f t="shared" si="48"/>
        <v>24</v>
      </c>
      <c r="F147" s="96">
        <v>22</v>
      </c>
      <c r="G147" s="33">
        <f t="shared" si="49"/>
        <v>0.91666666666666663</v>
      </c>
      <c r="H147" s="34">
        <f t="shared" si="50"/>
        <v>22</v>
      </c>
      <c r="I147" s="35"/>
      <c r="J147" s="38">
        <f t="shared" si="51"/>
        <v>0.91666666666666663</v>
      </c>
      <c r="K147" s="38">
        <f t="shared" si="51"/>
        <v>22</v>
      </c>
      <c r="L147" s="38">
        <f t="shared" si="52"/>
        <v>1.003287674440386</v>
      </c>
      <c r="M147" s="38">
        <f t="shared" si="53"/>
        <v>24.078904186569265</v>
      </c>
      <c r="N147" s="37">
        <v>1.5</v>
      </c>
      <c r="O147" s="38">
        <f t="shared" si="44"/>
        <v>36</v>
      </c>
      <c r="P147" s="38">
        <f t="shared" si="45"/>
        <v>0.49671232555961398</v>
      </c>
      <c r="Q147" s="38">
        <f t="shared" si="46"/>
        <v>11.921095813430735</v>
      </c>
      <c r="R147" s="39">
        <f t="shared" si="47"/>
        <v>0.33114155037307597</v>
      </c>
      <c r="S147" s="115"/>
      <c r="T147" s="119">
        <f t="shared" si="54"/>
        <v>1.5</v>
      </c>
      <c r="U147" s="131">
        <v>0.16350000000000001</v>
      </c>
      <c r="V147" s="120">
        <f t="shared" si="55"/>
        <v>1.74525</v>
      </c>
      <c r="W147" s="121">
        <f t="shared" si="56"/>
        <v>0.22499999999999998</v>
      </c>
      <c r="X147" s="121">
        <f t="shared" si="57"/>
        <v>2.0249999999999997E-2</v>
      </c>
      <c r="Y147" s="122">
        <f t="shared" si="58"/>
        <v>0.24524999999999997</v>
      </c>
      <c r="Z147" s="121">
        <f t="shared" si="59"/>
        <v>1.5</v>
      </c>
      <c r="AA147" s="123">
        <f t="shared" si="60"/>
        <v>0.33114155037307597</v>
      </c>
      <c r="AB147" s="124">
        <f t="shared" si="61"/>
        <v>0</v>
      </c>
      <c r="AC147" s="125" t="s">
        <v>226</v>
      </c>
    </row>
    <row r="148" spans="1:29" ht="45" customHeight="1" x14ac:dyDescent="0.25">
      <c r="A148" s="30">
        <v>142</v>
      </c>
      <c r="B148" s="102" t="s">
        <v>151</v>
      </c>
      <c r="C148" s="31">
        <v>1</v>
      </c>
      <c r="D148" s="32" t="s">
        <v>24</v>
      </c>
      <c r="E148" s="31">
        <f t="shared" si="48"/>
        <v>24</v>
      </c>
      <c r="F148" s="96">
        <v>22</v>
      </c>
      <c r="G148" s="33">
        <f t="shared" si="49"/>
        <v>0.91666666666666663</v>
      </c>
      <c r="H148" s="34">
        <f t="shared" si="50"/>
        <v>22</v>
      </c>
      <c r="I148" s="35"/>
      <c r="J148" s="38">
        <f t="shared" si="51"/>
        <v>0.91666666666666663</v>
      </c>
      <c r="K148" s="38">
        <f t="shared" si="51"/>
        <v>22</v>
      </c>
      <c r="L148" s="38">
        <f t="shared" si="52"/>
        <v>1.003287674440386</v>
      </c>
      <c r="M148" s="38">
        <f t="shared" si="53"/>
        <v>24.078904186569265</v>
      </c>
      <c r="N148" s="37">
        <v>1.5</v>
      </c>
      <c r="O148" s="38">
        <f t="shared" si="44"/>
        <v>36</v>
      </c>
      <c r="P148" s="38">
        <f t="shared" si="45"/>
        <v>0.49671232555961398</v>
      </c>
      <c r="Q148" s="38">
        <f t="shared" si="46"/>
        <v>11.921095813430735</v>
      </c>
      <c r="R148" s="39">
        <f t="shared" si="47"/>
        <v>0.33114155037307597</v>
      </c>
      <c r="S148" s="115"/>
      <c r="T148" s="119">
        <f t="shared" si="54"/>
        <v>1.5</v>
      </c>
      <c r="U148" s="131">
        <v>0.16350000000000001</v>
      </c>
      <c r="V148" s="120">
        <f t="shared" si="55"/>
        <v>1.74525</v>
      </c>
      <c r="W148" s="121">
        <f t="shared" si="56"/>
        <v>0.22499999999999998</v>
      </c>
      <c r="X148" s="121">
        <f t="shared" si="57"/>
        <v>2.0249999999999997E-2</v>
      </c>
      <c r="Y148" s="122">
        <f t="shared" si="58"/>
        <v>0.24524999999999997</v>
      </c>
      <c r="Z148" s="121">
        <f t="shared" si="59"/>
        <v>1.5</v>
      </c>
      <c r="AA148" s="123">
        <f t="shared" si="60"/>
        <v>0.33114155037307597</v>
      </c>
      <c r="AB148" s="124">
        <f t="shared" si="61"/>
        <v>0</v>
      </c>
      <c r="AC148" s="125" t="s">
        <v>226</v>
      </c>
    </row>
    <row r="149" spans="1:29" ht="45" customHeight="1" x14ac:dyDescent="0.25">
      <c r="A149" s="30">
        <v>143</v>
      </c>
      <c r="B149" s="102" t="s">
        <v>114</v>
      </c>
      <c r="C149" s="31">
        <v>1</v>
      </c>
      <c r="D149" s="32" t="s">
        <v>24</v>
      </c>
      <c r="E149" s="31">
        <f t="shared" si="48"/>
        <v>24</v>
      </c>
      <c r="F149" s="96">
        <v>22</v>
      </c>
      <c r="G149" s="33">
        <f t="shared" si="49"/>
        <v>0.91666666666666663</v>
      </c>
      <c r="H149" s="34">
        <f t="shared" si="50"/>
        <v>22</v>
      </c>
      <c r="I149" s="35"/>
      <c r="J149" s="38">
        <f t="shared" si="51"/>
        <v>0.91666666666666663</v>
      </c>
      <c r="K149" s="38">
        <f t="shared" si="51"/>
        <v>22</v>
      </c>
      <c r="L149" s="38">
        <f t="shared" si="52"/>
        <v>1.003287674440386</v>
      </c>
      <c r="M149" s="38">
        <f t="shared" si="53"/>
        <v>24.078904186569265</v>
      </c>
      <c r="N149" s="37">
        <v>1.5</v>
      </c>
      <c r="O149" s="38">
        <f t="shared" si="44"/>
        <v>36</v>
      </c>
      <c r="P149" s="38">
        <f t="shared" si="45"/>
        <v>0.49671232555961398</v>
      </c>
      <c r="Q149" s="38">
        <f t="shared" si="46"/>
        <v>11.921095813430735</v>
      </c>
      <c r="R149" s="39">
        <f t="shared" si="47"/>
        <v>0.33114155037307597</v>
      </c>
      <c r="S149" s="115"/>
      <c r="T149" s="119">
        <f t="shared" si="54"/>
        <v>1.5</v>
      </c>
      <c r="U149" s="131">
        <v>0.16350000000000001</v>
      </c>
      <c r="V149" s="120">
        <f t="shared" si="55"/>
        <v>1.74525</v>
      </c>
      <c r="W149" s="121">
        <f t="shared" si="56"/>
        <v>0.22499999999999998</v>
      </c>
      <c r="X149" s="121">
        <f t="shared" si="57"/>
        <v>2.0249999999999997E-2</v>
      </c>
      <c r="Y149" s="122">
        <f t="shared" si="58"/>
        <v>0.24524999999999997</v>
      </c>
      <c r="Z149" s="121">
        <f t="shared" si="59"/>
        <v>1.5</v>
      </c>
      <c r="AA149" s="123">
        <f t="shared" si="60"/>
        <v>0.33114155037307597</v>
      </c>
      <c r="AB149" s="124">
        <f t="shared" si="61"/>
        <v>0</v>
      </c>
      <c r="AC149" s="125" t="s">
        <v>226</v>
      </c>
    </row>
    <row r="150" spans="1:29" ht="45" customHeight="1" x14ac:dyDescent="0.25">
      <c r="A150" s="30">
        <v>144</v>
      </c>
      <c r="B150" s="103" t="s">
        <v>115</v>
      </c>
      <c r="C150" s="31">
        <v>1</v>
      </c>
      <c r="D150" s="32" t="s">
        <v>136</v>
      </c>
      <c r="E150" s="31">
        <f t="shared" si="48"/>
        <v>10</v>
      </c>
      <c r="F150" s="96">
        <v>8.5</v>
      </c>
      <c r="G150" s="33">
        <f t="shared" si="49"/>
        <v>0.85</v>
      </c>
      <c r="H150" s="34">
        <f t="shared" si="50"/>
        <v>8.5</v>
      </c>
      <c r="I150" s="35"/>
      <c r="J150" s="38">
        <f t="shared" si="51"/>
        <v>0.85</v>
      </c>
      <c r="K150" s="38">
        <f t="shared" si="51"/>
        <v>8.5</v>
      </c>
      <c r="L150" s="38">
        <f t="shared" si="52"/>
        <v>0.93032129811744879</v>
      </c>
      <c r="M150" s="38">
        <f t="shared" si="53"/>
        <v>9.3032129811744877</v>
      </c>
      <c r="N150" s="37">
        <v>1.5</v>
      </c>
      <c r="O150" s="38">
        <f t="shared" si="44"/>
        <v>15</v>
      </c>
      <c r="P150" s="38">
        <f t="shared" si="45"/>
        <v>0.56967870188255121</v>
      </c>
      <c r="Q150" s="38">
        <f t="shared" si="46"/>
        <v>5.6967870188255123</v>
      </c>
      <c r="R150" s="39">
        <f t="shared" si="47"/>
        <v>0.37978580125503414</v>
      </c>
      <c r="S150" s="116"/>
      <c r="T150" s="119">
        <f t="shared" si="54"/>
        <v>1.5</v>
      </c>
      <c r="U150" s="131">
        <v>0.16350000000000001</v>
      </c>
      <c r="V150" s="120">
        <f t="shared" si="55"/>
        <v>1.74525</v>
      </c>
      <c r="W150" s="121">
        <f t="shared" si="56"/>
        <v>0.22499999999999998</v>
      </c>
      <c r="X150" s="121">
        <f t="shared" si="57"/>
        <v>2.0249999999999997E-2</v>
      </c>
      <c r="Y150" s="122">
        <f t="shared" si="58"/>
        <v>0.24524999999999997</v>
      </c>
      <c r="Z150" s="121">
        <f t="shared" si="59"/>
        <v>1.5</v>
      </c>
      <c r="AA150" s="123">
        <f t="shared" si="60"/>
        <v>0.37978580125503414</v>
      </c>
      <c r="AB150" s="124">
        <f t="shared" si="61"/>
        <v>0</v>
      </c>
      <c r="AC150" s="125">
        <v>1.5</v>
      </c>
    </row>
    <row r="151" spans="1:29" ht="45" customHeight="1" x14ac:dyDescent="0.25">
      <c r="A151" s="30">
        <v>145</v>
      </c>
      <c r="B151" s="100" t="s">
        <v>116</v>
      </c>
      <c r="C151" s="31">
        <v>1</v>
      </c>
      <c r="D151" s="32" t="s">
        <v>136</v>
      </c>
      <c r="E151" s="31">
        <f t="shared" si="48"/>
        <v>10</v>
      </c>
      <c r="F151" s="96">
        <v>8.5</v>
      </c>
      <c r="G151" s="33">
        <f t="shared" si="49"/>
        <v>0.85</v>
      </c>
      <c r="H151" s="34">
        <f t="shared" si="50"/>
        <v>8.5</v>
      </c>
      <c r="I151" s="35"/>
      <c r="J151" s="38">
        <f t="shared" si="51"/>
        <v>0.85</v>
      </c>
      <c r="K151" s="38">
        <f t="shared" si="51"/>
        <v>8.5</v>
      </c>
      <c r="L151" s="38">
        <f t="shared" si="52"/>
        <v>0.93032129811744879</v>
      </c>
      <c r="M151" s="38">
        <f t="shared" si="53"/>
        <v>9.3032129811744877</v>
      </c>
      <c r="N151" s="37">
        <v>1.5</v>
      </c>
      <c r="O151" s="38">
        <f t="shared" si="44"/>
        <v>15</v>
      </c>
      <c r="P151" s="38">
        <f t="shared" si="45"/>
        <v>0.56967870188255121</v>
      </c>
      <c r="Q151" s="38">
        <f t="shared" si="46"/>
        <v>5.6967870188255123</v>
      </c>
      <c r="R151" s="39">
        <f t="shared" si="47"/>
        <v>0.37978580125503414</v>
      </c>
      <c r="S151" s="113"/>
      <c r="T151" s="119">
        <f t="shared" si="54"/>
        <v>1.5</v>
      </c>
      <c r="U151" s="131">
        <v>0.16350000000000001</v>
      </c>
      <c r="V151" s="120">
        <f t="shared" si="55"/>
        <v>1.74525</v>
      </c>
      <c r="W151" s="121">
        <f t="shared" si="56"/>
        <v>0.22499999999999998</v>
      </c>
      <c r="X151" s="121">
        <f t="shared" si="57"/>
        <v>2.0249999999999997E-2</v>
      </c>
      <c r="Y151" s="122">
        <f t="shared" si="58"/>
        <v>0.24524999999999997</v>
      </c>
      <c r="Z151" s="121">
        <f t="shared" si="59"/>
        <v>1.5</v>
      </c>
      <c r="AA151" s="123">
        <f t="shared" si="60"/>
        <v>0.37978580125503414</v>
      </c>
      <c r="AB151" s="124">
        <f t="shared" si="61"/>
        <v>0</v>
      </c>
      <c r="AC151" s="125">
        <v>1.5</v>
      </c>
    </row>
    <row r="152" spans="1:29" ht="45" customHeight="1" x14ac:dyDescent="0.25">
      <c r="A152" s="30">
        <v>146</v>
      </c>
      <c r="B152" s="100" t="s">
        <v>189</v>
      </c>
      <c r="C152" s="31">
        <v>1</v>
      </c>
      <c r="D152" s="32" t="s">
        <v>165</v>
      </c>
      <c r="E152" s="31">
        <f t="shared" si="48"/>
        <v>72</v>
      </c>
      <c r="F152" s="98">
        <v>47.9</v>
      </c>
      <c r="G152" s="33">
        <f t="shared" si="49"/>
        <v>0.66527777777777775</v>
      </c>
      <c r="H152" s="34">
        <f t="shared" si="50"/>
        <v>47.9</v>
      </c>
      <c r="I152" s="35"/>
      <c r="J152" s="38">
        <f t="shared" si="51"/>
        <v>0.66527777777777775</v>
      </c>
      <c r="K152" s="38">
        <f t="shared" si="51"/>
        <v>47.9</v>
      </c>
      <c r="L152" s="38">
        <f t="shared" si="52"/>
        <v>0.7281436303893104</v>
      </c>
      <c r="M152" s="38">
        <f t="shared" si="53"/>
        <v>52.426341388030352</v>
      </c>
      <c r="N152" s="37"/>
      <c r="O152" s="38">
        <f t="shared" si="44"/>
        <v>0</v>
      </c>
      <c r="P152" s="38">
        <f t="shared" si="45"/>
        <v>-0.7281436303893104</v>
      </c>
      <c r="Q152" s="38">
        <f t="shared" si="46"/>
        <v>-52.426341388030352</v>
      </c>
      <c r="R152" s="39" t="e">
        <f t="shared" si="47"/>
        <v>#DIV/0!</v>
      </c>
      <c r="S152" s="113"/>
      <c r="T152" s="119">
        <f t="shared" si="54"/>
        <v>0</v>
      </c>
      <c r="U152" s="131">
        <v>0.16350000000000001</v>
      </c>
      <c r="V152" s="120">
        <f t="shared" si="55"/>
        <v>0</v>
      </c>
      <c r="W152" s="121">
        <f t="shared" si="56"/>
        <v>0</v>
      </c>
      <c r="X152" s="121">
        <f t="shared" si="57"/>
        <v>0</v>
      </c>
      <c r="Y152" s="122">
        <f t="shared" si="58"/>
        <v>0</v>
      </c>
      <c r="Z152" s="121">
        <f t="shared" si="59"/>
        <v>0</v>
      </c>
      <c r="AA152" s="123" t="e">
        <f t="shared" si="60"/>
        <v>#DIV/0!</v>
      </c>
      <c r="AB152" s="124" t="e">
        <f t="shared" si="61"/>
        <v>#DIV/0!</v>
      </c>
      <c r="AC152" s="125" t="s">
        <v>226</v>
      </c>
    </row>
    <row r="153" spans="1:29" ht="45" customHeight="1" x14ac:dyDescent="0.25">
      <c r="A153" s="30">
        <v>147</v>
      </c>
      <c r="B153" s="100" t="s">
        <v>210</v>
      </c>
      <c r="C153" s="31">
        <v>1</v>
      </c>
      <c r="D153" s="32" t="s">
        <v>165</v>
      </c>
      <c r="E153" s="31">
        <f t="shared" si="48"/>
        <v>72</v>
      </c>
      <c r="F153" s="96">
        <v>47.9</v>
      </c>
      <c r="G153" s="33">
        <f t="shared" si="49"/>
        <v>0.66527777777777775</v>
      </c>
      <c r="H153" s="34">
        <f t="shared" si="50"/>
        <v>47.9</v>
      </c>
      <c r="I153" s="35"/>
      <c r="J153" s="38">
        <f t="shared" si="51"/>
        <v>0.66527777777777775</v>
      </c>
      <c r="K153" s="38">
        <f t="shared" si="51"/>
        <v>47.9</v>
      </c>
      <c r="L153" s="38">
        <f t="shared" si="52"/>
        <v>0.7281436303893104</v>
      </c>
      <c r="M153" s="38">
        <f t="shared" si="53"/>
        <v>52.426341388030352</v>
      </c>
      <c r="N153" s="37"/>
      <c r="O153" s="38">
        <f t="shared" si="44"/>
        <v>0</v>
      </c>
      <c r="P153" s="38">
        <f t="shared" si="45"/>
        <v>-0.7281436303893104</v>
      </c>
      <c r="Q153" s="38">
        <f t="shared" si="46"/>
        <v>-52.426341388030352</v>
      </c>
      <c r="R153" s="39" t="e">
        <f t="shared" si="47"/>
        <v>#DIV/0!</v>
      </c>
      <c r="S153" s="114"/>
      <c r="T153" s="119">
        <f t="shared" si="54"/>
        <v>0</v>
      </c>
      <c r="U153" s="131">
        <v>0.16350000000000001</v>
      </c>
      <c r="V153" s="120">
        <f t="shared" si="55"/>
        <v>0</v>
      </c>
      <c r="W153" s="121">
        <f t="shared" si="56"/>
        <v>0</v>
      </c>
      <c r="X153" s="121">
        <f t="shared" si="57"/>
        <v>0</v>
      </c>
      <c r="Y153" s="122">
        <f t="shared" si="58"/>
        <v>0</v>
      </c>
      <c r="Z153" s="121">
        <f t="shared" si="59"/>
        <v>0</v>
      </c>
      <c r="AA153" s="123" t="e">
        <f t="shared" si="60"/>
        <v>#DIV/0!</v>
      </c>
      <c r="AB153" s="124" t="e">
        <f t="shared" si="61"/>
        <v>#DIV/0!</v>
      </c>
      <c r="AC153" s="125" t="s">
        <v>226</v>
      </c>
    </row>
    <row r="154" spans="1:29" ht="45" customHeight="1" x14ac:dyDescent="0.25">
      <c r="A154" s="30">
        <v>148</v>
      </c>
      <c r="B154" s="100" t="s">
        <v>117</v>
      </c>
      <c r="C154" s="31">
        <v>1</v>
      </c>
      <c r="D154" s="32" t="s">
        <v>165</v>
      </c>
      <c r="E154" s="31">
        <f t="shared" si="48"/>
        <v>72</v>
      </c>
      <c r="F154" s="96">
        <v>47.9</v>
      </c>
      <c r="G154" s="33">
        <f t="shared" si="49"/>
        <v>0.66527777777777775</v>
      </c>
      <c r="H154" s="34">
        <f t="shared" si="50"/>
        <v>47.9</v>
      </c>
      <c r="I154" s="35"/>
      <c r="J154" s="38">
        <f t="shared" si="51"/>
        <v>0.66527777777777775</v>
      </c>
      <c r="K154" s="38">
        <f t="shared" si="51"/>
        <v>47.9</v>
      </c>
      <c r="L154" s="38">
        <f t="shared" si="52"/>
        <v>0.7281436303893104</v>
      </c>
      <c r="M154" s="38">
        <f t="shared" si="53"/>
        <v>52.426341388030352</v>
      </c>
      <c r="N154" s="37"/>
      <c r="O154" s="38">
        <f t="shared" si="44"/>
        <v>0</v>
      </c>
      <c r="P154" s="38">
        <f t="shared" si="45"/>
        <v>-0.7281436303893104</v>
      </c>
      <c r="Q154" s="38">
        <f t="shared" si="46"/>
        <v>-52.426341388030352</v>
      </c>
      <c r="R154" s="39" t="e">
        <f t="shared" si="47"/>
        <v>#DIV/0!</v>
      </c>
      <c r="S154" s="114"/>
      <c r="T154" s="119">
        <f t="shared" si="54"/>
        <v>0</v>
      </c>
      <c r="U154" s="131">
        <v>0.16350000000000001</v>
      </c>
      <c r="V154" s="120">
        <f t="shared" si="55"/>
        <v>0</v>
      </c>
      <c r="W154" s="121">
        <f t="shared" si="56"/>
        <v>0</v>
      </c>
      <c r="X154" s="121">
        <f t="shared" si="57"/>
        <v>0</v>
      </c>
      <c r="Y154" s="122">
        <f t="shared" si="58"/>
        <v>0</v>
      </c>
      <c r="Z154" s="121">
        <f t="shared" si="59"/>
        <v>0</v>
      </c>
      <c r="AA154" s="123" t="e">
        <f t="shared" si="60"/>
        <v>#DIV/0!</v>
      </c>
      <c r="AB154" s="124" t="e">
        <f t="shared" si="61"/>
        <v>#DIV/0!</v>
      </c>
      <c r="AC154" s="125" t="s">
        <v>226</v>
      </c>
    </row>
    <row r="155" spans="1:29" ht="45" customHeight="1" x14ac:dyDescent="0.25">
      <c r="A155" s="30">
        <v>149</v>
      </c>
      <c r="B155" s="106" t="s">
        <v>118</v>
      </c>
      <c r="C155" s="31">
        <v>1</v>
      </c>
      <c r="D155" s="32" t="s">
        <v>165</v>
      </c>
      <c r="E155" s="31">
        <f t="shared" si="48"/>
        <v>72</v>
      </c>
      <c r="F155" s="96">
        <v>47.9</v>
      </c>
      <c r="G155" s="33">
        <f t="shared" si="49"/>
        <v>0.66527777777777775</v>
      </c>
      <c r="H155" s="34">
        <f t="shared" si="50"/>
        <v>47.9</v>
      </c>
      <c r="I155" s="35"/>
      <c r="J155" s="38">
        <f t="shared" si="51"/>
        <v>0.66527777777777775</v>
      </c>
      <c r="K155" s="38">
        <f t="shared" si="51"/>
        <v>47.9</v>
      </c>
      <c r="L155" s="38">
        <f t="shared" si="52"/>
        <v>0.7281436303893104</v>
      </c>
      <c r="M155" s="38">
        <f t="shared" si="53"/>
        <v>52.426341388030352</v>
      </c>
      <c r="N155" s="37"/>
      <c r="O155" s="38">
        <f t="shared" si="44"/>
        <v>0</v>
      </c>
      <c r="P155" s="38">
        <f t="shared" si="45"/>
        <v>-0.7281436303893104</v>
      </c>
      <c r="Q155" s="38">
        <f t="shared" si="46"/>
        <v>-52.426341388030352</v>
      </c>
      <c r="R155" s="39" t="e">
        <f t="shared" si="47"/>
        <v>#DIV/0!</v>
      </c>
      <c r="S155" s="113"/>
      <c r="T155" s="119">
        <f t="shared" si="54"/>
        <v>0</v>
      </c>
      <c r="U155" s="131">
        <v>0.16350000000000001</v>
      </c>
      <c r="V155" s="120">
        <f t="shared" si="55"/>
        <v>0</v>
      </c>
      <c r="W155" s="121">
        <f t="shared" si="56"/>
        <v>0</v>
      </c>
      <c r="X155" s="121">
        <f t="shared" si="57"/>
        <v>0</v>
      </c>
      <c r="Y155" s="122">
        <f t="shared" si="58"/>
        <v>0</v>
      </c>
      <c r="Z155" s="121">
        <f t="shared" si="59"/>
        <v>0</v>
      </c>
      <c r="AA155" s="123" t="e">
        <f t="shared" si="60"/>
        <v>#DIV/0!</v>
      </c>
      <c r="AB155" s="124" t="e">
        <f t="shared" si="61"/>
        <v>#DIV/0!</v>
      </c>
      <c r="AC155" s="125" t="s">
        <v>226</v>
      </c>
    </row>
    <row r="156" spans="1:29" ht="45" customHeight="1" x14ac:dyDescent="0.25">
      <c r="A156" s="30">
        <v>150</v>
      </c>
      <c r="B156" s="106" t="s">
        <v>119</v>
      </c>
      <c r="C156" s="31">
        <v>1</v>
      </c>
      <c r="D156" s="32" t="s">
        <v>75</v>
      </c>
      <c r="E156" s="31">
        <f t="shared" si="48"/>
        <v>48</v>
      </c>
      <c r="F156" s="96">
        <v>33.5</v>
      </c>
      <c r="G156" s="33">
        <f t="shared" si="49"/>
        <v>0.69791666666666663</v>
      </c>
      <c r="H156" s="34">
        <f t="shared" si="50"/>
        <v>33.5</v>
      </c>
      <c r="I156" s="35"/>
      <c r="J156" s="38">
        <f t="shared" si="51"/>
        <v>0.69791666666666663</v>
      </c>
      <c r="K156" s="38">
        <f t="shared" si="51"/>
        <v>33.5</v>
      </c>
      <c r="L156" s="38">
        <f t="shared" si="52"/>
        <v>0.76386675213074839</v>
      </c>
      <c r="M156" s="38">
        <f t="shared" si="53"/>
        <v>36.665604102275921</v>
      </c>
      <c r="N156" s="37">
        <v>1.25</v>
      </c>
      <c r="O156" s="38">
        <f t="shared" si="44"/>
        <v>60</v>
      </c>
      <c r="P156" s="38">
        <f t="shared" si="45"/>
        <v>0.48613324786925161</v>
      </c>
      <c r="Q156" s="38">
        <f t="shared" si="46"/>
        <v>23.334395897724079</v>
      </c>
      <c r="R156" s="39">
        <f t="shared" si="47"/>
        <v>0.38890659829540131</v>
      </c>
      <c r="S156" s="114"/>
      <c r="T156" s="119">
        <f t="shared" si="54"/>
        <v>1.25</v>
      </c>
      <c r="U156" s="131">
        <v>0.16350000000000001</v>
      </c>
      <c r="V156" s="120">
        <f t="shared" si="55"/>
        <v>1.454375</v>
      </c>
      <c r="W156" s="121">
        <f t="shared" si="56"/>
        <v>0.18749999999999997</v>
      </c>
      <c r="X156" s="121">
        <f t="shared" si="57"/>
        <v>1.6874999999999998E-2</v>
      </c>
      <c r="Y156" s="122">
        <f t="shared" si="58"/>
        <v>0.20437499999999997</v>
      </c>
      <c r="Z156" s="121">
        <f t="shared" si="59"/>
        <v>1.25</v>
      </c>
      <c r="AA156" s="123">
        <f t="shared" si="60"/>
        <v>0.38890659829540131</v>
      </c>
      <c r="AB156" s="124">
        <f t="shared" si="61"/>
        <v>0</v>
      </c>
      <c r="AC156" s="125">
        <v>1.05</v>
      </c>
    </row>
    <row r="157" spans="1:29" ht="45" customHeight="1" x14ac:dyDescent="0.25">
      <c r="A157" s="30">
        <v>151</v>
      </c>
      <c r="B157" s="100" t="s">
        <v>120</v>
      </c>
      <c r="C157" s="31">
        <v>1</v>
      </c>
      <c r="D157" s="32" t="s">
        <v>144</v>
      </c>
      <c r="E157" s="31">
        <f t="shared" si="48"/>
        <v>30</v>
      </c>
      <c r="F157" s="96">
        <v>20.8</v>
      </c>
      <c r="G157" s="33">
        <f t="shared" si="49"/>
        <v>0.69333333333333336</v>
      </c>
      <c r="H157" s="34">
        <f t="shared" si="50"/>
        <v>20.8</v>
      </c>
      <c r="I157" s="35"/>
      <c r="J157" s="38">
        <f t="shared" si="51"/>
        <v>0.69333333333333336</v>
      </c>
      <c r="K157" s="38">
        <f t="shared" si="51"/>
        <v>20.8</v>
      </c>
      <c r="L157" s="38">
        <f t="shared" si="52"/>
        <v>0.7588503137585465</v>
      </c>
      <c r="M157" s="38">
        <f t="shared" si="53"/>
        <v>22.765509412756394</v>
      </c>
      <c r="N157" s="37">
        <v>1</v>
      </c>
      <c r="O157" s="38">
        <f t="shared" si="44"/>
        <v>30</v>
      </c>
      <c r="P157" s="38">
        <f t="shared" si="45"/>
        <v>0.2411496862414535</v>
      </c>
      <c r="Q157" s="38">
        <f t="shared" si="46"/>
        <v>7.2344905872436049</v>
      </c>
      <c r="R157" s="39">
        <f t="shared" si="47"/>
        <v>0.2411496862414535</v>
      </c>
      <c r="S157" s="115"/>
      <c r="T157" s="119">
        <f t="shared" si="54"/>
        <v>1</v>
      </c>
      <c r="U157" s="131">
        <v>0.16350000000000001</v>
      </c>
      <c r="V157" s="120">
        <f t="shared" si="55"/>
        <v>1.1635</v>
      </c>
      <c r="W157" s="121">
        <f t="shared" si="56"/>
        <v>0.15</v>
      </c>
      <c r="X157" s="121">
        <f t="shared" si="57"/>
        <v>1.35E-2</v>
      </c>
      <c r="Y157" s="122">
        <f t="shared" si="58"/>
        <v>0.16349999999999998</v>
      </c>
      <c r="Z157" s="121">
        <f t="shared" si="59"/>
        <v>1</v>
      </c>
      <c r="AA157" s="123">
        <f t="shared" si="60"/>
        <v>0.2411496862414535</v>
      </c>
      <c r="AB157" s="124">
        <f t="shared" si="61"/>
        <v>0</v>
      </c>
      <c r="AC157" s="125" t="s">
        <v>226</v>
      </c>
    </row>
    <row r="158" spans="1:29" ht="45" customHeight="1" x14ac:dyDescent="0.25">
      <c r="A158" s="30">
        <v>152</v>
      </c>
      <c r="B158" s="101" t="s">
        <v>121</v>
      </c>
      <c r="C158" s="31">
        <v>1</v>
      </c>
      <c r="D158" s="32" t="s">
        <v>73</v>
      </c>
      <c r="E158" s="31">
        <f t="shared" si="48"/>
        <v>12</v>
      </c>
      <c r="F158" s="96">
        <v>8.4</v>
      </c>
      <c r="G158" s="33">
        <f t="shared" si="49"/>
        <v>0.70000000000000007</v>
      </c>
      <c r="H158" s="34">
        <f t="shared" si="50"/>
        <v>8.4</v>
      </c>
      <c r="I158" s="35"/>
      <c r="J158" s="38">
        <f t="shared" si="51"/>
        <v>0.70000000000000007</v>
      </c>
      <c r="K158" s="38">
        <f t="shared" si="51"/>
        <v>8.4</v>
      </c>
      <c r="L158" s="38">
        <f t="shared" si="52"/>
        <v>0.76614695139084033</v>
      </c>
      <c r="M158" s="38">
        <f t="shared" si="53"/>
        <v>9.1937634166900839</v>
      </c>
      <c r="N158" s="37">
        <v>1</v>
      </c>
      <c r="O158" s="38">
        <f t="shared" si="44"/>
        <v>12</v>
      </c>
      <c r="P158" s="38">
        <f t="shared" si="45"/>
        <v>0.23385304860915967</v>
      </c>
      <c r="Q158" s="38">
        <f t="shared" si="46"/>
        <v>2.8062365833099161</v>
      </c>
      <c r="R158" s="39">
        <f t="shared" si="47"/>
        <v>0.23385304860915967</v>
      </c>
      <c r="S158" s="115"/>
      <c r="T158" s="119">
        <f t="shared" si="54"/>
        <v>1</v>
      </c>
      <c r="U158" s="131">
        <v>0.16350000000000001</v>
      </c>
      <c r="V158" s="120">
        <f t="shared" si="55"/>
        <v>1.1635</v>
      </c>
      <c r="W158" s="121">
        <f t="shared" si="56"/>
        <v>0.15</v>
      </c>
      <c r="X158" s="121">
        <f t="shared" si="57"/>
        <v>1.35E-2</v>
      </c>
      <c r="Y158" s="122">
        <f t="shared" si="58"/>
        <v>0.16349999999999998</v>
      </c>
      <c r="Z158" s="121">
        <f t="shared" si="59"/>
        <v>1</v>
      </c>
      <c r="AA158" s="123">
        <f t="shared" si="60"/>
        <v>0.23385304860915967</v>
      </c>
      <c r="AB158" s="124">
        <f t="shared" si="61"/>
        <v>0</v>
      </c>
      <c r="AC158" s="125" t="s">
        <v>226</v>
      </c>
    </row>
    <row r="159" spans="1:29" ht="45" customHeight="1" x14ac:dyDescent="0.25">
      <c r="A159" s="30">
        <v>153</v>
      </c>
      <c r="B159" s="101" t="s">
        <v>122</v>
      </c>
      <c r="C159" s="31">
        <v>1</v>
      </c>
      <c r="D159" s="32" t="s">
        <v>73</v>
      </c>
      <c r="E159" s="31">
        <f t="shared" si="48"/>
        <v>12</v>
      </c>
      <c r="F159" s="96">
        <v>8.4</v>
      </c>
      <c r="G159" s="33">
        <f t="shared" si="49"/>
        <v>0.70000000000000007</v>
      </c>
      <c r="H159" s="34">
        <f t="shared" si="50"/>
        <v>8.4</v>
      </c>
      <c r="I159" s="35"/>
      <c r="J159" s="38">
        <f t="shared" si="51"/>
        <v>0.70000000000000007</v>
      </c>
      <c r="K159" s="38">
        <f t="shared" si="51"/>
        <v>8.4</v>
      </c>
      <c r="L159" s="38">
        <f t="shared" si="52"/>
        <v>0.76614695139084033</v>
      </c>
      <c r="M159" s="38">
        <f t="shared" si="53"/>
        <v>9.1937634166900839</v>
      </c>
      <c r="N159" s="37">
        <v>1</v>
      </c>
      <c r="O159" s="38">
        <f t="shared" si="44"/>
        <v>12</v>
      </c>
      <c r="P159" s="38">
        <f t="shared" si="45"/>
        <v>0.23385304860915967</v>
      </c>
      <c r="Q159" s="38">
        <f t="shared" si="46"/>
        <v>2.8062365833099161</v>
      </c>
      <c r="R159" s="39">
        <f t="shared" si="47"/>
        <v>0.23385304860915967</v>
      </c>
      <c r="S159" s="115"/>
      <c r="T159" s="119">
        <f t="shared" si="54"/>
        <v>1</v>
      </c>
      <c r="U159" s="131">
        <v>0.16350000000000001</v>
      </c>
      <c r="V159" s="120">
        <f t="shared" si="55"/>
        <v>1.1635</v>
      </c>
      <c r="W159" s="121">
        <f t="shared" si="56"/>
        <v>0.15</v>
      </c>
      <c r="X159" s="121">
        <f t="shared" si="57"/>
        <v>1.35E-2</v>
      </c>
      <c r="Y159" s="122">
        <f t="shared" si="58"/>
        <v>0.16349999999999998</v>
      </c>
      <c r="Z159" s="121">
        <f t="shared" si="59"/>
        <v>1</v>
      </c>
      <c r="AA159" s="123">
        <f t="shared" si="60"/>
        <v>0.23385304860915967</v>
      </c>
      <c r="AB159" s="124">
        <f t="shared" si="61"/>
        <v>0</v>
      </c>
      <c r="AC159" s="125" t="s">
        <v>226</v>
      </c>
    </row>
    <row r="160" spans="1:29" ht="45" customHeight="1" x14ac:dyDescent="0.25">
      <c r="A160" s="30">
        <v>154</v>
      </c>
      <c r="B160" s="104" t="s">
        <v>123</v>
      </c>
      <c r="C160" s="31">
        <v>1</v>
      </c>
      <c r="D160" s="32" t="s">
        <v>73</v>
      </c>
      <c r="E160" s="31">
        <f t="shared" si="48"/>
        <v>12</v>
      </c>
      <c r="F160" s="96">
        <v>8.4</v>
      </c>
      <c r="G160" s="33">
        <f t="shared" si="49"/>
        <v>0.70000000000000007</v>
      </c>
      <c r="H160" s="34">
        <f t="shared" si="50"/>
        <v>8.4</v>
      </c>
      <c r="I160" s="35"/>
      <c r="J160" s="38">
        <f t="shared" si="51"/>
        <v>0.70000000000000007</v>
      </c>
      <c r="K160" s="38">
        <f t="shared" si="51"/>
        <v>8.4</v>
      </c>
      <c r="L160" s="38">
        <f t="shared" si="52"/>
        <v>0.76614695139084033</v>
      </c>
      <c r="M160" s="38">
        <f t="shared" si="53"/>
        <v>9.1937634166900839</v>
      </c>
      <c r="N160" s="37">
        <v>1</v>
      </c>
      <c r="O160" s="38">
        <f t="shared" si="44"/>
        <v>12</v>
      </c>
      <c r="P160" s="38">
        <f t="shared" si="45"/>
        <v>0.23385304860915967</v>
      </c>
      <c r="Q160" s="38">
        <f t="shared" si="46"/>
        <v>2.8062365833099161</v>
      </c>
      <c r="R160" s="39">
        <f t="shared" si="47"/>
        <v>0.23385304860915967</v>
      </c>
      <c r="S160" s="116"/>
      <c r="T160" s="119">
        <f t="shared" si="54"/>
        <v>1</v>
      </c>
      <c r="U160" s="131">
        <v>0.16350000000000001</v>
      </c>
      <c r="V160" s="120">
        <f t="shared" si="55"/>
        <v>1.1635</v>
      </c>
      <c r="W160" s="121">
        <f t="shared" si="56"/>
        <v>0.15</v>
      </c>
      <c r="X160" s="121">
        <f t="shared" si="57"/>
        <v>1.35E-2</v>
      </c>
      <c r="Y160" s="122">
        <f t="shared" si="58"/>
        <v>0.16349999999999998</v>
      </c>
      <c r="Z160" s="121">
        <f t="shared" si="59"/>
        <v>1</v>
      </c>
      <c r="AA160" s="123">
        <f t="shared" si="60"/>
        <v>0.23385304860915967</v>
      </c>
      <c r="AB160" s="124">
        <f t="shared" si="61"/>
        <v>0</v>
      </c>
      <c r="AC160" s="125" t="s">
        <v>226</v>
      </c>
    </row>
    <row r="161" spans="1:29" ht="45" customHeight="1" x14ac:dyDescent="0.25">
      <c r="A161" s="30">
        <v>155</v>
      </c>
      <c r="B161" s="106" t="s">
        <v>124</v>
      </c>
      <c r="C161" s="31">
        <v>1</v>
      </c>
      <c r="D161" s="32" t="s">
        <v>73</v>
      </c>
      <c r="E161" s="31">
        <f t="shared" si="48"/>
        <v>12</v>
      </c>
      <c r="F161" s="96">
        <v>8.4</v>
      </c>
      <c r="G161" s="33">
        <f t="shared" si="49"/>
        <v>0.70000000000000007</v>
      </c>
      <c r="H161" s="34">
        <f t="shared" si="50"/>
        <v>8.4</v>
      </c>
      <c r="I161" s="35"/>
      <c r="J161" s="38">
        <f t="shared" si="51"/>
        <v>0.70000000000000007</v>
      </c>
      <c r="K161" s="38">
        <f t="shared" si="51"/>
        <v>8.4</v>
      </c>
      <c r="L161" s="38">
        <f t="shared" si="52"/>
        <v>0.76614695139084033</v>
      </c>
      <c r="M161" s="38">
        <f t="shared" si="53"/>
        <v>9.1937634166900839</v>
      </c>
      <c r="N161" s="37">
        <v>1</v>
      </c>
      <c r="O161" s="38">
        <f t="shared" si="44"/>
        <v>12</v>
      </c>
      <c r="P161" s="38">
        <f t="shared" si="45"/>
        <v>0.23385304860915967</v>
      </c>
      <c r="Q161" s="38">
        <f t="shared" si="46"/>
        <v>2.8062365833099161</v>
      </c>
      <c r="R161" s="39">
        <f t="shared" si="47"/>
        <v>0.23385304860915967</v>
      </c>
      <c r="S161" s="113"/>
      <c r="T161" s="119">
        <f t="shared" si="54"/>
        <v>1</v>
      </c>
      <c r="U161" s="131">
        <v>0.16350000000000001</v>
      </c>
      <c r="V161" s="120">
        <f t="shared" si="55"/>
        <v>1.1635</v>
      </c>
      <c r="W161" s="121">
        <f t="shared" si="56"/>
        <v>0.15</v>
      </c>
      <c r="X161" s="121">
        <f t="shared" si="57"/>
        <v>1.35E-2</v>
      </c>
      <c r="Y161" s="122">
        <f t="shared" si="58"/>
        <v>0.16349999999999998</v>
      </c>
      <c r="Z161" s="121">
        <f t="shared" si="59"/>
        <v>1</v>
      </c>
      <c r="AA161" s="123">
        <f t="shared" si="60"/>
        <v>0.23385304860915967</v>
      </c>
      <c r="AB161" s="124">
        <f t="shared" si="61"/>
        <v>0</v>
      </c>
      <c r="AC161" s="125" t="s">
        <v>226</v>
      </c>
    </row>
    <row r="162" spans="1:29" ht="45" customHeight="1" x14ac:dyDescent="0.25">
      <c r="A162" s="30">
        <v>156</v>
      </c>
      <c r="B162" s="106" t="s">
        <v>125</v>
      </c>
      <c r="C162" s="31">
        <v>1</v>
      </c>
      <c r="D162" s="32" t="s">
        <v>73</v>
      </c>
      <c r="E162" s="31">
        <f t="shared" si="48"/>
        <v>12</v>
      </c>
      <c r="F162" s="96">
        <v>8.4</v>
      </c>
      <c r="G162" s="33">
        <f t="shared" si="49"/>
        <v>0.70000000000000007</v>
      </c>
      <c r="H162" s="34">
        <f t="shared" si="50"/>
        <v>8.4</v>
      </c>
      <c r="I162" s="35"/>
      <c r="J162" s="38">
        <f t="shared" ref="J162:K170" si="62">G162/$Q$2</f>
        <v>0.70000000000000007</v>
      </c>
      <c r="K162" s="38">
        <f t="shared" si="62"/>
        <v>8.4</v>
      </c>
      <c r="L162" s="38">
        <f t="shared" si="52"/>
        <v>0.76614695139084033</v>
      </c>
      <c r="M162" s="38">
        <f t="shared" si="53"/>
        <v>9.1937634166900839</v>
      </c>
      <c r="N162" s="37">
        <v>1</v>
      </c>
      <c r="O162" s="38">
        <f t="shared" si="44"/>
        <v>12</v>
      </c>
      <c r="P162" s="38">
        <f t="shared" si="45"/>
        <v>0.23385304860915967</v>
      </c>
      <c r="Q162" s="38">
        <f t="shared" si="46"/>
        <v>2.8062365833099161</v>
      </c>
      <c r="R162" s="39">
        <f t="shared" si="47"/>
        <v>0.23385304860915967</v>
      </c>
      <c r="S162" s="114"/>
      <c r="T162" s="119">
        <f t="shared" si="54"/>
        <v>1</v>
      </c>
      <c r="U162" s="131">
        <v>0.16350000000000001</v>
      </c>
      <c r="V162" s="120">
        <f t="shared" si="55"/>
        <v>1.1635</v>
      </c>
      <c r="W162" s="121">
        <f t="shared" si="56"/>
        <v>0.15</v>
      </c>
      <c r="X162" s="121">
        <f t="shared" si="57"/>
        <v>1.35E-2</v>
      </c>
      <c r="Y162" s="122">
        <f t="shared" si="58"/>
        <v>0.16349999999999998</v>
      </c>
      <c r="Z162" s="121">
        <f t="shared" si="59"/>
        <v>1</v>
      </c>
      <c r="AA162" s="123">
        <f t="shared" si="60"/>
        <v>0.23385304860915967</v>
      </c>
      <c r="AB162" s="124">
        <f t="shared" si="61"/>
        <v>0</v>
      </c>
      <c r="AC162" s="125" t="s">
        <v>226</v>
      </c>
    </row>
    <row r="163" spans="1:29" ht="45" customHeight="1" x14ac:dyDescent="0.25">
      <c r="A163" s="30">
        <v>157</v>
      </c>
      <c r="B163" s="100" t="s">
        <v>126</v>
      </c>
      <c r="C163" s="31">
        <v>1</v>
      </c>
      <c r="D163" s="32" t="s">
        <v>136</v>
      </c>
      <c r="E163" s="31">
        <f t="shared" si="48"/>
        <v>10</v>
      </c>
      <c r="F163" s="96">
        <v>17.899999999999999</v>
      </c>
      <c r="G163" s="33">
        <f t="shared" si="49"/>
        <v>1.7899999999999998</v>
      </c>
      <c r="H163" s="34">
        <f t="shared" si="50"/>
        <v>17.899999999999999</v>
      </c>
      <c r="I163" s="35"/>
      <c r="J163" s="38">
        <f t="shared" si="62"/>
        <v>1.7899999999999998</v>
      </c>
      <c r="K163" s="38">
        <f t="shared" si="62"/>
        <v>17.899999999999999</v>
      </c>
      <c r="L163" s="38">
        <f t="shared" si="52"/>
        <v>1.9591472042708626</v>
      </c>
      <c r="M163" s="38">
        <f t="shared" si="53"/>
        <v>19.591472042708627</v>
      </c>
      <c r="N163" s="37">
        <v>2.75</v>
      </c>
      <c r="O163" s="38">
        <f t="shared" si="44"/>
        <v>27.5</v>
      </c>
      <c r="P163" s="38">
        <f t="shared" si="45"/>
        <v>0.79085279572913736</v>
      </c>
      <c r="Q163" s="38">
        <f t="shared" si="46"/>
        <v>7.9085279572913736</v>
      </c>
      <c r="R163" s="39">
        <f t="shared" si="47"/>
        <v>0.28758283481059538</v>
      </c>
      <c r="S163" s="115"/>
      <c r="T163" s="119">
        <f t="shared" si="54"/>
        <v>2.75</v>
      </c>
      <c r="U163" s="131">
        <v>0.16350000000000001</v>
      </c>
      <c r="V163" s="120">
        <f t="shared" si="55"/>
        <v>3.1996250000000002</v>
      </c>
      <c r="W163" s="121">
        <f t="shared" si="56"/>
        <v>0.4125000000000002</v>
      </c>
      <c r="X163" s="121">
        <f t="shared" si="57"/>
        <v>3.7125000000000012E-2</v>
      </c>
      <c r="Y163" s="122">
        <f t="shared" si="58"/>
        <v>0.44962500000000016</v>
      </c>
      <c r="Z163" s="121">
        <f t="shared" si="59"/>
        <v>2.75</v>
      </c>
      <c r="AA163" s="123">
        <f t="shared" si="60"/>
        <v>0.28758283481059538</v>
      </c>
      <c r="AB163" s="124">
        <f t="shared" si="61"/>
        <v>0</v>
      </c>
      <c r="AC163" s="125" t="s">
        <v>226</v>
      </c>
    </row>
    <row r="164" spans="1:29" ht="45" customHeight="1" x14ac:dyDescent="0.25">
      <c r="A164" s="30">
        <v>158</v>
      </c>
      <c r="B164" s="101" t="s">
        <v>138</v>
      </c>
      <c r="C164" s="31">
        <v>1</v>
      </c>
      <c r="D164" s="32" t="s">
        <v>73</v>
      </c>
      <c r="E164" s="31">
        <f t="shared" si="48"/>
        <v>12</v>
      </c>
      <c r="F164" s="96">
        <v>8.4</v>
      </c>
      <c r="G164" s="33">
        <f t="shared" si="49"/>
        <v>0.70000000000000007</v>
      </c>
      <c r="H164" s="34">
        <f t="shared" si="50"/>
        <v>8.4</v>
      </c>
      <c r="I164" s="35"/>
      <c r="J164" s="38">
        <f t="shared" si="62"/>
        <v>0.70000000000000007</v>
      </c>
      <c r="K164" s="38">
        <f t="shared" si="62"/>
        <v>8.4</v>
      </c>
      <c r="L164" s="38">
        <f t="shared" si="52"/>
        <v>0.76614695139084033</v>
      </c>
      <c r="M164" s="38">
        <f t="shared" si="53"/>
        <v>9.1937634166900839</v>
      </c>
      <c r="N164" s="37">
        <v>1</v>
      </c>
      <c r="O164" s="38">
        <f t="shared" si="44"/>
        <v>12</v>
      </c>
      <c r="P164" s="38">
        <f t="shared" si="45"/>
        <v>0.23385304860915967</v>
      </c>
      <c r="Q164" s="38">
        <f t="shared" si="46"/>
        <v>2.8062365833099161</v>
      </c>
      <c r="R164" s="39">
        <f t="shared" si="47"/>
        <v>0.23385304860915967</v>
      </c>
      <c r="S164" s="115"/>
      <c r="T164" s="119">
        <f t="shared" si="54"/>
        <v>1</v>
      </c>
      <c r="U164" s="131">
        <v>0.16350000000000001</v>
      </c>
      <c r="V164" s="120">
        <f t="shared" si="55"/>
        <v>1.1635</v>
      </c>
      <c r="W164" s="121">
        <f t="shared" si="56"/>
        <v>0.15</v>
      </c>
      <c r="X164" s="121">
        <f t="shared" si="57"/>
        <v>1.35E-2</v>
      </c>
      <c r="Y164" s="122">
        <f t="shared" si="58"/>
        <v>0.16349999999999998</v>
      </c>
      <c r="Z164" s="121">
        <f t="shared" si="59"/>
        <v>1</v>
      </c>
      <c r="AA164" s="123">
        <f t="shared" si="60"/>
        <v>0.23385304860915967</v>
      </c>
      <c r="AB164" s="124">
        <f t="shared" si="61"/>
        <v>0</v>
      </c>
      <c r="AC164" s="125" t="s">
        <v>226</v>
      </c>
    </row>
    <row r="165" spans="1:29" ht="45" customHeight="1" x14ac:dyDescent="0.25">
      <c r="A165" s="30">
        <v>159</v>
      </c>
      <c r="B165" s="101" t="s">
        <v>149</v>
      </c>
      <c r="C165" s="31">
        <v>1</v>
      </c>
      <c r="D165" s="32" t="s">
        <v>144</v>
      </c>
      <c r="E165" s="31">
        <f t="shared" si="48"/>
        <v>30</v>
      </c>
      <c r="F165" s="96">
        <v>22.5</v>
      </c>
      <c r="G165" s="33">
        <f t="shared" si="49"/>
        <v>0.75</v>
      </c>
      <c r="H165" s="34">
        <f t="shared" si="50"/>
        <v>22.5</v>
      </c>
      <c r="I165" s="35"/>
      <c r="J165" s="38">
        <f t="shared" si="62"/>
        <v>0.75</v>
      </c>
      <c r="K165" s="38">
        <f t="shared" si="62"/>
        <v>22.5</v>
      </c>
      <c r="L165" s="38">
        <f t="shared" si="52"/>
        <v>0.82087173363304311</v>
      </c>
      <c r="M165" s="38">
        <f t="shared" si="53"/>
        <v>24.626152008991294</v>
      </c>
      <c r="N165" s="37">
        <v>1.25</v>
      </c>
      <c r="O165" s="38">
        <f t="shared" si="44"/>
        <v>37.5</v>
      </c>
      <c r="P165" s="38">
        <f t="shared" si="45"/>
        <v>0.42912826636695689</v>
      </c>
      <c r="Q165" s="38">
        <f t="shared" si="46"/>
        <v>12.873847991008706</v>
      </c>
      <c r="R165" s="39">
        <f t="shared" si="47"/>
        <v>0.34330261309356552</v>
      </c>
      <c r="S165" s="115"/>
      <c r="T165" s="119">
        <f t="shared" si="54"/>
        <v>1.25</v>
      </c>
      <c r="U165" s="131">
        <v>0.16350000000000001</v>
      </c>
      <c r="V165" s="120">
        <f t="shared" si="55"/>
        <v>1.454375</v>
      </c>
      <c r="W165" s="121">
        <f t="shared" si="56"/>
        <v>0.18749999999999997</v>
      </c>
      <c r="X165" s="121">
        <f t="shared" si="57"/>
        <v>1.6874999999999998E-2</v>
      </c>
      <c r="Y165" s="122">
        <f t="shared" si="58"/>
        <v>0.20437499999999997</v>
      </c>
      <c r="Z165" s="121">
        <f t="shared" si="59"/>
        <v>1.25</v>
      </c>
      <c r="AA165" s="123">
        <f t="shared" si="60"/>
        <v>0.34330261309356552</v>
      </c>
      <c r="AB165" s="124">
        <f t="shared" si="61"/>
        <v>0</v>
      </c>
      <c r="AC165" s="125">
        <v>1.05</v>
      </c>
    </row>
    <row r="166" spans="1:29" ht="45" customHeight="1" x14ac:dyDescent="0.25">
      <c r="A166" s="30">
        <v>160</v>
      </c>
      <c r="B166" s="101" t="s">
        <v>127</v>
      </c>
      <c r="C166" s="31">
        <v>1</v>
      </c>
      <c r="D166" s="32" t="s">
        <v>73</v>
      </c>
      <c r="E166" s="31">
        <f t="shared" si="48"/>
        <v>12</v>
      </c>
      <c r="F166" s="96">
        <v>8.4</v>
      </c>
      <c r="G166" s="33">
        <f t="shared" si="49"/>
        <v>0.70000000000000007</v>
      </c>
      <c r="H166" s="34">
        <f t="shared" si="50"/>
        <v>8.4</v>
      </c>
      <c r="I166" s="35"/>
      <c r="J166" s="38">
        <f t="shared" si="62"/>
        <v>0.70000000000000007</v>
      </c>
      <c r="K166" s="38">
        <f t="shared" si="62"/>
        <v>8.4</v>
      </c>
      <c r="L166" s="38">
        <f t="shared" si="52"/>
        <v>0.76614695139084033</v>
      </c>
      <c r="M166" s="38">
        <f t="shared" si="53"/>
        <v>9.1937634166900839</v>
      </c>
      <c r="N166" s="37">
        <v>1</v>
      </c>
      <c r="O166" s="38">
        <f t="shared" si="44"/>
        <v>12</v>
      </c>
      <c r="P166" s="38">
        <f t="shared" si="45"/>
        <v>0.23385304860915967</v>
      </c>
      <c r="Q166" s="38">
        <f t="shared" si="46"/>
        <v>2.8062365833099161</v>
      </c>
      <c r="R166" s="39">
        <f t="shared" si="47"/>
        <v>0.23385304860915967</v>
      </c>
      <c r="S166" s="115"/>
      <c r="T166" s="119">
        <f t="shared" si="54"/>
        <v>1</v>
      </c>
      <c r="U166" s="131">
        <v>0.16350000000000001</v>
      </c>
      <c r="V166" s="120">
        <f t="shared" si="55"/>
        <v>1.1635</v>
      </c>
      <c r="W166" s="121">
        <f t="shared" si="56"/>
        <v>0.15</v>
      </c>
      <c r="X166" s="121">
        <f t="shared" si="57"/>
        <v>1.35E-2</v>
      </c>
      <c r="Y166" s="122">
        <f t="shared" si="58"/>
        <v>0.16349999999999998</v>
      </c>
      <c r="Z166" s="121">
        <f t="shared" si="59"/>
        <v>1</v>
      </c>
      <c r="AA166" s="123">
        <f t="shared" si="60"/>
        <v>0.23385304860915967</v>
      </c>
      <c r="AB166" s="124">
        <f t="shared" si="61"/>
        <v>0</v>
      </c>
      <c r="AC166" s="125" t="s">
        <v>226</v>
      </c>
    </row>
    <row r="167" spans="1:29" ht="45" customHeight="1" x14ac:dyDescent="0.25">
      <c r="A167" s="30">
        <v>161</v>
      </c>
      <c r="B167" s="101" t="s">
        <v>150</v>
      </c>
      <c r="C167" s="31">
        <v>1</v>
      </c>
      <c r="D167" s="32" t="s">
        <v>73</v>
      </c>
      <c r="E167" s="31">
        <f t="shared" si="48"/>
        <v>12</v>
      </c>
      <c r="F167" s="96">
        <v>12.85</v>
      </c>
      <c r="G167" s="33">
        <f t="shared" si="49"/>
        <v>1.0708333333333333</v>
      </c>
      <c r="H167" s="34">
        <f t="shared" si="50"/>
        <v>12.85</v>
      </c>
      <c r="I167" s="35"/>
      <c r="J167" s="38">
        <f t="shared" si="62"/>
        <v>1.0708333333333333</v>
      </c>
      <c r="K167" s="38">
        <f t="shared" si="62"/>
        <v>12.85</v>
      </c>
      <c r="L167" s="38">
        <f t="shared" si="52"/>
        <v>1.1720224196871782</v>
      </c>
      <c r="M167" s="38">
        <f t="shared" si="53"/>
        <v>14.064269036246138</v>
      </c>
      <c r="N167" s="37">
        <v>1.75</v>
      </c>
      <c r="O167" s="38">
        <f t="shared" si="44"/>
        <v>21</v>
      </c>
      <c r="P167" s="38">
        <f t="shared" si="45"/>
        <v>0.57797758031282176</v>
      </c>
      <c r="Q167" s="38">
        <f t="shared" si="46"/>
        <v>6.9357309637538611</v>
      </c>
      <c r="R167" s="39">
        <f t="shared" si="47"/>
        <v>0.33027290303589812</v>
      </c>
      <c r="S167" s="115"/>
      <c r="T167" s="119">
        <f t="shared" si="54"/>
        <v>1.75</v>
      </c>
      <c r="U167" s="131">
        <v>0.16350000000000001</v>
      </c>
      <c r="V167" s="120">
        <f t="shared" si="55"/>
        <v>2.0361250000000002</v>
      </c>
      <c r="W167" s="121">
        <f t="shared" si="56"/>
        <v>0.26250000000000018</v>
      </c>
      <c r="X167" s="121">
        <f t="shared" si="57"/>
        <v>2.3625000000000018E-2</v>
      </c>
      <c r="Y167" s="122">
        <f t="shared" si="58"/>
        <v>0.28612500000000018</v>
      </c>
      <c r="Z167" s="121">
        <f t="shared" si="59"/>
        <v>1.75</v>
      </c>
      <c r="AA167" s="123">
        <f t="shared" si="60"/>
        <v>0.33027290303589812</v>
      </c>
      <c r="AB167" s="124">
        <f t="shared" si="61"/>
        <v>0</v>
      </c>
      <c r="AC167" s="125" t="s">
        <v>226</v>
      </c>
    </row>
    <row r="168" spans="1:29" ht="45" customHeight="1" x14ac:dyDescent="0.25">
      <c r="A168" s="30">
        <v>162</v>
      </c>
      <c r="B168" s="102" t="s">
        <v>131</v>
      </c>
      <c r="C168" s="31">
        <v>1</v>
      </c>
      <c r="D168" s="32" t="s">
        <v>136</v>
      </c>
      <c r="E168" s="31">
        <f t="shared" si="48"/>
        <v>10</v>
      </c>
      <c r="F168" s="96">
        <v>7.9</v>
      </c>
      <c r="G168" s="33">
        <f t="shared" si="49"/>
        <v>0.79</v>
      </c>
      <c r="H168" s="34">
        <f t="shared" si="50"/>
        <v>7.9</v>
      </c>
      <c r="I168" s="35"/>
      <c r="J168" s="38">
        <f t="shared" si="62"/>
        <v>0.79</v>
      </c>
      <c r="K168" s="38">
        <f t="shared" si="62"/>
        <v>7.9</v>
      </c>
      <c r="L168" s="38">
        <f t="shared" si="52"/>
        <v>0.86465155942680549</v>
      </c>
      <c r="M168" s="38">
        <f t="shared" si="53"/>
        <v>8.6465155942680543</v>
      </c>
      <c r="N168" s="37">
        <v>1.25</v>
      </c>
      <c r="O168" s="38">
        <f t="shared" si="44"/>
        <v>12.5</v>
      </c>
      <c r="P168" s="38">
        <f t="shared" si="45"/>
        <v>0.38534844057319451</v>
      </c>
      <c r="Q168" s="38">
        <f t="shared" si="46"/>
        <v>3.8534844057319448</v>
      </c>
      <c r="R168" s="39">
        <f t="shared" si="47"/>
        <v>0.30827875245855563</v>
      </c>
      <c r="S168" s="115"/>
      <c r="T168" s="119">
        <f t="shared" si="54"/>
        <v>1.25</v>
      </c>
      <c r="U168" s="131">
        <v>0.16350000000000001</v>
      </c>
      <c r="V168" s="120">
        <f t="shared" si="55"/>
        <v>1.454375</v>
      </c>
      <c r="W168" s="121">
        <f t="shared" si="56"/>
        <v>0.18749999999999997</v>
      </c>
      <c r="X168" s="121">
        <f t="shared" si="57"/>
        <v>1.6874999999999998E-2</v>
      </c>
      <c r="Y168" s="122">
        <f t="shared" si="58"/>
        <v>0.20437499999999997</v>
      </c>
      <c r="Z168" s="121">
        <f t="shared" si="59"/>
        <v>1.25</v>
      </c>
      <c r="AA168" s="123">
        <f t="shared" si="60"/>
        <v>0.30827875245855563</v>
      </c>
      <c r="AB168" s="124">
        <f t="shared" si="61"/>
        <v>0</v>
      </c>
      <c r="AC168" s="125" t="s">
        <v>226</v>
      </c>
    </row>
    <row r="169" spans="1:29" ht="45" customHeight="1" x14ac:dyDescent="0.25">
      <c r="A169" s="30">
        <v>163</v>
      </c>
      <c r="B169" s="100" t="s">
        <v>132</v>
      </c>
      <c r="C169" s="31">
        <v>1</v>
      </c>
      <c r="D169" s="32" t="s">
        <v>73</v>
      </c>
      <c r="E169" s="31">
        <f t="shared" si="48"/>
        <v>12</v>
      </c>
      <c r="F169" s="96">
        <v>18.850000000000001</v>
      </c>
      <c r="G169" s="33">
        <f t="shared" si="49"/>
        <v>1.5708333333333335</v>
      </c>
      <c r="H169" s="34">
        <f t="shared" si="50"/>
        <v>18.850000000000001</v>
      </c>
      <c r="I169" s="35"/>
      <c r="J169" s="38">
        <f t="shared" si="62"/>
        <v>1.5708333333333335</v>
      </c>
      <c r="K169" s="38">
        <f t="shared" si="62"/>
        <v>18.850000000000001</v>
      </c>
      <c r="L169" s="38">
        <f t="shared" si="52"/>
        <v>1.7192702421092072</v>
      </c>
      <c r="M169" s="38">
        <f t="shared" si="53"/>
        <v>20.631242905310486</v>
      </c>
      <c r="N169" s="37">
        <v>2.5</v>
      </c>
      <c r="O169" s="38">
        <f t="shared" si="44"/>
        <v>30</v>
      </c>
      <c r="P169" s="38">
        <f t="shared" si="45"/>
        <v>0.7807297578907928</v>
      </c>
      <c r="Q169" s="38">
        <f t="shared" si="46"/>
        <v>9.3687570946895136</v>
      </c>
      <c r="R169" s="39">
        <f t="shared" si="47"/>
        <v>0.31229190315631711</v>
      </c>
      <c r="S169" s="113"/>
      <c r="T169" s="119">
        <f t="shared" si="54"/>
        <v>2.5</v>
      </c>
      <c r="U169" s="131">
        <v>0.16350000000000001</v>
      </c>
      <c r="V169" s="120">
        <f t="shared" si="55"/>
        <v>2.9087499999999999</v>
      </c>
      <c r="W169" s="121">
        <f t="shared" si="56"/>
        <v>0.37499999999999994</v>
      </c>
      <c r="X169" s="121">
        <f t="shared" si="57"/>
        <v>3.3749999999999995E-2</v>
      </c>
      <c r="Y169" s="122">
        <f t="shared" si="58"/>
        <v>0.40874999999999995</v>
      </c>
      <c r="Z169" s="121">
        <f t="shared" si="59"/>
        <v>2.5</v>
      </c>
      <c r="AA169" s="123">
        <f t="shared" si="60"/>
        <v>0.31229190315631711</v>
      </c>
      <c r="AB169" s="124">
        <f t="shared" si="61"/>
        <v>0</v>
      </c>
      <c r="AC169" s="125" t="s">
        <v>226</v>
      </c>
    </row>
    <row r="170" spans="1:29" ht="45" customHeight="1" x14ac:dyDescent="0.25">
      <c r="A170" s="30">
        <v>164</v>
      </c>
      <c r="B170" s="100" t="s">
        <v>133</v>
      </c>
      <c r="C170" s="31">
        <v>1</v>
      </c>
      <c r="D170" s="32" t="s">
        <v>73</v>
      </c>
      <c r="E170" s="31">
        <f t="shared" si="48"/>
        <v>12</v>
      </c>
      <c r="F170" s="96">
        <v>19</v>
      </c>
      <c r="G170" s="33">
        <f t="shared" si="49"/>
        <v>1.5833333333333333</v>
      </c>
      <c r="H170" s="34">
        <f t="shared" si="50"/>
        <v>19</v>
      </c>
      <c r="I170" s="35"/>
      <c r="J170" s="38">
        <f t="shared" si="62"/>
        <v>1.5833333333333333</v>
      </c>
      <c r="K170" s="38">
        <f t="shared" si="62"/>
        <v>19</v>
      </c>
      <c r="L170" s="38">
        <f t="shared" si="52"/>
        <v>1.7329514376697577</v>
      </c>
      <c r="M170" s="38">
        <f t="shared" si="53"/>
        <v>20.79541725203709</v>
      </c>
      <c r="N170" s="37">
        <v>2.5</v>
      </c>
      <c r="O170" s="38">
        <f t="shared" si="44"/>
        <v>30</v>
      </c>
      <c r="P170" s="38">
        <f t="shared" si="45"/>
        <v>0.76704856233024232</v>
      </c>
      <c r="Q170" s="38">
        <f t="shared" si="46"/>
        <v>9.2045827479629079</v>
      </c>
      <c r="R170" s="39">
        <f t="shared" si="47"/>
        <v>0.30681942493209691</v>
      </c>
      <c r="S170" s="113"/>
      <c r="T170" s="119">
        <f t="shared" si="54"/>
        <v>2.5</v>
      </c>
      <c r="U170" s="131">
        <v>0.16350000000000001</v>
      </c>
      <c r="V170" s="120">
        <f t="shared" si="55"/>
        <v>2.9087499999999999</v>
      </c>
      <c r="W170" s="121">
        <f t="shared" si="56"/>
        <v>0.37499999999999994</v>
      </c>
      <c r="X170" s="121">
        <f t="shared" si="57"/>
        <v>3.3749999999999995E-2</v>
      </c>
      <c r="Y170" s="122">
        <f t="shared" si="58"/>
        <v>0.40874999999999995</v>
      </c>
      <c r="Z170" s="121">
        <f t="shared" si="59"/>
        <v>2.5</v>
      </c>
      <c r="AA170" s="123">
        <f t="shared" si="60"/>
        <v>0.30681942493209691</v>
      </c>
      <c r="AB170" s="124">
        <f t="shared" si="61"/>
        <v>0</v>
      </c>
      <c r="AC170" s="125" t="s">
        <v>226</v>
      </c>
    </row>
    <row r="171" spans="1:29" ht="30.75" thickBot="1" x14ac:dyDescent="0.3">
      <c r="A171" s="148" t="s">
        <v>39</v>
      </c>
      <c r="B171" s="149"/>
      <c r="C171" s="149"/>
      <c r="D171" s="150"/>
      <c r="E171" s="44"/>
      <c r="F171" s="45"/>
      <c r="G171" s="154" t="s">
        <v>26</v>
      </c>
      <c r="H171" s="156">
        <f>SUM(H7:H170)</f>
        <v>4448.7499999999945</v>
      </c>
      <c r="I171" s="46"/>
      <c r="J171" s="47" t="s">
        <v>27</v>
      </c>
      <c r="K171" s="48">
        <f>SUM(K7:K170)</f>
        <v>4448.7499999999945</v>
      </c>
      <c r="L171" s="158" t="s">
        <v>28</v>
      </c>
      <c r="M171" s="159"/>
      <c r="N171" s="160">
        <f>SUM(O7:O170)</f>
        <v>5716.4000000000005</v>
      </c>
      <c r="O171" s="161"/>
      <c r="P171" s="162" t="s">
        <v>29</v>
      </c>
      <c r="Q171" s="163"/>
      <c r="R171" s="166">
        <f>N171-K174</f>
        <v>847.26250000000618</v>
      </c>
      <c r="S171" s="49"/>
      <c r="T171" s="107"/>
      <c r="V171" s="109"/>
      <c r="W171" s="109"/>
      <c r="X171" s="109"/>
      <c r="Y171" s="110"/>
      <c r="Z171" s="109"/>
      <c r="AB171" s="111"/>
    </row>
    <row r="172" spans="1:29" ht="16.5" thickBot="1" x14ac:dyDescent="0.3">
      <c r="A172" s="148"/>
      <c r="B172" s="149"/>
      <c r="C172" s="149"/>
      <c r="D172" s="150"/>
      <c r="E172" s="44"/>
      <c r="F172" s="50"/>
      <c r="G172" s="155"/>
      <c r="H172" s="157"/>
      <c r="I172" s="51"/>
      <c r="J172" s="52" t="s">
        <v>30</v>
      </c>
      <c r="K172" s="53">
        <f>K171*0.09</f>
        <v>400.38749999999948</v>
      </c>
      <c r="L172" s="168"/>
      <c r="M172" s="169"/>
      <c r="N172" s="169"/>
      <c r="O172" s="170"/>
      <c r="P172" s="164"/>
      <c r="Q172" s="165"/>
      <c r="R172" s="167"/>
      <c r="S172" s="54"/>
      <c r="T172" s="107"/>
      <c r="V172" s="109"/>
      <c r="W172" s="109"/>
      <c r="X172" s="109"/>
      <c r="Y172" s="110"/>
      <c r="Z172" s="109"/>
      <c r="AB172" s="111"/>
    </row>
    <row r="173" spans="1:29" ht="32.25" thickBot="1" x14ac:dyDescent="0.3">
      <c r="A173" s="148"/>
      <c r="B173" s="149"/>
      <c r="C173" s="149"/>
      <c r="D173" s="150"/>
      <c r="E173" s="55"/>
      <c r="F173" s="56"/>
      <c r="G173" s="57" t="s">
        <v>31</v>
      </c>
      <c r="H173" s="58" t="s">
        <v>32</v>
      </c>
      <c r="I173" s="51"/>
      <c r="J173" s="59" t="s">
        <v>76</v>
      </c>
      <c r="K173" s="60">
        <v>20</v>
      </c>
      <c r="L173" s="171"/>
      <c r="M173" s="172"/>
      <c r="N173" s="172"/>
      <c r="O173" s="173"/>
      <c r="P173" s="174" t="s">
        <v>33</v>
      </c>
      <c r="Q173" s="175"/>
      <c r="R173" s="61">
        <f>R171/N171</f>
        <v>0.14821609754390982</v>
      </c>
      <c r="S173" s="62"/>
      <c r="T173" s="107"/>
      <c r="V173" s="109"/>
      <c r="W173" s="109"/>
      <c r="X173" s="109"/>
      <c r="Y173" s="110"/>
      <c r="Z173" s="109"/>
      <c r="AB173" s="111"/>
    </row>
    <row r="174" spans="1:29" ht="48" thickBot="1" x14ac:dyDescent="0.3">
      <c r="A174" s="151"/>
      <c r="B174" s="152"/>
      <c r="C174" s="152"/>
      <c r="D174" s="153"/>
      <c r="E174" s="63"/>
      <c r="F174" s="64"/>
      <c r="G174" s="65" t="s">
        <v>34</v>
      </c>
      <c r="H174" s="66">
        <f>SUM(H171:H173)</f>
        <v>4448.7499999999945</v>
      </c>
      <c r="I174" s="51"/>
      <c r="J174" s="67" t="s">
        <v>34</v>
      </c>
      <c r="K174" s="68">
        <f>SUM(K171:K173)</f>
        <v>4869.1374999999944</v>
      </c>
      <c r="L174" s="69" t="s">
        <v>35</v>
      </c>
      <c r="M174" s="176">
        <f>K173/K171</f>
        <v>4.4956448440573249E-3</v>
      </c>
      <c r="N174" s="177"/>
      <c r="O174" s="70"/>
      <c r="P174" s="11"/>
      <c r="Q174" s="11"/>
      <c r="R174" s="11"/>
      <c r="S174" s="71"/>
    </row>
    <row r="175" spans="1:29" x14ac:dyDescent="0.25">
      <c r="A175" s="72"/>
      <c r="B175" s="11"/>
      <c r="C175" s="11"/>
      <c r="D175" s="11"/>
      <c r="E175" s="73"/>
      <c r="F175" s="73"/>
      <c r="G175" s="73"/>
      <c r="H175" s="74"/>
      <c r="I175" s="75"/>
      <c r="J175" s="11"/>
      <c r="K175" s="11"/>
      <c r="L175" s="76"/>
      <c r="M175" s="76"/>
      <c r="N175" s="77"/>
      <c r="O175" s="78"/>
      <c r="P175" s="78"/>
      <c r="Q175" s="79"/>
      <c r="R175" s="78"/>
      <c r="S175" s="71"/>
    </row>
    <row r="176" spans="1:29" x14ac:dyDescent="0.25">
      <c r="A176" s="75"/>
      <c r="B176" s="78"/>
      <c r="C176" s="78"/>
      <c r="D176" s="78"/>
      <c r="E176" s="80"/>
      <c r="F176" s="80"/>
      <c r="G176" s="80"/>
      <c r="H176" s="81"/>
      <c r="I176" s="75"/>
      <c r="J176" s="132"/>
      <c r="K176" s="133"/>
      <c r="L176" s="133"/>
      <c r="M176" s="133"/>
      <c r="N176" s="134"/>
      <c r="O176" s="78"/>
      <c r="P176" s="78"/>
      <c r="Q176" s="78"/>
      <c r="R176" s="78"/>
      <c r="S176" s="71"/>
    </row>
    <row r="177" spans="1:19" x14ac:dyDescent="0.25">
      <c r="A177" s="75"/>
      <c r="B177" s="78"/>
      <c r="C177" s="78"/>
      <c r="D177" s="78"/>
      <c r="E177" s="80"/>
      <c r="F177" s="80"/>
      <c r="G177" s="80"/>
      <c r="H177" s="81"/>
      <c r="I177" s="75"/>
      <c r="J177" s="82"/>
      <c r="K177" s="83"/>
      <c r="L177" s="84"/>
      <c r="M177" s="84"/>
      <c r="N177" s="85"/>
      <c r="O177" s="78"/>
      <c r="P177" s="78"/>
      <c r="Q177" s="78"/>
      <c r="R177" s="78"/>
      <c r="S177" s="71"/>
    </row>
    <row r="178" spans="1:19" x14ac:dyDescent="0.25">
      <c r="A178" s="86" t="s">
        <v>36</v>
      </c>
      <c r="B178" s="78"/>
      <c r="C178" s="78"/>
      <c r="D178" s="78"/>
      <c r="E178" s="80"/>
      <c r="F178" s="80"/>
      <c r="G178" s="80"/>
      <c r="H178" s="81"/>
      <c r="I178" s="75"/>
      <c r="J178" s="87"/>
      <c r="K178" s="87"/>
      <c r="L178" s="87"/>
      <c r="M178" s="87"/>
      <c r="N178" s="85"/>
      <c r="O178" s="78"/>
      <c r="P178" s="78"/>
      <c r="Q178" s="78"/>
      <c r="R178" s="78"/>
      <c r="S178" s="71"/>
    </row>
    <row r="179" spans="1:19" x14ac:dyDescent="0.25">
      <c r="A179" s="86" t="s">
        <v>37</v>
      </c>
      <c r="B179" s="78"/>
      <c r="C179" s="78"/>
      <c r="D179" s="78"/>
      <c r="E179" s="80"/>
      <c r="F179" s="80"/>
      <c r="G179" s="80"/>
      <c r="H179" s="81"/>
      <c r="I179" s="75"/>
      <c r="J179" s="87"/>
      <c r="K179" s="87"/>
      <c r="L179" s="82"/>
      <c r="M179" s="82"/>
      <c r="N179" s="88"/>
      <c r="O179" s="78"/>
      <c r="P179" s="89"/>
      <c r="Q179" s="78"/>
      <c r="R179" s="78"/>
      <c r="S179" s="71"/>
    </row>
    <row r="180" spans="1:19" ht="16.5" thickBot="1" x14ac:dyDescent="0.3">
      <c r="A180" s="90"/>
      <c r="B180" s="91"/>
      <c r="C180" s="91"/>
      <c r="D180" s="91"/>
      <c r="E180" s="92"/>
      <c r="F180" s="92"/>
      <c r="G180" s="92"/>
      <c r="H180" s="93"/>
      <c r="I180" s="75"/>
      <c r="J180" s="94"/>
      <c r="K180" s="94"/>
      <c r="L180" s="94"/>
      <c r="M180" s="94"/>
      <c r="N180" s="95"/>
      <c r="O180" s="78"/>
      <c r="P180" s="78"/>
      <c r="Q180" s="78"/>
      <c r="R180" s="78"/>
      <c r="S180" s="71"/>
    </row>
    <row r="194" spans="2:2" x14ac:dyDescent="0.25">
      <c r="B194" s="97"/>
    </row>
  </sheetData>
  <autoFilter ref="A6:AC174" xr:uid="{B1795EFD-2D67-DB40-B45A-913E9904E89F}"/>
  <mergeCells count="16">
    <mergeCell ref="J176:N176"/>
    <mergeCell ref="A1:O1"/>
    <mergeCell ref="Q1:R1"/>
    <mergeCell ref="A2:O2"/>
    <mergeCell ref="A4:H4"/>
    <mergeCell ref="J4:S4"/>
    <mergeCell ref="A171:D174"/>
    <mergeCell ref="G171:G172"/>
    <mergeCell ref="H171:H172"/>
    <mergeCell ref="L171:M171"/>
    <mergeCell ref="N171:O171"/>
    <mergeCell ref="P171:Q172"/>
    <mergeCell ref="R171:R172"/>
    <mergeCell ref="L172:O173"/>
    <mergeCell ref="P173:Q173"/>
    <mergeCell ref="M174:N17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221A1-A51C-214A-8BB8-F1ADEAF0567F}">
  <dimension ref="A1:BL209"/>
  <sheetViews>
    <sheetView topLeftCell="XEH1" workbookViewId="0">
      <selection activeCell="XFD6" sqref="XFD6"/>
    </sheetView>
  </sheetViews>
  <sheetFormatPr defaultColWidth="11" defaultRowHeight="15.75" x14ac:dyDescent="0.25"/>
  <cols>
    <col min="1" max="1" width="4.625" customWidth="1"/>
    <col min="2" max="2" width="42.625" bestFit="1" customWidth="1"/>
    <col min="3" max="3" width="11.125" bestFit="1" customWidth="1"/>
    <col min="5" max="5" width="11.125" bestFit="1" customWidth="1"/>
    <col min="6" max="40" width="11.125" customWidth="1"/>
    <col min="41" max="42" width="11.125" bestFit="1" customWidth="1"/>
    <col min="43" max="43" width="13" bestFit="1" customWidth="1"/>
    <col min="45" max="45" width="11.125" bestFit="1" customWidth="1"/>
    <col min="46" max="46" width="11.625" bestFit="1" customWidth="1"/>
    <col min="47" max="47" width="14.125" bestFit="1" customWidth="1"/>
    <col min="48" max="48" width="17.875" bestFit="1" customWidth="1"/>
    <col min="50" max="50" width="11" bestFit="1" customWidth="1"/>
    <col min="51" max="51" width="11.125" bestFit="1" customWidth="1"/>
    <col min="52" max="52" width="16.375" bestFit="1" customWidth="1"/>
    <col min="53" max="53" width="11" bestFit="1" customWidth="1"/>
    <col min="55" max="64" width="0" hidden="1" customWidth="1"/>
  </cols>
  <sheetData>
    <row r="1" spans="1:64" ht="32.25" x14ac:dyDescent="0.5">
      <c r="A1" s="135" t="s">
        <v>0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6"/>
      <c r="AC1" s="136"/>
      <c r="AD1" s="136"/>
      <c r="AE1" s="136"/>
      <c r="AF1" s="136"/>
      <c r="AG1" s="136"/>
      <c r="AH1" s="136"/>
      <c r="AI1" s="136"/>
      <c r="AJ1" s="136"/>
      <c r="AK1" s="136"/>
      <c r="AL1" s="136"/>
      <c r="AM1" s="136"/>
      <c r="AN1" s="136"/>
      <c r="AO1" s="136"/>
      <c r="AP1" s="136"/>
      <c r="AQ1" s="136"/>
      <c r="AR1" s="136"/>
      <c r="AS1" s="136"/>
      <c r="AT1" s="136"/>
      <c r="AU1" s="136"/>
      <c r="AV1" s="136"/>
      <c r="AW1" s="136"/>
      <c r="AX1" s="137"/>
      <c r="AY1" s="1" t="s">
        <v>1</v>
      </c>
      <c r="AZ1" s="138"/>
      <c r="BA1" s="138"/>
      <c r="BB1" s="2"/>
    </row>
    <row r="2" spans="1:64" ht="32.25" thickBot="1" x14ac:dyDescent="0.55000000000000004">
      <c r="A2" s="139" t="s">
        <v>2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0"/>
      <c r="AT2" s="140"/>
      <c r="AU2" s="140"/>
      <c r="AV2" s="140"/>
      <c r="AW2" s="140"/>
      <c r="AX2" s="141"/>
      <c r="AY2" s="3" t="s">
        <v>3</v>
      </c>
      <c r="AZ2" s="4">
        <v>1</v>
      </c>
      <c r="BA2" s="5"/>
      <c r="BB2" s="6"/>
    </row>
    <row r="3" spans="1:64" ht="24" thickBot="1" x14ac:dyDescent="0.4">
      <c r="A3" s="7"/>
      <c r="B3" s="8" t="s">
        <v>38</v>
      </c>
      <c r="C3" s="7"/>
      <c r="D3" s="7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10"/>
      <c r="AR3" s="11"/>
      <c r="AS3" s="12"/>
      <c r="AT3" s="13"/>
      <c r="AU3" s="13"/>
      <c r="AV3" s="13"/>
      <c r="AW3" s="14"/>
      <c r="AX3" s="13"/>
      <c r="AY3" s="15"/>
      <c r="AZ3" s="15"/>
      <c r="BA3" s="15"/>
      <c r="BB3" s="16"/>
    </row>
    <row r="4" spans="1:64" ht="27" thickBot="1" x14ac:dyDescent="0.3">
      <c r="A4" s="142" t="s">
        <v>4</v>
      </c>
      <c r="B4" s="143"/>
      <c r="C4" s="143"/>
      <c r="D4" s="143"/>
      <c r="E4" s="143"/>
      <c r="F4" s="143"/>
      <c r="G4" s="143"/>
      <c r="H4" s="143"/>
      <c r="I4" s="143"/>
      <c r="J4" s="143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  <c r="AE4" s="143"/>
      <c r="AF4" s="143"/>
      <c r="AG4" s="143"/>
      <c r="AH4" s="143"/>
      <c r="AI4" s="143"/>
      <c r="AJ4" s="143"/>
      <c r="AK4" s="143"/>
      <c r="AL4" s="143"/>
      <c r="AM4" s="143"/>
      <c r="AN4" s="143"/>
      <c r="AO4" s="143"/>
      <c r="AP4" s="143"/>
      <c r="AQ4" s="144"/>
      <c r="AR4" s="17"/>
      <c r="AS4" s="145" t="s">
        <v>5</v>
      </c>
      <c r="AT4" s="146"/>
      <c r="AU4" s="146"/>
      <c r="AV4" s="146"/>
      <c r="AW4" s="146"/>
      <c r="AX4" s="146"/>
      <c r="AY4" s="146"/>
      <c r="AZ4" s="146"/>
      <c r="BA4" s="146"/>
      <c r="BB4" s="147"/>
    </row>
    <row r="5" spans="1:64" ht="16.5" thickBot="1" x14ac:dyDescent="0.3">
      <c r="A5" s="7"/>
      <c r="B5" s="7"/>
      <c r="C5" s="7"/>
      <c r="D5" s="7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10"/>
      <c r="AR5" s="18"/>
      <c r="AS5" s="19"/>
      <c r="AT5" s="19"/>
      <c r="AU5" s="19"/>
      <c r="AV5" s="19"/>
      <c r="AW5" s="20"/>
      <c r="AX5" s="19"/>
      <c r="AY5" s="19"/>
      <c r="AZ5" s="19"/>
      <c r="BA5" s="19"/>
      <c r="BB5" s="16"/>
    </row>
    <row r="6" spans="1:64" ht="94.5" x14ac:dyDescent="0.25">
      <c r="A6" s="21" t="s">
        <v>6</v>
      </c>
      <c r="B6" s="22" t="s">
        <v>7</v>
      </c>
      <c r="C6" s="23" t="s">
        <v>8</v>
      </c>
      <c r="D6" s="23" t="s">
        <v>9</v>
      </c>
      <c r="E6" s="23" t="s">
        <v>10</v>
      </c>
      <c r="F6" s="23" t="s">
        <v>231</v>
      </c>
      <c r="G6" s="23" t="s">
        <v>232</v>
      </c>
      <c r="H6" s="23" t="s">
        <v>233</v>
      </c>
      <c r="I6" s="23" t="s">
        <v>236</v>
      </c>
      <c r="J6" s="23" t="s">
        <v>234</v>
      </c>
      <c r="K6" s="23" t="s">
        <v>235</v>
      </c>
      <c r="L6" s="23" t="s">
        <v>237</v>
      </c>
      <c r="M6" s="23" t="s">
        <v>242</v>
      </c>
      <c r="N6" s="23" t="s">
        <v>243</v>
      </c>
      <c r="O6" s="23" t="s">
        <v>239</v>
      </c>
      <c r="P6" s="23" t="s">
        <v>244</v>
      </c>
      <c r="Q6" s="23" t="s">
        <v>238</v>
      </c>
      <c r="R6" s="23" t="s">
        <v>246</v>
      </c>
      <c r="S6" s="23" t="s">
        <v>245</v>
      </c>
      <c r="T6" s="23" t="s">
        <v>247</v>
      </c>
      <c r="U6" s="23" t="s">
        <v>248</v>
      </c>
      <c r="V6" s="23" t="s">
        <v>256</v>
      </c>
      <c r="W6" s="23" t="s">
        <v>258</v>
      </c>
      <c r="X6" s="23" t="s">
        <v>257</v>
      </c>
      <c r="Y6" s="23" t="s">
        <v>251</v>
      </c>
      <c r="Z6" s="23" t="s">
        <v>249</v>
      </c>
      <c r="AA6" s="23" t="s">
        <v>250</v>
      </c>
      <c r="AB6" s="23" t="s">
        <v>259</v>
      </c>
      <c r="AC6" s="23" t="s">
        <v>252</v>
      </c>
      <c r="AD6" s="23" t="s">
        <v>261</v>
      </c>
      <c r="AE6" s="23" t="s">
        <v>255</v>
      </c>
      <c r="AF6" s="23" t="s">
        <v>260</v>
      </c>
      <c r="AG6" s="23" t="s">
        <v>264</v>
      </c>
      <c r="AH6" s="23" t="s">
        <v>262</v>
      </c>
      <c r="AI6" s="23" t="s">
        <v>265</v>
      </c>
      <c r="AJ6" s="23" t="s">
        <v>267</v>
      </c>
      <c r="AK6" s="23" t="s">
        <v>268</v>
      </c>
      <c r="AL6" s="23" t="s">
        <v>266</v>
      </c>
      <c r="AM6" s="23" t="s">
        <v>271</v>
      </c>
      <c r="AN6" s="23" t="s">
        <v>272</v>
      </c>
      <c r="AO6" s="23" t="s">
        <v>11</v>
      </c>
      <c r="AP6" s="23" t="s">
        <v>12</v>
      </c>
      <c r="AQ6" s="24" t="s">
        <v>13</v>
      </c>
      <c r="AR6" s="25"/>
      <c r="AS6" s="26" t="s">
        <v>14</v>
      </c>
      <c r="AT6" s="27" t="s">
        <v>15</v>
      </c>
      <c r="AU6" s="27" t="s">
        <v>16</v>
      </c>
      <c r="AV6" s="27" t="s">
        <v>17</v>
      </c>
      <c r="AW6" s="28" t="s">
        <v>18</v>
      </c>
      <c r="AX6" s="27" t="s">
        <v>19</v>
      </c>
      <c r="AY6" s="27" t="s">
        <v>20</v>
      </c>
      <c r="AZ6" s="27" t="s">
        <v>21</v>
      </c>
      <c r="BA6" s="27" t="s">
        <v>22</v>
      </c>
      <c r="BB6" s="29" t="s">
        <v>23</v>
      </c>
      <c r="BC6" s="117" t="s">
        <v>220</v>
      </c>
      <c r="BD6" s="117" t="s">
        <v>221</v>
      </c>
      <c r="BE6" s="117" t="s">
        <v>222</v>
      </c>
      <c r="BF6" s="117" t="s">
        <v>223</v>
      </c>
      <c r="BG6" s="117" t="s">
        <v>227</v>
      </c>
      <c r="BH6" s="117" t="s">
        <v>224</v>
      </c>
      <c r="BI6" s="117" t="s">
        <v>225</v>
      </c>
      <c r="BJ6" s="117" t="s">
        <v>228</v>
      </c>
      <c r="BK6" s="117" t="s">
        <v>229</v>
      </c>
      <c r="BL6" s="118" t="s">
        <v>230</v>
      </c>
    </row>
    <row r="7" spans="1:64" ht="45" customHeight="1" x14ac:dyDescent="0.25">
      <c r="A7" s="30">
        <v>1</v>
      </c>
      <c r="B7" s="100" t="s">
        <v>40</v>
      </c>
      <c r="C7" s="31">
        <v>1</v>
      </c>
      <c r="D7" s="32" t="s">
        <v>73</v>
      </c>
      <c r="E7" s="31">
        <f t="shared" ref="E7:E122" si="0">D7*C7</f>
        <v>12</v>
      </c>
      <c r="F7" s="31" t="s">
        <v>226</v>
      </c>
      <c r="G7" s="31" t="s">
        <v>226</v>
      </c>
      <c r="H7" s="31" t="s">
        <v>226</v>
      </c>
      <c r="I7" s="31" t="s">
        <v>226</v>
      </c>
      <c r="J7" s="31" t="s">
        <v>226</v>
      </c>
      <c r="K7" s="31" t="s">
        <v>226</v>
      </c>
      <c r="L7" s="31" t="s">
        <v>226</v>
      </c>
      <c r="M7" s="31" t="s">
        <v>226</v>
      </c>
      <c r="N7" s="31" t="s">
        <v>226</v>
      </c>
      <c r="O7" s="31" t="s">
        <v>226</v>
      </c>
      <c r="P7" s="31" t="s">
        <v>226</v>
      </c>
      <c r="Q7" s="31" t="s">
        <v>226</v>
      </c>
      <c r="R7" s="31" t="s">
        <v>226</v>
      </c>
      <c r="S7" s="31" t="s">
        <v>226</v>
      </c>
      <c r="T7" s="31" t="s">
        <v>226</v>
      </c>
      <c r="U7" s="31" t="s">
        <v>226</v>
      </c>
      <c r="V7" s="31" t="s">
        <v>226</v>
      </c>
      <c r="W7" s="31" t="s">
        <v>226</v>
      </c>
      <c r="X7" s="31" t="s">
        <v>226</v>
      </c>
      <c r="Y7" s="31" t="s">
        <v>226</v>
      </c>
      <c r="Z7" s="31" t="s">
        <v>226</v>
      </c>
      <c r="AA7" s="31" t="s">
        <v>226</v>
      </c>
      <c r="AB7" s="31" t="s">
        <v>226</v>
      </c>
      <c r="AC7" s="31" t="s">
        <v>226</v>
      </c>
      <c r="AD7" s="31" t="s">
        <v>226</v>
      </c>
      <c r="AE7" s="31" t="s">
        <v>226</v>
      </c>
      <c r="AF7" s="31" t="s">
        <v>226</v>
      </c>
      <c r="AG7" s="31" t="s">
        <v>226</v>
      </c>
      <c r="AH7" s="31" t="s">
        <v>226</v>
      </c>
      <c r="AI7" s="31" t="s">
        <v>226</v>
      </c>
      <c r="AJ7" s="31" t="s">
        <v>226</v>
      </c>
      <c r="AK7" s="31" t="s">
        <v>226</v>
      </c>
      <c r="AL7" s="31" t="s">
        <v>226</v>
      </c>
      <c r="AM7" s="31"/>
      <c r="AN7" s="31"/>
      <c r="AO7" s="96">
        <v>18.850000000000001</v>
      </c>
      <c r="AP7" s="33">
        <f t="shared" ref="AP7:AP70" si="1">AO7/D7</f>
        <v>1.5708333333333335</v>
      </c>
      <c r="AQ7" s="34">
        <f t="shared" ref="AQ7:AQ70" si="2">AP7*E7</f>
        <v>18.850000000000001</v>
      </c>
      <c r="AR7" s="35"/>
      <c r="AS7" s="36">
        <f t="shared" ref="AS7:AT63" si="3">AP7/$AZ$2</f>
        <v>1.5708333333333335</v>
      </c>
      <c r="AT7" s="36">
        <f t="shared" si="3"/>
        <v>18.850000000000001</v>
      </c>
      <c r="AU7" s="36">
        <f t="shared" ref="AU7:AU70" si="4">AS7*(1+$AV$189+9%)</f>
        <v>1.7122083333333338</v>
      </c>
      <c r="AV7" s="36">
        <f t="shared" ref="AV7:AV70" si="5">AU7*E7</f>
        <v>20.546500000000005</v>
      </c>
      <c r="AW7" s="37">
        <v>2.5</v>
      </c>
      <c r="AX7" s="38">
        <f t="shared" ref="AX7:AX70" si="6">AW7*E7</f>
        <v>30</v>
      </c>
      <c r="AY7" s="38">
        <f t="shared" ref="AY7:AY122" si="7">AW7-AU7</f>
        <v>0.78779166666666622</v>
      </c>
      <c r="AZ7" s="38">
        <f t="shared" ref="AZ7:AZ70" si="8">AY7*E7</f>
        <v>9.4534999999999947</v>
      </c>
      <c r="BA7" s="39">
        <f t="shared" ref="BA7:BA122" si="9">AY7/AW7</f>
        <v>0.31511666666666649</v>
      </c>
      <c r="BB7" s="40"/>
      <c r="BC7" s="119">
        <f>AW7</f>
        <v>2.5</v>
      </c>
      <c r="BD7" s="108">
        <v>0.15</v>
      </c>
      <c r="BE7" s="120">
        <f>BC7*1.15</f>
        <v>2.875</v>
      </c>
      <c r="BF7" s="121">
        <f>BE7-BC7</f>
        <v>0.375</v>
      </c>
      <c r="BG7" s="121">
        <f>BF7*0.09</f>
        <v>3.3750000000000002E-2</v>
      </c>
      <c r="BH7" s="122">
        <f>BF7+BG7</f>
        <v>0.40875</v>
      </c>
      <c r="BI7" s="121">
        <f>BE7-BH7</f>
        <v>2.4662500000000001</v>
      </c>
      <c r="BJ7" s="123">
        <f>(BI7-AU7)/BI7</f>
        <v>0.30574421354958592</v>
      </c>
      <c r="BK7" s="124">
        <f>BJ7-BA7</f>
        <v>-9.3724531170805703E-3</v>
      </c>
      <c r="BL7" s="125" t="s">
        <v>226</v>
      </c>
    </row>
    <row r="8" spans="1:64" ht="45" customHeight="1" x14ac:dyDescent="0.25">
      <c r="A8" s="30">
        <v>2</v>
      </c>
      <c r="B8" s="100" t="s">
        <v>41</v>
      </c>
      <c r="C8" s="31">
        <v>1</v>
      </c>
      <c r="D8" s="32" t="s">
        <v>73</v>
      </c>
      <c r="E8" s="31">
        <f t="shared" si="0"/>
        <v>12</v>
      </c>
      <c r="F8" s="31" t="s">
        <v>226</v>
      </c>
      <c r="G8" s="31" t="s">
        <v>226</v>
      </c>
      <c r="H8" s="31" t="s">
        <v>226</v>
      </c>
      <c r="I8" s="31" t="s">
        <v>226</v>
      </c>
      <c r="J8" s="31" t="s">
        <v>226</v>
      </c>
      <c r="K8" s="31" t="s">
        <v>226</v>
      </c>
      <c r="L8" s="31" t="s">
        <v>226</v>
      </c>
      <c r="M8" s="31" t="s">
        <v>226</v>
      </c>
      <c r="N8" s="31" t="s">
        <v>226</v>
      </c>
      <c r="O8" s="31" t="s">
        <v>226</v>
      </c>
      <c r="P8" s="31" t="s">
        <v>226</v>
      </c>
      <c r="Q8" s="31" t="s">
        <v>226</v>
      </c>
      <c r="R8" s="31" t="s">
        <v>226</v>
      </c>
      <c r="S8" s="31" t="s">
        <v>226</v>
      </c>
      <c r="T8" s="31" t="s">
        <v>226</v>
      </c>
      <c r="U8" s="31" t="s">
        <v>226</v>
      </c>
      <c r="V8" s="31" t="s">
        <v>226</v>
      </c>
      <c r="W8" s="31" t="s">
        <v>226</v>
      </c>
      <c r="X8" s="31" t="s">
        <v>226</v>
      </c>
      <c r="Y8" s="31" t="s">
        <v>226</v>
      </c>
      <c r="Z8" s="31" t="s">
        <v>226</v>
      </c>
      <c r="AA8" s="31" t="s">
        <v>226</v>
      </c>
      <c r="AB8" s="31" t="s">
        <v>226</v>
      </c>
      <c r="AC8" s="31" t="s">
        <v>226</v>
      </c>
      <c r="AD8" s="31" t="s">
        <v>226</v>
      </c>
      <c r="AE8" s="31" t="s">
        <v>226</v>
      </c>
      <c r="AF8" s="31" t="s">
        <v>226</v>
      </c>
      <c r="AG8" s="31" t="s">
        <v>226</v>
      </c>
      <c r="AH8" s="31" t="s">
        <v>226</v>
      </c>
      <c r="AI8" s="31" t="s">
        <v>226</v>
      </c>
      <c r="AJ8" s="31" t="s">
        <v>226</v>
      </c>
      <c r="AK8" s="31" t="s">
        <v>226</v>
      </c>
      <c r="AL8" s="31" t="s">
        <v>226</v>
      </c>
      <c r="AM8" s="31"/>
      <c r="AN8" s="31"/>
      <c r="AO8" s="96">
        <v>18.850000000000001</v>
      </c>
      <c r="AP8" s="33">
        <f t="shared" si="1"/>
        <v>1.5708333333333335</v>
      </c>
      <c r="AQ8" s="34">
        <f t="shared" si="2"/>
        <v>18.850000000000001</v>
      </c>
      <c r="AR8" s="35"/>
      <c r="AS8" s="36">
        <f t="shared" si="3"/>
        <v>1.5708333333333335</v>
      </c>
      <c r="AT8" s="36">
        <f t="shared" si="3"/>
        <v>18.850000000000001</v>
      </c>
      <c r="AU8" s="36">
        <f t="shared" si="4"/>
        <v>1.7122083333333338</v>
      </c>
      <c r="AV8" s="36">
        <f t="shared" si="5"/>
        <v>20.546500000000005</v>
      </c>
      <c r="AW8" s="37">
        <v>2.5</v>
      </c>
      <c r="AX8" s="38">
        <f t="shared" si="6"/>
        <v>30</v>
      </c>
      <c r="AY8" s="38">
        <f t="shared" si="7"/>
        <v>0.78779166666666622</v>
      </c>
      <c r="AZ8" s="38">
        <f t="shared" si="8"/>
        <v>9.4534999999999947</v>
      </c>
      <c r="BA8" s="39">
        <f t="shared" si="9"/>
        <v>0.31511666666666649</v>
      </c>
      <c r="BB8" s="41"/>
      <c r="BC8" s="119">
        <f t="shared" ref="BC8:BC86" si="10">AW8</f>
        <v>2.5</v>
      </c>
      <c r="BD8" s="108">
        <v>0.15</v>
      </c>
      <c r="BE8" s="120">
        <f t="shared" ref="BE8:BE86" si="11">BC8/(1-18%)</f>
        <v>3.0487804878048776</v>
      </c>
      <c r="BF8" s="121">
        <f t="shared" ref="BF8:BF86" si="12">BE8-BC8</f>
        <v>0.54878048780487765</v>
      </c>
      <c r="BG8" s="121">
        <f t="shared" ref="BG8:BG86" si="13">BF8*0.09</f>
        <v>4.9390243902438985E-2</v>
      </c>
      <c r="BH8" s="122">
        <f t="shared" ref="BH8:BH86" si="14">BF8+BG8</f>
        <v>0.59817073170731661</v>
      </c>
      <c r="BI8" s="121">
        <f t="shared" ref="BI8:BI86" si="15">BE8-BH8</f>
        <v>2.450609756097561</v>
      </c>
      <c r="BJ8" s="123">
        <f t="shared" ref="BJ8:BJ86" si="16">(BI8-AU8)/BI8</f>
        <v>0.30131334494484513</v>
      </c>
      <c r="BK8" s="124">
        <f t="shared" ref="BK8:BK86" si="17">BJ8-BA8</f>
        <v>-1.380332172182136E-2</v>
      </c>
      <c r="BL8" s="125" t="s">
        <v>226</v>
      </c>
    </row>
    <row r="9" spans="1:64" ht="45" customHeight="1" x14ac:dyDescent="0.25">
      <c r="A9" s="30"/>
      <c r="B9" s="100" t="s">
        <v>283</v>
      </c>
      <c r="C9" s="31">
        <v>1</v>
      </c>
      <c r="D9" s="32" t="s">
        <v>25</v>
      </c>
      <c r="E9" s="31">
        <v>6</v>
      </c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127">
        <v>26.7</v>
      </c>
      <c r="AO9" s="96">
        <v>26.7</v>
      </c>
      <c r="AP9" s="33">
        <f t="shared" si="1"/>
        <v>4.45</v>
      </c>
      <c r="AQ9" s="34">
        <f t="shared" si="2"/>
        <v>26.700000000000003</v>
      </c>
      <c r="AR9" s="35"/>
      <c r="AS9" s="36">
        <f t="shared" si="3"/>
        <v>4.45</v>
      </c>
      <c r="AT9" s="36">
        <f t="shared" si="3"/>
        <v>26.700000000000003</v>
      </c>
      <c r="AU9" s="36">
        <f t="shared" si="4"/>
        <v>4.8505000000000003</v>
      </c>
      <c r="AV9" s="36">
        <f t="shared" si="5"/>
        <v>29.103000000000002</v>
      </c>
      <c r="AW9" s="37"/>
      <c r="AX9" s="38">
        <f t="shared" si="6"/>
        <v>0</v>
      </c>
      <c r="AY9" s="38">
        <f t="shared" si="7"/>
        <v>-4.8505000000000003</v>
      </c>
      <c r="AZ9" s="38">
        <f t="shared" si="8"/>
        <v>-29.103000000000002</v>
      </c>
      <c r="BA9" s="39" t="e">
        <f t="shared" si="9"/>
        <v>#DIV/0!</v>
      </c>
      <c r="BB9" s="41"/>
      <c r="BC9" s="119">
        <f t="shared" si="10"/>
        <v>0</v>
      </c>
      <c r="BD9" s="108">
        <v>0.15</v>
      </c>
      <c r="BE9" s="120">
        <f t="shared" si="11"/>
        <v>0</v>
      </c>
      <c r="BF9" s="121">
        <f t="shared" si="12"/>
        <v>0</v>
      </c>
      <c r="BG9" s="121">
        <f t="shared" si="13"/>
        <v>0</v>
      </c>
      <c r="BH9" s="122">
        <f t="shared" si="14"/>
        <v>0</v>
      </c>
      <c r="BI9" s="121">
        <f t="shared" si="15"/>
        <v>0</v>
      </c>
      <c r="BJ9" s="123" t="e">
        <f t="shared" si="16"/>
        <v>#DIV/0!</v>
      </c>
      <c r="BK9" s="124" t="e">
        <f t="shared" si="17"/>
        <v>#DIV/0!</v>
      </c>
      <c r="BL9" s="125" t="s">
        <v>226</v>
      </c>
    </row>
    <row r="10" spans="1:64" ht="45" customHeight="1" x14ac:dyDescent="0.25">
      <c r="A10" s="30"/>
      <c r="B10" s="100" t="s">
        <v>269</v>
      </c>
      <c r="C10" s="31">
        <v>1</v>
      </c>
      <c r="D10" s="32" t="s">
        <v>25</v>
      </c>
      <c r="E10" s="31">
        <f t="shared" si="0"/>
        <v>6</v>
      </c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96">
        <v>22.6</v>
      </c>
      <c r="AP10" s="33">
        <f t="shared" si="1"/>
        <v>3.7666666666666671</v>
      </c>
      <c r="AQ10" s="34">
        <f t="shared" si="2"/>
        <v>22.6</v>
      </c>
      <c r="AR10" s="35"/>
      <c r="AS10" s="36">
        <f t="shared" si="3"/>
        <v>3.7666666666666671</v>
      </c>
      <c r="AT10" s="36">
        <f t="shared" si="3"/>
        <v>22.6</v>
      </c>
      <c r="AU10" s="36">
        <f t="shared" si="4"/>
        <v>4.105666666666667</v>
      </c>
      <c r="AV10" s="36">
        <f t="shared" si="5"/>
        <v>24.634</v>
      </c>
      <c r="AW10" s="37"/>
      <c r="AX10" s="38">
        <f t="shared" si="6"/>
        <v>0</v>
      </c>
      <c r="AY10" s="38">
        <f t="shared" si="7"/>
        <v>-4.105666666666667</v>
      </c>
      <c r="AZ10" s="38">
        <f t="shared" si="8"/>
        <v>-24.634</v>
      </c>
      <c r="BA10" s="39" t="e">
        <f t="shared" si="9"/>
        <v>#DIV/0!</v>
      </c>
      <c r="BB10" s="41"/>
      <c r="BC10" s="119">
        <f t="shared" si="10"/>
        <v>0</v>
      </c>
      <c r="BD10" s="108">
        <v>0.15</v>
      </c>
      <c r="BE10" s="120">
        <f t="shared" si="11"/>
        <v>0</v>
      </c>
      <c r="BF10" s="121">
        <f t="shared" si="12"/>
        <v>0</v>
      </c>
      <c r="BG10" s="121">
        <f t="shared" si="13"/>
        <v>0</v>
      </c>
      <c r="BH10" s="122">
        <f t="shared" si="14"/>
        <v>0</v>
      </c>
      <c r="BI10" s="121">
        <f t="shared" si="15"/>
        <v>0</v>
      </c>
      <c r="BJ10" s="123" t="e">
        <f t="shared" si="16"/>
        <v>#DIV/0!</v>
      </c>
      <c r="BK10" s="124" t="e">
        <f t="shared" si="17"/>
        <v>#DIV/0!</v>
      </c>
      <c r="BL10" s="125" t="s">
        <v>226</v>
      </c>
    </row>
    <row r="11" spans="1:64" ht="45" customHeight="1" x14ac:dyDescent="0.25">
      <c r="A11" s="30"/>
      <c r="B11" s="100" t="s">
        <v>270</v>
      </c>
      <c r="C11" s="31">
        <v>1</v>
      </c>
      <c r="D11" s="32" t="s">
        <v>25</v>
      </c>
      <c r="E11" s="31">
        <f t="shared" si="0"/>
        <v>6</v>
      </c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96">
        <v>22.6</v>
      </c>
      <c r="AP11" s="33">
        <f t="shared" si="1"/>
        <v>3.7666666666666671</v>
      </c>
      <c r="AQ11" s="34">
        <f t="shared" si="2"/>
        <v>22.6</v>
      </c>
      <c r="AR11" s="35"/>
      <c r="AS11" s="36">
        <f t="shared" si="3"/>
        <v>3.7666666666666671</v>
      </c>
      <c r="AT11" s="36">
        <f t="shared" si="3"/>
        <v>22.6</v>
      </c>
      <c r="AU11" s="36">
        <f t="shared" si="4"/>
        <v>4.105666666666667</v>
      </c>
      <c r="AV11" s="36">
        <f t="shared" si="5"/>
        <v>24.634</v>
      </c>
      <c r="AW11" s="37"/>
      <c r="AX11" s="38">
        <f t="shared" si="6"/>
        <v>0</v>
      </c>
      <c r="AY11" s="38">
        <f t="shared" si="7"/>
        <v>-4.105666666666667</v>
      </c>
      <c r="AZ11" s="38">
        <f t="shared" si="8"/>
        <v>-24.634</v>
      </c>
      <c r="BA11" s="39" t="e">
        <f t="shared" si="9"/>
        <v>#DIV/0!</v>
      </c>
      <c r="BB11" s="41"/>
      <c r="BC11" s="119">
        <f t="shared" si="10"/>
        <v>0</v>
      </c>
      <c r="BD11" s="108">
        <v>0.15</v>
      </c>
      <c r="BE11" s="120">
        <f t="shared" si="11"/>
        <v>0</v>
      </c>
      <c r="BF11" s="121">
        <f t="shared" si="12"/>
        <v>0</v>
      </c>
      <c r="BG11" s="121">
        <f t="shared" si="13"/>
        <v>0</v>
      </c>
      <c r="BH11" s="122">
        <f t="shared" si="14"/>
        <v>0</v>
      </c>
      <c r="BI11" s="121">
        <f t="shared" si="15"/>
        <v>0</v>
      </c>
      <c r="BJ11" s="123" t="e">
        <f t="shared" si="16"/>
        <v>#DIV/0!</v>
      </c>
      <c r="BK11" s="124" t="e">
        <f t="shared" si="17"/>
        <v>#DIV/0!</v>
      </c>
      <c r="BL11" s="125" t="s">
        <v>226</v>
      </c>
    </row>
    <row r="12" spans="1:64" ht="45" customHeight="1" x14ac:dyDescent="0.25">
      <c r="A12" s="30"/>
      <c r="B12" s="100" t="s">
        <v>273</v>
      </c>
      <c r="C12" s="31">
        <v>1</v>
      </c>
      <c r="D12" s="32" t="s">
        <v>83</v>
      </c>
      <c r="E12" s="31">
        <f t="shared" si="0"/>
        <v>4</v>
      </c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96">
        <v>28.5</v>
      </c>
      <c r="AP12" s="33">
        <f t="shared" si="1"/>
        <v>7.125</v>
      </c>
      <c r="AQ12" s="34">
        <f t="shared" si="2"/>
        <v>28.5</v>
      </c>
      <c r="AR12" s="35"/>
      <c r="AS12" s="36">
        <f t="shared" si="3"/>
        <v>7.125</v>
      </c>
      <c r="AT12" s="36">
        <f t="shared" si="3"/>
        <v>28.5</v>
      </c>
      <c r="AU12" s="36">
        <f t="shared" si="4"/>
        <v>7.7662500000000003</v>
      </c>
      <c r="AV12" s="36">
        <f t="shared" si="5"/>
        <v>31.065000000000001</v>
      </c>
      <c r="AW12" s="37"/>
      <c r="AX12" s="38"/>
      <c r="AY12" s="38">
        <f t="shared" si="7"/>
        <v>-7.7662500000000003</v>
      </c>
      <c r="AZ12" s="38">
        <f t="shared" si="8"/>
        <v>-31.065000000000001</v>
      </c>
      <c r="BA12" s="39" t="e">
        <f t="shared" si="9"/>
        <v>#DIV/0!</v>
      </c>
      <c r="BB12" s="41"/>
      <c r="BC12" s="119">
        <f t="shared" si="10"/>
        <v>0</v>
      </c>
      <c r="BD12" s="108">
        <v>0.15</v>
      </c>
      <c r="BE12" s="120">
        <f t="shared" si="11"/>
        <v>0</v>
      </c>
      <c r="BF12" s="121">
        <f t="shared" si="12"/>
        <v>0</v>
      </c>
      <c r="BG12" s="121">
        <f t="shared" si="13"/>
        <v>0</v>
      </c>
      <c r="BH12" s="122">
        <f t="shared" si="14"/>
        <v>0</v>
      </c>
      <c r="BI12" s="121">
        <f t="shared" si="15"/>
        <v>0</v>
      </c>
      <c r="BJ12" s="123" t="e">
        <f t="shared" si="16"/>
        <v>#DIV/0!</v>
      </c>
      <c r="BK12" s="124" t="e">
        <f t="shared" si="17"/>
        <v>#DIV/0!</v>
      </c>
      <c r="BL12" s="125" t="s">
        <v>226</v>
      </c>
    </row>
    <row r="13" spans="1:64" ht="45" customHeight="1" x14ac:dyDescent="0.25">
      <c r="A13" s="30"/>
      <c r="B13" s="100" t="s">
        <v>275</v>
      </c>
      <c r="C13" s="31">
        <v>1</v>
      </c>
      <c r="D13" s="32" t="s">
        <v>278</v>
      </c>
      <c r="E13" s="31">
        <f t="shared" si="0"/>
        <v>18</v>
      </c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M13" s="31"/>
      <c r="AN13" s="31"/>
      <c r="AO13" s="96">
        <v>27.9</v>
      </c>
      <c r="AP13" s="33">
        <f t="shared" si="1"/>
        <v>1.5499999999999998</v>
      </c>
      <c r="AQ13" s="34">
        <f t="shared" si="2"/>
        <v>27.9</v>
      </c>
      <c r="AR13" s="35"/>
      <c r="AS13" s="36">
        <f t="shared" si="3"/>
        <v>1.5499999999999998</v>
      </c>
      <c r="AT13" s="36">
        <f t="shared" si="3"/>
        <v>27.9</v>
      </c>
      <c r="AU13" s="36">
        <f t="shared" si="4"/>
        <v>1.6895</v>
      </c>
      <c r="AV13" s="36">
        <f t="shared" si="5"/>
        <v>30.411000000000001</v>
      </c>
      <c r="AW13" s="37"/>
      <c r="AX13" s="38"/>
      <c r="AY13" s="38">
        <f t="shared" si="7"/>
        <v>-1.6895</v>
      </c>
      <c r="AZ13" s="38">
        <f t="shared" si="8"/>
        <v>-30.411000000000001</v>
      </c>
      <c r="BA13" s="39" t="e">
        <f t="shared" si="9"/>
        <v>#DIV/0!</v>
      </c>
      <c r="BB13" s="41"/>
      <c r="BC13" s="119"/>
      <c r="BD13" s="108"/>
      <c r="BE13" s="120"/>
      <c r="BF13" s="121"/>
      <c r="BG13" s="121"/>
      <c r="BH13" s="122"/>
      <c r="BI13" s="121"/>
      <c r="BJ13" s="123"/>
      <c r="BK13" s="124"/>
      <c r="BL13" s="125"/>
    </row>
    <row r="14" spans="1:64" ht="45" customHeight="1" x14ac:dyDescent="0.25">
      <c r="A14" s="30"/>
      <c r="B14" s="100" t="s">
        <v>276</v>
      </c>
      <c r="C14" s="31">
        <v>1</v>
      </c>
      <c r="D14" s="32" t="s">
        <v>278</v>
      </c>
      <c r="E14" s="31">
        <f t="shared" si="0"/>
        <v>18</v>
      </c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96">
        <v>27.9</v>
      </c>
      <c r="AP14" s="33">
        <f t="shared" si="1"/>
        <v>1.5499999999999998</v>
      </c>
      <c r="AQ14" s="34">
        <f t="shared" si="2"/>
        <v>27.9</v>
      </c>
      <c r="AR14" s="35"/>
      <c r="AS14" s="36">
        <f t="shared" si="3"/>
        <v>1.5499999999999998</v>
      </c>
      <c r="AT14" s="36">
        <f t="shared" si="3"/>
        <v>27.9</v>
      </c>
      <c r="AU14" s="36">
        <f t="shared" si="4"/>
        <v>1.6895</v>
      </c>
      <c r="AV14" s="36">
        <f t="shared" si="5"/>
        <v>30.411000000000001</v>
      </c>
      <c r="AW14" s="37"/>
      <c r="AX14" s="38"/>
      <c r="AY14" s="38">
        <f t="shared" si="7"/>
        <v>-1.6895</v>
      </c>
      <c r="AZ14" s="38">
        <f t="shared" si="8"/>
        <v>-30.411000000000001</v>
      </c>
      <c r="BA14" s="39" t="e">
        <f t="shared" si="9"/>
        <v>#DIV/0!</v>
      </c>
      <c r="BB14" s="41"/>
      <c r="BC14" s="119"/>
      <c r="BD14" s="108"/>
      <c r="BE14" s="120"/>
      <c r="BF14" s="121"/>
      <c r="BG14" s="121"/>
      <c r="BH14" s="122"/>
      <c r="BI14" s="121"/>
      <c r="BJ14" s="123"/>
      <c r="BK14" s="124"/>
      <c r="BL14" s="125"/>
    </row>
    <row r="15" spans="1:64" ht="45" customHeight="1" x14ac:dyDescent="0.25">
      <c r="A15" s="30"/>
      <c r="B15" s="100" t="s">
        <v>282</v>
      </c>
      <c r="C15" s="31">
        <v>1</v>
      </c>
      <c r="D15" s="32" t="s">
        <v>279</v>
      </c>
      <c r="E15" s="31">
        <f t="shared" si="0"/>
        <v>5</v>
      </c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96">
        <v>20.5</v>
      </c>
      <c r="AP15" s="33">
        <f t="shared" si="1"/>
        <v>4.0999999999999996</v>
      </c>
      <c r="AQ15" s="34">
        <f t="shared" si="2"/>
        <v>20.5</v>
      </c>
      <c r="AR15" s="35"/>
      <c r="AS15" s="36">
        <f t="shared" si="3"/>
        <v>4.0999999999999996</v>
      </c>
      <c r="AT15" s="36">
        <f t="shared" si="3"/>
        <v>20.5</v>
      </c>
      <c r="AU15" s="36">
        <f t="shared" si="4"/>
        <v>4.4690000000000003</v>
      </c>
      <c r="AV15" s="36">
        <f t="shared" si="5"/>
        <v>22.345000000000002</v>
      </c>
      <c r="AW15" s="37"/>
      <c r="AX15" s="38"/>
      <c r="AY15" s="38">
        <f t="shared" si="7"/>
        <v>-4.4690000000000003</v>
      </c>
      <c r="AZ15" s="38">
        <f t="shared" si="8"/>
        <v>-22.345000000000002</v>
      </c>
      <c r="BA15" s="39" t="e">
        <f t="shared" si="9"/>
        <v>#DIV/0!</v>
      </c>
      <c r="BB15" s="41"/>
      <c r="BC15" s="119"/>
      <c r="BD15" s="108"/>
      <c r="BE15" s="120"/>
      <c r="BF15" s="121"/>
      <c r="BG15" s="121"/>
      <c r="BH15" s="122"/>
      <c r="BI15" s="121"/>
      <c r="BJ15" s="123"/>
      <c r="BK15" s="124"/>
      <c r="BL15" s="125"/>
    </row>
    <row r="16" spans="1:64" ht="45" customHeight="1" x14ac:dyDescent="0.25">
      <c r="A16" s="30"/>
      <c r="B16" s="100" t="s">
        <v>277</v>
      </c>
      <c r="C16" s="31">
        <v>1</v>
      </c>
      <c r="D16" s="32" t="s">
        <v>279</v>
      </c>
      <c r="E16" s="31">
        <f t="shared" si="0"/>
        <v>5</v>
      </c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96">
        <v>20.5</v>
      </c>
      <c r="AP16" s="33">
        <f t="shared" si="1"/>
        <v>4.0999999999999996</v>
      </c>
      <c r="AQ16" s="34">
        <f t="shared" si="2"/>
        <v>20.5</v>
      </c>
      <c r="AR16" s="35"/>
      <c r="AS16" s="36">
        <f t="shared" si="3"/>
        <v>4.0999999999999996</v>
      </c>
      <c r="AT16" s="36">
        <f t="shared" si="3"/>
        <v>20.5</v>
      </c>
      <c r="AU16" s="36">
        <f t="shared" si="4"/>
        <v>4.4690000000000003</v>
      </c>
      <c r="AV16" s="36">
        <f t="shared" si="5"/>
        <v>22.345000000000002</v>
      </c>
      <c r="AW16" s="37"/>
      <c r="AX16" s="38"/>
      <c r="AY16" s="38">
        <f t="shared" si="7"/>
        <v>-4.4690000000000003</v>
      </c>
      <c r="AZ16" s="38">
        <f t="shared" si="8"/>
        <v>-22.345000000000002</v>
      </c>
      <c r="BA16" s="39" t="e">
        <f t="shared" si="9"/>
        <v>#DIV/0!</v>
      </c>
      <c r="BB16" s="41"/>
      <c r="BC16" s="119"/>
      <c r="BD16" s="108"/>
      <c r="BE16" s="120"/>
      <c r="BF16" s="121"/>
      <c r="BG16" s="121"/>
      <c r="BH16" s="122"/>
      <c r="BI16" s="121"/>
      <c r="BJ16" s="123"/>
      <c r="BK16" s="124"/>
      <c r="BL16" s="125"/>
    </row>
    <row r="17" spans="1:64" ht="45" customHeight="1" x14ac:dyDescent="0.25">
      <c r="A17" s="30"/>
      <c r="B17" s="100" t="s">
        <v>274</v>
      </c>
      <c r="C17" s="31">
        <v>1</v>
      </c>
      <c r="D17" s="32" t="s">
        <v>25</v>
      </c>
      <c r="E17" s="31">
        <f t="shared" si="0"/>
        <v>6</v>
      </c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96">
        <v>39.5</v>
      </c>
      <c r="AP17" s="33">
        <f t="shared" si="1"/>
        <v>6.583333333333333</v>
      </c>
      <c r="AQ17" s="34">
        <f t="shared" si="2"/>
        <v>39.5</v>
      </c>
      <c r="AR17" s="35"/>
      <c r="AS17" s="36">
        <f t="shared" si="3"/>
        <v>6.583333333333333</v>
      </c>
      <c r="AT17" s="36">
        <f t="shared" si="3"/>
        <v>39.5</v>
      </c>
      <c r="AU17" s="36">
        <f t="shared" si="4"/>
        <v>7.1758333333333333</v>
      </c>
      <c r="AV17" s="36">
        <f t="shared" si="5"/>
        <v>43.055</v>
      </c>
      <c r="AW17" s="37"/>
      <c r="AX17" s="38"/>
      <c r="AY17" s="38">
        <f t="shared" si="7"/>
        <v>-7.1758333333333333</v>
      </c>
      <c r="AZ17" s="38">
        <f t="shared" si="8"/>
        <v>-43.055</v>
      </c>
      <c r="BA17" s="39" t="e">
        <f t="shared" si="9"/>
        <v>#DIV/0!</v>
      </c>
      <c r="BB17" s="41"/>
      <c r="BC17" s="119"/>
      <c r="BD17" s="108"/>
      <c r="BE17" s="120"/>
      <c r="BF17" s="121"/>
      <c r="BG17" s="121"/>
      <c r="BH17" s="122"/>
      <c r="BI17" s="121"/>
      <c r="BJ17" s="123"/>
      <c r="BK17" s="124"/>
      <c r="BL17" s="125"/>
    </row>
    <row r="18" spans="1:64" ht="45" customHeight="1" x14ac:dyDescent="0.25">
      <c r="A18" s="30"/>
      <c r="B18" s="100" t="s">
        <v>274</v>
      </c>
      <c r="C18" s="31">
        <v>1</v>
      </c>
      <c r="D18" s="32" t="s">
        <v>25</v>
      </c>
      <c r="E18" s="31">
        <f t="shared" si="0"/>
        <v>6</v>
      </c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96">
        <v>39.5</v>
      </c>
      <c r="AP18" s="33">
        <f t="shared" si="1"/>
        <v>6.583333333333333</v>
      </c>
      <c r="AQ18" s="34">
        <f t="shared" si="2"/>
        <v>39.5</v>
      </c>
      <c r="AR18" s="35"/>
      <c r="AS18" s="36">
        <f t="shared" si="3"/>
        <v>6.583333333333333</v>
      </c>
      <c r="AT18" s="36">
        <f t="shared" si="3"/>
        <v>39.5</v>
      </c>
      <c r="AU18" s="36">
        <f t="shared" si="4"/>
        <v>7.1758333333333333</v>
      </c>
      <c r="AV18" s="36">
        <f t="shared" si="5"/>
        <v>43.055</v>
      </c>
      <c r="AW18" s="37"/>
      <c r="AX18" s="38"/>
      <c r="AY18" s="38">
        <f t="shared" si="7"/>
        <v>-7.1758333333333333</v>
      </c>
      <c r="AZ18" s="38">
        <f t="shared" si="8"/>
        <v>-43.055</v>
      </c>
      <c r="BA18" s="39" t="e">
        <f t="shared" si="9"/>
        <v>#DIV/0!</v>
      </c>
      <c r="BB18" s="41"/>
      <c r="BC18" s="119"/>
      <c r="BD18" s="108"/>
      <c r="BE18" s="120"/>
      <c r="BF18" s="121"/>
      <c r="BG18" s="121"/>
      <c r="BH18" s="122"/>
      <c r="BI18" s="121"/>
      <c r="BJ18" s="123"/>
      <c r="BK18" s="124"/>
      <c r="BL18" s="125"/>
    </row>
    <row r="19" spans="1:64" ht="45" customHeight="1" x14ac:dyDescent="0.25">
      <c r="A19" s="30"/>
      <c r="B19" s="100" t="s">
        <v>280</v>
      </c>
      <c r="C19" s="31">
        <v>1</v>
      </c>
      <c r="D19" s="32" t="s">
        <v>25</v>
      </c>
      <c r="E19" s="31">
        <f t="shared" si="0"/>
        <v>6</v>
      </c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96">
        <v>39.5</v>
      </c>
      <c r="AP19" s="33">
        <f t="shared" si="1"/>
        <v>6.583333333333333</v>
      </c>
      <c r="AQ19" s="34">
        <f t="shared" si="2"/>
        <v>39.5</v>
      </c>
      <c r="AR19" s="35"/>
      <c r="AS19" s="36">
        <f t="shared" si="3"/>
        <v>6.583333333333333</v>
      </c>
      <c r="AT19" s="36">
        <f t="shared" si="3"/>
        <v>39.5</v>
      </c>
      <c r="AU19" s="36">
        <f t="shared" si="4"/>
        <v>7.1758333333333333</v>
      </c>
      <c r="AV19" s="36">
        <f t="shared" si="5"/>
        <v>43.055</v>
      </c>
      <c r="AW19" s="37"/>
      <c r="AX19" s="38"/>
      <c r="AY19" s="38">
        <f t="shared" si="7"/>
        <v>-7.1758333333333333</v>
      </c>
      <c r="AZ19" s="38">
        <f t="shared" si="8"/>
        <v>-43.055</v>
      </c>
      <c r="BA19" s="39" t="e">
        <f t="shared" si="9"/>
        <v>#DIV/0!</v>
      </c>
      <c r="BB19" s="41"/>
      <c r="BC19" s="119"/>
      <c r="BD19" s="108"/>
      <c r="BE19" s="120"/>
      <c r="BF19" s="121"/>
      <c r="BG19" s="121"/>
      <c r="BH19" s="122"/>
      <c r="BI19" s="121"/>
      <c r="BJ19" s="123"/>
      <c r="BK19" s="124"/>
      <c r="BL19" s="125"/>
    </row>
    <row r="20" spans="1:64" ht="45" customHeight="1" x14ac:dyDescent="0.25">
      <c r="A20" s="30"/>
      <c r="B20" s="100" t="s">
        <v>281</v>
      </c>
      <c r="C20" s="31">
        <v>1</v>
      </c>
      <c r="D20" s="32" t="s">
        <v>25</v>
      </c>
      <c r="E20" s="31">
        <f t="shared" si="0"/>
        <v>6</v>
      </c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96">
        <v>39.5</v>
      </c>
      <c r="AP20" s="33">
        <f t="shared" si="1"/>
        <v>6.583333333333333</v>
      </c>
      <c r="AQ20" s="34">
        <f t="shared" si="2"/>
        <v>39.5</v>
      </c>
      <c r="AR20" s="35"/>
      <c r="AS20" s="36">
        <f t="shared" si="3"/>
        <v>6.583333333333333</v>
      </c>
      <c r="AT20" s="36">
        <f t="shared" si="3"/>
        <v>39.5</v>
      </c>
      <c r="AU20" s="36">
        <f t="shared" si="4"/>
        <v>7.1758333333333333</v>
      </c>
      <c r="AV20" s="36">
        <f t="shared" si="5"/>
        <v>43.055</v>
      </c>
      <c r="AW20" s="37"/>
      <c r="AX20" s="38"/>
      <c r="AY20" s="38">
        <f t="shared" si="7"/>
        <v>-7.1758333333333333</v>
      </c>
      <c r="AZ20" s="38">
        <f t="shared" si="8"/>
        <v>-43.055</v>
      </c>
      <c r="BA20" s="39" t="e">
        <f t="shared" si="9"/>
        <v>#DIV/0!</v>
      </c>
      <c r="BB20" s="41"/>
      <c r="BC20" s="119"/>
      <c r="BD20" s="108"/>
      <c r="BE20" s="120"/>
      <c r="BF20" s="121"/>
      <c r="BG20" s="121"/>
      <c r="BH20" s="122"/>
      <c r="BI20" s="121"/>
      <c r="BJ20" s="123"/>
      <c r="BK20" s="124"/>
      <c r="BL20" s="125"/>
    </row>
    <row r="21" spans="1:64" ht="45" customHeight="1" x14ac:dyDescent="0.25">
      <c r="A21" s="30">
        <v>3</v>
      </c>
      <c r="B21" s="100" t="s">
        <v>206</v>
      </c>
      <c r="C21" s="31">
        <v>1</v>
      </c>
      <c r="D21" s="32" t="s">
        <v>144</v>
      </c>
      <c r="E21" s="31">
        <f t="shared" si="0"/>
        <v>30</v>
      </c>
      <c r="F21" s="31" t="s">
        <v>226</v>
      </c>
      <c r="G21" s="31" t="s">
        <v>226</v>
      </c>
      <c r="H21" s="31" t="s">
        <v>226</v>
      </c>
      <c r="I21" s="31" t="s">
        <v>226</v>
      </c>
      <c r="J21" s="31" t="s">
        <v>226</v>
      </c>
      <c r="K21" s="31" t="s">
        <v>226</v>
      </c>
      <c r="L21" s="31" t="s">
        <v>226</v>
      </c>
      <c r="M21" s="31" t="s">
        <v>226</v>
      </c>
      <c r="N21" s="31" t="s">
        <v>226</v>
      </c>
      <c r="O21" s="31" t="s">
        <v>226</v>
      </c>
      <c r="P21" s="31" t="s">
        <v>226</v>
      </c>
      <c r="Q21" s="31" t="s">
        <v>226</v>
      </c>
      <c r="R21" s="31" t="s">
        <v>226</v>
      </c>
      <c r="S21" s="31" t="s">
        <v>226</v>
      </c>
      <c r="T21" s="31" t="s">
        <v>226</v>
      </c>
      <c r="U21" s="31" t="s">
        <v>226</v>
      </c>
      <c r="V21" s="31" t="s">
        <v>226</v>
      </c>
      <c r="W21" s="31" t="s">
        <v>226</v>
      </c>
      <c r="X21" s="31" t="s">
        <v>226</v>
      </c>
      <c r="Y21" s="31" t="s">
        <v>226</v>
      </c>
      <c r="Z21" s="31" t="s">
        <v>226</v>
      </c>
      <c r="AA21" s="31" t="s">
        <v>226</v>
      </c>
      <c r="AB21" s="31" t="s">
        <v>226</v>
      </c>
      <c r="AC21" s="31" t="s">
        <v>226</v>
      </c>
      <c r="AD21" s="31" t="s">
        <v>226</v>
      </c>
      <c r="AE21" s="31" t="s">
        <v>226</v>
      </c>
      <c r="AF21" s="31" t="s">
        <v>226</v>
      </c>
      <c r="AG21" s="31" t="s">
        <v>226</v>
      </c>
      <c r="AH21" s="31" t="s">
        <v>226</v>
      </c>
      <c r="AI21" s="31" t="s">
        <v>226</v>
      </c>
      <c r="AJ21" s="31" t="s">
        <v>226</v>
      </c>
      <c r="AK21" s="31" t="s">
        <v>226</v>
      </c>
      <c r="AL21" s="31" t="s">
        <v>226</v>
      </c>
      <c r="AM21" s="31"/>
      <c r="AN21" s="31"/>
      <c r="AO21" s="96">
        <v>18.899999999999999</v>
      </c>
      <c r="AP21" s="33">
        <f t="shared" si="1"/>
        <v>0.63</v>
      </c>
      <c r="AQ21" s="34">
        <f t="shared" si="2"/>
        <v>18.899999999999999</v>
      </c>
      <c r="AR21" s="35"/>
      <c r="AS21" s="36">
        <f t="shared" si="3"/>
        <v>0.63</v>
      </c>
      <c r="AT21" s="36">
        <f t="shared" si="3"/>
        <v>18.899999999999999</v>
      </c>
      <c r="AU21" s="36">
        <f t="shared" si="4"/>
        <v>0.68670000000000009</v>
      </c>
      <c r="AV21" s="36">
        <f t="shared" si="5"/>
        <v>20.601000000000003</v>
      </c>
      <c r="AW21" s="37"/>
      <c r="AX21" s="38">
        <f t="shared" si="6"/>
        <v>0</v>
      </c>
      <c r="AY21" s="38">
        <f t="shared" si="7"/>
        <v>-0.68670000000000009</v>
      </c>
      <c r="AZ21" s="38">
        <f t="shared" si="8"/>
        <v>-20.601000000000003</v>
      </c>
      <c r="BA21" s="39" t="e">
        <f t="shared" si="9"/>
        <v>#DIV/0!</v>
      </c>
      <c r="BB21" s="41"/>
      <c r="BC21" s="119">
        <f t="shared" si="10"/>
        <v>0</v>
      </c>
      <c r="BD21" s="108">
        <v>0.15</v>
      </c>
      <c r="BE21" s="120">
        <f t="shared" si="11"/>
        <v>0</v>
      </c>
      <c r="BF21" s="121">
        <f t="shared" si="12"/>
        <v>0</v>
      </c>
      <c r="BG21" s="121">
        <f t="shared" si="13"/>
        <v>0</v>
      </c>
      <c r="BH21" s="122">
        <f t="shared" si="14"/>
        <v>0</v>
      </c>
      <c r="BI21" s="121">
        <f t="shared" si="15"/>
        <v>0</v>
      </c>
      <c r="BJ21" s="123" t="e">
        <f t="shared" si="16"/>
        <v>#DIV/0!</v>
      </c>
      <c r="BK21" s="124" t="e">
        <f t="shared" si="17"/>
        <v>#DIV/0!</v>
      </c>
      <c r="BL21" s="125" t="s">
        <v>226</v>
      </c>
    </row>
    <row r="22" spans="1:64" ht="45" customHeight="1" x14ac:dyDescent="0.25">
      <c r="A22" s="30">
        <v>4</v>
      </c>
      <c r="B22" s="100" t="s">
        <v>207</v>
      </c>
      <c r="C22" s="31">
        <v>1</v>
      </c>
      <c r="D22" s="32" t="s">
        <v>144</v>
      </c>
      <c r="E22" s="31">
        <f t="shared" si="0"/>
        <v>30</v>
      </c>
      <c r="F22" s="31" t="s">
        <v>226</v>
      </c>
      <c r="G22" s="31" t="s">
        <v>226</v>
      </c>
      <c r="H22" s="31" t="s">
        <v>226</v>
      </c>
      <c r="I22" s="31" t="s">
        <v>226</v>
      </c>
      <c r="J22" s="31" t="s">
        <v>226</v>
      </c>
      <c r="K22" s="31" t="s">
        <v>226</v>
      </c>
      <c r="L22" s="31" t="s">
        <v>226</v>
      </c>
      <c r="M22" s="31" t="s">
        <v>226</v>
      </c>
      <c r="N22" s="31" t="s">
        <v>226</v>
      </c>
      <c r="O22" s="31" t="s">
        <v>226</v>
      </c>
      <c r="P22" s="31" t="s">
        <v>226</v>
      </c>
      <c r="Q22" s="31" t="s">
        <v>226</v>
      </c>
      <c r="R22" s="31" t="s">
        <v>226</v>
      </c>
      <c r="S22" s="31" t="s">
        <v>226</v>
      </c>
      <c r="T22" s="31" t="s">
        <v>226</v>
      </c>
      <c r="U22" s="31" t="s">
        <v>226</v>
      </c>
      <c r="V22" s="31" t="s">
        <v>226</v>
      </c>
      <c r="W22" s="31" t="s">
        <v>226</v>
      </c>
      <c r="X22" s="31" t="s">
        <v>226</v>
      </c>
      <c r="Y22" s="31" t="s">
        <v>226</v>
      </c>
      <c r="Z22" s="31" t="s">
        <v>226</v>
      </c>
      <c r="AA22" s="31" t="s">
        <v>226</v>
      </c>
      <c r="AB22" s="31" t="s">
        <v>226</v>
      </c>
      <c r="AC22" s="31" t="s">
        <v>226</v>
      </c>
      <c r="AD22" s="31" t="s">
        <v>226</v>
      </c>
      <c r="AE22" s="31" t="s">
        <v>226</v>
      </c>
      <c r="AF22" s="31" t="s">
        <v>226</v>
      </c>
      <c r="AG22" s="31" t="s">
        <v>226</v>
      </c>
      <c r="AH22" s="31" t="s">
        <v>226</v>
      </c>
      <c r="AI22" s="31" t="s">
        <v>226</v>
      </c>
      <c r="AJ22" s="31" t="s">
        <v>226</v>
      </c>
      <c r="AK22" s="31" t="s">
        <v>226</v>
      </c>
      <c r="AL22" s="31" t="s">
        <v>226</v>
      </c>
      <c r="AM22" s="31"/>
      <c r="AN22" s="31"/>
      <c r="AO22" s="96">
        <v>18.899999999999999</v>
      </c>
      <c r="AP22" s="33">
        <f t="shared" si="1"/>
        <v>0.63</v>
      </c>
      <c r="AQ22" s="34">
        <f t="shared" si="2"/>
        <v>18.899999999999999</v>
      </c>
      <c r="AR22" s="35"/>
      <c r="AS22" s="36">
        <f t="shared" si="3"/>
        <v>0.63</v>
      </c>
      <c r="AT22" s="36">
        <f t="shared" si="3"/>
        <v>18.899999999999999</v>
      </c>
      <c r="AU22" s="36">
        <f t="shared" si="4"/>
        <v>0.68670000000000009</v>
      </c>
      <c r="AV22" s="36">
        <f t="shared" si="5"/>
        <v>20.601000000000003</v>
      </c>
      <c r="AW22" s="37"/>
      <c r="AX22" s="38">
        <f t="shared" si="6"/>
        <v>0</v>
      </c>
      <c r="AY22" s="38">
        <f t="shared" si="7"/>
        <v>-0.68670000000000009</v>
      </c>
      <c r="AZ22" s="38">
        <f t="shared" si="8"/>
        <v>-20.601000000000003</v>
      </c>
      <c r="BA22" s="39" t="e">
        <f t="shared" si="9"/>
        <v>#DIV/0!</v>
      </c>
      <c r="BB22" s="41"/>
      <c r="BC22" s="119">
        <f t="shared" si="10"/>
        <v>0</v>
      </c>
      <c r="BD22" s="108">
        <v>0.15</v>
      </c>
      <c r="BE22" s="120">
        <f t="shared" si="11"/>
        <v>0</v>
      </c>
      <c r="BF22" s="121">
        <f t="shared" si="12"/>
        <v>0</v>
      </c>
      <c r="BG22" s="121">
        <f t="shared" si="13"/>
        <v>0</v>
      </c>
      <c r="BH22" s="122">
        <f t="shared" si="14"/>
        <v>0</v>
      </c>
      <c r="BI22" s="121">
        <f t="shared" si="15"/>
        <v>0</v>
      </c>
      <c r="BJ22" s="123" t="e">
        <f t="shared" si="16"/>
        <v>#DIV/0!</v>
      </c>
      <c r="BK22" s="124" t="e">
        <f t="shared" si="17"/>
        <v>#DIV/0!</v>
      </c>
      <c r="BL22" s="125" t="s">
        <v>226</v>
      </c>
    </row>
    <row r="23" spans="1:64" ht="45" customHeight="1" x14ac:dyDescent="0.25">
      <c r="A23" s="30">
        <v>5</v>
      </c>
      <c r="B23" s="100" t="s">
        <v>208</v>
      </c>
      <c r="C23" s="31">
        <v>1</v>
      </c>
      <c r="D23" s="32" t="s">
        <v>144</v>
      </c>
      <c r="E23" s="31">
        <f t="shared" si="0"/>
        <v>30</v>
      </c>
      <c r="F23" s="31" t="s">
        <v>226</v>
      </c>
      <c r="G23" s="31" t="s">
        <v>226</v>
      </c>
      <c r="H23" s="31" t="s">
        <v>226</v>
      </c>
      <c r="I23" s="31" t="s">
        <v>226</v>
      </c>
      <c r="J23" s="31" t="s">
        <v>226</v>
      </c>
      <c r="K23" s="31" t="s">
        <v>226</v>
      </c>
      <c r="L23" s="31" t="s">
        <v>226</v>
      </c>
      <c r="M23" s="31" t="s">
        <v>226</v>
      </c>
      <c r="N23" s="31" t="s">
        <v>226</v>
      </c>
      <c r="O23" s="31" t="s">
        <v>226</v>
      </c>
      <c r="P23" s="31" t="s">
        <v>226</v>
      </c>
      <c r="Q23" s="31" t="s">
        <v>226</v>
      </c>
      <c r="R23" s="31" t="s">
        <v>226</v>
      </c>
      <c r="S23" s="31" t="s">
        <v>226</v>
      </c>
      <c r="T23" s="31" t="s">
        <v>226</v>
      </c>
      <c r="U23" s="31" t="s">
        <v>226</v>
      </c>
      <c r="V23" s="31" t="s">
        <v>226</v>
      </c>
      <c r="W23" s="31" t="s">
        <v>226</v>
      </c>
      <c r="X23" s="31" t="s">
        <v>226</v>
      </c>
      <c r="Y23" s="31" t="s">
        <v>226</v>
      </c>
      <c r="Z23" s="31" t="s">
        <v>226</v>
      </c>
      <c r="AA23" s="31" t="s">
        <v>226</v>
      </c>
      <c r="AB23" s="31" t="s">
        <v>226</v>
      </c>
      <c r="AC23" s="31" t="s">
        <v>226</v>
      </c>
      <c r="AD23" s="31" t="s">
        <v>226</v>
      </c>
      <c r="AE23" s="31" t="s">
        <v>226</v>
      </c>
      <c r="AF23" s="31" t="s">
        <v>226</v>
      </c>
      <c r="AG23" s="31" t="s">
        <v>226</v>
      </c>
      <c r="AH23" s="31" t="s">
        <v>226</v>
      </c>
      <c r="AI23" s="31" t="s">
        <v>226</v>
      </c>
      <c r="AJ23" s="31" t="s">
        <v>226</v>
      </c>
      <c r="AK23" s="31" t="s">
        <v>226</v>
      </c>
      <c r="AL23" s="31" t="s">
        <v>226</v>
      </c>
      <c r="AM23" s="31"/>
      <c r="AN23" s="31"/>
      <c r="AO23" s="96">
        <v>18.899999999999999</v>
      </c>
      <c r="AP23" s="33">
        <f t="shared" si="1"/>
        <v>0.63</v>
      </c>
      <c r="AQ23" s="34">
        <f t="shared" si="2"/>
        <v>18.899999999999999</v>
      </c>
      <c r="AR23" s="35"/>
      <c r="AS23" s="36">
        <f t="shared" si="3"/>
        <v>0.63</v>
      </c>
      <c r="AT23" s="36">
        <f t="shared" si="3"/>
        <v>18.899999999999999</v>
      </c>
      <c r="AU23" s="36">
        <f t="shared" si="4"/>
        <v>0.68670000000000009</v>
      </c>
      <c r="AV23" s="36">
        <f t="shared" si="5"/>
        <v>20.601000000000003</v>
      </c>
      <c r="AW23" s="37"/>
      <c r="AX23" s="38">
        <f t="shared" si="6"/>
        <v>0</v>
      </c>
      <c r="AY23" s="38">
        <f t="shared" si="7"/>
        <v>-0.68670000000000009</v>
      </c>
      <c r="AZ23" s="38">
        <f t="shared" si="8"/>
        <v>-20.601000000000003</v>
      </c>
      <c r="BA23" s="39" t="e">
        <f t="shared" si="9"/>
        <v>#DIV/0!</v>
      </c>
      <c r="BB23" s="41"/>
      <c r="BC23" s="119">
        <f t="shared" si="10"/>
        <v>0</v>
      </c>
      <c r="BD23" s="108">
        <v>0.15</v>
      </c>
      <c r="BE23" s="120">
        <f t="shared" si="11"/>
        <v>0</v>
      </c>
      <c r="BF23" s="121">
        <f t="shared" si="12"/>
        <v>0</v>
      </c>
      <c r="BG23" s="121">
        <f t="shared" si="13"/>
        <v>0</v>
      </c>
      <c r="BH23" s="122">
        <f t="shared" si="14"/>
        <v>0</v>
      </c>
      <c r="BI23" s="121">
        <f t="shared" si="15"/>
        <v>0</v>
      </c>
      <c r="BJ23" s="123" t="e">
        <f t="shared" si="16"/>
        <v>#DIV/0!</v>
      </c>
      <c r="BK23" s="124" t="e">
        <f t="shared" si="17"/>
        <v>#DIV/0!</v>
      </c>
      <c r="BL23" s="125" t="s">
        <v>226</v>
      </c>
    </row>
    <row r="24" spans="1:64" ht="45" customHeight="1" x14ac:dyDescent="0.25">
      <c r="A24" s="30">
        <v>6</v>
      </c>
      <c r="B24" s="100" t="s">
        <v>214</v>
      </c>
      <c r="C24" s="31">
        <v>1</v>
      </c>
      <c r="D24" s="32" t="s">
        <v>24</v>
      </c>
      <c r="E24" s="31">
        <f t="shared" si="0"/>
        <v>24</v>
      </c>
      <c r="F24" s="31" t="s">
        <v>226</v>
      </c>
      <c r="G24" s="31" t="s">
        <v>226</v>
      </c>
      <c r="H24" s="31" t="s">
        <v>226</v>
      </c>
      <c r="I24" s="31" t="s">
        <v>226</v>
      </c>
      <c r="J24" s="31" t="s">
        <v>226</v>
      </c>
      <c r="K24" s="31" t="s">
        <v>226</v>
      </c>
      <c r="L24" s="31" t="s">
        <v>226</v>
      </c>
      <c r="M24" s="31" t="s">
        <v>226</v>
      </c>
      <c r="N24" s="31" t="s">
        <v>226</v>
      </c>
      <c r="O24" s="31" t="s">
        <v>226</v>
      </c>
      <c r="P24" s="31" t="s">
        <v>226</v>
      </c>
      <c r="Q24" s="31" t="s">
        <v>226</v>
      </c>
      <c r="R24" s="31" t="s">
        <v>226</v>
      </c>
      <c r="S24" s="31" t="s">
        <v>226</v>
      </c>
      <c r="T24" s="31" t="s">
        <v>226</v>
      </c>
      <c r="U24" s="31" t="s">
        <v>226</v>
      </c>
      <c r="V24" s="31" t="s">
        <v>226</v>
      </c>
      <c r="W24" s="31" t="s">
        <v>226</v>
      </c>
      <c r="X24" s="31" t="s">
        <v>226</v>
      </c>
      <c r="Y24" s="31" t="s">
        <v>226</v>
      </c>
      <c r="Z24" s="31" t="s">
        <v>226</v>
      </c>
      <c r="AA24" s="31" t="s">
        <v>226</v>
      </c>
      <c r="AB24" s="31" t="s">
        <v>226</v>
      </c>
      <c r="AC24" s="31" t="s">
        <v>226</v>
      </c>
      <c r="AD24" s="31" t="s">
        <v>226</v>
      </c>
      <c r="AE24" s="31" t="s">
        <v>226</v>
      </c>
      <c r="AF24" s="31" t="s">
        <v>226</v>
      </c>
      <c r="AG24" s="31" t="s">
        <v>226</v>
      </c>
      <c r="AH24" s="31" t="s">
        <v>226</v>
      </c>
      <c r="AI24" s="31" t="s">
        <v>226</v>
      </c>
      <c r="AJ24" s="31" t="s">
        <v>226</v>
      </c>
      <c r="AK24" s="31" t="s">
        <v>226</v>
      </c>
      <c r="AL24" s="31" t="s">
        <v>226</v>
      </c>
      <c r="AM24" s="31"/>
      <c r="AN24" s="31"/>
      <c r="AO24" s="96">
        <v>14.4</v>
      </c>
      <c r="AP24" s="33">
        <f t="shared" si="1"/>
        <v>0.6</v>
      </c>
      <c r="AQ24" s="34">
        <f t="shared" si="2"/>
        <v>14.399999999999999</v>
      </c>
      <c r="AR24" s="35"/>
      <c r="AS24" s="36">
        <f t="shared" si="3"/>
        <v>0.6</v>
      </c>
      <c r="AT24" s="36">
        <f t="shared" si="3"/>
        <v>14.399999999999999</v>
      </c>
      <c r="AU24" s="36">
        <f t="shared" si="4"/>
        <v>0.65400000000000003</v>
      </c>
      <c r="AV24" s="36">
        <f t="shared" si="5"/>
        <v>15.696000000000002</v>
      </c>
      <c r="AW24" s="37"/>
      <c r="AX24" s="38">
        <f t="shared" si="6"/>
        <v>0</v>
      </c>
      <c r="AY24" s="38">
        <f t="shared" si="7"/>
        <v>-0.65400000000000003</v>
      </c>
      <c r="AZ24" s="38">
        <f t="shared" si="8"/>
        <v>-15.696000000000002</v>
      </c>
      <c r="BA24" s="39" t="e">
        <f t="shared" si="9"/>
        <v>#DIV/0!</v>
      </c>
      <c r="BB24" s="41"/>
      <c r="BC24" s="119">
        <f t="shared" si="10"/>
        <v>0</v>
      </c>
      <c r="BD24" s="108">
        <v>0.15</v>
      </c>
      <c r="BE24" s="120">
        <f t="shared" si="11"/>
        <v>0</v>
      </c>
      <c r="BF24" s="121">
        <f t="shared" si="12"/>
        <v>0</v>
      </c>
      <c r="BG24" s="121">
        <f t="shared" si="13"/>
        <v>0</v>
      </c>
      <c r="BH24" s="122">
        <f t="shared" si="14"/>
        <v>0</v>
      </c>
      <c r="BI24" s="121">
        <f t="shared" si="15"/>
        <v>0</v>
      </c>
      <c r="BJ24" s="123" t="e">
        <f t="shared" si="16"/>
        <v>#DIV/0!</v>
      </c>
      <c r="BK24" s="124" t="e">
        <f t="shared" si="17"/>
        <v>#DIV/0!</v>
      </c>
      <c r="BL24" s="125" t="s">
        <v>226</v>
      </c>
    </row>
    <row r="25" spans="1:64" ht="45" customHeight="1" x14ac:dyDescent="0.25">
      <c r="A25" s="30">
        <v>7</v>
      </c>
      <c r="B25" s="100" t="s">
        <v>187</v>
      </c>
      <c r="C25" s="31">
        <v>1</v>
      </c>
      <c r="D25" s="32" t="s">
        <v>144</v>
      </c>
      <c r="E25" s="31">
        <f t="shared" si="0"/>
        <v>30</v>
      </c>
      <c r="F25" s="31" t="s">
        <v>226</v>
      </c>
      <c r="G25" s="31" t="s">
        <v>226</v>
      </c>
      <c r="H25" s="31" t="s">
        <v>226</v>
      </c>
      <c r="I25" s="31" t="s">
        <v>226</v>
      </c>
      <c r="J25" s="31" t="s">
        <v>226</v>
      </c>
      <c r="K25" s="31" t="s">
        <v>226</v>
      </c>
      <c r="L25" s="31" t="s">
        <v>226</v>
      </c>
      <c r="M25" s="31" t="s">
        <v>226</v>
      </c>
      <c r="N25" s="31" t="s">
        <v>226</v>
      </c>
      <c r="O25" s="31" t="s">
        <v>226</v>
      </c>
      <c r="P25" s="31" t="s">
        <v>226</v>
      </c>
      <c r="Q25" s="31" t="s">
        <v>226</v>
      </c>
      <c r="R25" s="31" t="s">
        <v>226</v>
      </c>
      <c r="S25" s="31" t="s">
        <v>226</v>
      </c>
      <c r="T25" s="31" t="s">
        <v>226</v>
      </c>
      <c r="U25" s="31" t="s">
        <v>226</v>
      </c>
      <c r="V25" s="31" t="s">
        <v>226</v>
      </c>
      <c r="W25" s="31" t="s">
        <v>226</v>
      </c>
      <c r="X25" s="31" t="s">
        <v>226</v>
      </c>
      <c r="Y25" s="31" t="s">
        <v>226</v>
      </c>
      <c r="Z25" s="31" t="s">
        <v>226</v>
      </c>
      <c r="AA25" s="31" t="s">
        <v>226</v>
      </c>
      <c r="AB25" s="31" t="s">
        <v>226</v>
      </c>
      <c r="AC25" s="31" t="s">
        <v>226</v>
      </c>
      <c r="AD25" s="31" t="s">
        <v>226</v>
      </c>
      <c r="AE25" s="31" t="s">
        <v>226</v>
      </c>
      <c r="AF25" s="31" t="s">
        <v>226</v>
      </c>
      <c r="AG25" s="31" t="s">
        <v>226</v>
      </c>
      <c r="AH25" s="31" t="s">
        <v>226</v>
      </c>
      <c r="AI25" s="31" t="s">
        <v>226</v>
      </c>
      <c r="AJ25" s="31" t="s">
        <v>226</v>
      </c>
      <c r="AK25" s="31" t="s">
        <v>226</v>
      </c>
      <c r="AL25" s="31" t="s">
        <v>226</v>
      </c>
      <c r="AM25" s="31"/>
      <c r="AN25" s="31"/>
      <c r="AO25" s="96">
        <v>90.5</v>
      </c>
      <c r="AP25" s="33">
        <f t="shared" si="1"/>
        <v>3.0166666666666666</v>
      </c>
      <c r="AQ25" s="34">
        <f t="shared" si="2"/>
        <v>90.5</v>
      </c>
      <c r="AR25" s="35"/>
      <c r="AS25" s="36">
        <f t="shared" si="3"/>
        <v>3.0166666666666666</v>
      </c>
      <c r="AT25" s="36">
        <f t="shared" si="3"/>
        <v>90.5</v>
      </c>
      <c r="AU25" s="36">
        <f t="shared" si="4"/>
        <v>3.2881666666666667</v>
      </c>
      <c r="AV25" s="36">
        <f t="shared" si="5"/>
        <v>98.644999999999996</v>
      </c>
      <c r="AW25" s="37"/>
      <c r="AX25" s="38">
        <f t="shared" si="6"/>
        <v>0</v>
      </c>
      <c r="AY25" s="38">
        <f t="shared" si="7"/>
        <v>-3.2881666666666667</v>
      </c>
      <c r="AZ25" s="38">
        <f t="shared" si="8"/>
        <v>-98.644999999999996</v>
      </c>
      <c r="BA25" s="39" t="e">
        <f t="shared" si="9"/>
        <v>#DIV/0!</v>
      </c>
      <c r="BB25" s="41"/>
      <c r="BC25" s="119">
        <f t="shared" si="10"/>
        <v>0</v>
      </c>
      <c r="BD25" s="108">
        <v>0.15</v>
      </c>
      <c r="BE25" s="120">
        <f t="shared" si="11"/>
        <v>0</v>
      </c>
      <c r="BF25" s="121">
        <f t="shared" si="12"/>
        <v>0</v>
      </c>
      <c r="BG25" s="121">
        <f t="shared" si="13"/>
        <v>0</v>
      </c>
      <c r="BH25" s="122">
        <f t="shared" si="14"/>
        <v>0</v>
      </c>
      <c r="BI25" s="121">
        <f t="shared" si="15"/>
        <v>0</v>
      </c>
      <c r="BJ25" s="123" t="e">
        <f t="shared" si="16"/>
        <v>#DIV/0!</v>
      </c>
      <c r="BK25" s="124" t="e">
        <f t="shared" si="17"/>
        <v>#DIV/0!</v>
      </c>
      <c r="BL25" s="125" t="s">
        <v>226</v>
      </c>
    </row>
    <row r="26" spans="1:64" ht="45" customHeight="1" x14ac:dyDescent="0.25">
      <c r="A26" s="30">
        <v>8</v>
      </c>
      <c r="B26" s="100" t="s">
        <v>186</v>
      </c>
      <c r="C26" s="31">
        <v>1</v>
      </c>
      <c r="D26" s="32" t="s">
        <v>157</v>
      </c>
      <c r="E26" s="31">
        <f t="shared" si="0"/>
        <v>60</v>
      </c>
      <c r="F26" s="31" t="s">
        <v>226</v>
      </c>
      <c r="G26" s="31" t="s">
        <v>226</v>
      </c>
      <c r="H26" s="31" t="s">
        <v>226</v>
      </c>
      <c r="I26" s="31" t="s">
        <v>226</v>
      </c>
      <c r="J26" s="31" t="s">
        <v>226</v>
      </c>
      <c r="K26" s="31" t="s">
        <v>226</v>
      </c>
      <c r="L26" s="31" t="s">
        <v>226</v>
      </c>
      <c r="M26" s="31" t="s">
        <v>226</v>
      </c>
      <c r="N26" s="31" t="s">
        <v>226</v>
      </c>
      <c r="O26" s="31" t="s">
        <v>226</v>
      </c>
      <c r="P26" s="31" t="s">
        <v>226</v>
      </c>
      <c r="Q26" s="31" t="s">
        <v>226</v>
      </c>
      <c r="R26" s="31" t="s">
        <v>226</v>
      </c>
      <c r="S26" s="31" t="s">
        <v>226</v>
      </c>
      <c r="T26" s="31" t="s">
        <v>226</v>
      </c>
      <c r="U26" s="31" t="s">
        <v>226</v>
      </c>
      <c r="V26" s="31" t="s">
        <v>226</v>
      </c>
      <c r="W26" s="31" t="s">
        <v>226</v>
      </c>
      <c r="X26" s="31" t="s">
        <v>226</v>
      </c>
      <c r="Y26" s="31" t="s">
        <v>226</v>
      </c>
      <c r="Z26" s="31" t="s">
        <v>226</v>
      </c>
      <c r="AA26" s="31" t="s">
        <v>226</v>
      </c>
      <c r="AB26" s="31" t="s">
        <v>226</v>
      </c>
      <c r="AC26" s="31" t="s">
        <v>226</v>
      </c>
      <c r="AD26" s="31" t="s">
        <v>226</v>
      </c>
      <c r="AE26" s="31" t="s">
        <v>226</v>
      </c>
      <c r="AF26" s="31" t="s">
        <v>226</v>
      </c>
      <c r="AG26" s="31" t="s">
        <v>226</v>
      </c>
      <c r="AH26" s="31" t="s">
        <v>226</v>
      </c>
      <c r="AI26" s="31" t="s">
        <v>226</v>
      </c>
      <c r="AJ26" s="31" t="s">
        <v>226</v>
      </c>
      <c r="AK26" s="31" t="s">
        <v>226</v>
      </c>
      <c r="AL26" s="31" t="s">
        <v>226</v>
      </c>
      <c r="AM26" s="31"/>
      <c r="AN26" s="31"/>
      <c r="AO26" s="96">
        <v>61.2</v>
      </c>
      <c r="AP26" s="33">
        <f t="shared" si="1"/>
        <v>1.02</v>
      </c>
      <c r="AQ26" s="34">
        <f t="shared" si="2"/>
        <v>61.2</v>
      </c>
      <c r="AR26" s="35"/>
      <c r="AS26" s="36">
        <f t="shared" si="3"/>
        <v>1.02</v>
      </c>
      <c r="AT26" s="36">
        <f t="shared" si="3"/>
        <v>61.2</v>
      </c>
      <c r="AU26" s="36">
        <f t="shared" si="4"/>
        <v>1.1118000000000001</v>
      </c>
      <c r="AV26" s="36">
        <f t="shared" si="5"/>
        <v>66.708000000000013</v>
      </c>
      <c r="AW26" s="37"/>
      <c r="AX26" s="38">
        <f t="shared" si="6"/>
        <v>0</v>
      </c>
      <c r="AY26" s="38">
        <f t="shared" si="7"/>
        <v>-1.1118000000000001</v>
      </c>
      <c r="AZ26" s="38">
        <f t="shared" si="8"/>
        <v>-66.708000000000013</v>
      </c>
      <c r="BA26" s="39" t="e">
        <f t="shared" si="9"/>
        <v>#DIV/0!</v>
      </c>
      <c r="BB26" s="41"/>
      <c r="BC26" s="119">
        <f t="shared" si="10"/>
        <v>0</v>
      </c>
      <c r="BD26" s="108">
        <v>0.15</v>
      </c>
      <c r="BE26" s="120">
        <f t="shared" si="11"/>
        <v>0</v>
      </c>
      <c r="BF26" s="121">
        <f t="shared" si="12"/>
        <v>0</v>
      </c>
      <c r="BG26" s="121">
        <f t="shared" si="13"/>
        <v>0</v>
      </c>
      <c r="BH26" s="122">
        <f t="shared" si="14"/>
        <v>0</v>
      </c>
      <c r="BI26" s="121">
        <f t="shared" si="15"/>
        <v>0</v>
      </c>
      <c r="BJ26" s="123" t="e">
        <f t="shared" si="16"/>
        <v>#DIV/0!</v>
      </c>
      <c r="BK26" s="124" t="e">
        <f t="shared" si="17"/>
        <v>#DIV/0!</v>
      </c>
      <c r="BL26" s="125" t="s">
        <v>226</v>
      </c>
    </row>
    <row r="27" spans="1:64" ht="45" customHeight="1" x14ac:dyDescent="0.25">
      <c r="A27" s="30">
        <v>9</v>
      </c>
      <c r="B27" s="100" t="s">
        <v>253</v>
      </c>
      <c r="C27" s="31">
        <v>1</v>
      </c>
      <c r="D27" s="32" t="s">
        <v>24</v>
      </c>
      <c r="E27" s="31">
        <f t="shared" si="0"/>
        <v>24</v>
      </c>
      <c r="F27" s="31" t="s">
        <v>226</v>
      </c>
      <c r="G27" s="31" t="s">
        <v>226</v>
      </c>
      <c r="H27" s="31" t="s">
        <v>226</v>
      </c>
      <c r="I27" s="31" t="s">
        <v>226</v>
      </c>
      <c r="J27" s="31" t="s">
        <v>226</v>
      </c>
      <c r="K27" s="31" t="s">
        <v>226</v>
      </c>
      <c r="L27" s="31" t="s">
        <v>226</v>
      </c>
      <c r="M27" s="31" t="s">
        <v>226</v>
      </c>
      <c r="N27" s="31" t="s">
        <v>226</v>
      </c>
      <c r="O27" s="31" t="s">
        <v>226</v>
      </c>
      <c r="P27" s="31" t="s">
        <v>226</v>
      </c>
      <c r="Q27" s="31" t="s">
        <v>226</v>
      </c>
      <c r="R27" s="31" t="s">
        <v>226</v>
      </c>
      <c r="S27" s="31" t="s">
        <v>226</v>
      </c>
      <c r="T27" s="31" t="s">
        <v>226</v>
      </c>
      <c r="U27" s="31" t="s">
        <v>226</v>
      </c>
      <c r="V27" s="31" t="s">
        <v>226</v>
      </c>
      <c r="W27" s="31" t="s">
        <v>226</v>
      </c>
      <c r="X27" s="31" t="s">
        <v>226</v>
      </c>
      <c r="Y27" s="31" t="s">
        <v>226</v>
      </c>
      <c r="Z27" s="31" t="s">
        <v>226</v>
      </c>
      <c r="AA27" s="31" t="s">
        <v>226</v>
      </c>
      <c r="AB27" s="31" t="s">
        <v>226</v>
      </c>
      <c r="AC27" s="31" t="s">
        <v>226</v>
      </c>
      <c r="AD27" s="31" t="s">
        <v>226</v>
      </c>
      <c r="AE27" s="31" t="s">
        <v>226</v>
      </c>
      <c r="AF27" s="31" t="s">
        <v>226</v>
      </c>
      <c r="AG27" s="31" t="s">
        <v>226</v>
      </c>
      <c r="AH27" s="31" t="s">
        <v>226</v>
      </c>
      <c r="AI27" s="31" t="s">
        <v>226</v>
      </c>
      <c r="AJ27" s="31" t="s">
        <v>226</v>
      </c>
      <c r="AK27" s="31" t="s">
        <v>226</v>
      </c>
      <c r="AL27" s="31" t="s">
        <v>226</v>
      </c>
      <c r="AM27" s="31"/>
      <c r="AN27" s="31"/>
      <c r="AO27" s="96">
        <v>27</v>
      </c>
      <c r="AP27" s="33">
        <f t="shared" si="1"/>
        <v>1.125</v>
      </c>
      <c r="AQ27" s="34">
        <f t="shared" si="2"/>
        <v>27</v>
      </c>
      <c r="AR27" s="35"/>
      <c r="AS27" s="36">
        <f t="shared" si="3"/>
        <v>1.125</v>
      </c>
      <c r="AT27" s="36">
        <f t="shared" si="3"/>
        <v>27</v>
      </c>
      <c r="AU27" s="36">
        <f t="shared" si="4"/>
        <v>1.2262500000000001</v>
      </c>
      <c r="AV27" s="36">
        <f t="shared" si="5"/>
        <v>29.43</v>
      </c>
      <c r="AW27" s="37"/>
      <c r="AX27" s="38">
        <f t="shared" si="6"/>
        <v>0</v>
      </c>
      <c r="AY27" s="38">
        <f t="shared" si="7"/>
        <v>-1.2262500000000001</v>
      </c>
      <c r="AZ27" s="38">
        <f t="shared" si="8"/>
        <v>-29.43</v>
      </c>
      <c r="BA27" s="39" t="e">
        <f t="shared" si="9"/>
        <v>#DIV/0!</v>
      </c>
      <c r="BB27" s="41"/>
      <c r="BC27" s="119">
        <f t="shared" si="10"/>
        <v>0</v>
      </c>
      <c r="BD27" s="108">
        <v>0.15</v>
      </c>
      <c r="BE27" s="120">
        <f t="shared" si="11"/>
        <v>0</v>
      </c>
      <c r="BF27" s="121">
        <f t="shared" si="12"/>
        <v>0</v>
      </c>
      <c r="BG27" s="121">
        <f t="shared" si="13"/>
        <v>0</v>
      </c>
      <c r="BH27" s="122">
        <f t="shared" si="14"/>
        <v>0</v>
      </c>
      <c r="BI27" s="121">
        <f t="shared" si="15"/>
        <v>0</v>
      </c>
      <c r="BJ27" s="123" t="e">
        <f t="shared" si="16"/>
        <v>#DIV/0!</v>
      </c>
      <c r="BK27" s="124" t="e">
        <f t="shared" si="17"/>
        <v>#DIV/0!</v>
      </c>
      <c r="BL27" s="125" t="s">
        <v>226</v>
      </c>
    </row>
    <row r="28" spans="1:64" ht="45" customHeight="1" x14ac:dyDescent="0.25">
      <c r="A28" s="30">
        <v>9</v>
      </c>
      <c r="B28" s="100" t="s">
        <v>254</v>
      </c>
      <c r="C28" s="31">
        <v>1</v>
      </c>
      <c r="D28" s="32" t="s">
        <v>24</v>
      </c>
      <c r="E28" s="31">
        <f t="shared" si="0"/>
        <v>24</v>
      </c>
      <c r="F28" s="31" t="s">
        <v>226</v>
      </c>
      <c r="G28" s="31" t="s">
        <v>226</v>
      </c>
      <c r="H28" s="31" t="s">
        <v>226</v>
      </c>
      <c r="I28" s="31" t="s">
        <v>226</v>
      </c>
      <c r="J28" s="31" t="s">
        <v>226</v>
      </c>
      <c r="K28" s="31" t="s">
        <v>226</v>
      </c>
      <c r="L28" s="31" t="s">
        <v>226</v>
      </c>
      <c r="M28" s="31" t="s">
        <v>226</v>
      </c>
      <c r="N28" s="31" t="s">
        <v>226</v>
      </c>
      <c r="O28" s="31" t="s">
        <v>226</v>
      </c>
      <c r="P28" s="31" t="s">
        <v>226</v>
      </c>
      <c r="Q28" s="31" t="s">
        <v>226</v>
      </c>
      <c r="R28" s="31" t="s">
        <v>226</v>
      </c>
      <c r="S28" s="31" t="s">
        <v>226</v>
      </c>
      <c r="T28" s="31" t="s">
        <v>226</v>
      </c>
      <c r="U28" s="31" t="s">
        <v>226</v>
      </c>
      <c r="V28" s="31" t="s">
        <v>226</v>
      </c>
      <c r="W28" s="31" t="s">
        <v>226</v>
      </c>
      <c r="X28" s="31" t="s">
        <v>226</v>
      </c>
      <c r="Y28" s="31" t="s">
        <v>226</v>
      </c>
      <c r="Z28" s="31" t="s">
        <v>226</v>
      </c>
      <c r="AA28" s="31" t="s">
        <v>226</v>
      </c>
      <c r="AB28" s="31" t="s">
        <v>226</v>
      </c>
      <c r="AC28" s="31" t="s">
        <v>226</v>
      </c>
      <c r="AD28" s="31" t="s">
        <v>226</v>
      </c>
      <c r="AE28" s="31" t="s">
        <v>226</v>
      </c>
      <c r="AF28" s="31" t="s">
        <v>226</v>
      </c>
      <c r="AG28" s="31" t="s">
        <v>226</v>
      </c>
      <c r="AH28" s="31" t="s">
        <v>226</v>
      </c>
      <c r="AI28" s="31" t="s">
        <v>226</v>
      </c>
      <c r="AJ28" s="31" t="s">
        <v>226</v>
      </c>
      <c r="AK28" s="31" t="s">
        <v>226</v>
      </c>
      <c r="AL28" s="31" t="s">
        <v>226</v>
      </c>
      <c r="AM28" s="31"/>
      <c r="AN28" s="31"/>
      <c r="AO28" s="96">
        <v>27</v>
      </c>
      <c r="AP28" s="33">
        <f t="shared" si="1"/>
        <v>1.125</v>
      </c>
      <c r="AQ28" s="34">
        <f t="shared" si="2"/>
        <v>27</v>
      </c>
      <c r="AR28" s="35"/>
      <c r="AS28" s="36">
        <f t="shared" si="3"/>
        <v>1.125</v>
      </c>
      <c r="AT28" s="36">
        <f t="shared" si="3"/>
        <v>27</v>
      </c>
      <c r="AU28" s="36">
        <f t="shared" si="4"/>
        <v>1.2262500000000001</v>
      </c>
      <c r="AV28" s="36">
        <f t="shared" si="5"/>
        <v>29.43</v>
      </c>
      <c r="AW28" s="37"/>
      <c r="AX28" s="38">
        <f t="shared" si="6"/>
        <v>0</v>
      </c>
      <c r="AY28" s="38">
        <f t="shared" si="7"/>
        <v>-1.2262500000000001</v>
      </c>
      <c r="AZ28" s="38">
        <f t="shared" si="8"/>
        <v>-29.43</v>
      </c>
      <c r="BA28" s="39" t="e">
        <f t="shared" si="9"/>
        <v>#DIV/0!</v>
      </c>
      <c r="BB28" s="41"/>
      <c r="BC28" s="119">
        <f t="shared" si="10"/>
        <v>0</v>
      </c>
      <c r="BD28" s="108">
        <v>0.15</v>
      </c>
      <c r="BE28" s="120">
        <f t="shared" si="11"/>
        <v>0</v>
      </c>
      <c r="BF28" s="121">
        <f t="shared" si="12"/>
        <v>0</v>
      </c>
      <c r="BG28" s="121">
        <f t="shared" si="13"/>
        <v>0</v>
      </c>
      <c r="BH28" s="122">
        <f t="shared" si="14"/>
        <v>0</v>
      </c>
      <c r="BI28" s="121">
        <f t="shared" si="15"/>
        <v>0</v>
      </c>
      <c r="BJ28" s="123" t="e">
        <f t="shared" si="16"/>
        <v>#DIV/0!</v>
      </c>
      <c r="BK28" s="124" t="e">
        <f t="shared" si="17"/>
        <v>#DIV/0!</v>
      </c>
      <c r="BL28" s="125" t="s">
        <v>226</v>
      </c>
    </row>
    <row r="29" spans="1:64" ht="45" customHeight="1" x14ac:dyDescent="0.25">
      <c r="A29" s="30">
        <v>10</v>
      </c>
      <c r="B29" s="100" t="s">
        <v>42</v>
      </c>
      <c r="C29" s="31">
        <v>1</v>
      </c>
      <c r="D29" s="32" t="s">
        <v>74</v>
      </c>
      <c r="E29" s="31">
        <f t="shared" si="0"/>
        <v>54</v>
      </c>
      <c r="F29" s="127">
        <v>34.799999999999997</v>
      </c>
      <c r="G29" s="31" t="s">
        <v>226</v>
      </c>
      <c r="H29" s="31" t="s">
        <v>226</v>
      </c>
      <c r="I29" s="31" t="s">
        <v>226</v>
      </c>
      <c r="J29" s="31" t="s">
        <v>226</v>
      </c>
      <c r="K29" s="31" t="s">
        <v>226</v>
      </c>
      <c r="L29" s="31" t="s">
        <v>226</v>
      </c>
      <c r="M29" s="31" t="s">
        <v>226</v>
      </c>
      <c r="N29" s="31" t="s">
        <v>226</v>
      </c>
      <c r="O29" s="31" t="s">
        <v>226</v>
      </c>
      <c r="P29" s="31" t="s">
        <v>226</v>
      </c>
      <c r="Q29" s="31" t="s">
        <v>226</v>
      </c>
      <c r="R29" s="31" t="s">
        <v>226</v>
      </c>
      <c r="S29" s="31" t="s">
        <v>226</v>
      </c>
      <c r="T29" s="31" t="s">
        <v>226</v>
      </c>
      <c r="U29" s="31" t="s">
        <v>226</v>
      </c>
      <c r="V29" s="31" t="s">
        <v>226</v>
      </c>
      <c r="W29" s="31" t="s">
        <v>226</v>
      </c>
      <c r="X29" s="31" t="s">
        <v>226</v>
      </c>
      <c r="Y29" s="31" t="s">
        <v>226</v>
      </c>
      <c r="Z29" s="31" t="s">
        <v>226</v>
      </c>
      <c r="AA29" s="31" t="s">
        <v>226</v>
      </c>
      <c r="AB29" s="31" t="s">
        <v>226</v>
      </c>
      <c r="AC29" s="31" t="s">
        <v>226</v>
      </c>
      <c r="AD29" s="31" t="s">
        <v>226</v>
      </c>
      <c r="AE29" s="31" t="s">
        <v>226</v>
      </c>
      <c r="AF29" s="31" t="s">
        <v>226</v>
      </c>
      <c r="AG29" s="31" t="s">
        <v>226</v>
      </c>
      <c r="AH29" s="31" t="s">
        <v>226</v>
      </c>
      <c r="AI29" s="31" t="s">
        <v>226</v>
      </c>
      <c r="AJ29" s="31" t="s">
        <v>226</v>
      </c>
      <c r="AK29" s="31" t="s">
        <v>226</v>
      </c>
      <c r="AL29" s="31" t="s">
        <v>226</v>
      </c>
      <c r="AM29" s="31"/>
      <c r="AN29" s="31"/>
      <c r="AO29" s="96">
        <v>35.799999999999997</v>
      </c>
      <c r="AP29" s="33">
        <f t="shared" si="1"/>
        <v>0.66296296296296287</v>
      </c>
      <c r="AQ29" s="34">
        <f t="shared" si="2"/>
        <v>35.799999999999997</v>
      </c>
      <c r="AR29" s="35"/>
      <c r="AS29" s="36">
        <f t="shared" si="3"/>
        <v>0.66296296296296287</v>
      </c>
      <c r="AT29" s="36">
        <f t="shared" si="3"/>
        <v>35.799999999999997</v>
      </c>
      <c r="AU29" s="36">
        <f t="shared" si="4"/>
        <v>0.72262962962962962</v>
      </c>
      <c r="AV29" s="36">
        <f t="shared" si="5"/>
        <v>39.021999999999998</v>
      </c>
      <c r="AW29" s="37">
        <v>1</v>
      </c>
      <c r="AX29" s="38">
        <f t="shared" si="6"/>
        <v>54</v>
      </c>
      <c r="AY29" s="38">
        <f>AW29-AU29</f>
        <v>0.27737037037037038</v>
      </c>
      <c r="AZ29" s="38">
        <f t="shared" si="8"/>
        <v>14.978</v>
      </c>
      <c r="BA29" s="39">
        <f t="shared" si="9"/>
        <v>0.27737037037037038</v>
      </c>
      <c r="BB29" s="42"/>
      <c r="BC29" s="119">
        <f t="shared" si="10"/>
        <v>1</v>
      </c>
      <c r="BD29" s="108">
        <v>0.15</v>
      </c>
      <c r="BE29" s="120">
        <f t="shared" si="11"/>
        <v>1.2195121951219512</v>
      </c>
      <c r="BF29" s="121">
        <f t="shared" si="12"/>
        <v>0.21951219512195119</v>
      </c>
      <c r="BG29" s="121">
        <f t="shared" si="13"/>
        <v>1.9756097560975606E-2</v>
      </c>
      <c r="BH29" s="122">
        <f t="shared" si="14"/>
        <v>0.23926829268292679</v>
      </c>
      <c r="BI29" s="121">
        <f t="shared" si="15"/>
        <v>0.98024390243902437</v>
      </c>
      <c r="BJ29" s="123">
        <f t="shared" si="16"/>
        <v>0.26280629970602598</v>
      </c>
      <c r="BK29" s="124">
        <f t="shared" si="17"/>
        <v>-1.4564070664344397E-2</v>
      </c>
      <c r="BL29" s="125" t="s">
        <v>226</v>
      </c>
    </row>
    <row r="30" spans="1:64" ht="45" customHeight="1" x14ac:dyDescent="0.25">
      <c r="A30" s="30">
        <v>11</v>
      </c>
      <c r="B30" s="100" t="s">
        <v>152</v>
      </c>
      <c r="C30" s="31">
        <v>1</v>
      </c>
      <c r="D30" s="32" t="s">
        <v>24</v>
      </c>
      <c r="E30" s="31">
        <f t="shared" si="0"/>
        <v>24</v>
      </c>
      <c r="F30" s="31" t="s">
        <v>226</v>
      </c>
      <c r="G30" s="31" t="s">
        <v>226</v>
      </c>
      <c r="H30" s="31" t="s">
        <v>226</v>
      </c>
      <c r="I30" s="31" t="s">
        <v>226</v>
      </c>
      <c r="J30" s="31" t="s">
        <v>226</v>
      </c>
      <c r="K30" s="31" t="s">
        <v>226</v>
      </c>
      <c r="L30" s="31" t="s">
        <v>226</v>
      </c>
      <c r="M30" s="31" t="s">
        <v>226</v>
      </c>
      <c r="N30" s="31" t="s">
        <v>226</v>
      </c>
      <c r="O30" s="31" t="s">
        <v>226</v>
      </c>
      <c r="P30" s="31" t="s">
        <v>226</v>
      </c>
      <c r="Q30" s="31" t="s">
        <v>226</v>
      </c>
      <c r="R30" s="31" t="s">
        <v>226</v>
      </c>
      <c r="S30" s="31" t="s">
        <v>226</v>
      </c>
      <c r="T30" s="31" t="s">
        <v>226</v>
      </c>
      <c r="U30" s="31" t="s">
        <v>226</v>
      </c>
      <c r="V30" s="31" t="s">
        <v>226</v>
      </c>
      <c r="W30" s="31" t="s">
        <v>226</v>
      </c>
      <c r="X30" s="31" t="s">
        <v>226</v>
      </c>
      <c r="Y30" s="31" t="s">
        <v>226</v>
      </c>
      <c r="Z30" s="31" t="s">
        <v>226</v>
      </c>
      <c r="AA30" s="31" t="s">
        <v>226</v>
      </c>
      <c r="AB30" s="31" t="s">
        <v>226</v>
      </c>
      <c r="AC30" s="31" t="s">
        <v>226</v>
      </c>
      <c r="AD30" s="31" t="s">
        <v>226</v>
      </c>
      <c r="AE30" s="31" t="s">
        <v>226</v>
      </c>
      <c r="AF30" s="31" t="s">
        <v>226</v>
      </c>
      <c r="AG30" s="31" t="s">
        <v>226</v>
      </c>
      <c r="AH30" s="31" t="s">
        <v>226</v>
      </c>
      <c r="AI30" s="31" t="s">
        <v>226</v>
      </c>
      <c r="AJ30" s="31" t="s">
        <v>226</v>
      </c>
      <c r="AK30" s="31" t="s">
        <v>226</v>
      </c>
      <c r="AL30" s="31" t="s">
        <v>226</v>
      </c>
      <c r="AM30" s="31"/>
      <c r="AN30" s="31"/>
      <c r="AO30" s="96">
        <v>27</v>
      </c>
      <c r="AP30" s="33">
        <f t="shared" si="1"/>
        <v>1.125</v>
      </c>
      <c r="AQ30" s="34">
        <f t="shared" si="2"/>
        <v>27</v>
      </c>
      <c r="AR30" s="35"/>
      <c r="AS30" s="36">
        <f t="shared" si="3"/>
        <v>1.125</v>
      </c>
      <c r="AT30" s="36">
        <f t="shared" si="3"/>
        <v>27</v>
      </c>
      <c r="AU30" s="36">
        <f t="shared" si="4"/>
        <v>1.2262500000000001</v>
      </c>
      <c r="AV30" s="36">
        <f t="shared" si="5"/>
        <v>29.43</v>
      </c>
      <c r="AW30" s="37">
        <v>1.75</v>
      </c>
      <c r="AX30" s="38">
        <f t="shared" si="6"/>
        <v>42</v>
      </c>
      <c r="AY30" s="38">
        <f t="shared" ref="AY30:AY32" si="18">AW30-AU30</f>
        <v>0.52374999999999994</v>
      </c>
      <c r="AZ30" s="38">
        <f t="shared" si="8"/>
        <v>12.569999999999999</v>
      </c>
      <c r="BA30" s="39">
        <f t="shared" si="9"/>
        <v>0.29928571428571427</v>
      </c>
      <c r="BB30" s="42"/>
      <c r="BC30" s="119">
        <f t="shared" si="10"/>
        <v>1.75</v>
      </c>
      <c r="BD30" s="108">
        <v>0.15</v>
      </c>
      <c r="BE30" s="120">
        <f t="shared" si="11"/>
        <v>2.1341463414634143</v>
      </c>
      <c r="BF30" s="121">
        <f t="shared" si="12"/>
        <v>0.38414634146341431</v>
      </c>
      <c r="BG30" s="121">
        <f t="shared" si="13"/>
        <v>3.4573170731707285E-2</v>
      </c>
      <c r="BH30" s="122">
        <f t="shared" si="14"/>
        <v>0.4187195121951216</v>
      </c>
      <c r="BI30" s="121">
        <f t="shared" si="15"/>
        <v>1.7154268292682926</v>
      </c>
      <c r="BJ30" s="123">
        <f t="shared" si="16"/>
        <v>0.28516333131909138</v>
      </c>
      <c r="BK30" s="124">
        <f t="shared" si="17"/>
        <v>-1.4122382966622882E-2</v>
      </c>
      <c r="BL30" s="125" t="s">
        <v>226</v>
      </c>
    </row>
    <row r="31" spans="1:64" ht="45" customHeight="1" x14ac:dyDescent="0.25">
      <c r="A31" s="30">
        <v>12</v>
      </c>
      <c r="B31" s="100" t="s">
        <v>153</v>
      </c>
      <c r="C31" s="31">
        <v>1</v>
      </c>
      <c r="D31" s="32" t="s">
        <v>24</v>
      </c>
      <c r="E31" s="31">
        <f t="shared" si="0"/>
        <v>24</v>
      </c>
      <c r="F31" s="127" t="s">
        <v>226</v>
      </c>
      <c r="G31" s="31" t="s">
        <v>226</v>
      </c>
      <c r="H31" s="31" t="s">
        <v>226</v>
      </c>
      <c r="I31" s="31" t="s">
        <v>226</v>
      </c>
      <c r="J31" s="31" t="s">
        <v>226</v>
      </c>
      <c r="K31" s="31" t="s">
        <v>226</v>
      </c>
      <c r="L31" s="31" t="s">
        <v>226</v>
      </c>
      <c r="M31" s="31" t="s">
        <v>226</v>
      </c>
      <c r="N31" s="31" t="s">
        <v>226</v>
      </c>
      <c r="O31" s="31" t="s">
        <v>226</v>
      </c>
      <c r="P31" s="31" t="s">
        <v>226</v>
      </c>
      <c r="Q31" s="31" t="s">
        <v>226</v>
      </c>
      <c r="R31" s="31" t="s">
        <v>226</v>
      </c>
      <c r="S31" s="31" t="s">
        <v>226</v>
      </c>
      <c r="T31" s="31" t="s">
        <v>226</v>
      </c>
      <c r="U31" s="31" t="s">
        <v>226</v>
      </c>
      <c r="V31" s="31" t="s">
        <v>226</v>
      </c>
      <c r="W31" s="31" t="s">
        <v>226</v>
      </c>
      <c r="X31" s="31" t="s">
        <v>226</v>
      </c>
      <c r="Y31" s="31" t="s">
        <v>226</v>
      </c>
      <c r="Z31" s="31"/>
      <c r="AA31" s="31" t="s">
        <v>226</v>
      </c>
      <c r="AB31" s="31" t="s">
        <v>226</v>
      </c>
      <c r="AC31" s="31" t="s">
        <v>226</v>
      </c>
      <c r="AD31" s="31" t="s">
        <v>226</v>
      </c>
      <c r="AE31" s="31" t="s">
        <v>226</v>
      </c>
      <c r="AF31" s="31" t="s">
        <v>226</v>
      </c>
      <c r="AG31" s="31" t="s">
        <v>226</v>
      </c>
      <c r="AH31" s="31" t="s">
        <v>226</v>
      </c>
      <c r="AI31" s="31" t="s">
        <v>226</v>
      </c>
      <c r="AJ31" s="31" t="s">
        <v>226</v>
      </c>
      <c r="AK31" s="31" t="s">
        <v>226</v>
      </c>
      <c r="AL31" s="31" t="s">
        <v>226</v>
      </c>
      <c r="AM31" s="127">
        <v>32.799999999999997</v>
      </c>
      <c r="AN31" s="31"/>
      <c r="AO31" s="96">
        <v>32.799999999999997</v>
      </c>
      <c r="AP31" s="33">
        <f t="shared" si="1"/>
        <v>1.3666666666666665</v>
      </c>
      <c r="AQ31" s="34">
        <f t="shared" si="2"/>
        <v>32.799999999999997</v>
      </c>
      <c r="AR31" s="35"/>
      <c r="AS31" s="36">
        <f t="shared" si="3"/>
        <v>1.3666666666666665</v>
      </c>
      <c r="AT31" s="36">
        <f t="shared" si="3"/>
        <v>32.799999999999997</v>
      </c>
      <c r="AU31" s="36">
        <f t="shared" si="4"/>
        <v>1.4896666666666665</v>
      </c>
      <c r="AV31" s="36">
        <f t="shared" si="5"/>
        <v>35.751999999999995</v>
      </c>
      <c r="AW31" s="37">
        <v>1.75</v>
      </c>
      <c r="AX31" s="38">
        <f t="shared" si="6"/>
        <v>42</v>
      </c>
      <c r="AY31" s="38">
        <f t="shared" si="18"/>
        <v>0.26033333333333353</v>
      </c>
      <c r="AZ31" s="38">
        <f t="shared" si="8"/>
        <v>6.2480000000000047</v>
      </c>
      <c r="BA31" s="39">
        <f t="shared" si="9"/>
        <v>0.14876190476190487</v>
      </c>
      <c r="BB31" s="42"/>
      <c r="BC31" s="119">
        <f t="shared" si="10"/>
        <v>1.75</v>
      </c>
      <c r="BD31" s="108">
        <v>0.15</v>
      </c>
      <c r="BE31" s="120">
        <f t="shared" si="11"/>
        <v>2.1341463414634143</v>
      </c>
      <c r="BF31" s="121">
        <f t="shared" si="12"/>
        <v>0.38414634146341431</v>
      </c>
      <c r="BG31" s="121">
        <f t="shared" si="13"/>
        <v>3.4573170731707285E-2</v>
      </c>
      <c r="BH31" s="122">
        <f t="shared" si="14"/>
        <v>0.4187195121951216</v>
      </c>
      <c r="BI31" s="121">
        <f t="shared" si="15"/>
        <v>1.7154268292682926</v>
      </c>
      <c r="BJ31" s="123">
        <f t="shared" si="16"/>
        <v>0.13160582471356302</v>
      </c>
      <c r="BK31" s="124">
        <f t="shared" si="17"/>
        <v>-1.7156080048341849E-2</v>
      </c>
      <c r="BL31" s="125" t="s">
        <v>226</v>
      </c>
    </row>
    <row r="32" spans="1:64" ht="45" customHeight="1" x14ac:dyDescent="0.25">
      <c r="A32" s="30">
        <v>13</v>
      </c>
      <c r="B32" s="101" t="s">
        <v>219</v>
      </c>
      <c r="C32" s="31">
        <v>1</v>
      </c>
      <c r="D32" s="32" t="s">
        <v>74</v>
      </c>
      <c r="E32" s="31">
        <f t="shared" si="0"/>
        <v>54</v>
      </c>
      <c r="F32" s="127">
        <v>34.799999999999997</v>
      </c>
      <c r="G32" s="31" t="s">
        <v>226</v>
      </c>
      <c r="H32" s="31" t="s">
        <v>226</v>
      </c>
      <c r="I32" s="31" t="s">
        <v>226</v>
      </c>
      <c r="J32" s="31" t="s">
        <v>226</v>
      </c>
      <c r="K32" s="31" t="s">
        <v>226</v>
      </c>
      <c r="L32" s="31" t="s">
        <v>226</v>
      </c>
      <c r="M32" s="31" t="s">
        <v>226</v>
      </c>
      <c r="N32" s="31" t="s">
        <v>226</v>
      </c>
      <c r="O32" s="31" t="s">
        <v>226</v>
      </c>
      <c r="P32" s="31" t="s">
        <v>226</v>
      </c>
      <c r="Q32" s="31" t="s">
        <v>226</v>
      </c>
      <c r="R32" s="31" t="s">
        <v>226</v>
      </c>
      <c r="S32" s="31" t="s">
        <v>226</v>
      </c>
      <c r="T32" s="31" t="s">
        <v>226</v>
      </c>
      <c r="U32" s="31" t="s">
        <v>226</v>
      </c>
      <c r="V32" s="31" t="s">
        <v>226</v>
      </c>
      <c r="W32" s="31" t="s">
        <v>226</v>
      </c>
      <c r="X32" s="31" t="s">
        <v>226</v>
      </c>
      <c r="Y32" s="31" t="s">
        <v>226</v>
      </c>
      <c r="Z32" s="31" t="s">
        <v>226</v>
      </c>
      <c r="AA32" s="31" t="s">
        <v>226</v>
      </c>
      <c r="AB32" s="31" t="s">
        <v>226</v>
      </c>
      <c r="AC32" s="31" t="s">
        <v>226</v>
      </c>
      <c r="AD32" s="31" t="s">
        <v>226</v>
      </c>
      <c r="AE32" s="31" t="s">
        <v>226</v>
      </c>
      <c r="AF32" s="31" t="s">
        <v>226</v>
      </c>
      <c r="AG32" s="31" t="s">
        <v>226</v>
      </c>
      <c r="AH32" s="31" t="s">
        <v>226</v>
      </c>
      <c r="AI32" s="31" t="s">
        <v>226</v>
      </c>
      <c r="AJ32" s="31" t="s">
        <v>226</v>
      </c>
      <c r="AK32" s="31" t="s">
        <v>226</v>
      </c>
      <c r="AL32" s="31" t="s">
        <v>226</v>
      </c>
      <c r="AM32" s="31"/>
      <c r="AN32" s="31"/>
      <c r="AO32" s="96">
        <v>35.799999999999997</v>
      </c>
      <c r="AP32" s="33">
        <f t="shared" si="1"/>
        <v>0.66296296296296287</v>
      </c>
      <c r="AQ32" s="34">
        <f t="shared" si="2"/>
        <v>35.799999999999997</v>
      </c>
      <c r="AR32" s="35"/>
      <c r="AS32" s="36">
        <f t="shared" si="3"/>
        <v>0.66296296296296287</v>
      </c>
      <c r="AT32" s="36">
        <f t="shared" si="3"/>
        <v>35.799999999999997</v>
      </c>
      <c r="AU32" s="36">
        <f t="shared" si="4"/>
        <v>0.72262962962962962</v>
      </c>
      <c r="AV32" s="36">
        <f t="shared" si="5"/>
        <v>39.021999999999998</v>
      </c>
      <c r="AW32" s="37">
        <v>1</v>
      </c>
      <c r="AX32" s="38">
        <f t="shared" si="6"/>
        <v>54</v>
      </c>
      <c r="AY32" s="38">
        <f t="shared" si="18"/>
        <v>0.27737037037037038</v>
      </c>
      <c r="AZ32" s="38">
        <f t="shared" si="8"/>
        <v>14.978</v>
      </c>
      <c r="BA32" s="39">
        <f t="shared" si="9"/>
        <v>0.27737037037037038</v>
      </c>
      <c r="BB32" s="42"/>
      <c r="BC32" s="119">
        <f t="shared" si="10"/>
        <v>1</v>
      </c>
      <c r="BD32" s="108">
        <v>0.15</v>
      </c>
      <c r="BE32" s="120">
        <f t="shared" si="11"/>
        <v>1.2195121951219512</v>
      </c>
      <c r="BF32" s="121">
        <f t="shared" si="12"/>
        <v>0.21951219512195119</v>
      </c>
      <c r="BG32" s="121">
        <f t="shared" si="13"/>
        <v>1.9756097560975606E-2</v>
      </c>
      <c r="BH32" s="122">
        <f t="shared" si="14"/>
        <v>0.23926829268292679</v>
      </c>
      <c r="BI32" s="121">
        <f t="shared" si="15"/>
        <v>0.98024390243902437</v>
      </c>
      <c r="BJ32" s="123">
        <f t="shared" si="16"/>
        <v>0.26280629970602598</v>
      </c>
      <c r="BK32" s="124">
        <f t="shared" si="17"/>
        <v>-1.4564070664344397E-2</v>
      </c>
      <c r="BL32" s="125" t="s">
        <v>226</v>
      </c>
    </row>
    <row r="33" spans="1:64" ht="45" customHeight="1" x14ac:dyDescent="0.25">
      <c r="A33" s="30">
        <v>14</v>
      </c>
      <c r="B33" s="101" t="s">
        <v>43</v>
      </c>
      <c r="C33" s="31">
        <v>1</v>
      </c>
      <c r="D33" s="32" t="s">
        <v>74</v>
      </c>
      <c r="E33" s="31">
        <f t="shared" si="0"/>
        <v>54</v>
      </c>
      <c r="F33" s="127">
        <v>34.799999999999997</v>
      </c>
      <c r="G33" s="31" t="s">
        <v>226</v>
      </c>
      <c r="H33" s="31" t="s">
        <v>226</v>
      </c>
      <c r="I33" s="31" t="s">
        <v>226</v>
      </c>
      <c r="J33" s="31" t="s">
        <v>226</v>
      </c>
      <c r="K33" s="31" t="s">
        <v>226</v>
      </c>
      <c r="L33" s="31" t="s">
        <v>226</v>
      </c>
      <c r="M33" s="31" t="s">
        <v>226</v>
      </c>
      <c r="N33" s="31" t="s">
        <v>226</v>
      </c>
      <c r="O33" s="31" t="s">
        <v>226</v>
      </c>
      <c r="P33" s="31" t="s">
        <v>226</v>
      </c>
      <c r="Q33" s="31" t="s">
        <v>226</v>
      </c>
      <c r="R33" s="31" t="s">
        <v>226</v>
      </c>
      <c r="S33" s="31" t="s">
        <v>226</v>
      </c>
      <c r="T33" s="31" t="s">
        <v>226</v>
      </c>
      <c r="U33" s="31" t="s">
        <v>226</v>
      </c>
      <c r="V33" s="31" t="s">
        <v>226</v>
      </c>
      <c r="W33" s="31" t="s">
        <v>226</v>
      </c>
      <c r="X33" s="31" t="s">
        <v>226</v>
      </c>
      <c r="Y33" s="31" t="s">
        <v>226</v>
      </c>
      <c r="Z33" s="31" t="s">
        <v>226</v>
      </c>
      <c r="AA33" s="31" t="s">
        <v>226</v>
      </c>
      <c r="AB33" s="31" t="s">
        <v>226</v>
      </c>
      <c r="AC33" s="31" t="s">
        <v>226</v>
      </c>
      <c r="AD33" s="31" t="s">
        <v>226</v>
      </c>
      <c r="AE33" s="31" t="s">
        <v>226</v>
      </c>
      <c r="AF33" s="31" t="s">
        <v>226</v>
      </c>
      <c r="AG33" s="31" t="s">
        <v>226</v>
      </c>
      <c r="AH33" s="31" t="s">
        <v>226</v>
      </c>
      <c r="AI33" s="31" t="s">
        <v>226</v>
      </c>
      <c r="AJ33" s="31" t="s">
        <v>226</v>
      </c>
      <c r="AK33" s="31" t="s">
        <v>226</v>
      </c>
      <c r="AL33" s="31" t="s">
        <v>226</v>
      </c>
      <c r="AM33" s="31"/>
      <c r="AN33" s="31"/>
      <c r="AO33" s="96">
        <v>35.799999999999997</v>
      </c>
      <c r="AP33" s="33">
        <f t="shared" si="1"/>
        <v>0.66296296296296287</v>
      </c>
      <c r="AQ33" s="34">
        <f t="shared" si="2"/>
        <v>35.799999999999997</v>
      </c>
      <c r="AR33" s="35"/>
      <c r="AS33" s="36">
        <f t="shared" si="3"/>
        <v>0.66296296296296287</v>
      </c>
      <c r="AT33" s="36">
        <f t="shared" si="3"/>
        <v>35.799999999999997</v>
      </c>
      <c r="AU33" s="36">
        <f t="shared" si="4"/>
        <v>0.72262962962962962</v>
      </c>
      <c r="AV33" s="36">
        <f t="shared" si="5"/>
        <v>39.021999999999998</v>
      </c>
      <c r="AW33" s="37">
        <v>1</v>
      </c>
      <c r="AX33" s="38">
        <f t="shared" si="6"/>
        <v>54</v>
      </c>
      <c r="AY33" s="38">
        <f t="shared" si="7"/>
        <v>0.27737037037037038</v>
      </c>
      <c r="AZ33" s="38">
        <f t="shared" si="8"/>
        <v>14.978</v>
      </c>
      <c r="BA33" s="39">
        <f t="shared" si="9"/>
        <v>0.27737037037037038</v>
      </c>
      <c r="BB33" s="42"/>
      <c r="BC33" s="119">
        <f t="shared" si="10"/>
        <v>1</v>
      </c>
      <c r="BD33" s="108">
        <v>0.15</v>
      </c>
      <c r="BE33" s="120">
        <f t="shared" si="11"/>
        <v>1.2195121951219512</v>
      </c>
      <c r="BF33" s="121">
        <f t="shared" si="12"/>
        <v>0.21951219512195119</v>
      </c>
      <c r="BG33" s="121">
        <f t="shared" si="13"/>
        <v>1.9756097560975606E-2</v>
      </c>
      <c r="BH33" s="122">
        <f t="shared" si="14"/>
        <v>0.23926829268292679</v>
      </c>
      <c r="BI33" s="121">
        <f t="shared" si="15"/>
        <v>0.98024390243902437</v>
      </c>
      <c r="BJ33" s="123">
        <f t="shared" si="16"/>
        <v>0.26280629970602598</v>
      </c>
      <c r="BK33" s="124">
        <f t="shared" si="17"/>
        <v>-1.4564070664344397E-2</v>
      </c>
      <c r="BL33" s="125" t="s">
        <v>226</v>
      </c>
    </row>
    <row r="34" spans="1:64" ht="45" customHeight="1" x14ac:dyDescent="0.25">
      <c r="A34" s="30">
        <v>15</v>
      </c>
      <c r="B34" s="101" t="s">
        <v>158</v>
      </c>
      <c r="C34" s="31">
        <v>1</v>
      </c>
      <c r="D34" s="32" t="s">
        <v>73</v>
      </c>
      <c r="E34" s="31">
        <f t="shared" si="0"/>
        <v>12</v>
      </c>
      <c r="F34" s="31" t="s">
        <v>226</v>
      </c>
      <c r="G34" s="31" t="s">
        <v>226</v>
      </c>
      <c r="H34" s="31" t="s">
        <v>226</v>
      </c>
      <c r="I34" s="31" t="s">
        <v>226</v>
      </c>
      <c r="J34" s="31" t="s">
        <v>226</v>
      </c>
      <c r="K34" s="31" t="s">
        <v>226</v>
      </c>
      <c r="L34" s="31" t="s">
        <v>226</v>
      </c>
      <c r="M34" s="31" t="s">
        <v>226</v>
      </c>
      <c r="N34" s="31" t="s">
        <v>226</v>
      </c>
      <c r="O34" s="31" t="s">
        <v>226</v>
      </c>
      <c r="P34" s="31" t="s">
        <v>226</v>
      </c>
      <c r="Q34" s="31" t="s">
        <v>226</v>
      </c>
      <c r="R34" s="31" t="s">
        <v>226</v>
      </c>
      <c r="S34" s="31" t="s">
        <v>226</v>
      </c>
      <c r="T34" s="31" t="s">
        <v>226</v>
      </c>
      <c r="U34" s="31" t="s">
        <v>226</v>
      </c>
      <c r="V34" s="31" t="s">
        <v>226</v>
      </c>
      <c r="W34" s="31" t="s">
        <v>226</v>
      </c>
      <c r="X34" s="31" t="s">
        <v>226</v>
      </c>
      <c r="Y34" s="31" t="s">
        <v>226</v>
      </c>
      <c r="Z34" s="31" t="s">
        <v>226</v>
      </c>
      <c r="AA34" s="31" t="s">
        <v>226</v>
      </c>
      <c r="AB34" s="31" t="s">
        <v>226</v>
      </c>
      <c r="AC34" s="31" t="s">
        <v>226</v>
      </c>
      <c r="AD34" s="31" t="s">
        <v>226</v>
      </c>
      <c r="AE34" s="31" t="s">
        <v>226</v>
      </c>
      <c r="AF34" s="31" t="s">
        <v>226</v>
      </c>
      <c r="AG34" s="31" t="s">
        <v>226</v>
      </c>
      <c r="AH34" s="31" t="s">
        <v>226</v>
      </c>
      <c r="AI34" s="31" t="s">
        <v>226</v>
      </c>
      <c r="AJ34" s="31" t="s">
        <v>226</v>
      </c>
      <c r="AK34" s="31" t="s">
        <v>226</v>
      </c>
      <c r="AL34" s="31" t="s">
        <v>226</v>
      </c>
      <c r="AM34" s="31"/>
      <c r="AN34" s="31"/>
      <c r="AO34" s="96">
        <v>16.5</v>
      </c>
      <c r="AP34" s="33">
        <f t="shared" si="1"/>
        <v>1.375</v>
      </c>
      <c r="AQ34" s="34">
        <f t="shared" si="2"/>
        <v>16.5</v>
      </c>
      <c r="AR34" s="35"/>
      <c r="AS34" s="36">
        <f t="shared" si="3"/>
        <v>1.375</v>
      </c>
      <c r="AT34" s="36">
        <f t="shared" si="3"/>
        <v>16.5</v>
      </c>
      <c r="AU34" s="36">
        <f t="shared" si="4"/>
        <v>1.49875</v>
      </c>
      <c r="AV34" s="36">
        <f t="shared" si="5"/>
        <v>17.984999999999999</v>
      </c>
      <c r="AW34" s="37">
        <v>2.5</v>
      </c>
      <c r="AX34" s="38">
        <f t="shared" si="6"/>
        <v>30</v>
      </c>
      <c r="AY34" s="38">
        <f t="shared" si="7"/>
        <v>1.00125</v>
      </c>
      <c r="AZ34" s="38">
        <f t="shared" si="8"/>
        <v>12.015000000000001</v>
      </c>
      <c r="BA34" s="39">
        <f t="shared" si="9"/>
        <v>0.40049999999999997</v>
      </c>
      <c r="BB34" s="42"/>
      <c r="BC34" s="119">
        <f t="shared" si="10"/>
        <v>2.5</v>
      </c>
      <c r="BD34" s="108">
        <v>0.15</v>
      </c>
      <c r="BE34" s="120">
        <f t="shared" si="11"/>
        <v>3.0487804878048776</v>
      </c>
      <c r="BF34" s="121">
        <f t="shared" si="12"/>
        <v>0.54878048780487765</v>
      </c>
      <c r="BG34" s="121">
        <f t="shared" si="13"/>
        <v>4.9390243902438985E-2</v>
      </c>
      <c r="BH34" s="122">
        <f t="shared" si="14"/>
        <v>0.59817073170731661</v>
      </c>
      <c r="BI34" s="121">
        <f t="shared" si="15"/>
        <v>2.450609756097561</v>
      </c>
      <c r="BJ34" s="123">
        <f t="shared" si="16"/>
        <v>0.38841751679522268</v>
      </c>
      <c r="BK34" s="124">
        <f t="shared" si="17"/>
        <v>-1.2082483204777283E-2</v>
      </c>
      <c r="BL34" s="125" t="s">
        <v>226</v>
      </c>
    </row>
    <row r="35" spans="1:64" ht="45" customHeight="1" x14ac:dyDescent="0.25">
      <c r="A35" s="30">
        <v>16</v>
      </c>
      <c r="B35" s="101" t="s">
        <v>159</v>
      </c>
      <c r="C35" s="31">
        <v>1</v>
      </c>
      <c r="D35" s="32" t="s">
        <v>73</v>
      </c>
      <c r="E35" s="31">
        <f t="shared" si="0"/>
        <v>12</v>
      </c>
      <c r="F35" s="31" t="s">
        <v>226</v>
      </c>
      <c r="G35" s="31" t="s">
        <v>226</v>
      </c>
      <c r="H35" s="31" t="s">
        <v>226</v>
      </c>
      <c r="I35" s="31" t="s">
        <v>226</v>
      </c>
      <c r="J35" s="31" t="s">
        <v>226</v>
      </c>
      <c r="K35" s="31" t="s">
        <v>226</v>
      </c>
      <c r="L35" s="31" t="s">
        <v>226</v>
      </c>
      <c r="M35" s="31" t="s">
        <v>226</v>
      </c>
      <c r="N35" s="31" t="s">
        <v>226</v>
      </c>
      <c r="O35" s="31" t="s">
        <v>226</v>
      </c>
      <c r="P35" s="31" t="s">
        <v>226</v>
      </c>
      <c r="Q35" s="31" t="s">
        <v>226</v>
      </c>
      <c r="R35" s="31" t="s">
        <v>226</v>
      </c>
      <c r="S35" s="31" t="s">
        <v>226</v>
      </c>
      <c r="T35" s="31" t="s">
        <v>226</v>
      </c>
      <c r="U35" s="31" t="s">
        <v>226</v>
      </c>
      <c r="V35" s="31" t="s">
        <v>226</v>
      </c>
      <c r="W35" s="31" t="s">
        <v>226</v>
      </c>
      <c r="X35" s="31" t="s">
        <v>226</v>
      </c>
      <c r="Y35" s="31" t="s">
        <v>226</v>
      </c>
      <c r="Z35" s="31" t="s">
        <v>226</v>
      </c>
      <c r="AA35" s="31" t="s">
        <v>226</v>
      </c>
      <c r="AB35" s="31" t="s">
        <v>226</v>
      </c>
      <c r="AC35" s="31" t="s">
        <v>226</v>
      </c>
      <c r="AD35" s="31" t="s">
        <v>226</v>
      </c>
      <c r="AE35" s="31" t="s">
        <v>226</v>
      </c>
      <c r="AF35" s="31" t="s">
        <v>226</v>
      </c>
      <c r="AG35" s="31" t="s">
        <v>226</v>
      </c>
      <c r="AH35" s="31" t="s">
        <v>226</v>
      </c>
      <c r="AI35" s="31" t="s">
        <v>226</v>
      </c>
      <c r="AJ35" s="31" t="s">
        <v>226</v>
      </c>
      <c r="AK35" s="31" t="s">
        <v>226</v>
      </c>
      <c r="AL35" s="31" t="s">
        <v>226</v>
      </c>
      <c r="AM35" s="31"/>
      <c r="AN35" s="31"/>
      <c r="AO35" s="96">
        <v>16.5</v>
      </c>
      <c r="AP35" s="33">
        <f t="shared" si="1"/>
        <v>1.375</v>
      </c>
      <c r="AQ35" s="34">
        <f t="shared" si="2"/>
        <v>16.5</v>
      </c>
      <c r="AR35" s="35"/>
      <c r="AS35" s="36">
        <f t="shared" si="3"/>
        <v>1.375</v>
      </c>
      <c r="AT35" s="36">
        <f t="shared" si="3"/>
        <v>16.5</v>
      </c>
      <c r="AU35" s="36">
        <f t="shared" si="4"/>
        <v>1.49875</v>
      </c>
      <c r="AV35" s="36">
        <f t="shared" si="5"/>
        <v>17.984999999999999</v>
      </c>
      <c r="AW35" s="37">
        <v>2.5</v>
      </c>
      <c r="AX35" s="38">
        <f t="shared" si="6"/>
        <v>30</v>
      </c>
      <c r="AY35" s="38">
        <f t="shared" si="7"/>
        <v>1.00125</v>
      </c>
      <c r="AZ35" s="38">
        <f t="shared" si="8"/>
        <v>12.015000000000001</v>
      </c>
      <c r="BA35" s="39">
        <f t="shared" si="9"/>
        <v>0.40049999999999997</v>
      </c>
      <c r="BB35" s="42"/>
      <c r="BC35" s="119">
        <f t="shared" si="10"/>
        <v>2.5</v>
      </c>
      <c r="BD35" s="108">
        <v>0.15</v>
      </c>
      <c r="BE35" s="120">
        <f t="shared" si="11"/>
        <v>3.0487804878048776</v>
      </c>
      <c r="BF35" s="121">
        <f t="shared" si="12"/>
        <v>0.54878048780487765</v>
      </c>
      <c r="BG35" s="121">
        <f t="shared" si="13"/>
        <v>4.9390243902438985E-2</v>
      </c>
      <c r="BH35" s="122">
        <f t="shared" si="14"/>
        <v>0.59817073170731661</v>
      </c>
      <c r="BI35" s="121">
        <f t="shared" si="15"/>
        <v>2.450609756097561</v>
      </c>
      <c r="BJ35" s="123">
        <f t="shared" si="16"/>
        <v>0.38841751679522268</v>
      </c>
      <c r="BK35" s="124">
        <f t="shared" si="17"/>
        <v>-1.2082483204777283E-2</v>
      </c>
      <c r="BL35" s="125" t="s">
        <v>226</v>
      </c>
    </row>
    <row r="36" spans="1:64" ht="45" customHeight="1" x14ac:dyDescent="0.25">
      <c r="A36" s="30">
        <v>17</v>
      </c>
      <c r="B36" s="101" t="s">
        <v>160</v>
      </c>
      <c r="C36" s="31">
        <v>1</v>
      </c>
      <c r="D36" s="32" t="s">
        <v>73</v>
      </c>
      <c r="E36" s="31">
        <f t="shared" si="0"/>
        <v>12</v>
      </c>
      <c r="F36" s="31" t="s">
        <v>226</v>
      </c>
      <c r="G36" s="31" t="s">
        <v>226</v>
      </c>
      <c r="H36" s="31" t="s">
        <v>226</v>
      </c>
      <c r="I36" s="31" t="s">
        <v>226</v>
      </c>
      <c r="J36" s="31" t="s">
        <v>226</v>
      </c>
      <c r="K36" s="31" t="s">
        <v>226</v>
      </c>
      <c r="L36" s="31" t="s">
        <v>226</v>
      </c>
      <c r="M36" s="31" t="s">
        <v>226</v>
      </c>
      <c r="N36" s="31" t="s">
        <v>226</v>
      </c>
      <c r="O36" s="31" t="s">
        <v>226</v>
      </c>
      <c r="P36" s="31" t="s">
        <v>226</v>
      </c>
      <c r="Q36" s="31" t="s">
        <v>226</v>
      </c>
      <c r="R36" s="31" t="s">
        <v>226</v>
      </c>
      <c r="S36" s="31" t="s">
        <v>226</v>
      </c>
      <c r="T36" s="31" t="s">
        <v>226</v>
      </c>
      <c r="U36" s="31" t="s">
        <v>226</v>
      </c>
      <c r="V36" s="31" t="s">
        <v>226</v>
      </c>
      <c r="W36" s="31" t="s">
        <v>226</v>
      </c>
      <c r="X36" s="31" t="s">
        <v>226</v>
      </c>
      <c r="Y36" s="31" t="s">
        <v>226</v>
      </c>
      <c r="Z36" s="31" t="s">
        <v>226</v>
      </c>
      <c r="AA36" s="31" t="s">
        <v>226</v>
      </c>
      <c r="AB36" s="31" t="s">
        <v>226</v>
      </c>
      <c r="AC36" s="130" t="s">
        <v>226</v>
      </c>
      <c r="AD36" s="130" t="s">
        <v>226</v>
      </c>
      <c r="AE36" s="31" t="s">
        <v>226</v>
      </c>
      <c r="AF36" s="31" t="s">
        <v>226</v>
      </c>
      <c r="AG36" s="31" t="s">
        <v>226</v>
      </c>
      <c r="AH36" s="31" t="s">
        <v>226</v>
      </c>
      <c r="AI36" s="31" t="s">
        <v>226</v>
      </c>
      <c r="AJ36" s="31" t="s">
        <v>226</v>
      </c>
      <c r="AK36" s="31" t="s">
        <v>226</v>
      </c>
      <c r="AL36" s="31" t="s">
        <v>226</v>
      </c>
      <c r="AM36" s="31"/>
      <c r="AN36" s="31"/>
      <c r="AO36" s="96">
        <v>16.5</v>
      </c>
      <c r="AP36" s="33">
        <f t="shared" si="1"/>
        <v>1.375</v>
      </c>
      <c r="AQ36" s="34">
        <f t="shared" si="2"/>
        <v>16.5</v>
      </c>
      <c r="AR36" s="35"/>
      <c r="AS36" s="36">
        <f t="shared" si="3"/>
        <v>1.375</v>
      </c>
      <c r="AT36" s="36">
        <f t="shared" si="3"/>
        <v>16.5</v>
      </c>
      <c r="AU36" s="36">
        <f t="shared" si="4"/>
        <v>1.49875</v>
      </c>
      <c r="AV36" s="36">
        <f t="shared" si="5"/>
        <v>17.984999999999999</v>
      </c>
      <c r="AW36" s="37">
        <v>2.5</v>
      </c>
      <c r="AX36" s="38">
        <f t="shared" si="6"/>
        <v>30</v>
      </c>
      <c r="AY36" s="38">
        <f t="shared" si="7"/>
        <v>1.00125</v>
      </c>
      <c r="AZ36" s="38">
        <f t="shared" si="8"/>
        <v>12.015000000000001</v>
      </c>
      <c r="BA36" s="39">
        <f t="shared" si="9"/>
        <v>0.40049999999999997</v>
      </c>
      <c r="BB36" s="42"/>
      <c r="BC36" s="119">
        <f t="shared" si="10"/>
        <v>2.5</v>
      </c>
      <c r="BD36" s="108">
        <v>0.15</v>
      </c>
      <c r="BE36" s="120">
        <f t="shared" si="11"/>
        <v>3.0487804878048776</v>
      </c>
      <c r="BF36" s="121">
        <f t="shared" si="12"/>
        <v>0.54878048780487765</v>
      </c>
      <c r="BG36" s="121">
        <f t="shared" si="13"/>
        <v>4.9390243902438985E-2</v>
      </c>
      <c r="BH36" s="122">
        <f t="shared" si="14"/>
        <v>0.59817073170731661</v>
      </c>
      <c r="BI36" s="121">
        <f t="shared" si="15"/>
        <v>2.450609756097561</v>
      </c>
      <c r="BJ36" s="123">
        <f t="shared" si="16"/>
        <v>0.38841751679522268</v>
      </c>
      <c r="BK36" s="124">
        <f t="shared" si="17"/>
        <v>-1.2082483204777283E-2</v>
      </c>
      <c r="BL36" s="125" t="s">
        <v>226</v>
      </c>
    </row>
    <row r="37" spans="1:64" ht="45" customHeight="1" x14ac:dyDescent="0.25">
      <c r="A37" s="30">
        <v>18</v>
      </c>
      <c r="B37" s="101" t="s">
        <v>173</v>
      </c>
      <c r="C37" s="31">
        <v>1</v>
      </c>
      <c r="D37" s="32" t="s">
        <v>174</v>
      </c>
      <c r="E37" s="31">
        <f t="shared" si="0"/>
        <v>14</v>
      </c>
      <c r="F37" s="31" t="s">
        <v>226</v>
      </c>
      <c r="G37" s="31" t="s">
        <v>226</v>
      </c>
      <c r="H37" s="31" t="s">
        <v>226</v>
      </c>
      <c r="I37" s="31" t="s">
        <v>226</v>
      </c>
      <c r="J37" s="31" t="s">
        <v>226</v>
      </c>
      <c r="K37" s="31" t="s">
        <v>226</v>
      </c>
      <c r="L37" s="31" t="s">
        <v>226</v>
      </c>
      <c r="M37" s="31" t="s">
        <v>226</v>
      </c>
      <c r="N37" s="31" t="s">
        <v>226</v>
      </c>
      <c r="O37" s="31" t="s">
        <v>226</v>
      </c>
      <c r="P37" s="31" t="s">
        <v>226</v>
      </c>
      <c r="Q37" s="31" t="s">
        <v>226</v>
      </c>
      <c r="R37" s="31" t="s">
        <v>226</v>
      </c>
      <c r="S37" s="31" t="s">
        <v>226</v>
      </c>
      <c r="T37" s="31" t="s">
        <v>226</v>
      </c>
      <c r="U37" s="31" t="s">
        <v>226</v>
      </c>
      <c r="V37" s="31" t="s">
        <v>226</v>
      </c>
      <c r="W37" s="31" t="s">
        <v>226</v>
      </c>
      <c r="X37" s="31" t="s">
        <v>226</v>
      </c>
      <c r="Y37" s="31" t="s">
        <v>226</v>
      </c>
      <c r="Z37" s="31" t="s">
        <v>226</v>
      </c>
      <c r="AA37" s="31" t="s">
        <v>226</v>
      </c>
      <c r="AB37" s="31" t="s">
        <v>226</v>
      </c>
      <c r="AC37" s="31" t="s">
        <v>226</v>
      </c>
      <c r="AD37" s="31" t="s">
        <v>226</v>
      </c>
      <c r="AE37" s="31" t="s">
        <v>226</v>
      </c>
      <c r="AF37" s="31" t="s">
        <v>226</v>
      </c>
      <c r="AG37" s="31" t="s">
        <v>226</v>
      </c>
      <c r="AH37" s="31" t="s">
        <v>226</v>
      </c>
      <c r="AI37" s="31" t="s">
        <v>226</v>
      </c>
      <c r="AJ37" s="31" t="s">
        <v>226</v>
      </c>
      <c r="AK37" s="31" t="s">
        <v>226</v>
      </c>
      <c r="AL37" s="31" t="s">
        <v>226</v>
      </c>
      <c r="AM37" s="31"/>
      <c r="AN37" s="31"/>
      <c r="AO37" s="96">
        <v>16.5</v>
      </c>
      <c r="AP37" s="33">
        <f t="shared" si="1"/>
        <v>1.1785714285714286</v>
      </c>
      <c r="AQ37" s="34">
        <f t="shared" si="2"/>
        <v>16.5</v>
      </c>
      <c r="AR37" s="35"/>
      <c r="AS37" s="36">
        <f t="shared" si="3"/>
        <v>1.1785714285714286</v>
      </c>
      <c r="AT37" s="36">
        <f t="shared" si="3"/>
        <v>16.5</v>
      </c>
      <c r="AU37" s="36">
        <f t="shared" si="4"/>
        <v>1.2846428571428572</v>
      </c>
      <c r="AV37" s="36">
        <f t="shared" si="5"/>
        <v>17.984999999999999</v>
      </c>
      <c r="AW37" s="37"/>
      <c r="AX37" s="38">
        <f t="shared" si="6"/>
        <v>0</v>
      </c>
      <c r="AY37" s="38">
        <f t="shared" si="7"/>
        <v>-1.2846428571428572</v>
      </c>
      <c r="AZ37" s="38">
        <f t="shared" si="8"/>
        <v>-17.984999999999999</v>
      </c>
      <c r="BA37" s="39" t="e">
        <f t="shared" si="9"/>
        <v>#DIV/0!</v>
      </c>
      <c r="BB37" s="42"/>
      <c r="BC37" s="119">
        <f t="shared" si="10"/>
        <v>0</v>
      </c>
      <c r="BD37" s="108">
        <v>0.15</v>
      </c>
      <c r="BE37" s="120">
        <f t="shared" si="11"/>
        <v>0</v>
      </c>
      <c r="BF37" s="121">
        <f t="shared" si="12"/>
        <v>0</v>
      </c>
      <c r="BG37" s="121">
        <f t="shared" si="13"/>
        <v>0</v>
      </c>
      <c r="BH37" s="122">
        <f t="shared" si="14"/>
        <v>0</v>
      </c>
      <c r="BI37" s="121">
        <f t="shared" si="15"/>
        <v>0</v>
      </c>
      <c r="BJ37" s="123" t="e">
        <f t="shared" si="16"/>
        <v>#DIV/0!</v>
      </c>
      <c r="BK37" s="124" t="e">
        <f t="shared" si="17"/>
        <v>#DIV/0!</v>
      </c>
      <c r="BL37" s="125" t="s">
        <v>226</v>
      </c>
    </row>
    <row r="38" spans="1:64" ht="45" customHeight="1" x14ac:dyDescent="0.25">
      <c r="A38" s="30">
        <v>19</v>
      </c>
      <c r="B38" s="101" t="s">
        <v>217</v>
      </c>
      <c r="C38" s="31">
        <v>1</v>
      </c>
      <c r="D38" s="32" t="s">
        <v>73</v>
      </c>
      <c r="E38" s="31">
        <f t="shared" si="0"/>
        <v>12</v>
      </c>
      <c r="F38" s="31" t="s">
        <v>226</v>
      </c>
      <c r="G38" s="31" t="s">
        <v>226</v>
      </c>
      <c r="H38" s="31" t="s">
        <v>226</v>
      </c>
      <c r="I38" s="31" t="s">
        <v>226</v>
      </c>
      <c r="J38" s="31" t="s">
        <v>226</v>
      </c>
      <c r="K38" s="31" t="s">
        <v>226</v>
      </c>
      <c r="L38" s="31" t="s">
        <v>226</v>
      </c>
      <c r="M38" s="31" t="s">
        <v>226</v>
      </c>
      <c r="N38" s="31" t="s">
        <v>226</v>
      </c>
      <c r="O38" s="31" t="s">
        <v>226</v>
      </c>
      <c r="P38" s="31" t="s">
        <v>226</v>
      </c>
      <c r="Q38" s="31" t="s">
        <v>226</v>
      </c>
      <c r="R38" s="31" t="s">
        <v>226</v>
      </c>
      <c r="S38" s="31" t="s">
        <v>226</v>
      </c>
      <c r="T38" s="31" t="s">
        <v>226</v>
      </c>
      <c r="U38" s="31" t="s">
        <v>226</v>
      </c>
      <c r="V38" s="31" t="s">
        <v>226</v>
      </c>
      <c r="W38" s="31" t="s">
        <v>226</v>
      </c>
      <c r="X38" s="31" t="s">
        <v>226</v>
      </c>
      <c r="Y38" s="31" t="s">
        <v>226</v>
      </c>
      <c r="Z38" s="31" t="s">
        <v>226</v>
      </c>
      <c r="AA38" s="31" t="s">
        <v>226</v>
      </c>
      <c r="AB38" s="31" t="s">
        <v>226</v>
      </c>
      <c r="AC38" s="31" t="s">
        <v>226</v>
      </c>
      <c r="AD38" s="31" t="s">
        <v>226</v>
      </c>
      <c r="AE38" s="31" t="s">
        <v>226</v>
      </c>
      <c r="AF38" s="31" t="s">
        <v>226</v>
      </c>
      <c r="AG38" s="31" t="s">
        <v>226</v>
      </c>
      <c r="AH38" s="31" t="s">
        <v>226</v>
      </c>
      <c r="AI38" s="31" t="s">
        <v>226</v>
      </c>
      <c r="AJ38" s="31" t="s">
        <v>226</v>
      </c>
      <c r="AK38" s="31" t="s">
        <v>226</v>
      </c>
      <c r="AL38" s="31" t="s">
        <v>226</v>
      </c>
      <c r="AM38" s="31"/>
      <c r="AN38" s="31"/>
      <c r="AO38" s="96">
        <v>20</v>
      </c>
      <c r="AP38" s="33">
        <f t="shared" si="1"/>
        <v>1.6666666666666667</v>
      </c>
      <c r="AQ38" s="34">
        <f t="shared" si="2"/>
        <v>20</v>
      </c>
      <c r="AR38" s="35"/>
      <c r="AS38" s="36">
        <f t="shared" si="3"/>
        <v>1.6666666666666667</v>
      </c>
      <c r="AT38" s="36">
        <f t="shared" si="3"/>
        <v>20</v>
      </c>
      <c r="AU38" s="36">
        <f t="shared" si="4"/>
        <v>1.8166666666666669</v>
      </c>
      <c r="AV38" s="36">
        <f t="shared" si="5"/>
        <v>21.800000000000004</v>
      </c>
      <c r="AW38" s="37"/>
      <c r="AX38" s="38">
        <f t="shared" si="6"/>
        <v>0</v>
      </c>
      <c r="AY38" s="38">
        <f t="shared" si="7"/>
        <v>-1.8166666666666669</v>
      </c>
      <c r="AZ38" s="38">
        <f t="shared" si="8"/>
        <v>-21.800000000000004</v>
      </c>
      <c r="BA38" s="39" t="e">
        <f t="shared" si="9"/>
        <v>#DIV/0!</v>
      </c>
      <c r="BB38" s="42"/>
      <c r="BC38" s="119">
        <f t="shared" si="10"/>
        <v>0</v>
      </c>
      <c r="BD38" s="108">
        <v>0.15</v>
      </c>
      <c r="BE38" s="120">
        <f t="shared" si="11"/>
        <v>0</v>
      </c>
      <c r="BF38" s="121">
        <f t="shared" si="12"/>
        <v>0</v>
      </c>
      <c r="BG38" s="121">
        <f t="shared" si="13"/>
        <v>0</v>
      </c>
      <c r="BH38" s="122">
        <f t="shared" si="14"/>
        <v>0</v>
      </c>
      <c r="BI38" s="121">
        <f t="shared" si="15"/>
        <v>0</v>
      </c>
      <c r="BJ38" s="123" t="e">
        <f t="shared" si="16"/>
        <v>#DIV/0!</v>
      </c>
      <c r="BK38" s="124" t="e">
        <f t="shared" si="17"/>
        <v>#DIV/0!</v>
      </c>
      <c r="BL38" s="125" t="s">
        <v>226</v>
      </c>
    </row>
    <row r="39" spans="1:64" ht="45" customHeight="1" x14ac:dyDescent="0.25">
      <c r="A39" s="30">
        <v>20</v>
      </c>
      <c r="B39" s="101" t="s">
        <v>171</v>
      </c>
      <c r="C39" s="31">
        <v>1</v>
      </c>
      <c r="D39" s="32" t="s">
        <v>73</v>
      </c>
      <c r="E39" s="31">
        <f t="shared" si="0"/>
        <v>12</v>
      </c>
      <c r="F39" s="31" t="s">
        <v>226</v>
      </c>
      <c r="G39" s="31" t="s">
        <v>226</v>
      </c>
      <c r="H39" s="31" t="s">
        <v>226</v>
      </c>
      <c r="I39" s="31" t="s">
        <v>226</v>
      </c>
      <c r="J39" s="31" t="s">
        <v>226</v>
      </c>
      <c r="K39" s="31" t="s">
        <v>226</v>
      </c>
      <c r="L39" s="31" t="s">
        <v>226</v>
      </c>
      <c r="M39" s="31" t="s">
        <v>226</v>
      </c>
      <c r="N39" s="31" t="s">
        <v>226</v>
      </c>
      <c r="O39" s="31" t="s">
        <v>226</v>
      </c>
      <c r="P39" s="31" t="s">
        <v>226</v>
      </c>
      <c r="Q39" s="31" t="s">
        <v>226</v>
      </c>
      <c r="R39" s="31" t="s">
        <v>226</v>
      </c>
      <c r="S39" s="31" t="s">
        <v>226</v>
      </c>
      <c r="T39" s="31" t="s">
        <v>226</v>
      </c>
      <c r="U39" s="31" t="s">
        <v>226</v>
      </c>
      <c r="V39" s="31" t="s">
        <v>226</v>
      </c>
      <c r="W39" s="31" t="s">
        <v>226</v>
      </c>
      <c r="X39" s="31" t="s">
        <v>226</v>
      </c>
      <c r="Y39" s="31" t="s">
        <v>226</v>
      </c>
      <c r="Z39" s="31" t="s">
        <v>226</v>
      </c>
      <c r="AA39" s="31" t="s">
        <v>226</v>
      </c>
      <c r="AB39" s="31" t="s">
        <v>226</v>
      </c>
      <c r="AC39" s="31" t="s">
        <v>226</v>
      </c>
      <c r="AD39" s="31" t="s">
        <v>226</v>
      </c>
      <c r="AE39" s="31" t="s">
        <v>226</v>
      </c>
      <c r="AF39" s="31" t="s">
        <v>226</v>
      </c>
      <c r="AG39" s="31" t="s">
        <v>226</v>
      </c>
      <c r="AH39" s="31" t="s">
        <v>226</v>
      </c>
      <c r="AI39" s="31" t="s">
        <v>226</v>
      </c>
      <c r="AJ39" s="31" t="s">
        <v>226</v>
      </c>
      <c r="AK39" s="31" t="s">
        <v>226</v>
      </c>
      <c r="AL39" s="31" t="s">
        <v>226</v>
      </c>
      <c r="AM39" s="31"/>
      <c r="AN39" s="31"/>
      <c r="AO39" s="96">
        <v>20</v>
      </c>
      <c r="AP39" s="33">
        <f t="shared" si="1"/>
        <v>1.6666666666666667</v>
      </c>
      <c r="AQ39" s="34">
        <f t="shared" si="2"/>
        <v>20</v>
      </c>
      <c r="AR39" s="35"/>
      <c r="AS39" s="36">
        <f t="shared" si="3"/>
        <v>1.6666666666666667</v>
      </c>
      <c r="AT39" s="36">
        <f t="shared" si="3"/>
        <v>20</v>
      </c>
      <c r="AU39" s="36">
        <f t="shared" si="4"/>
        <v>1.8166666666666669</v>
      </c>
      <c r="AV39" s="36">
        <f t="shared" si="5"/>
        <v>21.800000000000004</v>
      </c>
      <c r="AW39" s="37"/>
      <c r="AX39" s="38">
        <f t="shared" si="6"/>
        <v>0</v>
      </c>
      <c r="AY39" s="38">
        <f t="shared" si="7"/>
        <v>-1.8166666666666669</v>
      </c>
      <c r="AZ39" s="38">
        <f t="shared" si="8"/>
        <v>-21.800000000000004</v>
      </c>
      <c r="BA39" s="39" t="e">
        <f t="shared" si="9"/>
        <v>#DIV/0!</v>
      </c>
      <c r="BB39" s="42"/>
      <c r="BC39" s="119">
        <f t="shared" si="10"/>
        <v>0</v>
      </c>
      <c r="BD39" s="108">
        <v>0.15</v>
      </c>
      <c r="BE39" s="120">
        <f t="shared" si="11"/>
        <v>0</v>
      </c>
      <c r="BF39" s="121">
        <f t="shared" si="12"/>
        <v>0</v>
      </c>
      <c r="BG39" s="121">
        <f t="shared" si="13"/>
        <v>0</v>
      </c>
      <c r="BH39" s="122">
        <f t="shared" si="14"/>
        <v>0</v>
      </c>
      <c r="BI39" s="121">
        <f t="shared" si="15"/>
        <v>0</v>
      </c>
      <c r="BJ39" s="123" t="e">
        <f t="shared" si="16"/>
        <v>#DIV/0!</v>
      </c>
      <c r="BK39" s="124" t="e">
        <f t="shared" si="17"/>
        <v>#DIV/0!</v>
      </c>
      <c r="BL39" s="125" t="s">
        <v>226</v>
      </c>
    </row>
    <row r="40" spans="1:64" ht="45" customHeight="1" x14ac:dyDescent="0.25">
      <c r="A40" s="30">
        <v>21</v>
      </c>
      <c r="B40" s="101" t="s">
        <v>172</v>
      </c>
      <c r="C40" s="31">
        <v>1</v>
      </c>
      <c r="D40" s="32" t="s">
        <v>73</v>
      </c>
      <c r="E40" s="31">
        <f t="shared" si="0"/>
        <v>12</v>
      </c>
      <c r="F40" s="31" t="s">
        <v>226</v>
      </c>
      <c r="G40" s="31" t="s">
        <v>226</v>
      </c>
      <c r="H40" s="31" t="s">
        <v>226</v>
      </c>
      <c r="I40" s="31" t="s">
        <v>226</v>
      </c>
      <c r="J40" s="31" t="s">
        <v>226</v>
      </c>
      <c r="K40" s="31" t="s">
        <v>226</v>
      </c>
      <c r="L40" s="31" t="s">
        <v>226</v>
      </c>
      <c r="M40" s="31" t="s">
        <v>226</v>
      </c>
      <c r="N40" s="31" t="s">
        <v>226</v>
      </c>
      <c r="O40" s="31" t="s">
        <v>226</v>
      </c>
      <c r="P40" s="31" t="s">
        <v>226</v>
      </c>
      <c r="Q40" s="31" t="s">
        <v>226</v>
      </c>
      <c r="R40" s="31" t="s">
        <v>226</v>
      </c>
      <c r="S40" s="31" t="s">
        <v>226</v>
      </c>
      <c r="T40" s="31" t="s">
        <v>226</v>
      </c>
      <c r="U40" s="31" t="s">
        <v>226</v>
      </c>
      <c r="V40" s="31" t="s">
        <v>226</v>
      </c>
      <c r="W40" s="31" t="s">
        <v>226</v>
      </c>
      <c r="X40" s="31" t="s">
        <v>226</v>
      </c>
      <c r="Y40" s="31" t="s">
        <v>226</v>
      </c>
      <c r="Z40" s="31" t="s">
        <v>226</v>
      </c>
      <c r="AA40" s="31" t="s">
        <v>226</v>
      </c>
      <c r="AB40" s="31" t="s">
        <v>226</v>
      </c>
      <c r="AC40" s="31" t="s">
        <v>226</v>
      </c>
      <c r="AD40" s="31" t="s">
        <v>226</v>
      </c>
      <c r="AE40" s="31" t="s">
        <v>226</v>
      </c>
      <c r="AF40" s="31" t="s">
        <v>226</v>
      </c>
      <c r="AG40" s="31" t="s">
        <v>226</v>
      </c>
      <c r="AH40" s="31" t="s">
        <v>226</v>
      </c>
      <c r="AI40" s="31" t="s">
        <v>226</v>
      </c>
      <c r="AJ40" s="31" t="s">
        <v>226</v>
      </c>
      <c r="AK40" s="31" t="s">
        <v>226</v>
      </c>
      <c r="AL40" s="31" t="s">
        <v>226</v>
      </c>
      <c r="AM40" s="31"/>
      <c r="AN40" s="31"/>
      <c r="AO40" s="96">
        <v>20</v>
      </c>
      <c r="AP40" s="33">
        <f t="shared" si="1"/>
        <v>1.6666666666666667</v>
      </c>
      <c r="AQ40" s="34">
        <f t="shared" si="2"/>
        <v>20</v>
      </c>
      <c r="AR40" s="35"/>
      <c r="AS40" s="36">
        <f t="shared" si="3"/>
        <v>1.6666666666666667</v>
      </c>
      <c r="AT40" s="36">
        <f t="shared" si="3"/>
        <v>20</v>
      </c>
      <c r="AU40" s="36">
        <f t="shared" si="4"/>
        <v>1.8166666666666669</v>
      </c>
      <c r="AV40" s="36">
        <f t="shared" si="5"/>
        <v>21.800000000000004</v>
      </c>
      <c r="AW40" s="37"/>
      <c r="AX40" s="38">
        <f t="shared" si="6"/>
        <v>0</v>
      </c>
      <c r="AY40" s="38">
        <f t="shared" si="7"/>
        <v>-1.8166666666666669</v>
      </c>
      <c r="AZ40" s="38">
        <f t="shared" si="8"/>
        <v>-21.800000000000004</v>
      </c>
      <c r="BA40" s="39" t="e">
        <f t="shared" si="9"/>
        <v>#DIV/0!</v>
      </c>
      <c r="BB40" s="42"/>
      <c r="BC40" s="119">
        <f t="shared" si="10"/>
        <v>0</v>
      </c>
      <c r="BD40" s="108">
        <v>0.15</v>
      </c>
      <c r="BE40" s="120">
        <f t="shared" si="11"/>
        <v>0</v>
      </c>
      <c r="BF40" s="121">
        <f t="shared" si="12"/>
        <v>0</v>
      </c>
      <c r="BG40" s="121">
        <f t="shared" si="13"/>
        <v>0</v>
      </c>
      <c r="BH40" s="122">
        <f t="shared" si="14"/>
        <v>0</v>
      </c>
      <c r="BI40" s="121">
        <f t="shared" si="15"/>
        <v>0</v>
      </c>
      <c r="BJ40" s="123" t="e">
        <f t="shared" si="16"/>
        <v>#DIV/0!</v>
      </c>
      <c r="BK40" s="124" t="e">
        <f t="shared" si="17"/>
        <v>#DIV/0!</v>
      </c>
      <c r="BL40" s="125" t="s">
        <v>226</v>
      </c>
    </row>
    <row r="41" spans="1:64" ht="45" customHeight="1" x14ac:dyDescent="0.25">
      <c r="A41" s="30">
        <v>22</v>
      </c>
      <c r="B41" s="101" t="s">
        <v>156</v>
      </c>
      <c r="C41" s="31">
        <v>1</v>
      </c>
      <c r="D41" s="32" t="s">
        <v>166</v>
      </c>
      <c r="E41" s="31">
        <f t="shared" si="0"/>
        <v>216</v>
      </c>
      <c r="F41" s="31" t="s">
        <v>226</v>
      </c>
      <c r="G41" s="31" t="s">
        <v>226</v>
      </c>
      <c r="H41" s="31" t="s">
        <v>226</v>
      </c>
      <c r="I41" s="31" t="s">
        <v>226</v>
      </c>
      <c r="J41" s="31" t="s">
        <v>226</v>
      </c>
      <c r="K41" s="31" t="s">
        <v>226</v>
      </c>
      <c r="L41" s="31" t="s">
        <v>226</v>
      </c>
      <c r="M41" s="31" t="s">
        <v>226</v>
      </c>
      <c r="N41" s="31" t="s">
        <v>226</v>
      </c>
      <c r="O41" s="31" t="s">
        <v>226</v>
      </c>
      <c r="P41" s="31" t="s">
        <v>226</v>
      </c>
      <c r="Q41" s="31" t="s">
        <v>226</v>
      </c>
      <c r="R41" s="31" t="s">
        <v>226</v>
      </c>
      <c r="S41" s="31" t="s">
        <v>226</v>
      </c>
      <c r="T41" s="31" t="s">
        <v>226</v>
      </c>
      <c r="U41" s="31" t="s">
        <v>226</v>
      </c>
      <c r="V41" s="31" t="s">
        <v>226</v>
      </c>
      <c r="W41" s="31" t="s">
        <v>226</v>
      </c>
      <c r="X41" s="31" t="s">
        <v>226</v>
      </c>
      <c r="Y41" s="31" t="s">
        <v>226</v>
      </c>
      <c r="Z41" s="31" t="s">
        <v>226</v>
      </c>
      <c r="AA41" s="31" t="s">
        <v>226</v>
      </c>
      <c r="AB41" s="31" t="s">
        <v>226</v>
      </c>
      <c r="AC41" s="31" t="s">
        <v>226</v>
      </c>
      <c r="AD41" s="31" t="s">
        <v>226</v>
      </c>
      <c r="AE41" s="31" t="s">
        <v>226</v>
      </c>
      <c r="AF41" s="31" t="s">
        <v>226</v>
      </c>
      <c r="AG41" s="31" t="s">
        <v>226</v>
      </c>
      <c r="AH41" s="31" t="s">
        <v>226</v>
      </c>
      <c r="AI41" s="31" t="s">
        <v>226</v>
      </c>
      <c r="AJ41" s="31" t="s">
        <v>226</v>
      </c>
      <c r="AK41" s="31" t="s">
        <v>226</v>
      </c>
      <c r="AL41" s="31" t="s">
        <v>226</v>
      </c>
      <c r="AM41" s="31"/>
      <c r="AN41" s="31"/>
      <c r="AO41" s="96">
        <v>113</v>
      </c>
      <c r="AP41" s="33">
        <f t="shared" si="1"/>
        <v>0.52314814814814814</v>
      </c>
      <c r="AQ41" s="34">
        <f t="shared" si="2"/>
        <v>113</v>
      </c>
      <c r="AR41" s="35"/>
      <c r="AS41" s="36">
        <f t="shared" si="3"/>
        <v>0.52314814814814814</v>
      </c>
      <c r="AT41" s="36">
        <f t="shared" si="3"/>
        <v>113</v>
      </c>
      <c r="AU41" s="36">
        <f t="shared" si="4"/>
        <v>0.57023148148148151</v>
      </c>
      <c r="AV41" s="36">
        <f t="shared" si="5"/>
        <v>123.17</v>
      </c>
      <c r="AW41" s="37">
        <v>0.8</v>
      </c>
      <c r="AX41" s="38">
        <f t="shared" si="6"/>
        <v>172.8</v>
      </c>
      <c r="AY41" s="38">
        <f t="shared" si="7"/>
        <v>0.22976851851851854</v>
      </c>
      <c r="AZ41" s="38">
        <f t="shared" si="8"/>
        <v>49.63</v>
      </c>
      <c r="BA41" s="39">
        <f t="shared" si="9"/>
        <v>0.28721064814814817</v>
      </c>
      <c r="BB41" s="42"/>
      <c r="BC41" s="119">
        <f t="shared" si="10"/>
        <v>0.8</v>
      </c>
      <c r="BD41" s="108">
        <v>0.15</v>
      </c>
      <c r="BE41" s="120">
        <f t="shared" si="11"/>
        <v>0.97560975609756095</v>
      </c>
      <c r="BF41" s="121">
        <f t="shared" si="12"/>
        <v>0.17560975609756091</v>
      </c>
      <c r="BG41" s="121">
        <f t="shared" si="13"/>
        <v>1.5804878048780481E-2</v>
      </c>
      <c r="BH41" s="122">
        <f t="shared" si="14"/>
        <v>0.19141463414634138</v>
      </c>
      <c r="BI41" s="121">
        <f t="shared" si="15"/>
        <v>0.78419512195121954</v>
      </c>
      <c r="BJ41" s="123">
        <f t="shared" si="16"/>
        <v>0.27284490107176096</v>
      </c>
      <c r="BK41" s="124">
        <f t="shared" si="17"/>
        <v>-1.4365747076387214E-2</v>
      </c>
      <c r="BL41" s="125" t="s">
        <v>226</v>
      </c>
    </row>
    <row r="42" spans="1:64" ht="45" customHeight="1" x14ac:dyDescent="0.25">
      <c r="A42" s="30">
        <v>23</v>
      </c>
      <c r="B42" s="101" t="s">
        <v>145</v>
      </c>
      <c r="C42" s="31">
        <v>1</v>
      </c>
      <c r="D42" s="32" t="s">
        <v>144</v>
      </c>
      <c r="E42" s="31">
        <f t="shared" si="0"/>
        <v>30</v>
      </c>
      <c r="F42" s="31" t="s">
        <v>226</v>
      </c>
      <c r="G42" s="31" t="s">
        <v>226</v>
      </c>
      <c r="H42" s="31" t="s">
        <v>226</v>
      </c>
      <c r="I42" s="31" t="s">
        <v>226</v>
      </c>
      <c r="J42" s="31" t="s">
        <v>226</v>
      </c>
      <c r="K42" s="31" t="s">
        <v>226</v>
      </c>
      <c r="L42" s="31" t="s">
        <v>226</v>
      </c>
      <c r="M42" s="31" t="s">
        <v>226</v>
      </c>
      <c r="N42" s="31" t="s">
        <v>226</v>
      </c>
      <c r="O42" s="31" t="s">
        <v>226</v>
      </c>
      <c r="P42" s="31" t="s">
        <v>226</v>
      </c>
      <c r="Q42" s="31" t="s">
        <v>226</v>
      </c>
      <c r="R42" s="31" t="s">
        <v>226</v>
      </c>
      <c r="S42" s="31" t="s">
        <v>226</v>
      </c>
      <c r="T42" s="31" t="s">
        <v>226</v>
      </c>
      <c r="U42" s="31" t="s">
        <v>226</v>
      </c>
      <c r="V42" s="31" t="s">
        <v>226</v>
      </c>
      <c r="W42" s="31" t="s">
        <v>226</v>
      </c>
      <c r="X42" s="31" t="s">
        <v>226</v>
      </c>
      <c r="Y42" s="31" t="s">
        <v>226</v>
      </c>
      <c r="Z42" s="31" t="s">
        <v>226</v>
      </c>
      <c r="AA42" s="31" t="s">
        <v>226</v>
      </c>
      <c r="AB42" s="31" t="s">
        <v>226</v>
      </c>
      <c r="AC42" s="31" t="s">
        <v>226</v>
      </c>
      <c r="AD42" s="31" t="s">
        <v>226</v>
      </c>
      <c r="AE42" s="31" t="s">
        <v>226</v>
      </c>
      <c r="AF42" s="31" t="s">
        <v>226</v>
      </c>
      <c r="AG42" s="31" t="s">
        <v>226</v>
      </c>
      <c r="AH42" s="31" t="s">
        <v>226</v>
      </c>
      <c r="AI42" s="31" t="s">
        <v>226</v>
      </c>
      <c r="AJ42" s="31" t="s">
        <v>226</v>
      </c>
      <c r="AK42" s="31" t="s">
        <v>226</v>
      </c>
      <c r="AL42" s="31" t="s">
        <v>226</v>
      </c>
      <c r="AM42" s="31"/>
      <c r="AN42" s="31"/>
      <c r="AO42" s="96">
        <v>31</v>
      </c>
      <c r="AP42" s="33">
        <f t="shared" si="1"/>
        <v>1.0333333333333334</v>
      </c>
      <c r="AQ42" s="34">
        <f t="shared" si="2"/>
        <v>31.000000000000004</v>
      </c>
      <c r="AR42" s="35"/>
      <c r="AS42" s="36">
        <f t="shared" si="3"/>
        <v>1.0333333333333334</v>
      </c>
      <c r="AT42" s="36">
        <f t="shared" si="3"/>
        <v>31.000000000000004</v>
      </c>
      <c r="AU42" s="36">
        <f t="shared" si="4"/>
        <v>1.1263333333333336</v>
      </c>
      <c r="AV42" s="36">
        <f t="shared" si="5"/>
        <v>33.790000000000006</v>
      </c>
      <c r="AW42" s="37">
        <v>1.5</v>
      </c>
      <c r="AX42" s="38">
        <f t="shared" si="6"/>
        <v>45</v>
      </c>
      <c r="AY42" s="38">
        <f t="shared" si="7"/>
        <v>0.37366666666666637</v>
      </c>
      <c r="AZ42" s="38">
        <f t="shared" si="8"/>
        <v>11.20999999999999</v>
      </c>
      <c r="BA42" s="39">
        <f t="shared" si="9"/>
        <v>0.24911111111111092</v>
      </c>
      <c r="BB42" s="42"/>
      <c r="BC42" s="119">
        <f t="shared" si="10"/>
        <v>1.5</v>
      </c>
      <c r="BD42" s="108">
        <v>0.15</v>
      </c>
      <c r="BE42" s="120">
        <f t="shared" si="11"/>
        <v>1.8292682926829267</v>
      </c>
      <c r="BF42" s="121">
        <f t="shared" si="12"/>
        <v>0.32926829268292668</v>
      </c>
      <c r="BG42" s="121">
        <f t="shared" si="13"/>
        <v>2.9634146341463399E-2</v>
      </c>
      <c r="BH42" s="122">
        <f t="shared" si="14"/>
        <v>0.35890243902439006</v>
      </c>
      <c r="BI42" s="121">
        <f t="shared" si="15"/>
        <v>1.4703658536585367</v>
      </c>
      <c r="BJ42" s="123">
        <f t="shared" si="16"/>
        <v>0.23397749578391513</v>
      </c>
      <c r="BK42" s="124">
        <f t="shared" si="17"/>
        <v>-1.5133615327195787E-2</v>
      </c>
      <c r="BL42" s="125" t="s">
        <v>226</v>
      </c>
    </row>
    <row r="43" spans="1:64" ht="45" customHeight="1" x14ac:dyDescent="0.25">
      <c r="A43" s="30">
        <v>24</v>
      </c>
      <c r="B43" s="101" t="s">
        <v>167</v>
      </c>
      <c r="C43" s="31">
        <v>1</v>
      </c>
      <c r="D43" s="32" t="s">
        <v>164</v>
      </c>
      <c r="E43" s="31">
        <f t="shared" si="0"/>
        <v>120</v>
      </c>
      <c r="F43" s="31">
        <v>75</v>
      </c>
      <c r="G43" s="31" t="s">
        <v>226</v>
      </c>
      <c r="H43" s="31" t="s">
        <v>226</v>
      </c>
      <c r="I43" s="31" t="s">
        <v>226</v>
      </c>
      <c r="J43" s="31" t="s">
        <v>226</v>
      </c>
      <c r="K43" s="31" t="s">
        <v>226</v>
      </c>
      <c r="L43" s="31" t="s">
        <v>226</v>
      </c>
      <c r="M43" s="31" t="s">
        <v>226</v>
      </c>
      <c r="N43" s="31" t="s">
        <v>226</v>
      </c>
      <c r="O43" s="31" t="s">
        <v>226</v>
      </c>
      <c r="P43" s="31" t="s">
        <v>226</v>
      </c>
      <c r="Q43" s="31" t="s">
        <v>226</v>
      </c>
      <c r="R43" s="31" t="s">
        <v>226</v>
      </c>
      <c r="S43" s="31" t="s">
        <v>226</v>
      </c>
      <c r="T43" s="31" t="s">
        <v>226</v>
      </c>
      <c r="U43" s="31" t="s">
        <v>226</v>
      </c>
      <c r="V43" s="31" t="s">
        <v>226</v>
      </c>
      <c r="W43" s="31" t="s">
        <v>226</v>
      </c>
      <c r="X43" s="31" t="s">
        <v>226</v>
      </c>
      <c r="Y43" s="31" t="s">
        <v>226</v>
      </c>
      <c r="Z43" s="31" t="s">
        <v>226</v>
      </c>
      <c r="AA43" s="31" t="s">
        <v>226</v>
      </c>
      <c r="AB43" s="31" t="s">
        <v>226</v>
      </c>
      <c r="AC43" s="31" t="s">
        <v>226</v>
      </c>
      <c r="AD43" s="31" t="s">
        <v>226</v>
      </c>
      <c r="AE43" s="31" t="s">
        <v>226</v>
      </c>
      <c r="AF43" s="31" t="s">
        <v>226</v>
      </c>
      <c r="AG43" s="31" t="s">
        <v>226</v>
      </c>
      <c r="AH43" s="31" t="s">
        <v>226</v>
      </c>
      <c r="AI43" s="31" t="s">
        <v>226</v>
      </c>
      <c r="AJ43" s="31" t="s">
        <v>226</v>
      </c>
      <c r="AK43" s="31" t="s">
        <v>226</v>
      </c>
      <c r="AL43" s="31" t="s">
        <v>226</v>
      </c>
      <c r="AM43" s="31"/>
      <c r="AN43" s="31"/>
      <c r="AO43" s="96">
        <v>82</v>
      </c>
      <c r="AP43" s="33">
        <f t="shared" si="1"/>
        <v>0.68333333333333335</v>
      </c>
      <c r="AQ43" s="34">
        <f t="shared" si="2"/>
        <v>82</v>
      </c>
      <c r="AR43" s="35"/>
      <c r="AS43" s="36">
        <f t="shared" si="3"/>
        <v>0.68333333333333335</v>
      </c>
      <c r="AT43" s="36">
        <f>AQ43/$AZ$2</f>
        <v>82</v>
      </c>
      <c r="AU43" s="36">
        <f t="shared" si="4"/>
        <v>0.74483333333333346</v>
      </c>
      <c r="AV43" s="36">
        <f t="shared" si="5"/>
        <v>89.38000000000001</v>
      </c>
      <c r="AW43" s="37">
        <v>1</v>
      </c>
      <c r="AX43" s="38">
        <f t="shared" si="6"/>
        <v>120</v>
      </c>
      <c r="AY43" s="38">
        <f t="shared" si="7"/>
        <v>0.25516666666666654</v>
      </c>
      <c r="AZ43" s="38">
        <f t="shared" si="8"/>
        <v>30.619999999999983</v>
      </c>
      <c r="BA43" s="39">
        <f t="shared" si="9"/>
        <v>0.25516666666666654</v>
      </c>
      <c r="BB43" s="42"/>
      <c r="BC43" s="119">
        <f t="shared" si="10"/>
        <v>1</v>
      </c>
      <c r="BD43" s="108">
        <v>0.15</v>
      </c>
      <c r="BE43" s="120">
        <f t="shared" si="11"/>
        <v>1.2195121951219512</v>
      </c>
      <c r="BF43" s="121">
        <f t="shared" si="12"/>
        <v>0.21951219512195119</v>
      </c>
      <c r="BG43" s="121">
        <f t="shared" si="13"/>
        <v>1.9756097560975606E-2</v>
      </c>
      <c r="BH43" s="122">
        <f t="shared" si="14"/>
        <v>0.23926829268292679</v>
      </c>
      <c r="BI43" s="121">
        <f t="shared" si="15"/>
        <v>0.98024390243902437</v>
      </c>
      <c r="BJ43" s="123">
        <f t="shared" si="16"/>
        <v>0.24015509662436746</v>
      </c>
      <c r="BK43" s="124">
        <f t="shared" si="17"/>
        <v>-1.5011570042299083E-2</v>
      </c>
      <c r="BL43" s="125" t="s">
        <v>226</v>
      </c>
    </row>
    <row r="44" spans="1:64" ht="45" customHeight="1" x14ac:dyDescent="0.25">
      <c r="A44" s="30">
        <v>25</v>
      </c>
      <c r="B44" s="101" t="s">
        <v>168</v>
      </c>
      <c r="C44" s="31">
        <v>1</v>
      </c>
      <c r="D44" s="32" t="s">
        <v>164</v>
      </c>
      <c r="E44" s="31">
        <f t="shared" si="0"/>
        <v>120</v>
      </c>
      <c r="F44" s="31">
        <v>75</v>
      </c>
      <c r="G44" s="31" t="s">
        <v>226</v>
      </c>
      <c r="H44" s="31" t="s">
        <v>226</v>
      </c>
      <c r="I44" s="31" t="s">
        <v>226</v>
      </c>
      <c r="J44" s="31" t="s">
        <v>226</v>
      </c>
      <c r="K44" s="31" t="s">
        <v>226</v>
      </c>
      <c r="L44" s="31" t="s">
        <v>226</v>
      </c>
      <c r="M44" s="31" t="s">
        <v>226</v>
      </c>
      <c r="N44" s="31" t="s">
        <v>226</v>
      </c>
      <c r="O44" s="31" t="s">
        <v>226</v>
      </c>
      <c r="P44" s="31" t="s">
        <v>226</v>
      </c>
      <c r="Q44" s="31" t="s">
        <v>226</v>
      </c>
      <c r="R44" s="31" t="s">
        <v>226</v>
      </c>
      <c r="S44" s="31" t="s">
        <v>226</v>
      </c>
      <c r="T44" s="31" t="s">
        <v>226</v>
      </c>
      <c r="U44" s="31" t="s">
        <v>226</v>
      </c>
      <c r="V44" s="31" t="s">
        <v>226</v>
      </c>
      <c r="W44" s="31" t="s">
        <v>226</v>
      </c>
      <c r="X44" s="31" t="s">
        <v>226</v>
      </c>
      <c r="Y44" s="31" t="s">
        <v>226</v>
      </c>
      <c r="Z44" s="31" t="s">
        <v>226</v>
      </c>
      <c r="AA44" s="31" t="s">
        <v>226</v>
      </c>
      <c r="AB44" s="31" t="s">
        <v>226</v>
      </c>
      <c r="AC44" s="31" t="s">
        <v>226</v>
      </c>
      <c r="AD44" s="31" t="s">
        <v>226</v>
      </c>
      <c r="AE44" s="31" t="s">
        <v>226</v>
      </c>
      <c r="AF44" s="31" t="s">
        <v>226</v>
      </c>
      <c r="AG44" s="31" t="s">
        <v>226</v>
      </c>
      <c r="AH44" s="31" t="s">
        <v>226</v>
      </c>
      <c r="AI44" s="31" t="s">
        <v>226</v>
      </c>
      <c r="AJ44" s="31" t="s">
        <v>226</v>
      </c>
      <c r="AK44" s="31" t="s">
        <v>226</v>
      </c>
      <c r="AL44" s="31" t="s">
        <v>226</v>
      </c>
      <c r="AM44" s="31"/>
      <c r="AN44" s="31"/>
      <c r="AO44" s="96">
        <v>82</v>
      </c>
      <c r="AP44" s="33">
        <f t="shared" si="1"/>
        <v>0.68333333333333335</v>
      </c>
      <c r="AQ44" s="34">
        <f t="shared" si="2"/>
        <v>82</v>
      </c>
      <c r="AR44" s="35"/>
      <c r="AS44" s="36">
        <f t="shared" si="3"/>
        <v>0.68333333333333335</v>
      </c>
      <c r="AT44" s="36">
        <f t="shared" si="3"/>
        <v>82</v>
      </c>
      <c r="AU44" s="36">
        <f t="shared" si="4"/>
        <v>0.74483333333333346</v>
      </c>
      <c r="AV44" s="36">
        <f t="shared" si="5"/>
        <v>89.38000000000001</v>
      </c>
      <c r="AW44" s="37">
        <v>1</v>
      </c>
      <c r="AX44" s="38">
        <f t="shared" si="6"/>
        <v>120</v>
      </c>
      <c r="AY44" s="38">
        <f t="shared" si="7"/>
        <v>0.25516666666666654</v>
      </c>
      <c r="AZ44" s="38">
        <f t="shared" si="8"/>
        <v>30.619999999999983</v>
      </c>
      <c r="BA44" s="39">
        <f t="shared" si="9"/>
        <v>0.25516666666666654</v>
      </c>
      <c r="BB44" s="42"/>
      <c r="BC44" s="119">
        <f t="shared" si="10"/>
        <v>1</v>
      </c>
      <c r="BD44" s="108">
        <v>0.15</v>
      </c>
      <c r="BE44" s="120">
        <f t="shared" si="11"/>
        <v>1.2195121951219512</v>
      </c>
      <c r="BF44" s="121">
        <f t="shared" si="12"/>
        <v>0.21951219512195119</v>
      </c>
      <c r="BG44" s="121">
        <f t="shared" si="13"/>
        <v>1.9756097560975606E-2</v>
      </c>
      <c r="BH44" s="122">
        <f t="shared" si="14"/>
        <v>0.23926829268292679</v>
      </c>
      <c r="BI44" s="121">
        <f t="shared" si="15"/>
        <v>0.98024390243902437</v>
      </c>
      <c r="BJ44" s="123">
        <f t="shared" si="16"/>
        <v>0.24015509662436746</v>
      </c>
      <c r="BK44" s="124">
        <f t="shared" si="17"/>
        <v>-1.5011570042299083E-2</v>
      </c>
      <c r="BL44" s="125" t="s">
        <v>226</v>
      </c>
    </row>
    <row r="45" spans="1:64" ht="45" customHeight="1" x14ac:dyDescent="0.25">
      <c r="A45" s="30">
        <v>26</v>
      </c>
      <c r="B45" s="101" t="s">
        <v>161</v>
      </c>
      <c r="C45" s="31">
        <v>1</v>
      </c>
      <c r="D45" s="32" t="s">
        <v>164</v>
      </c>
      <c r="E45" s="31">
        <f t="shared" si="0"/>
        <v>120</v>
      </c>
      <c r="F45" s="31">
        <v>75</v>
      </c>
      <c r="G45" s="31" t="s">
        <v>226</v>
      </c>
      <c r="H45" s="31" t="s">
        <v>226</v>
      </c>
      <c r="I45" s="31" t="s">
        <v>226</v>
      </c>
      <c r="J45" s="31" t="s">
        <v>226</v>
      </c>
      <c r="K45" s="31" t="s">
        <v>226</v>
      </c>
      <c r="L45" s="31" t="s">
        <v>226</v>
      </c>
      <c r="M45" s="31" t="s">
        <v>226</v>
      </c>
      <c r="N45" s="31" t="s">
        <v>226</v>
      </c>
      <c r="O45" s="31" t="s">
        <v>226</v>
      </c>
      <c r="P45" s="31" t="s">
        <v>226</v>
      </c>
      <c r="Q45" s="31" t="s">
        <v>226</v>
      </c>
      <c r="R45" s="31" t="s">
        <v>226</v>
      </c>
      <c r="S45" s="31" t="s">
        <v>226</v>
      </c>
      <c r="T45" s="31" t="s">
        <v>226</v>
      </c>
      <c r="U45" s="31" t="s">
        <v>226</v>
      </c>
      <c r="V45" s="31" t="s">
        <v>226</v>
      </c>
      <c r="W45" s="31" t="s">
        <v>226</v>
      </c>
      <c r="X45" s="31" t="s">
        <v>226</v>
      </c>
      <c r="Y45" s="31" t="s">
        <v>226</v>
      </c>
      <c r="Z45" s="31" t="s">
        <v>226</v>
      </c>
      <c r="AA45" s="31" t="s">
        <v>226</v>
      </c>
      <c r="AB45" s="31" t="s">
        <v>226</v>
      </c>
      <c r="AC45" s="31" t="s">
        <v>226</v>
      </c>
      <c r="AD45" s="31" t="s">
        <v>226</v>
      </c>
      <c r="AE45" s="31" t="s">
        <v>226</v>
      </c>
      <c r="AF45" s="31" t="s">
        <v>226</v>
      </c>
      <c r="AG45" s="31" t="s">
        <v>226</v>
      </c>
      <c r="AH45" s="31" t="s">
        <v>226</v>
      </c>
      <c r="AI45" s="31" t="s">
        <v>226</v>
      </c>
      <c r="AJ45" s="31" t="s">
        <v>226</v>
      </c>
      <c r="AK45" s="31" t="s">
        <v>226</v>
      </c>
      <c r="AL45" s="31" t="s">
        <v>226</v>
      </c>
      <c r="AM45" s="31"/>
      <c r="AN45" s="31"/>
      <c r="AO45" s="96">
        <v>82</v>
      </c>
      <c r="AP45" s="33">
        <f t="shared" si="1"/>
        <v>0.68333333333333335</v>
      </c>
      <c r="AQ45" s="34">
        <f t="shared" si="2"/>
        <v>82</v>
      </c>
      <c r="AR45" s="35"/>
      <c r="AS45" s="36">
        <f t="shared" si="3"/>
        <v>0.68333333333333335</v>
      </c>
      <c r="AT45" s="36">
        <f t="shared" si="3"/>
        <v>82</v>
      </c>
      <c r="AU45" s="36">
        <f t="shared" si="4"/>
        <v>0.74483333333333346</v>
      </c>
      <c r="AV45" s="36">
        <f t="shared" si="5"/>
        <v>89.38000000000001</v>
      </c>
      <c r="AW45" s="37">
        <v>1</v>
      </c>
      <c r="AX45" s="38">
        <f t="shared" si="6"/>
        <v>120</v>
      </c>
      <c r="AY45" s="38">
        <f t="shared" si="7"/>
        <v>0.25516666666666654</v>
      </c>
      <c r="AZ45" s="38">
        <f t="shared" si="8"/>
        <v>30.619999999999983</v>
      </c>
      <c r="BA45" s="39">
        <f t="shared" si="9"/>
        <v>0.25516666666666654</v>
      </c>
      <c r="BB45" s="42"/>
      <c r="BC45" s="119">
        <f t="shared" si="10"/>
        <v>1</v>
      </c>
      <c r="BD45" s="108">
        <v>0.15</v>
      </c>
      <c r="BE45" s="120">
        <f t="shared" si="11"/>
        <v>1.2195121951219512</v>
      </c>
      <c r="BF45" s="121">
        <f t="shared" si="12"/>
        <v>0.21951219512195119</v>
      </c>
      <c r="BG45" s="121">
        <f t="shared" si="13"/>
        <v>1.9756097560975606E-2</v>
      </c>
      <c r="BH45" s="122">
        <f t="shared" si="14"/>
        <v>0.23926829268292679</v>
      </c>
      <c r="BI45" s="121">
        <f t="shared" si="15"/>
        <v>0.98024390243902437</v>
      </c>
      <c r="BJ45" s="123">
        <f t="shared" si="16"/>
        <v>0.24015509662436746</v>
      </c>
      <c r="BK45" s="124">
        <f t="shared" si="17"/>
        <v>-1.5011570042299083E-2</v>
      </c>
      <c r="BL45" s="125" t="s">
        <v>226</v>
      </c>
    </row>
    <row r="46" spans="1:64" ht="45" customHeight="1" x14ac:dyDescent="0.25">
      <c r="A46" s="30">
        <v>27</v>
      </c>
      <c r="B46" s="102" t="s">
        <v>44</v>
      </c>
      <c r="C46" s="31">
        <v>1</v>
      </c>
      <c r="D46" s="32" t="s">
        <v>24</v>
      </c>
      <c r="E46" s="31">
        <f t="shared" si="0"/>
        <v>24</v>
      </c>
      <c r="F46" s="31" t="s">
        <v>226</v>
      </c>
      <c r="G46" s="31" t="s">
        <v>226</v>
      </c>
      <c r="H46" s="31" t="s">
        <v>226</v>
      </c>
      <c r="I46" s="31" t="s">
        <v>226</v>
      </c>
      <c r="J46" s="31" t="s">
        <v>226</v>
      </c>
      <c r="K46" s="31" t="s">
        <v>226</v>
      </c>
      <c r="L46" s="31" t="s">
        <v>226</v>
      </c>
      <c r="M46" s="31" t="s">
        <v>226</v>
      </c>
      <c r="N46" s="31" t="s">
        <v>226</v>
      </c>
      <c r="O46" s="31" t="s">
        <v>226</v>
      </c>
      <c r="P46" s="31" t="s">
        <v>226</v>
      </c>
      <c r="Q46" s="31" t="s">
        <v>226</v>
      </c>
      <c r="R46" s="31" t="s">
        <v>226</v>
      </c>
      <c r="S46" s="31" t="s">
        <v>226</v>
      </c>
      <c r="T46" s="31" t="s">
        <v>226</v>
      </c>
      <c r="U46" s="31" t="s">
        <v>226</v>
      </c>
      <c r="V46" s="31" t="s">
        <v>226</v>
      </c>
      <c r="W46" s="31" t="s">
        <v>226</v>
      </c>
      <c r="X46" s="31" t="s">
        <v>226</v>
      </c>
      <c r="Y46" s="31" t="s">
        <v>226</v>
      </c>
      <c r="Z46" s="31" t="s">
        <v>226</v>
      </c>
      <c r="AA46" s="31" t="s">
        <v>226</v>
      </c>
      <c r="AB46" s="31" t="s">
        <v>226</v>
      </c>
      <c r="AC46" s="31" t="s">
        <v>226</v>
      </c>
      <c r="AD46" s="31" t="s">
        <v>226</v>
      </c>
      <c r="AE46" s="31" t="s">
        <v>226</v>
      </c>
      <c r="AF46" s="31" t="s">
        <v>226</v>
      </c>
      <c r="AG46" s="31" t="s">
        <v>226</v>
      </c>
      <c r="AH46" s="31" t="s">
        <v>226</v>
      </c>
      <c r="AI46" s="31" t="s">
        <v>226</v>
      </c>
      <c r="AJ46" s="31" t="s">
        <v>226</v>
      </c>
      <c r="AK46" s="31" t="s">
        <v>226</v>
      </c>
      <c r="AL46" s="31" t="s">
        <v>226</v>
      </c>
      <c r="AM46" s="31"/>
      <c r="AN46" s="31"/>
      <c r="AO46" s="96">
        <v>13</v>
      </c>
      <c r="AP46" s="33">
        <f t="shared" si="1"/>
        <v>0.54166666666666663</v>
      </c>
      <c r="AQ46" s="34">
        <f t="shared" si="2"/>
        <v>13</v>
      </c>
      <c r="AR46" s="35"/>
      <c r="AS46" s="36">
        <f t="shared" si="3"/>
        <v>0.54166666666666663</v>
      </c>
      <c r="AT46" s="36">
        <f t="shared" si="3"/>
        <v>13</v>
      </c>
      <c r="AU46" s="36">
        <f t="shared" si="4"/>
        <v>0.5904166666666667</v>
      </c>
      <c r="AV46" s="36">
        <f t="shared" si="5"/>
        <v>14.170000000000002</v>
      </c>
      <c r="AW46" s="37">
        <v>0.8</v>
      </c>
      <c r="AX46" s="38">
        <f t="shared" si="6"/>
        <v>19.200000000000003</v>
      </c>
      <c r="AY46" s="38">
        <f t="shared" si="7"/>
        <v>0.20958333333333334</v>
      </c>
      <c r="AZ46" s="38">
        <f t="shared" si="8"/>
        <v>5.03</v>
      </c>
      <c r="BA46" s="39">
        <f t="shared" si="9"/>
        <v>0.26197916666666665</v>
      </c>
      <c r="BB46" s="42"/>
      <c r="BC46" s="119">
        <f t="shared" si="10"/>
        <v>0.8</v>
      </c>
      <c r="BD46" s="108">
        <v>0.15</v>
      </c>
      <c r="BE46" s="120">
        <f t="shared" si="11"/>
        <v>0.97560975609756095</v>
      </c>
      <c r="BF46" s="121">
        <f t="shared" si="12"/>
        <v>0.17560975609756091</v>
      </c>
      <c r="BG46" s="121">
        <f t="shared" si="13"/>
        <v>1.5804878048780481E-2</v>
      </c>
      <c r="BH46" s="122">
        <f t="shared" si="14"/>
        <v>0.19141463414634138</v>
      </c>
      <c r="BI46" s="121">
        <f t="shared" si="15"/>
        <v>0.78419512195121954</v>
      </c>
      <c r="BJ46" s="123">
        <f t="shared" si="16"/>
        <v>0.24710489756987641</v>
      </c>
      <c r="BK46" s="124">
        <f t="shared" si="17"/>
        <v>-1.4874269096790238E-2</v>
      </c>
      <c r="BL46" s="125">
        <v>0.7</v>
      </c>
    </row>
    <row r="47" spans="1:64" ht="45" customHeight="1" x14ac:dyDescent="0.25">
      <c r="A47" s="30">
        <v>28</v>
      </c>
      <c r="B47" s="103" t="s">
        <v>45</v>
      </c>
      <c r="C47" s="31">
        <v>1</v>
      </c>
      <c r="D47" s="32" t="s">
        <v>84</v>
      </c>
      <c r="E47" s="31">
        <f t="shared" si="0"/>
        <v>8</v>
      </c>
      <c r="F47" s="31" t="s">
        <v>226</v>
      </c>
      <c r="G47" s="31" t="s">
        <v>226</v>
      </c>
      <c r="H47" s="31" t="s">
        <v>226</v>
      </c>
      <c r="I47" s="31" t="s">
        <v>226</v>
      </c>
      <c r="J47" s="31" t="s">
        <v>226</v>
      </c>
      <c r="K47" s="31" t="s">
        <v>226</v>
      </c>
      <c r="L47" s="31" t="s">
        <v>226</v>
      </c>
      <c r="M47" s="31" t="s">
        <v>226</v>
      </c>
      <c r="N47" s="31" t="s">
        <v>226</v>
      </c>
      <c r="O47" s="31" t="s">
        <v>226</v>
      </c>
      <c r="P47" s="31" t="s">
        <v>226</v>
      </c>
      <c r="Q47" s="31" t="s">
        <v>226</v>
      </c>
      <c r="R47" s="31" t="s">
        <v>226</v>
      </c>
      <c r="S47" s="31" t="s">
        <v>226</v>
      </c>
      <c r="T47" s="31" t="s">
        <v>226</v>
      </c>
      <c r="U47" s="31" t="s">
        <v>226</v>
      </c>
      <c r="V47" s="31" t="s">
        <v>226</v>
      </c>
      <c r="W47" s="31" t="s">
        <v>226</v>
      </c>
      <c r="X47" s="31" t="s">
        <v>226</v>
      </c>
      <c r="Y47" s="31" t="s">
        <v>226</v>
      </c>
      <c r="Z47" s="31" t="s">
        <v>226</v>
      </c>
      <c r="AA47" s="31" t="s">
        <v>226</v>
      </c>
      <c r="AB47" s="31" t="s">
        <v>226</v>
      </c>
      <c r="AC47" s="31" t="s">
        <v>226</v>
      </c>
      <c r="AD47" s="31" t="s">
        <v>226</v>
      </c>
      <c r="AE47" s="31" t="s">
        <v>226</v>
      </c>
      <c r="AF47" s="31" t="s">
        <v>226</v>
      </c>
      <c r="AG47" s="31" t="s">
        <v>226</v>
      </c>
      <c r="AH47" s="31" t="s">
        <v>226</v>
      </c>
      <c r="AI47" s="31" t="s">
        <v>226</v>
      </c>
      <c r="AJ47" s="31" t="s">
        <v>226</v>
      </c>
      <c r="AK47" s="31" t="s">
        <v>226</v>
      </c>
      <c r="AL47" s="31" t="s">
        <v>226</v>
      </c>
      <c r="AM47" s="31"/>
      <c r="AN47" s="31"/>
      <c r="AO47" s="96">
        <v>11.5</v>
      </c>
      <c r="AP47" s="33">
        <f t="shared" si="1"/>
        <v>1.4375</v>
      </c>
      <c r="AQ47" s="34">
        <f t="shared" si="2"/>
        <v>11.5</v>
      </c>
      <c r="AR47" s="35"/>
      <c r="AS47" s="36">
        <f t="shared" si="3"/>
        <v>1.4375</v>
      </c>
      <c r="AT47" s="36">
        <f t="shared" si="3"/>
        <v>11.5</v>
      </c>
      <c r="AU47" s="36">
        <f t="shared" si="4"/>
        <v>1.566875</v>
      </c>
      <c r="AV47" s="36">
        <f t="shared" si="5"/>
        <v>12.535</v>
      </c>
      <c r="AW47" s="37">
        <v>1.95</v>
      </c>
      <c r="AX47" s="38">
        <f t="shared" si="6"/>
        <v>15.6</v>
      </c>
      <c r="AY47" s="38">
        <f t="shared" si="7"/>
        <v>0.38312499999999994</v>
      </c>
      <c r="AZ47" s="38">
        <f t="shared" si="8"/>
        <v>3.0649999999999995</v>
      </c>
      <c r="BA47" s="39">
        <f t="shared" si="9"/>
        <v>0.19647435897435894</v>
      </c>
      <c r="BB47" s="43"/>
      <c r="BC47" s="119">
        <f t="shared" si="10"/>
        <v>1.95</v>
      </c>
      <c r="BD47" s="108">
        <v>0.15</v>
      </c>
      <c r="BE47" s="120">
        <f t="shared" si="11"/>
        <v>2.3780487804878048</v>
      </c>
      <c r="BF47" s="121">
        <f t="shared" si="12"/>
        <v>0.42804878048780481</v>
      </c>
      <c r="BG47" s="121">
        <f t="shared" si="13"/>
        <v>3.8524390243902432E-2</v>
      </c>
      <c r="BH47" s="122">
        <f t="shared" si="14"/>
        <v>0.46657317073170723</v>
      </c>
      <c r="BI47" s="121">
        <f t="shared" si="15"/>
        <v>1.9114756097560974</v>
      </c>
      <c r="BJ47" s="123">
        <f t="shared" si="16"/>
        <v>0.18027988847844525</v>
      </c>
      <c r="BK47" s="124">
        <f t="shared" si="17"/>
        <v>-1.6194470495913688E-2</v>
      </c>
      <c r="BL47" s="125" t="s">
        <v>226</v>
      </c>
    </row>
    <row r="48" spans="1:64" ht="45" customHeight="1" x14ac:dyDescent="0.25">
      <c r="A48" s="30">
        <v>29</v>
      </c>
      <c r="B48" s="103" t="s">
        <v>198</v>
      </c>
      <c r="C48" s="31">
        <v>1</v>
      </c>
      <c r="D48" s="32" t="s">
        <v>84</v>
      </c>
      <c r="E48" s="31">
        <f t="shared" si="0"/>
        <v>8</v>
      </c>
      <c r="F48" s="31" t="s">
        <v>226</v>
      </c>
      <c r="G48" s="31" t="s">
        <v>226</v>
      </c>
      <c r="H48" s="31" t="s">
        <v>226</v>
      </c>
      <c r="I48" s="31" t="s">
        <v>226</v>
      </c>
      <c r="J48" s="31" t="s">
        <v>226</v>
      </c>
      <c r="K48" s="31" t="s">
        <v>226</v>
      </c>
      <c r="L48" s="31" t="s">
        <v>226</v>
      </c>
      <c r="M48" s="31" t="s">
        <v>226</v>
      </c>
      <c r="N48" s="31" t="s">
        <v>226</v>
      </c>
      <c r="O48" s="31" t="s">
        <v>226</v>
      </c>
      <c r="P48" s="31" t="s">
        <v>226</v>
      </c>
      <c r="Q48" s="31" t="s">
        <v>226</v>
      </c>
      <c r="R48" s="31" t="s">
        <v>226</v>
      </c>
      <c r="S48" s="31" t="s">
        <v>226</v>
      </c>
      <c r="T48" s="31" t="s">
        <v>226</v>
      </c>
      <c r="U48" s="31" t="s">
        <v>226</v>
      </c>
      <c r="V48" s="31" t="s">
        <v>226</v>
      </c>
      <c r="W48" s="31" t="s">
        <v>226</v>
      </c>
      <c r="X48" s="31" t="s">
        <v>226</v>
      </c>
      <c r="Y48" s="31" t="s">
        <v>226</v>
      </c>
      <c r="Z48" s="31" t="s">
        <v>226</v>
      </c>
      <c r="AA48" s="31" t="s">
        <v>226</v>
      </c>
      <c r="AB48" s="31" t="s">
        <v>226</v>
      </c>
      <c r="AC48" s="31" t="s">
        <v>226</v>
      </c>
      <c r="AD48" s="31" t="s">
        <v>226</v>
      </c>
      <c r="AE48" s="31" t="s">
        <v>226</v>
      </c>
      <c r="AF48" s="31" t="s">
        <v>226</v>
      </c>
      <c r="AG48" s="31" t="s">
        <v>226</v>
      </c>
      <c r="AH48" s="31" t="s">
        <v>226</v>
      </c>
      <c r="AI48" s="31" t="s">
        <v>226</v>
      </c>
      <c r="AJ48" s="31" t="s">
        <v>226</v>
      </c>
      <c r="AK48" s="31" t="s">
        <v>226</v>
      </c>
      <c r="AL48" s="31" t="s">
        <v>226</v>
      </c>
      <c r="AM48" s="31"/>
      <c r="AN48" s="31"/>
      <c r="AO48" s="96">
        <v>11.5</v>
      </c>
      <c r="AP48" s="33">
        <f t="shared" si="1"/>
        <v>1.4375</v>
      </c>
      <c r="AQ48" s="34">
        <f t="shared" si="2"/>
        <v>11.5</v>
      </c>
      <c r="AR48" s="35"/>
      <c r="AS48" s="36">
        <f t="shared" si="3"/>
        <v>1.4375</v>
      </c>
      <c r="AT48" s="36">
        <f t="shared" si="3"/>
        <v>11.5</v>
      </c>
      <c r="AU48" s="36">
        <f t="shared" si="4"/>
        <v>1.566875</v>
      </c>
      <c r="AV48" s="36">
        <f t="shared" si="5"/>
        <v>12.535</v>
      </c>
      <c r="AW48" s="37">
        <v>1.95</v>
      </c>
      <c r="AX48" s="38">
        <f t="shared" si="6"/>
        <v>15.6</v>
      </c>
      <c r="AY48" s="38">
        <f t="shared" si="7"/>
        <v>0.38312499999999994</v>
      </c>
      <c r="AZ48" s="38">
        <f t="shared" si="8"/>
        <v>3.0649999999999995</v>
      </c>
      <c r="BA48" s="39">
        <f t="shared" si="9"/>
        <v>0.19647435897435894</v>
      </c>
      <c r="BB48" s="43"/>
      <c r="BC48" s="119">
        <f t="shared" si="10"/>
        <v>1.95</v>
      </c>
      <c r="BD48" s="108">
        <v>0.15</v>
      </c>
      <c r="BE48" s="120">
        <f t="shared" si="11"/>
        <v>2.3780487804878048</v>
      </c>
      <c r="BF48" s="121">
        <f t="shared" si="12"/>
        <v>0.42804878048780481</v>
      </c>
      <c r="BG48" s="121">
        <f t="shared" si="13"/>
        <v>3.8524390243902432E-2</v>
      </c>
      <c r="BH48" s="122">
        <f t="shared" si="14"/>
        <v>0.46657317073170723</v>
      </c>
      <c r="BI48" s="121">
        <f t="shared" si="15"/>
        <v>1.9114756097560974</v>
      </c>
      <c r="BJ48" s="123">
        <f t="shared" si="16"/>
        <v>0.18027988847844525</v>
      </c>
      <c r="BK48" s="124">
        <f t="shared" si="17"/>
        <v>-1.6194470495913688E-2</v>
      </c>
      <c r="BL48" s="125" t="s">
        <v>226</v>
      </c>
    </row>
    <row r="49" spans="1:64" ht="45" customHeight="1" x14ac:dyDescent="0.25">
      <c r="A49" s="30">
        <v>30</v>
      </c>
      <c r="B49" s="100" t="s">
        <v>181</v>
      </c>
      <c r="C49" s="31">
        <v>1</v>
      </c>
      <c r="D49" s="32" t="s">
        <v>84</v>
      </c>
      <c r="E49" s="31">
        <f t="shared" si="0"/>
        <v>8</v>
      </c>
      <c r="F49" s="31" t="s">
        <v>226</v>
      </c>
      <c r="G49" s="31" t="s">
        <v>226</v>
      </c>
      <c r="H49" s="31" t="s">
        <v>226</v>
      </c>
      <c r="I49" s="31" t="s">
        <v>226</v>
      </c>
      <c r="J49" s="31" t="s">
        <v>226</v>
      </c>
      <c r="K49" s="31" t="s">
        <v>226</v>
      </c>
      <c r="L49" s="31" t="s">
        <v>226</v>
      </c>
      <c r="M49" s="31" t="s">
        <v>226</v>
      </c>
      <c r="N49" s="31" t="s">
        <v>226</v>
      </c>
      <c r="O49" s="31" t="s">
        <v>226</v>
      </c>
      <c r="P49" s="31" t="s">
        <v>226</v>
      </c>
      <c r="Q49" s="31" t="s">
        <v>226</v>
      </c>
      <c r="R49" s="31" t="s">
        <v>226</v>
      </c>
      <c r="S49" s="31" t="s">
        <v>226</v>
      </c>
      <c r="T49" s="31" t="s">
        <v>226</v>
      </c>
      <c r="U49" s="31" t="s">
        <v>226</v>
      </c>
      <c r="V49" s="31" t="s">
        <v>226</v>
      </c>
      <c r="W49" s="31" t="s">
        <v>226</v>
      </c>
      <c r="X49" s="31" t="s">
        <v>226</v>
      </c>
      <c r="Y49" s="31" t="s">
        <v>226</v>
      </c>
      <c r="Z49" s="31" t="s">
        <v>226</v>
      </c>
      <c r="AA49" s="31" t="s">
        <v>226</v>
      </c>
      <c r="AB49" s="31" t="s">
        <v>226</v>
      </c>
      <c r="AC49" s="31" t="s">
        <v>226</v>
      </c>
      <c r="AD49" s="31" t="s">
        <v>226</v>
      </c>
      <c r="AE49" s="31" t="s">
        <v>226</v>
      </c>
      <c r="AF49" s="31" t="s">
        <v>226</v>
      </c>
      <c r="AG49" s="31" t="s">
        <v>226</v>
      </c>
      <c r="AH49" s="31" t="s">
        <v>226</v>
      </c>
      <c r="AI49" s="31" t="s">
        <v>226</v>
      </c>
      <c r="AJ49" s="31" t="s">
        <v>226</v>
      </c>
      <c r="AK49" s="31" t="s">
        <v>226</v>
      </c>
      <c r="AL49" s="31" t="s">
        <v>226</v>
      </c>
      <c r="AM49" s="31"/>
      <c r="AN49" s="31"/>
      <c r="AO49" s="96">
        <v>11.5</v>
      </c>
      <c r="AP49" s="33">
        <f t="shared" si="1"/>
        <v>1.4375</v>
      </c>
      <c r="AQ49" s="34">
        <f t="shared" si="2"/>
        <v>11.5</v>
      </c>
      <c r="AR49" s="35"/>
      <c r="AS49" s="36">
        <f t="shared" si="3"/>
        <v>1.4375</v>
      </c>
      <c r="AT49" s="36">
        <f t="shared" si="3"/>
        <v>11.5</v>
      </c>
      <c r="AU49" s="36">
        <f t="shared" si="4"/>
        <v>1.566875</v>
      </c>
      <c r="AV49" s="36">
        <f t="shared" si="5"/>
        <v>12.535</v>
      </c>
      <c r="AW49" s="37">
        <v>1.95</v>
      </c>
      <c r="AX49" s="38">
        <f t="shared" si="6"/>
        <v>15.6</v>
      </c>
      <c r="AY49" s="38">
        <f t="shared" si="7"/>
        <v>0.38312499999999994</v>
      </c>
      <c r="AZ49" s="38">
        <f t="shared" si="8"/>
        <v>3.0649999999999995</v>
      </c>
      <c r="BA49" s="39">
        <f t="shared" si="9"/>
        <v>0.19647435897435894</v>
      </c>
      <c r="BB49" s="40"/>
      <c r="BC49" s="119">
        <f t="shared" si="10"/>
        <v>1.95</v>
      </c>
      <c r="BD49" s="108">
        <v>0.15</v>
      </c>
      <c r="BE49" s="120">
        <f t="shared" si="11"/>
        <v>2.3780487804878048</v>
      </c>
      <c r="BF49" s="121">
        <f t="shared" si="12"/>
        <v>0.42804878048780481</v>
      </c>
      <c r="BG49" s="121">
        <f t="shared" si="13"/>
        <v>3.8524390243902432E-2</v>
      </c>
      <c r="BH49" s="122">
        <f t="shared" si="14"/>
        <v>0.46657317073170723</v>
      </c>
      <c r="BI49" s="121">
        <f t="shared" si="15"/>
        <v>1.9114756097560974</v>
      </c>
      <c r="BJ49" s="123">
        <f t="shared" si="16"/>
        <v>0.18027988847844525</v>
      </c>
      <c r="BK49" s="124">
        <f t="shared" si="17"/>
        <v>-1.6194470495913688E-2</v>
      </c>
      <c r="BL49" s="125" t="s">
        <v>226</v>
      </c>
    </row>
    <row r="50" spans="1:64" ht="45" customHeight="1" x14ac:dyDescent="0.25">
      <c r="A50" s="30">
        <v>31</v>
      </c>
      <c r="B50" s="100" t="s">
        <v>194</v>
      </c>
      <c r="C50" s="31">
        <v>1</v>
      </c>
      <c r="D50" s="32" t="s">
        <v>84</v>
      </c>
      <c r="E50" s="31">
        <f t="shared" si="0"/>
        <v>8</v>
      </c>
      <c r="F50" s="31" t="s">
        <v>226</v>
      </c>
      <c r="G50" s="31" t="s">
        <v>226</v>
      </c>
      <c r="H50" s="31" t="s">
        <v>226</v>
      </c>
      <c r="I50" s="31" t="s">
        <v>226</v>
      </c>
      <c r="J50" s="31" t="s">
        <v>226</v>
      </c>
      <c r="K50" s="31" t="s">
        <v>226</v>
      </c>
      <c r="L50" s="31" t="s">
        <v>226</v>
      </c>
      <c r="M50" s="31" t="s">
        <v>226</v>
      </c>
      <c r="N50" s="31" t="s">
        <v>226</v>
      </c>
      <c r="O50" s="31" t="s">
        <v>226</v>
      </c>
      <c r="P50" s="31" t="s">
        <v>226</v>
      </c>
      <c r="Q50" s="31" t="s">
        <v>226</v>
      </c>
      <c r="R50" s="31" t="s">
        <v>226</v>
      </c>
      <c r="S50" s="31" t="s">
        <v>226</v>
      </c>
      <c r="T50" s="31" t="s">
        <v>226</v>
      </c>
      <c r="U50" s="31" t="s">
        <v>226</v>
      </c>
      <c r="V50" s="31" t="s">
        <v>226</v>
      </c>
      <c r="W50" s="31" t="s">
        <v>226</v>
      </c>
      <c r="X50" s="31" t="s">
        <v>226</v>
      </c>
      <c r="Y50" s="31" t="s">
        <v>226</v>
      </c>
      <c r="Z50" s="31" t="s">
        <v>226</v>
      </c>
      <c r="AA50" s="31" t="s">
        <v>226</v>
      </c>
      <c r="AB50" s="31" t="s">
        <v>226</v>
      </c>
      <c r="AC50" s="31" t="s">
        <v>226</v>
      </c>
      <c r="AD50" s="31" t="s">
        <v>226</v>
      </c>
      <c r="AE50" s="31" t="s">
        <v>226</v>
      </c>
      <c r="AF50" s="31" t="s">
        <v>226</v>
      </c>
      <c r="AG50" s="31" t="s">
        <v>226</v>
      </c>
      <c r="AH50" s="31" t="s">
        <v>226</v>
      </c>
      <c r="AI50" s="31" t="s">
        <v>226</v>
      </c>
      <c r="AJ50" s="31" t="s">
        <v>226</v>
      </c>
      <c r="AK50" s="31" t="s">
        <v>226</v>
      </c>
      <c r="AL50" s="31" t="s">
        <v>226</v>
      </c>
      <c r="AM50" s="31"/>
      <c r="AN50" s="31"/>
      <c r="AO50" s="96">
        <v>11.5</v>
      </c>
      <c r="AP50" s="33">
        <f t="shared" si="1"/>
        <v>1.4375</v>
      </c>
      <c r="AQ50" s="34">
        <f t="shared" si="2"/>
        <v>11.5</v>
      </c>
      <c r="AR50" s="35"/>
      <c r="AS50" s="36">
        <f t="shared" si="3"/>
        <v>1.4375</v>
      </c>
      <c r="AT50" s="36">
        <f t="shared" si="3"/>
        <v>11.5</v>
      </c>
      <c r="AU50" s="36">
        <f t="shared" si="4"/>
        <v>1.566875</v>
      </c>
      <c r="AV50" s="36">
        <f t="shared" si="5"/>
        <v>12.535</v>
      </c>
      <c r="AW50" s="37">
        <v>1.95</v>
      </c>
      <c r="AX50" s="38">
        <f t="shared" si="6"/>
        <v>15.6</v>
      </c>
      <c r="AY50" s="38">
        <f t="shared" si="7"/>
        <v>0.38312499999999994</v>
      </c>
      <c r="AZ50" s="38">
        <f t="shared" si="8"/>
        <v>3.0649999999999995</v>
      </c>
      <c r="BA50" s="39">
        <f t="shared" si="9"/>
        <v>0.19647435897435894</v>
      </c>
      <c r="BB50" s="40"/>
      <c r="BC50" s="119">
        <f t="shared" si="10"/>
        <v>1.95</v>
      </c>
      <c r="BD50" s="108">
        <v>0.15</v>
      </c>
      <c r="BE50" s="120">
        <f t="shared" si="11"/>
        <v>2.3780487804878048</v>
      </c>
      <c r="BF50" s="121">
        <f t="shared" si="12"/>
        <v>0.42804878048780481</v>
      </c>
      <c r="BG50" s="121">
        <f t="shared" si="13"/>
        <v>3.8524390243902432E-2</v>
      </c>
      <c r="BH50" s="122">
        <f t="shared" si="14"/>
        <v>0.46657317073170723</v>
      </c>
      <c r="BI50" s="121">
        <f t="shared" si="15"/>
        <v>1.9114756097560974</v>
      </c>
      <c r="BJ50" s="123">
        <f t="shared" si="16"/>
        <v>0.18027988847844525</v>
      </c>
      <c r="BK50" s="124">
        <f t="shared" si="17"/>
        <v>-1.6194470495913688E-2</v>
      </c>
      <c r="BL50" s="125" t="s">
        <v>226</v>
      </c>
    </row>
    <row r="51" spans="1:64" ht="45" customHeight="1" x14ac:dyDescent="0.25">
      <c r="A51" s="30">
        <v>32</v>
      </c>
      <c r="B51" s="104" t="s">
        <v>197</v>
      </c>
      <c r="C51" s="31">
        <v>1</v>
      </c>
      <c r="D51" s="32" t="s">
        <v>84</v>
      </c>
      <c r="E51" s="31">
        <f t="shared" si="0"/>
        <v>8</v>
      </c>
      <c r="F51" s="31" t="s">
        <v>226</v>
      </c>
      <c r="G51" s="31" t="s">
        <v>226</v>
      </c>
      <c r="H51" s="31" t="s">
        <v>226</v>
      </c>
      <c r="I51" s="31" t="s">
        <v>226</v>
      </c>
      <c r="J51" s="31" t="s">
        <v>226</v>
      </c>
      <c r="K51" s="31" t="s">
        <v>226</v>
      </c>
      <c r="L51" s="31" t="s">
        <v>226</v>
      </c>
      <c r="M51" s="31" t="s">
        <v>226</v>
      </c>
      <c r="N51" s="31" t="s">
        <v>226</v>
      </c>
      <c r="O51" s="31" t="s">
        <v>226</v>
      </c>
      <c r="P51" s="31" t="s">
        <v>226</v>
      </c>
      <c r="Q51" s="31" t="s">
        <v>226</v>
      </c>
      <c r="R51" s="31" t="s">
        <v>226</v>
      </c>
      <c r="S51" s="31" t="s">
        <v>226</v>
      </c>
      <c r="T51" s="31" t="s">
        <v>226</v>
      </c>
      <c r="U51" s="31" t="s">
        <v>226</v>
      </c>
      <c r="V51" s="31" t="s">
        <v>226</v>
      </c>
      <c r="W51" s="31" t="s">
        <v>226</v>
      </c>
      <c r="X51" s="31" t="s">
        <v>226</v>
      </c>
      <c r="Y51" s="31" t="s">
        <v>226</v>
      </c>
      <c r="Z51" s="31" t="s">
        <v>226</v>
      </c>
      <c r="AA51" s="31" t="s">
        <v>226</v>
      </c>
      <c r="AB51" s="31" t="s">
        <v>226</v>
      </c>
      <c r="AC51" s="31" t="s">
        <v>226</v>
      </c>
      <c r="AD51" s="31" t="s">
        <v>226</v>
      </c>
      <c r="AE51" s="31" t="s">
        <v>226</v>
      </c>
      <c r="AF51" s="31" t="s">
        <v>226</v>
      </c>
      <c r="AG51" s="31" t="s">
        <v>226</v>
      </c>
      <c r="AH51" s="31" t="s">
        <v>226</v>
      </c>
      <c r="AI51" s="31" t="s">
        <v>226</v>
      </c>
      <c r="AJ51" s="31" t="s">
        <v>226</v>
      </c>
      <c r="AK51" s="31" t="s">
        <v>226</v>
      </c>
      <c r="AL51" s="31" t="s">
        <v>226</v>
      </c>
      <c r="AM51" s="31"/>
      <c r="AN51" s="31"/>
      <c r="AO51" s="96">
        <v>11.5</v>
      </c>
      <c r="AP51" s="33">
        <f t="shared" si="1"/>
        <v>1.4375</v>
      </c>
      <c r="AQ51" s="34">
        <f t="shared" si="2"/>
        <v>11.5</v>
      </c>
      <c r="AR51" s="35"/>
      <c r="AS51" s="36">
        <f t="shared" si="3"/>
        <v>1.4375</v>
      </c>
      <c r="AT51" s="36">
        <f t="shared" si="3"/>
        <v>11.5</v>
      </c>
      <c r="AU51" s="36">
        <f t="shared" si="4"/>
        <v>1.566875</v>
      </c>
      <c r="AV51" s="36">
        <f t="shared" si="5"/>
        <v>12.535</v>
      </c>
      <c r="AW51" s="37">
        <v>1.95</v>
      </c>
      <c r="AX51" s="38">
        <f t="shared" si="6"/>
        <v>15.6</v>
      </c>
      <c r="AY51" s="38">
        <f t="shared" si="7"/>
        <v>0.38312499999999994</v>
      </c>
      <c r="AZ51" s="38">
        <f t="shared" si="8"/>
        <v>3.0649999999999995</v>
      </c>
      <c r="BA51" s="39">
        <f t="shared" si="9"/>
        <v>0.19647435897435894</v>
      </c>
      <c r="BB51" s="43"/>
      <c r="BC51" s="119">
        <f t="shared" si="10"/>
        <v>1.95</v>
      </c>
      <c r="BD51" s="108">
        <v>0.15</v>
      </c>
      <c r="BE51" s="120">
        <f t="shared" si="11"/>
        <v>2.3780487804878048</v>
      </c>
      <c r="BF51" s="121">
        <f t="shared" si="12"/>
        <v>0.42804878048780481</v>
      </c>
      <c r="BG51" s="121">
        <f t="shared" si="13"/>
        <v>3.8524390243902432E-2</v>
      </c>
      <c r="BH51" s="122">
        <f t="shared" si="14"/>
        <v>0.46657317073170723</v>
      </c>
      <c r="BI51" s="121">
        <f t="shared" si="15"/>
        <v>1.9114756097560974</v>
      </c>
      <c r="BJ51" s="123">
        <f t="shared" si="16"/>
        <v>0.18027988847844525</v>
      </c>
      <c r="BK51" s="124">
        <f t="shared" si="17"/>
        <v>-1.6194470495913688E-2</v>
      </c>
      <c r="BL51" s="125" t="s">
        <v>226</v>
      </c>
    </row>
    <row r="52" spans="1:64" ht="45" customHeight="1" x14ac:dyDescent="0.25">
      <c r="A52" s="30">
        <v>33</v>
      </c>
      <c r="B52" s="100" t="s">
        <v>46</v>
      </c>
      <c r="C52" s="31">
        <v>1</v>
      </c>
      <c r="D52" s="32" t="s">
        <v>84</v>
      </c>
      <c r="E52" s="31">
        <f t="shared" si="0"/>
        <v>8</v>
      </c>
      <c r="F52" s="31" t="s">
        <v>226</v>
      </c>
      <c r="G52" s="31" t="s">
        <v>226</v>
      </c>
      <c r="H52" s="31" t="s">
        <v>226</v>
      </c>
      <c r="I52" s="31" t="s">
        <v>226</v>
      </c>
      <c r="J52" s="31" t="s">
        <v>226</v>
      </c>
      <c r="K52" s="31" t="s">
        <v>226</v>
      </c>
      <c r="L52" s="31" t="s">
        <v>226</v>
      </c>
      <c r="M52" s="31" t="s">
        <v>226</v>
      </c>
      <c r="N52" s="31" t="s">
        <v>226</v>
      </c>
      <c r="O52" s="31" t="s">
        <v>226</v>
      </c>
      <c r="P52" s="31" t="s">
        <v>226</v>
      </c>
      <c r="Q52" s="31" t="s">
        <v>226</v>
      </c>
      <c r="R52" s="31" t="s">
        <v>226</v>
      </c>
      <c r="S52" s="31" t="s">
        <v>226</v>
      </c>
      <c r="T52" s="31" t="s">
        <v>226</v>
      </c>
      <c r="U52" s="31" t="s">
        <v>226</v>
      </c>
      <c r="V52" s="31" t="s">
        <v>226</v>
      </c>
      <c r="W52" s="31" t="s">
        <v>226</v>
      </c>
      <c r="X52" s="31" t="s">
        <v>226</v>
      </c>
      <c r="Y52" s="31" t="s">
        <v>226</v>
      </c>
      <c r="Z52" s="31" t="s">
        <v>226</v>
      </c>
      <c r="AA52" s="31" t="s">
        <v>226</v>
      </c>
      <c r="AB52" s="31" t="s">
        <v>226</v>
      </c>
      <c r="AC52" s="31" t="s">
        <v>226</v>
      </c>
      <c r="AD52" s="31" t="s">
        <v>226</v>
      </c>
      <c r="AE52" s="31" t="s">
        <v>226</v>
      </c>
      <c r="AF52" s="31" t="s">
        <v>226</v>
      </c>
      <c r="AG52" s="31" t="s">
        <v>226</v>
      </c>
      <c r="AH52" s="31" t="s">
        <v>226</v>
      </c>
      <c r="AI52" s="31" t="s">
        <v>226</v>
      </c>
      <c r="AJ52" s="31" t="s">
        <v>226</v>
      </c>
      <c r="AK52" s="31" t="s">
        <v>226</v>
      </c>
      <c r="AL52" s="31" t="s">
        <v>226</v>
      </c>
      <c r="AM52" s="31"/>
      <c r="AN52" s="31"/>
      <c r="AO52" s="96">
        <v>11.5</v>
      </c>
      <c r="AP52" s="33">
        <f t="shared" si="1"/>
        <v>1.4375</v>
      </c>
      <c r="AQ52" s="34">
        <f t="shared" si="2"/>
        <v>11.5</v>
      </c>
      <c r="AR52" s="35"/>
      <c r="AS52" s="36">
        <f t="shared" si="3"/>
        <v>1.4375</v>
      </c>
      <c r="AT52" s="36">
        <f t="shared" si="3"/>
        <v>11.5</v>
      </c>
      <c r="AU52" s="36">
        <f t="shared" si="4"/>
        <v>1.566875</v>
      </c>
      <c r="AV52" s="36">
        <f t="shared" si="5"/>
        <v>12.535</v>
      </c>
      <c r="AW52" s="37">
        <v>1.95</v>
      </c>
      <c r="AX52" s="38">
        <f t="shared" si="6"/>
        <v>15.6</v>
      </c>
      <c r="AY52" s="38">
        <f t="shared" si="7"/>
        <v>0.38312499999999994</v>
      </c>
      <c r="AZ52" s="38">
        <f t="shared" si="8"/>
        <v>3.0649999999999995</v>
      </c>
      <c r="BA52" s="39">
        <f t="shared" si="9"/>
        <v>0.19647435897435894</v>
      </c>
      <c r="BB52" s="40"/>
      <c r="BC52" s="119">
        <f t="shared" si="10"/>
        <v>1.95</v>
      </c>
      <c r="BD52" s="108">
        <v>0.15</v>
      </c>
      <c r="BE52" s="120">
        <f t="shared" si="11"/>
        <v>2.3780487804878048</v>
      </c>
      <c r="BF52" s="121">
        <f t="shared" si="12"/>
        <v>0.42804878048780481</v>
      </c>
      <c r="BG52" s="121">
        <f t="shared" si="13"/>
        <v>3.8524390243902432E-2</v>
      </c>
      <c r="BH52" s="122">
        <f t="shared" si="14"/>
        <v>0.46657317073170723</v>
      </c>
      <c r="BI52" s="121">
        <f t="shared" si="15"/>
        <v>1.9114756097560974</v>
      </c>
      <c r="BJ52" s="123">
        <f t="shared" si="16"/>
        <v>0.18027988847844525</v>
      </c>
      <c r="BK52" s="124">
        <f t="shared" si="17"/>
        <v>-1.6194470495913688E-2</v>
      </c>
      <c r="BL52" s="125" t="s">
        <v>226</v>
      </c>
    </row>
    <row r="53" spans="1:64" ht="45" customHeight="1" x14ac:dyDescent="0.25">
      <c r="A53" s="30">
        <v>34</v>
      </c>
      <c r="B53" s="100" t="s">
        <v>47</v>
      </c>
      <c r="C53" s="31">
        <v>1</v>
      </c>
      <c r="D53" s="32" t="s">
        <v>84</v>
      </c>
      <c r="E53" s="31">
        <f t="shared" si="0"/>
        <v>8</v>
      </c>
      <c r="F53" s="31" t="s">
        <v>226</v>
      </c>
      <c r="G53" s="31" t="s">
        <v>226</v>
      </c>
      <c r="H53" s="31" t="s">
        <v>226</v>
      </c>
      <c r="I53" s="31" t="s">
        <v>226</v>
      </c>
      <c r="J53" s="31" t="s">
        <v>226</v>
      </c>
      <c r="K53" s="31" t="s">
        <v>226</v>
      </c>
      <c r="L53" s="31" t="s">
        <v>226</v>
      </c>
      <c r="M53" s="31" t="s">
        <v>226</v>
      </c>
      <c r="N53" s="31" t="s">
        <v>226</v>
      </c>
      <c r="O53" s="31" t="s">
        <v>226</v>
      </c>
      <c r="P53" s="31" t="s">
        <v>226</v>
      </c>
      <c r="Q53" s="31" t="s">
        <v>226</v>
      </c>
      <c r="R53" s="31" t="s">
        <v>226</v>
      </c>
      <c r="S53" s="31" t="s">
        <v>226</v>
      </c>
      <c r="T53" s="31" t="s">
        <v>226</v>
      </c>
      <c r="U53" s="31" t="s">
        <v>226</v>
      </c>
      <c r="V53" s="31" t="s">
        <v>226</v>
      </c>
      <c r="W53" s="31" t="s">
        <v>226</v>
      </c>
      <c r="X53" s="31" t="s">
        <v>226</v>
      </c>
      <c r="Y53" s="31" t="s">
        <v>226</v>
      </c>
      <c r="Z53" s="31" t="s">
        <v>226</v>
      </c>
      <c r="AA53" s="31" t="s">
        <v>226</v>
      </c>
      <c r="AB53" s="31" t="s">
        <v>226</v>
      </c>
      <c r="AC53" s="31" t="s">
        <v>226</v>
      </c>
      <c r="AD53" s="31" t="s">
        <v>226</v>
      </c>
      <c r="AE53" s="31" t="s">
        <v>226</v>
      </c>
      <c r="AF53" s="31" t="s">
        <v>226</v>
      </c>
      <c r="AG53" s="31" t="s">
        <v>226</v>
      </c>
      <c r="AH53" s="31" t="s">
        <v>226</v>
      </c>
      <c r="AI53" s="31" t="s">
        <v>226</v>
      </c>
      <c r="AJ53" s="31" t="s">
        <v>226</v>
      </c>
      <c r="AK53" s="31" t="s">
        <v>226</v>
      </c>
      <c r="AL53" s="31" t="s">
        <v>226</v>
      </c>
      <c r="AM53" s="31"/>
      <c r="AN53" s="31"/>
      <c r="AO53" s="96">
        <v>15</v>
      </c>
      <c r="AP53" s="33">
        <f t="shared" si="1"/>
        <v>1.875</v>
      </c>
      <c r="AQ53" s="34">
        <f t="shared" si="2"/>
        <v>15</v>
      </c>
      <c r="AR53" s="35"/>
      <c r="AS53" s="36">
        <f t="shared" si="3"/>
        <v>1.875</v>
      </c>
      <c r="AT53" s="36">
        <f t="shared" si="3"/>
        <v>15</v>
      </c>
      <c r="AU53" s="36">
        <f t="shared" si="4"/>
        <v>2.0437500000000002</v>
      </c>
      <c r="AV53" s="36">
        <f t="shared" si="5"/>
        <v>16.350000000000001</v>
      </c>
      <c r="AW53" s="37">
        <v>2.5</v>
      </c>
      <c r="AX53" s="38">
        <f t="shared" si="6"/>
        <v>20</v>
      </c>
      <c r="AY53" s="38">
        <f t="shared" si="7"/>
        <v>0.45624999999999982</v>
      </c>
      <c r="AZ53" s="38">
        <f t="shared" si="8"/>
        <v>3.6499999999999986</v>
      </c>
      <c r="BA53" s="39">
        <f t="shared" si="9"/>
        <v>0.18249999999999994</v>
      </c>
      <c r="BB53" s="41"/>
      <c r="BC53" s="119">
        <f t="shared" si="10"/>
        <v>2.5</v>
      </c>
      <c r="BD53" s="108">
        <v>0.15</v>
      </c>
      <c r="BE53" s="120">
        <f t="shared" si="11"/>
        <v>3.0487804878048776</v>
      </c>
      <c r="BF53" s="121">
        <f t="shared" si="12"/>
        <v>0.54878048780487765</v>
      </c>
      <c r="BG53" s="121">
        <f t="shared" si="13"/>
        <v>4.9390243902438985E-2</v>
      </c>
      <c r="BH53" s="122">
        <f t="shared" si="14"/>
        <v>0.59817073170731661</v>
      </c>
      <c r="BI53" s="121">
        <f t="shared" si="15"/>
        <v>2.450609756097561</v>
      </c>
      <c r="BJ53" s="123">
        <f t="shared" si="16"/>
        <v>0.16602388653893999</v>
      </c>
      <c r="BK53" s="124">
        <f t="shared" si="17"/>
        <v>-1.6476113461059955E-2</v>
      </c>
      <c r="BL53" s="125" t="s">
        <v>226</v>
      </c>
    </row>
    <row r="54" spans="1:64" ht="45" customHeight="1" x14ac:dyDescent="0.25">
      <c r="A54" s="30">
        <v>35</v>
      </c>
      <c r="B54" s="100" t="s">
        <v>48</v>
      </c>
      <c r="C54" s="31">
        <v>1</v>
      </c>
      <c r="D54" s="32" t="s">
        <v>84</v>
      </c>
      <c r="E54" s="31">
        <f t="shared" si="0"/>
        <v>8</v>
      </c>
      <c r="F54" s="31" t="s">
        <v>226</v>
      </c>
      <c r="G54" s="31" t="s">
        <v>226</v>
      </c>
      <c r="H54" s="31" t="s">
        <v>226</v>
      </c>
      <c r="I54" s="31" t="s">
        <v>226</v>
      </c>
      <c r="J54" s="31" t="s">
        <v>226</v>
      </c>
      <c r="K54" s="31" t="s">
        <v>226</v>
      </c>
      <c r="L54" s="31" t="s">
        <v>226</v>
      </c>
      <c r="M54" s="31" t="s">
        <v>226</v>
      </c>
      <c r="N54" s="31" t="s">
        <v>226</v>
      </c>
      <c r="O54" s="31" t="s">
        <v>226</v>
      </c>
      <c r="P54" s="31" t="s">
        <v>226</v>
      </c>
      <c r="Q54" s="31" t="s">
        <v>226</v>
      </c>
      <c r="R54" s="31" t="s">
        <v>226</v>
      </c>
      <c r="S54" s="31" t="s">
        <v>226</v>
      </c>
      <c r="T54" s="31" t="s">
        <v>226</v>
      </c>
      <c r="U54" s="31" t="s">
        <v>226</v>
      </c>
      <c r="V54" s="31" t="s">
        <v>226</v>
      </c>
      <c r="W54" s="31" t="s">
        <v>226</v>
      </c>
      <c r="X54" s="31" t="s">
        <v>226</v>
      </c>
      <c r="Y54" s="31" t="s">
        <v>226</v>
      </c>
      <c r="Z54" s="31" t="s">
        <v>226</v>
      </c>
      <c r="AA54" s="31" t="s">
        <v>226</v>
      </c>
      <c r="AB54" s="31" t="s">
        <v>226</v>
      </c>
      <c r="AC54" s="31" t="s">
        <v>226</v>
      </c>
      <c r="AD54" s="31" t="s">
        <v>226</v>
      </c>
      <c r="AE54" s="31" t="s">
        <v>226</v>
      </c>
      <c r="AF54" s="31" t="s">
        <v>226</v>
      </c>
      <c r="AG54" s="31" t="s">
        <v>226</v>
      </c>
      <c r="AH54" s="31" t="s">
        <v>226</v>
      </c>
      <c r="AI54" s="31" t="s">
        <v>226</v>
      </c>
      <c r="AJ54" s="31" t="s">
        <v>226</v>
      </c>
      <c r="AK54" s="31" t="s">
        <v>226</v>
      </c>
      <c r="AL54" s="31" t="s">
        <v>226</v>
      </c>
      <c r="AM54" s="31"/>
      <c r="AN54" s="31"/>
      <c r="AO54" s="96">
        <v>15</v>
      </c>
      <c r="AP54" s="33">
        <f t="shared" si="1"/>
        <v>1.875</v>
      </c>
      <c r="AQ54" s="34">
        <f t="shared" si="2"/>
        <v>15</v>
      </c>
      <c r="AR54" s="35"/>
      <c r="AS54" s="36">
        <f t="shared" si="3"/>
        <v>1.875</v>
      </c>
      <c r="AT54" s="36">
        <f t="shared" si="3"/>
        <v>15</v>
      </c>
      <c r="AU54" s="36">
        <f t="shared" si="4"/>
        <v>2.0437500000000002</v>
      </c>
      <c r="AV54" s="36">
        <f t="shared" si="5"/>
        <v>16.350000000000001</v>
      </c>
      <c r="AW54" s="37">
        <v>2.5</v>
      </c>
      <c r="AX54" s="38">
        <f t="shared" si="6"/>
        <v>20</v>
      </c>
      <c r="AY54" s="38">
        <f t="shared" si="7"/>
        <v>0.45624999999999982</v>
      </c>
      <c r="AZ54" s="38">
        <f t="shared" si="8"/>
        <v>3.6499999999999986</v>
      </c>
      <c r="BA54" s="39">
        <f t="shared" si="9"/>
        <v>0.18249999999999994</v>
      </c>
      <c r="BB54" s="42"/>
      <c r="BC54" s="119">
        <f t="shared" si="10"/>
        <v>2.5</v>
      </c>
      <c r="BD54" s="108">
        <v>0.15</v>
      </c>
      <c r="BE54" s="120">
        <f t="shared" si="11"/>
        <v>3.0487804878048776</v>
      </c>
      <c r="BF54" s="121">
        <f t="shared" si="12"/>
        <v>0.54878048780487765</v>
      </c>
      <c r="BG54" s="121">
        <f t="shared" si="13"/>
        <v>4.9390243902438985E-2</v>
      </c>
      <c r="BH54" s="122">
        <f t="shared" si="14"/>
        <v>0.59817073170731661</v>
      </c>
      <c r="BI54" s="121">
        <f t="shared" si="15"/>
        <v>2.450609756097561</v>
      </c>
      <c r="BJ54" s="123">
        <f t="shared" si="16"/>
        <v>0.16602388653893999</v>
      </c>
      <c r="BK54" s="124">
        <f t="shared" si="17"/>
        <v>-1.6476113461059955E-2</v>
      </c>
      <c r="BL54" s="125" t="s">
        <v>226</v>
      </c>
    </row>
    <row r="55" spans="1:64" ht="45" customHeight="1" x14ac:dyDescent="0.25">
      <c r="A55" s="30">
        <v>36</v>
      </c>
      <c r="B55" s="101" t="s">
        <v>49</v>
      </c>
      <c r="C55" s="31">
        <v>1</v>
      </c>
      <c r="D55" s="32" t="s">
        <v>84</v>
      </c>
      <c r="E55" s="31">
        <f t="shared" si="0"/>
        <v>8</v>
      </c>
      <c r="F55" s="31" t="s">
        <v>226</v>
      </c>
      <c r="G55" s="31" t="s">
        <v>226</v>
      </c>
      <c r="H55" s="31" t="s">
        <v>226</v>
      </c>
      <c r="I55" s="31" t="s">
        <v>226</v>
      </c>
      <c r="J55" s="31" t="s">
        <v>226</v>
      </c>
      <c r="K55" s="31" t="s">
        <v>226</v>
      </c>
      <c r="L55" s="31" t="s">
        <v>226</v>
      </c>
      <c r="M55" s="31" t="s">
        <v>226</v>
      </c>
      <c r="N55" s="31" t="s">
        <v>226</v>
      </c>
      <c r="O55" s="31" t="s">
        <v>226</v>
      </c>
      <c r="P55" s="31" t="s">
        <v>226</v>
      </c>
      <c r="Q55" s="31" t="s">
        <v>226</v>
      </c>
      <c r="R55" s="31" t="s">
        <v>226</v>
      </c>
      <c r="S55" s="31" t="s">
        <v>226</v>
      </c>
      <c r="T55" s="31" t="s">
        <v>226</v>
      </c>
      <c r="U55" s="31" t="s">
        <v>226</v>
      </c>
      <c r="V55" s="31" t="s">
        <v>226</v>
      </c>
      <c r="W55" s="31" t="s">
        <v>226</v>
      </c>
      <c r="X55" s="31" t="s">
        <v>226</v>
      </c>
      <c r="Y55" s="31" t="s">
        <v>226</v>
      </c>
      <c r="Z55" s="31" t="s">
        <v>226</v>
      </c>
      <c r="AA55" s="31" t="s">
        <v>226</v>
      </c>
      <c r="AB55" s="31" t="s">
        <v>226</v>
      </c>
      <c r="AC55" s="31" t="s">
        <v>226</v>
      </c>
      <c r="AD55" s="31" t="s">
        <v>226</v>
      </c>
      <c r="AE55" s="31" t="s">
        <v>226</v>
      </c>
      <c r="AF55" s="31" t="s">
        <v>226</v>
      </c>
      <c r="AG55" s="31" t="s">
        <v>226</v>
      </c>
      <c r="AH55" s="31" t="s">
        <v>226</v>
      </c>
      <c r="AI55" s="31" t="s">
        <v>226</v>
      </c>
      <c r="AJ55" s="31" t="s">
        <v>226</v>
      </c>
      <c r="AK55" s="31" t="s">
        <v>226</v>
      </c>
      <c r="AL55" s="31" t="s">
        <v>226</v>
      </c>
      <c r="AM55" s="31"/>
      <c r="AN55" s="31"/>
      <c r="AO55" s="96">
        <v>15</v>
      </c>
      <c r="AP55" s="33">
        <f t="shared" si="1"/>
        <v>1.875</v>
      </c>
      <c r="AQ55" s="34">
        <f t="shared" si="2"/>
        <v>15</v>
      </c>
      <c r="AR55" s="35"/>
      <c r="AS55" s="36">
        <f t="shared" si="3"/>
        <v>1.875</v>
      </c>
      <c r="AT55" s="36">
        <f t="shared" si="3"/>
        <v>15</v>
      </c>
      <c r="AU55" s="36">
        <f t="shared" si="4"/>
        <v>2.0437500000000002</v>
      </c>
      <c r="AV55" s="36">
        <f t="shared" si="5"/>
        <v>16.350000000000001</v>
      </c>
      <c r="AW55" s="37">
        <v>2.5</v>
      </c>
      <c r="AX55" s="38">
        <f t="shared" si="6"/>
        <v>20</v>
      </c>
      <c r="AY55" s="38">
        <f t="shared" si="7"/>
        <v>0.45624999999999982</v>
      </c>
      <c r="AZ55" s="38">
        <f t="shared" si="8"/>
        <v>3.6499999999999986</v>
      </c>
      <c r="BA55" s="39">
        <f t="shared" si="9"/>
        <v>0.18249999999999994</v>
      </c>
      <c r="BB55" s="42"/>
      <c r="BC55" s="119">
        <f t="shared" si="10"/>
        <v>2.5</v>
      </c>
      <c r="BD55" s="108">
        <v>0.15</v>
      </c>
      <c r="BE55" s="120">
        <f t="shared" si="11"/>
        <v>3.0487804878048776</v>
      </c>
      <c r="BF55" s="121">
        <f t="shared" si="12"/>
        <v>0.54878048780487765</v>
      </c>
      <c r="BG55" s="121">
        <f t="shared" si="13"/>
        <v>4.9390243902438985E-2</v>
      </c>
      <c r="BH55" s="122">
        <f t="shared" si="14"/>
        <v>0.59817073170731661</v>
      </c>
      <c r="BI55" s="121">
        <f t="shared" si="15"/>
        <v>2.450609756097561</v>
      </c>
      <c r="BJ55" s="123">
        <f t="shared" si="16"/>
        <v>0.16602388653893999</v>
      </c>
      <c r="BK55" s="124">
        <f t="shared" si="17"/>
        <v>-1.6476113461059955E-2</v>
      </c>
      <c r="BL55" s="125" t="s">
        <v>226</v>
      </c>
    </row>
    <row r="56" spans="1:64" ht="45" customHeight="1" x14ac:dyDescent="0.25">
      <c r="A56" s="30">
        <v>37</v>
      </c>
      <c r="B56" s="102" t="s">
        <v>50</v>
      </c>
      <c r="C56" s="31">
        <v>1</v>
      </c>
      <c r="D56" s="32" t="s">
        <v>73</v>
      </c>
      <c r="E56" s="31">
        <f t="shared" si="0"/>
        <v>12</v>
      </c>
      <c r="F56" s="31" t="s">
        <v>226</v>
      </c>
      <c r="G56" s="31" t="s">
        <v>226</v>
      </c>
      <c r="H56" s="31" t="s">
        <v>226</v>
      </c>
      <c r="I56" s="31" t="s">
        <v>226</v>
      </c>
      <c r="J56" s="31" t="s">
        <v>226</v>
      </c>
      <c r="K56" s="31" t="s">
        <v>226</v>
      </c>
      <c r="L56" s="31" t="s">
        <v>226</v>
      </c>
      <c r="M56" s="31" t="s">
        <v>226</v>
      </c>
      <c r="N56" s="31" t="s">
        <v>226</v>
      </c>
      <c r="O56" s="31" t="s">
        <v>226</v>
      </c>
      <c r="P56" s="31" t="s">
        <v>226</v>
      </c>
      <c r="Q56" s="31" t="s">
        <v>226</v>
      </c>
      <c r="R56" s="31" t="s">
        <v>226</v>
      </c>
      <c r="S56" s="31" t="s">
        <v>226</v>
      </c>
      <c r="T56" s="31" t="s">
        <v>226</v>
      </c>
      <c r="U56" s="31" t="s">
        <v>226</v>
      </c>
      <c r="V56" s="31" t="s">
        <v>226</v>
      </c>
      <c r="W56" s="31" t="s">
        <v>226</v>
      </c>
      <c r="X56" s="31" t="s">
        <v>226</v>
      </c>
      <c r="Y56" s="31" t="s">
        <v>226</v>
      </c>
      <c r="Z56" s="31" t="s">
        <v>226</v>
      </c>
      <c r="AA56" s="31" t="s">
        <v>226</v>
      </c>
      <c r="AB56" s="31" t="s">
        <v>226</v>
      </c>
      <c r="AC56" s="31" t="s">
        <v>226</v>
      </c>
      <c r="AD56" s="31" t="s">
        <v>226</v>
      </c>
      <c r="AE56" s="31" t="s">
        <v>226</v>
      </c>
      <c r="AF56" s="31" t="s">
        <v>226</v>
      </c>
      <c r="AG56" s="31" t="s">
        <v>226</v>
      </c>
      <c r="AH56" s="31" t="s">
        <v>226</v>
      </c>
      <c r="AI56" s="31" t="s">
        <v>226</v>
      </c>
      <c r="AJ56" s="31" t="s">
        <v>226</v>
      </c>
      <c r="AK56" s="31" t="s">
        <v>226</v>
      </c>
      <c r="AL56" s="31" t="s">
        <v>226</v>
      </c>
      <c r="AM56" s="31"/>
      <c r="AN56" s="31"/>
      <c r="AO56" s="96">
        <v>20.5</v>
      </c>
      <c r="AP56" s="33">
        <f t="shared" si="1"/>
        <v>1.7083333333333333</v>
      </c>
      <c r="AQ56" s="34">
        <f t="shared" si="2"/>
        <v>20.5</v>
      </c>
      <c r="AR56" s="35"/>
      <c r="AS56" s="36">
        <f t="shared" si="3"/>
        <v>1.7083333333333333</v>
      </c>
      <c r="AT56" s="36">
        <f t="shared" si="3"/>
        <v>20.5</v>
      </c>
      <c r="AU56" s="36">
        <f t="shared" si="4"/>
        <v>1.8620833333333333</v>
      </c>
      <c r="AV56" s="36">
        <f t="shared" si="5"/>
        <v>22.344999999999999</v>
      </c>
      <c r="AW56" s="37">
        <v>2.75</v>
      </c>
      <c r="AX56" s="38">
        <f t="shared" si="6"/>
        <v>33</v>
      </c>
      <c r="AY56" s="38">
        <f t="shared" si="7"/>
        <v>0.88791666666666669</v>
      </c>
      <c r="AZ56" s="38">
        <f t="shared" si="8"/>
        <v>10.655000000000001</v>
      </c>
      <c r="BA56" s="39">
        <f t="shared" si="9"/>
        <v>0.32287878787878788</v>
      </c>
      <c r="BB56" s="42"/>
      <c r="BC56" s="119">
        <f t="shared" si="10"/>
        <v>2.75</v>
      </c>
      <c r="BD56" s="108">
        <v>0.15</v>
      </c>
      <c r="BE56" s="120">
        <f t="shared" si="11"/>
        <v>3.3536585365853657</v>
      </c>
      <c r="BF56" s="121">
        <f t="shared" si="12"/>
        <v>0.60365853658536572</v>
      </c>
      <c r="BG56" s="121">
        <f t="shared" si="13"/>
        <v>5.4329268292682913E-2</v>
      </c>
      <c r="BH56" s="122">
        <f t="shared" si="14"/>
        <v>0.65798780487804864</v>
      </c>
      <c r="BI56" s="121">
        <f t="shared" si="15"/>
        <v>2.6956707317073172</v>
      </c>
      <c r="BJ56" s="123">
        <f t="shared" si="16"/>
        <v>0.30923190602215239</v>
      </c>
      <c r="BK56" s="124">
        <f t="shared" si="17"/>
        <v>-1.3646881856635484E-2</v>
      </c>
      <c r="BL56" s="125" t="s">
        <v>226</v>
      </c>
    </row>
    <row r="57" spans="1:64" ht="45" customHeight="1" x14ac:dyDescent="0.25">
      <c r="A57" s="30">
        <v>38</v>
      </c>
      <c r="B57" s="103" t="s">
        <v>51</v>
      </c>
      <c r="C57" s="31">
        <v>1</v>
      </c>
      <c r="D57" s="32" t="s">
        <v>73</v>
      </c>
      <c r="E57" s="31">
        <f t="shared" si="0"/>
        <v>12</v>
      </c>
      <c r="F57" s="31" t="s">
        <v>226</v>
      </c>
      <c r="G57" s="31" t="s">
        <v>226</v>
      </c>
      <c r="H57" s="31" t="s">
        <v>226</v>
      </c>
      <c r="I57" s="31" t="s">
        <v>226</v>
      </c>
      <c r="J57" s="31" t="s">
        <v>226</v>
      </c>
      <c r="K57" s="31" t="s">
        <v>226</v>
      </c>
      <c r="L57" s="31" t="s">
        <v>226</v>
      </c>
      <c r="M57" s="31" t="s">
        <v>226</v>
      </c>
      <c r="N57" s="31" t="s">
        <v>226</v>
      </c>
      <c r="O57" s="31" t="s">
        <v>226</v>
      </c>
      <c r="P57" s="31" t="s">
        <v>226</v>
      </c>
      <c r="Q57" s="31" t="s">
        <v>226</v>
      </c>
      <c r="R57" s="31" t="s">
        <v>226</v>
      </c>
      <c r="S57" s="31" t="s">
        <v>226</v>
      </c>
      <c r="T57" s="31" t="s">
        <v>226</v>
      </c>
      <c r="U57" s="31" t="s">
        <v>226</v>
      </c>
      <c r="V57" s="31" t="s">
        <v>226</v>
      </c>
      <c r="W57" s="31" t="s">
        <v>226</v>
      </c>
      <c r="X57" s="31" t="s">
        <v>226</v>
      </c>
      <c r="Y57" s="31" t="s">
        <v>226</v>
      </c>
      <c r="Z57" s="31" t="s">
        <v>226</v>
      </c>
      <c r="AA57" s="31" t="s">
        <v>226</v>
      </c>
      <c r="AB57" s="31" t="s">
        <v>226</v>
      </c>
      <c r="AC57" s="31" t="s">
        <v>226</v>
      </c>
      <c r="AD57" s="31" t="s">
        <v>226</v>
      </c>
      <c r="AE57" s="31" t="s">
        <v>226</v>
      </c>
      <c r="AF57" s="31" t="s">
        <v>226</v>
      </c>
      <c r="AG57" s="31" t="s">
        <v>226</v>
      </c>
      <c r="AH57" s="31" t="s">
        <v>226</v>
      </c>
      <c r="AI57" s="31" t="s">
        <v>226</v>
      </c>
      <c r="AJ57" s="31" t="s">
        <v>226</v>
      </c>
      <c r="AK57" s="31" t="s">
        <v>226</v>
      </c>
      <c r="AL57" s="31" t="s">
        <v>226</v>
      </c>
      <c r="AM57" s="31"/>
      <c r="AN57" s="31"/>
      <c r="AO57" s="96">
        <v>18.850000000000001</v>
      </c>
      <c r="AP57" s="33">
        <f t="shared" si="1"/>
        <v>1.5708333333333335</v>
      </c>
      <c r="AQ57" s="34">
        <f t="shared" si="2"/>
        <v>18.850000000000001</v>
      </c>
      <c r="AR57" s="35"/>
      <c r="AS57" s="36">
        <f t="shared" si="3"/>
        <v>1.5708333333333335</v>
      </c>
      <c r="AT57" s="36">
        <f t="shared" si="3"/>
        <v>18.850000000000001</v>
      </c>
      <c r="AU57" s="36">
        <f t="shared" si="4"/>
        <v>1.7122083333333338</v>
      </c>
      <c r="AV57" s="36">
        <f t="shared" si="5"/>
        <v>20.546500000000005</v>
      </c>
      <c r="AW57" s="37">
        <v>2.75</v>
      </c>
      <c r="AX57" s="38">
        <f t="shared" si="6"/>
        <v>33</v>
      </c>
      <c r="AY57" s="38">
        <f t="shared" si="7"/>
        <v>1.0377916666666662</v>
      </c>
      <c r="AZ57" s="38">
        <f t="shared" si="8"/>
        <v>12.453499999999995</v>
      </c>
      <c r="BA57" s="39">
        <f t="shared" si="9"/>
        <v>0.3773787878787877</v>
      </c>
      <c r="BB57" s="43"/>
      <c r="BC57" s="119">
        <f t="shared" si="10"/>
        <v>2.75</v>
      </c>
      <c r="BD57" s="108">
        <v>0.15</v>
      </c>
      <c r="BE57" s="120">
        <f t="shared" si="11"/>
        <v>3.3536585365853657</v>
      </c>
      <c r="BF57" s="121">
        <f t="shared" si="12"/>
        <v>0.60365853658536572</v>
      </c>
      <c r="BG57" s="121">
        <f t="shared" si="13"/>
        <v>5.4329268292682913E-2</v>
      </c>
      <c r="BH57" s="122">
        <f t="shared" si="14"/>
        <v>0.65798780487804864</v>
      </c>
      <c r="BI57" s="121">
        <f t="shared" si="15"/>
        <v>2.6956707317073172</v>
      </c>
      <c r="BJ57" s="123">
        <f t="shared" si="16"/>
        <v>0.36483031358622287</v>
      </c>
      <c r="BK57" s="124">
        <f t="shared" si="17"/>
        <v>-1.2548474292564837E-2</v>
      </c>
      <c r="BL57" s="125" t="s">
        <v>226</v>
      </c>
    </row>
    <row r="58" spans="1:64" ht="45" customHeight="1" x14ac:dyDescent="0.25">
      <c r="A58" s="30">
        <v>39</v>
      </c>
      <c r="B58" s="100" t="s">
        <v>52</v>
      </c>
      <c r="C58" s="31">
        <v>1</v>
      </c>
      <c r="D58" s="32" t="s">
        <v>73</v>
      </c>
      <c r="E58" s="31">
        <f t="shared" si="0"/>
        <v>12</v>
      </c>
      <c r="F58" s="31" t="s">
        <v>226</v>
      </c>
      <c r="G58" s="31" t="s">
        <v>226</v>
      </c>
      <c r="H58" s="31" t="s">
        <v>226</v>
      </c>
      <c r="I58" s="31" t="s">
        <v>226</v>
      </c>
      <c r="J58" s="31" t="s">
        <v>226</v>
      </c>
      <c r="K58" s="31" t="s">
        <v>226</v>
      </c>
      <c r="L58" s="31" t="s">
        <v>226</v>
      </c>
      <c r="M58" s="31" t="s">
        <v>226</v>
      </c>
      <c r="N58" s="31" t="s">
        <v>226</v>
      </c>
      <c r="O58" s="31" t="s">
        <v>226</v>
      </c>
      <c r="P58" s="31" t="s">
        <v>226</v>
      </c>
      <c r="Q58" s="31" t="s">
        <v>226</v>
      </c>
      <c r="R58" s="31" t="s">
        <v>226</v>
      </c>
      <c r="S58" s="31" t="s">
        <v>226</v>
      </c>
      <c r="T58" s="31" t="s">
        <v>226</v>
      </c>
      <c r="U58" s="31" t="s">
        <v>226</v>
      </c>
      <c r="V58" s="31" t="s">
        <v>226</v>
      </c>
      <c r="W58" s="31" t="s">
        <v>226</v>
      </c>
      <c r="X58" s="31" t="s">
        <v>226</v>
      </c>
      <c r="Y58" s="31" t="s">
        <v>226</v>
      </c>
      <c r="Z58" s="31" t="s">
        <v>226</v>
      </c>
      <c r="AA58" s="31" t="s">
        <v>226</v>
      </c>
      <c r="AB58" s="31" t="s">
        <v>226</v>
      </c>
      <c r="AC58" s="31" t="s">
        <v>226</v>
      </c>
      <c r="AD58" s="31" t="s">
        <v>226</v>
      </c>
      <c r="AE58" s="31" t="s">
        <v>226</v>
      </c>
      <c r="AF58" s="31" t="s">
        <v>226</v>
      </c>
      <c r="AG58" s="31" t="s">
        <v>226</v>
      </c>
      <c r="AH58" s="31" t="s">
        <v>226</v>
      </c>
      <c r="AI58" s="31" t="s">
        <v>226</v>
      </c>
      <c r="AJ58" s="31" t="s">
        <v>226</v>
      </c>
      <c r="AK58" s="31" t="s">
        <v>226</v>
      </c>
      <c r="AL58" s="31" t="s">
        <v>226</v>
      </c>
      <c r="AM58" s="31"/>
      <c r="AN58" s="31"/>
      <c r="AO58" s="96">
        <v>20.5</v>
      </c>
      <c r="AP58" s="33">
        <f t="shared" si="1"/>
        <v>1.7083333333333333</v>
      </c>
      <c r="AQ58" s="34">
        <f t="shared" si="2"/>
        <v>20.5</v>
      </c>
      <c r="AR58" s="35"/>
      <c r="AS58" s="36">
        <f t="shared" si="3"/>
        <v>1.7083333333333333</v>
      </c>
      <c r="AT58" s="36">
        <f t="shared" si="3"/>
        <v>20.5</v>
      </c>
      <c r="AU58" s="36">
        <f t="shared" si="4"/>
        <v>1.8620833333333333</v>
      </c>
      <c r="AV58" s="36">
        <f t="shared" si="5"/>
        <v>22.344999999999999</v>
      </c>
      <c r="AW58" s="37">
        <v>2.75</v>
      </c>
      <c r="AX58" s="38">
        <f t="shared" si="6"/>
        <v>33</v>
      </c>
      <c r="AY58" s="38">
        <f t="shared" si="7"/>
        <v>0.88791666666666669</v>
      </c>
      <c r="AZ58" s="38">
        <f t="shared" si="8"/>
        <v>10.655000000000001</v>
      </c>
      <c r="BA58" s="39">
        <f t="shared" si="9"/>
        <v>0.32287878787878788</v>
      </c>
      <c r="BB58" s="40"/>
      <c r="BC58" s="119">
        <f t="shared" si="10"/>
        <v>2.75</v>
      </c>
      <c r="BD58" s="108">
        <v>0.15</v>
      </c>
      <c r="BE58" s="120">
        <f t="shared" si="11"/>
        <v>3.3536585365853657</v>
      </c>
      <c r="BF58" s="121">
        <f t="shared" si="12"/>
        <v>0.60365853658536572</v>
      </c>
      <c r="BG58" s="121">
        <f t="shared" si="13"/>
        <v>5.4329268292682913E-2</v>
      </c>
      <c r="BH58" s="122">
        <f t="shared" si="14"/>
        <v>0.65798780487804864</v>
      </c>
      <c r="BI58" s="121">
        <f t="shared" si="15"/>
        <v>2.6956707317073172</v>
      </c>
      <c r="BJ58" s="123">
        <f t="shared" si="16"/>
        <v>0.30923190602215239</v>
      </c>
      <c r="BK58" s="124">
        <f t="shared" si="17"/>
        <v>-1.3646881856635484E-2</v>
      </c>
      <c r="BL58" s="125" t="s">
        <v>226</v>
      </c>
    </row>
    <row r="59" spans="1:64" ht="45" customHeight="1" x14ac:dyDescent="0.25">
      <c r="A59" s="30">
        <v>40</v>
      </c>
      <c r="B59" s="100" t="s">
        <v>180</v>
      </c>
      <c r="C59" s="31">
        <v>1</v>
      </c>
      <c r="D59" s="32" t="s">
        <v>73</v>
      </c>
      <c r="E59" s="31">
        <f t="shared" si="0"/>
        <v>12</v>
      </c>
      <c r="F59" s="31" t="s">
        <v>226</v>
      </c>
      <c r="G59" s="31" t="s">
        <v>226</v>
      </c>
      <c r="H59" s="31" t="s">
        <v>226</v>
      </c>
      <c r="I59" s="31" t="s">
        <v>226</v>
      </c>
      <c r="J59" s="31" t="s">
        <v>226</v>
      </c>
      <c r="K59" s="31" t="s">
        <v>226</v>
      </c>
      <c r="L59" s="31" t="s">
        <v>226</v>
      </c>
      <c r="M59" s="31" t="s">
        <v>226</v>
      </c>
      <c r="N59" s="31" t="s">
        <v>226</v>
      </c>
      <c r="O59" s="31" t="s">
        <v>226</v>
      </c>
      <c r="P59" s="31" t="s">
        <v>226</v>
      </c>
      <c r="Q59" s="31" t="s">
        <v>226</v>
      </c>
      <c r="R59" s="31" t="s">
        <v>226</v>
      </c>
      <c r="S59" s="31" t="s">
        <v>226</v>
      </c>
      <c r="T59" s="31" t="s">
        <v>226</v>
      </c>
      <c r="U59" s="31" t="s">
        <v>226</v>
      </c>
      <c r="V59" s="31" t="s">
        <v>226</v>
      </c>
      <c r="W59" s="31" t="s">
        <v>226</v>
      </c>
      <c r="X59" s="31" t="s">
        <v>226</v>
      </c>
      <c r="Y59" s="31" t="s">
        <v>226</v>
      </c>
      <c r="Z59" s="31" t="s">
        <v>226</v>
      </c>
      <c r="AA59" s="31" t="s">
        <v>226</v>
      </c>
      <c r="AB59" s="31" t="s">
        <v>226</v>
      </c>
      <c r="AC59" s="31" t="s">
        <v>226</v>
      </c>
      <c r="AD59" s="31" t="s">
        <v>226</v>
      </c>
      <c r="AE59" s="31" t="s">
        <v>226</v>
      </c>
      <c r="AF59" s="31" t="s">
        <v>226</v>
      </c>
      <c r="AG59" s="31" t="s">
        <v>226</v>
      </c>
      <c r="AH59" s="31" t="s">
        <v>226</v>
      </c>
      <c r="AI59" s="31" t="s">
        <v>226</v>
      </c>
      <c r="AJ59" s="31" t="s">
        <v>226</v>
      </c>
      <c r="AK59" s="31" t="s">
        <v>226</v>
      </c>
      <c r="AL59" s="31" t="s">
        <v>226</v>
      </c>
      <c r="AM59" s="31"/>
      <c r="AN59" s="31"/>
      <c r="AO59" s="96">
        <v>20.5</v>
      </c>
      <c r="AP59" s="33">
        <f t="shared" si="1"/>
        <v>1.7083333333333333</v>
      </c>
      <c r="AQ59" s="34">
        <f t="shared" si="2"/>
        <v>20.5</v>
      </c>
      <c r="AR59" s="35"/>
      <c r="AS59" s="36">
        <f t="shared" si="3"/>
        <v>1.7083333333333333</v>
      </c>
      <c r="AT59" s="36">
        <f t="shared" si="3"/>
        <v>20.5</v>
      </c>
      <c r="AU59" s="36">
        <f t="shared" si="4"/>
        <v>1.8620833333333333</v>
      </c>
      <c r="AV59" s="36">
        <f t="shared" si="5"/>
        <v>22.344999999999999</v>
      </c>
      <c r="AW59" s="37">
        <v>2.75</v>
      </c>
      <c r="AX59" s="38">
        <f t="shared" si="6"/>
        <v>33</v>
      </c>
      <c r="AY59" s="38">
        <f t="shared" si="7"/>
        <v>0.88791666666666669</v>
      </c>
      <c r="AZ59" s="38">
        <f t="shared" si="8"/>
        <v>10.655000000000001</v>
      </c>
      <c r="BA59" s="39">
        <f t="shared" si="9"/>
        <v>0.32287878787878788</v>
      </c>
      <c r="BB59" s="41"/>
      <c r="BC59" s="119">
        <f t="shared" si="10"/>
        <v>2.75</v>
      </c>
      <c r="BD59" s="108">
        <v>0.15</v>
      </c>
      <c r="BE59" s="120">
        <f t="shared" si="11"/>
        <v>3.3536585365853657</v>
      </c>
      <c r="BF59" s="121">
        <f t="shared" si="12"/>
        <v>0.60365853658536572</v>
      </c>
      <c r="BG59" s="121">
        <f t="shared" si="13"/>
        <v>5.4329268292682913E-2</v>
      </c>
      <c r="BH59" s="122">
        <f t="shared" si="14"/>
        <v>0.65798780487804864</v>
      </c>
      <c r="BI59" s="121">
        <f t="shared" si="15"/>
        <v>2.6956707317073172</v>
      </c>
      <c r="BJ59" s="123">
        <f t="shared" si="16"/>
        <v>0.30923190602215239</v>
      </c>
      <c r="BK59" s="124">
        <f t="shared" si="17"/>
        <v>-1.3646881856635484E-2</v>
      </c>
      <c r="BL59" s="125" t="s">
        <v>226</v>
      </c>
    </row>
    <row r="60" spans="1:64" ht="45" customHeight="1" x14ac:dyDescent="0.25">
      <c r="A60" s="30">
        <v>41</v>
      </c>
      <c r="B60" s="100" t="s">
        <v>53</v>
      </c>
      <c r="C60" s="31">
        <v>1</v>
      </c>
      <c r="D60" s="32" t="s">
        <v>73</v>
      </c>
      <c r="E60" s="31">
        <f t="shared" si="0"/>
        <v>12</v>
      </c>
      <c r="F60" s="31" t="s">
        <v>226</v>
      </c>
      <c r="G60" s="31" t="s">
        <v>226</v>
      </c>
      <c r="H60" s="31" t="s">
        <v>226</v>
      </c>
      <c r="I60" s="31" t="s">
        <v>226</v>
      </c>
      <c r="J60" s="31" t="s">
        <v>226</v>
      </c>
      <c r="K60" s="31" t="s">
        <v>226</v>
      </c>
      <c r="L60" s="31" t="s">
        <v>226</v>
      </c>
      <c r="M60" s="31" t="s">
        <v>226</v>
      </c>
      <c r="N60" s="31" t="s">
        <v>226</v>
      </c>
      <c r="O60" s="31" t="s">
        <v>226</v>
      </c>
      <c r="P60" s="31" t="s">
        <v>226</v>
      </c>
      <c r="Q60" s="31" t="s">
        <v>226</v>
      </c>
      <c r="R60" s="31" t="s">
        <v>226</v>
      </c>
      <c r="S60" s="31" t="s">
        <v>226</v>
      </c>
      <c r="T60" s="31" t="s">
        <v>226</v>
      </c>
      <c r="U60" s="31" t="s">
        <v>226</v>
      </c>
      <c r="V60" s="31" t="s">
        <v>226</v>
      </c>
      <c r="W60" s="31" t="s">
        <v>226</v>
      </c>
      <c r="X60" s="31" t="s">
        <v>226</v>
      </c>
      <c r="Y60" s="31" t="s">
        <v>226</v>
      </c>
      <c r="Z60" s="31" t="s">
        <v>226</v>
      </c>
      <c r="AA60" s="31" t="s">
        <v>226</v>
      </c>
      <c r="AB60" s="31" t="s">
        <v>226</v>
      </c>
      <c r="AC60" s="31" t="s">
        <v>226</v>
      </c>
      <c r="AD60" s="31" t="s">
        <v>226</v>
      </c>
      <c r="AE60" s="31" t="s">
        <v>226</v>
      </c>
      <c r="AF60" s="31" t="s">
        <v>226</v>
      </c>
      <c r="AG60" s="31" t="s">
        <v>226</v>
      </c>
      <c r="AH60" s="31" t="s">
        <v>226</v>
      </c>
      <c r="AI60" s="31" t="s">
        <v>226</v>
      </c>
      <c r="AJ60" s="31" t="s">
        <v>226</v>
      </c>
      <c r="AK60" s="31" t="s">
        <v>226</v>
      </c>
      <c r="AL60" s="31" t="s">
        <v>226</v>
      </c>
      <c r="AM60" s="31"/>
      <c r="AN60" s="31"/>
      <c r="AO60" s="96">
        <v>20.5</v>
      </c>
      <c r="AP60" s="33">
        <f t="shared" si="1"/>
        <v>1.7083333333333333</v>
      </c>
      <c r="AQ60" s="34">
        <f t="shared" si="2"/>
        <v>20.5</v>
      </c>
      <c r="AR60" s="35"/>
      <c r="AS60" s="36">
        <f t="shared" si="3"/>
        <v>1.7083333333333333</v>
      </c>
      <c r="AT60" s="36">
        <f t="shared" si="3"/>
        <v>20.5</v>
      </c>
      <c r="AU60" s="36">
        <f t="shared" si="4"/>
        <v>1.8620833333333333</v>
      </c>
      <c r="AV60" s="36">
        <f t="shared" si="5"/>
        <v>22.344999999999999</v>
      </c>
      <c r="AW60" s="37">
        <v>2.75</v>
      </c>
      <c r="AX60" s="38">
        <f t="shared" si="6"/>
        <v>33</v>
      </c>
      <c r="AY60" s="38">
        <f t="shared" si="7"/>
        <v>0.88791666666666669</v>
      </c>
      <c r="AZ60" s="38">
        <f t="shared" si="8"/>
        <v>10.655000000000001</v>
      </c>
      <c r="BA60" s="39">
        <f t="shared" si="9"/>
        <v>0.32287878787878788</v>
      </c>
      <c r="BB60" s="41"/>
      <c r="BC60" s="119">
        <f t="shared" si="10"/>
        <v>2.75</v>
      </c>
      <c r="BD60" s="108">
        <v>0.15</v>
      </c>
      <c r="BE60" s="120">
        <f t="shared" si="11"/>
        <v>3.3536585365853657</v>
      </c>
      <c r="BF60" s="121">
        <f t="shared" si="12"/>
        <v>0.60365853658536572</v>
      </c>
      <c r="BG60" s="121">
        <f t="shared" si="13"/>
        <v>5.4329268292682913E-2</v>
      </c>
      <c r="BH60" s="122">
        <f t="shared" si="14"/>
        <v>0.65798780487804864</v>
      </c>
      <c r="BI60" s="121">
        <f t="shared" si="15"/>
        <v>2.6956707317073172</v>
      </c>
      <c r="BJ60" s="123">
        <f t="shared" si="16"/>
        <v>0.30923190602215239</v>
      </c>
      <c r="BK60" s="124">
        <f t="shared" si="17"/>
        <v>-1.3646881856635484E-2</v>
      </c>
      <c r="BL60" s="125" t="s">
        <v>226</v>
      </c>
    </row>
    <row r="61" spans="1:64" ht="45" customHeight="1" x14ac:dyDescent="0.25">
      <c r="A61" s="30">
        <v>42</v>
      </c>
      <c r="B61" s="100" t="s">
        <v>54</v>
      </c>
      <c r="C61" s="31">
        <v>1</v>
      </c>
      <c r="D61" s="32" t="s">
        <v>73</v>
      </c>
      <c r="E61" s="31">
        <f t="shared" si="0"/>
        <v>12</v>
      </c>
      <c r="F61" s="31" t="s">
        <v>226</v>
      </c>
      <c r="G61" s="31" t="s">
        <v>226</v>
      </c>
      <c r="H61" s="31" t="s">
        <v>226</v>
      </c>
      <c r="I61" s="31" t="s">
        <v>226</v>
      </c>
      <c r="J61" s="31" t="s">
        <v>226</v>
      </c>
      <c r="K61" s="31" t="s">
        <v>226</v>
      </c>
      <c r="L61" s="31" t="s">
        <v>226</v>
      </c>
      <c r="M61" s="31" t="s">
        <v>226</v>
      </c>
      <c r="N61" s="31" t="s">
        <v>226</v>
      </c>
      <c r="O61" s="31" t="s">
        <v>226</v>
      </c>
      <c r="P61" s="31" t="s">
        <v>226</v>
      </c>
      <c r="Q61" s="31" t="s">
        <v>226</v>
      </c>
      <c r="R61" s="31" t="s">
        <v>226</v>
      </c>
      <c r="S61" s="31" t="s">
        <v>226</v>
      </c>
      <c r="T61" s="31" t="s">
        <v>226</v>
      </c>
      <c r="U61" s="31" t="s">
        <v>226</v>
      </c>
      <c r="V61" s="31" t="s">
        <v>226</v>
      </c>
      <c r="W61" s="31" t="s">
        <v>226</v>
      </c>
      <c r="X61" s="31" t="s">
        <v>226</v>
      </c>
      <c r="Y61" s="31" t="s">
        <v>226</v>
      </c>
      <c r="Z61" s="31" t="s">
        <v>226</v>
      </c>
      <c r="AA61" s="31" t="s">
        <v>226</v>
      </c>
      <c r="AB61" s="31" t="s">
        <v>226</v>
      </c>
      <c r="AC61" s="31" t="s">
        <v>226</v>
      </c>
      <c r="AD61" s="31" t="s">
        <v>226</v>
      </c>
      <c r="AE61" s="31" t="s">
        <v>226</v>
      </c>
      <c r="AF61" s="31" t="s">
        <v>226</v>
      </c>
      <c r="AG61" s="31" t="s">
        <v>226</v>
      </c>
      <c r="AH61" s="31" t="s">
        <v>226</v>
      </c>
      <c r="AI61" s="31" t="s">
        <v>226</v>
      </c>
      <c r="AJ61" s="31" t="s">
        <v>226</v>
      </c>
      <c r="AK61" s="31" t="s">
        <v>226</v>
      </c>
      <c r="AL61" s="31" t="s">
        <v>226</v>
      </c>
      <c r="AM61" s="31"/>
      <c r="AN61" s="31"/>
      <c r="AO61" s="96">
        <v>20.5</v>
      </c>
      <c r="AP61" s="33">
        <f t="shared" si="1"/>
        <v>1.7083333333333333</v>
      </c>
      <c r="AQ61" s="34">
        <f t="shared" si="2"/>
        <v>20.5</v>
      </c>
      <c r="AR61" s="35"/>
      <c r="AS61" s="36">
        <f t="shared" si="3"/>
        <v>1.7083333333333333</v>
      </c>
      <c r="AT61" s="36">
        <f t="shared" si="3"/>
        <v>20.5</v>
      </c>
      <c r="AU61" s="36">
        <f t="shared" si="4"/>
        <v>1.8620833333333333</v>
      </c>
      <c r="AV61" s="36">
        <f t="shared" si="5"/>
        <v>22.344999999999999</v>
      </c>
      <c r="AW61" s="37">
        <v>2.75</v>
      </c>
      <c r="AX61" s="38">
        <f t="shared" si="6"/>
        <v>33</v>
      </c>
      <c r="AY61" s="38">
        <f t="shared" si="7"/>
        <v>0.88791666666666669</v>
      </c>
      <c r="AZ61" s="38">
        <f t="shared" si="8"/>
        <v>10.655000000000001</v>
      </c>
      <c r="BA61" s="39">
        <f t="shared" si="9"/>
        <v>0.32287878787878788</v>
      </c>
      <c r="BB61" s="42"/>
      <c r="BC61" s="119">
        <f t="shared" si="10"/>
        <v>2.75</v>
      </c>
      <c r="BD61" s="108">
        <v>0.15</v>
      </c>
      <c r="BE61" s="120">
        <f t="shared" si="11"/>
        <v>3.3536585365853657</v>
      </c>
      <c r="BF61" s="121">
        <f t="shared" si="12"/>
        <v>0.60365853658536572</v>
      </c>
      <c r="BG61" s="121">
        <f t="shared" si="13"/>
        <v>5.4329268292682913E-2</v>
      </c>
      <c r="BH61" s="122">
        <f t="shared" si="14"/>
        <v>0.65798780487804864</v>
      </c>
      <c r="BI61" s="121">
        <f t="shared" si="15"/>
        <v>2.6956707317073172</v>
      </c>
      <c r="BJ61" s="123">
        <f t="shared" si="16"/>
        <v>0.30923190602215239</v>
      </c>
      <c r="BK61" s="124">
        <f t="shared" si="17"/>
        <v>-1.3646881856635484E-2</v>
      </c>
      <c r="BL61" s="125" t="s">
        <v>226</v>
      </c>
    </row>
    <row r="62" spans="1:64" ht="45" customHeight="1" x14ac:dyDescent="0.25">
      <c r="A62" s="30">
        <v>43</v>
      </c>
      <c r="B62" s="105" t="s">
        <v>188</v>
      </c>
      <c r="C62" s="31">
        <v>1</v>
      </c>
      <c r="D62" s="32" t="s">
        <v>73</v>
      </c>
      <c r="E62" s="31">
        <f t="shared" si="0"/>
        <v>12</v>
      </c>
      <c r="F62" s="127">
        <v>33.200000000000003</v>
      </c>
      <c r="G62" s="31" t="s">
        <v>226</v>
      </c>
      <c r="H62" s="31" t="s">
        <v>226</v>
      </c>
      <c r="I62" s="31" t="s">
        <v>226</v>
      </c>
      <c r="J62" s="31" t="s">
        <v>226</v>
      </c>
      <c r="K62" s="31" t="s">
        <v>226</v>
      </c>
      <c r="L62" s="31" t="s">
        <v>226</v>
      </c>
      <c r="M62" s="31" t="s">
        <v>226</v>
      </c>
      <c r="N62" s="31" t="s">
        <v>226</v>
      </c>
      <c r="O62" s="31" t="s">
        <v>226</v>
      </c>
      <c r="P62" s="31" t="s">
        <v>226</v>
      </c>
      <c r="Q62" s="31" t="s">
        <v>226</v>
      </c>
      <c r="R62" s="31" t="s">
        <v>226</v>
      </c>
      <c r="S62" s="31" t="s">
        <v>226</v>
      </c>
      <c r="T62" s="31" t="s">
        <v>226</v>
      </c>
      <c r="U62" s="31" t="s">
        <v>226</v>
      </c>
      <c r="V62" s="31" t="s">
        <v>226</v>
      </c>
      <c r="W62" s="31" t="s">
        <v>226</v>
      </c>
      <c r="X62" s="31" t="s">
        <v>226</v>
      </c>
      <c r="Y62" s="31" t="s">
        <v>226</v>
      </c>
      <c r="Z62" s="31" t="s">
        <v>226</v>
      </c>
      <c r="AA62" s="31" t="s">
        <v>226</v>
      </c>
      <c r="AB62" s="31" t="s">
        <v>226</v>
      </c>
      <c r="AC62" s="31" t="s">
        <v>226</v>
      </c>
      <c r="AD62" s="31" t="s">
        <v>226</v>
      </c>
      <c r="AE62" s="31" t="s">
        <v>226</v>
      </c>
      <c r="AF62" s="31" t="s">
        <v>226</v>
      </c>
      <c r="AG62" s="31" t="s">
        <v>226</v>
      </c>
      <c r="AH62" s="31" t="s">
        <v>226</v>
      </c>
      <c r="AI62" s="31" t="s">
        <v>226</v>
      </c>
      <c r="AJ62" s="31" t="s">
        <v>226</v>
      </c>
      <c r="AK62" s="31" t="s">
        <v>226</v>
      </c>
      <c r="AL62" s="31" t="s">
        <v>226</v>
      </c>
      <c r="AM62" s="31"/>
      <c r="AN62" s="31"/>
      <c r="AO62" s="96">
        <v>36.5</v>
      </c>
      <c r="AP62" s="33">
        <f t="shared" si="1"/>
        <v>3.0416666666666665</v>
      </c>
      <c r="AQ62" s="34">
        <f t="shared" si="2"/>
        <v>36.5</v>
      </c>
      <c r="AR62" s="35"/>
      <c r="AS62" s="36">
        <f t="shared" si="3"/>
        <v>3.0416666666666665</v>
      </c>
      <c r="AT62" s="36">
        <f t="shared" si="3"/>
        <v>36.5</v>
      </c>
      <c r="AU62" s="36">
        <f t="shared" si="4"/>
        <v>3.3154166666666667</v>
      </c>
      <c r="AV62" s="36">
        <f t="shared" si="5"/>
        <v>39.784999999999997</v>
      </c>
      <c r="AW62" s="37">
        <v>4.95</v>
      </c>
      <c r="AX62" s="38">
        <f t="shared" si="6"/>
        <v>59.400000000000006</v>
      </c>
      <c r="AY62" s="38">
        <f t="shared" si="7"/>
        <v>1.6345833333333335</v>
      </c>
      <c r="AZ62" s="38">
        <f t="shared" si="8"/>
        <v>19.615000000000002</v>
      </c>
      <c r="BA62" s="39">
        <f t="shared" si="9"/>
        <v>0.33021885521885525</v>
      </c>
      <c r="BB62" s="42"/>
      <c r="BC62" s="119">
        <f t="shared" si="10"/>
        <v>4.95</v>
      </c>
      <c r="BD62" s="108">
        <v>0.15</v>
      </c>
      <c r="BE62" s="120">
        <f t="shared" si="11"/>
        <v>6.0365853658536581</v>
      </c>
      <c r="BF62" s="121">
        <f t="shared" si="12"/>
        <v>1.0865853658536579</v>
      </c>
      <c r="BG62" s="121">
        <f t="shared" si="13"/>
        <v>9.7792682926829216E-2</v>
      </c>
      <c r="BH62" s="122">
        <f t="shared" si="14"/>
        <v>1.1843780487804871</v>
      </c>
      <c r="BI62" s="121">
        <f t="shared" si="15"/>
        <v>4.8522073170731712</v>
      </c>
      <c r="BJ62" s="123">
        <f t="shared" si="16"/>
        <v>0.31671990704088249</v>
      </c>
      <c r="BK62" s="124">
        <f t="shared" si="17"/>
        <v>-1.3498948177972758E-2</v>
      </c>
      <c r="BL62" s="125" t="s">
        <v>226</v>
      </c>
    </row>
    <row r="63" spans="1:64" ht="45" customHeight="1" x14ac:dyDescent="0.25">
      <c r="A63" s="30">
        <v>44</v>
      </c>
      <c r="B63" s="101" t="s">
        <v>55</v>
      </c>
      <c r="C63" s="31">
        <v>1</v>
      </c>
      <c r="D63" s="32" t="s">
        <v>73</v>
      </c>
      <c r="E63" s="31">
        <f t="shared" si="0"/>
        <v>12</v>
      </c>
      <c r="F63" s="127">
        <v>33.200000000000003</v>
      </c>
      <c r="G63" s="31" t="s">
        <v>226</v>
      </c>
      <c r="H63" s="31" t="s">
        <v>226</v>
      </c>
      <c r="I63" s="31" t="s">
        <v>226</v>
      </c>
      <c r="J63" s="31" t="s">
        <v>226</v>
      </c>
      <c r="K63" s="31" t="s">
        <v>226</v>
      </c>
      <c r="L63" s="31" t="s">
        <v>226</v>
      </c>
      <c r="M63" s="31" t="s">
        <v>226</v>
      </c>
      <c r="N63" s="31" t="s">
        <v>226</v>
      </c>
      <c r="O63" s="31" t="s">
        <v>226</v>
      </c>
      <c r="P63" s="31" t="s">
        <v>226</v>
      </c>
      <c r="Q63" s="31" t="s">
        <v>226</v>
      </c>
      <c r="R63" s="31" t="s">
        <v>226</v>
      </c>
      <c r="S63" s="31" t="s">
        <v>226</v>
      </c>
      <c r="T63" s="31" t="s">
        <v>226</v>
      </c>
      <c r="U63" s="31" t="s">
        <v>226</v>
      </c>
      <c r="V63" s="31" t="s">
        <v>226</v>
      </c>
      <c r="W63" s="31" t="s">
        <v>226</v>
      </c>
      <c r="X63" s="31" t="s">
        <v>226</v>
      </c>
      <c r="Y63" s="31" t="s">
        <v>226</v>
      </c>
      <c r="Z63" s="31" t="s">
        <v>226</v>
      </c>
      <c r="AA63" s="31" t="s">
        <v>226</v>
      </c>
      <c r="AB63" s="31" t="s">
        <v>226</v>
      </c>
      <c r="AC63" s="31" t="s">
        <v>226</v>
      </c>
      <c r="AD63" s="31" t="s">
        <v>226</v>
      </c>
      <c r="AE63" s="31" t="s">
        <v>226</v>
      </c>
      <c r="AF63" s="31" t="s">
        <v>226</v>
      </c>
      <c r="AG63" s="31" t="s">
        <v>226</v>
      </c>
      <c r="AH63" s="31" t="s">
        <v>226</v>
      </c>
      <c r="AI63" s="31" t="s">
        <v>226</v>
      </c>
      <c r="AJ63" s="31" t="s">
        <v>226</v>
      </c>
      <c r="AK63" s="31" t="s">
        <v>226</v>
      </c>
      <c r="AL63" s="31" t="s">
        <v>226</v>
      </c>
      <c r="AM63" s="31"/>
      <c r="AN63" s="31"/>
      <c r="AO63" s="96">
        <v>36.5</v>
      </c>
      <c r="AP63" s="33">
        <f t="shared" si="1"/>
        <v>3.0416666666666665</v>
      </c>
      <c r="AQ63" s="34">
        <f t="shared" si="2"/>
        <v>36.5</v>
      </c>
      <c r="AR63" s="35"/>
      <c r="AS63" s="36">
        <f t="shared" si="3"/>
        <v>3.0416666666666665</v>
      </c>
      <c r="AT63" s="36">
        <f t="shared" si="3"/>
        <v>36.5</v>
      </c>
      <c r="AU63" s="36">
        <f t="shared" si="4"/>
        <v>3.3154166666666667</v>
      </c>
      <c r="AV63" s="36">
        <f t="shared" si="5"/>
        <v>39.784999999999997</v>
      </c>
      <c r="AW63" s="37">
        <v>4.95</v>
      </c>
      <c r="AX63" s="38">
        <f t="shared" si="6"/>
        <v>59.400000000000006</v>
      </c>
      <c r="AY63" s="38">
        <f t="shared" si="7"/>
        <v>1.6345833333333335</v>
      </c>
      <c r="AZ63" s="38">
        <f t="shared" si="8"/>
        <v>19.615000000000002</v>
      </c>
      <c r="BA63" s="39">
        <f t="shared" si="9"/>
        <v>0.33021885521885525</v>
      </c>
      <c r="BB63" s="42"/>
      <c r="BC63" s="119">
        <f t="shared" si="10"/>
        <v>4.95</v>
      </c>
      <c r="BD63" s="108">
        <v>0.15</v>
      </c>
      <c r="BE63" s="120">
        <f t="shared" si="11"/>
        <v>6.0365853658536581</v>
      </c>
      <c r="BF63" s="121">
        <f t="shared" si="12"/>
        <v>1.0865853658536579</v>
      </c>
      <c r="BG63" s="121">
        <f t="shared" si="13"/>
        <v>9.7792682926829216E-2</v>
      </c>
      <c r="BH63" s="122">
        <f t="shared" si="14"/>
        <v>1.1843780487804871</v>
      </c>
      <c r="BI63" s="121">
        <f t="shared" si="15"/>
        <v>4.8522073170731712</v>
      </c>
      <c r="BJ63" s="123">
        <f t="shared" si="16"/>
        <v>0.31671990704088249</v>
      </c>
      <c r="BK63" s="124">
        <f t="shared" si="17"/>
        <v>-1.3498948177972758E-2</v>
      </c>
      <c r="BL63" s="125" t="s">
        <v>226</v>
      </c>
    </row>
    <row r="64" spans="1:64" ht="45" customHeight="1" x14ac:dyDescent="0.25">
      <c r="A64" s="30">
        <v>45</v>
      </c>
      <c r="B64" s="102" t="s">
        <v>56</v>
      </c>
      <c r="C64" s="31">
        <v>1</v>
      </c>
      <c r="D64" s="32" t="s">
        <v>73</v>
      </c>
      <c r="E64" s="31">
        <f t="shared" si="0"/>
        <v>12</v>
      </c>
      <c r="F64" s="127">
        <v>33.200000000000003</v>
      </c>
      <c r="G64" s="31" t="s">
        <v>226</v>
      </c>
      <c r="H64" s="31" t="s">
        <v>226</v>
      </c>
      <c r="I64" s="31" t="s">
        <v>226</v>
      </c>
      <c r="J64" s="31" t="s">
        <v>226</v>
      </c>
      <c r="K64" s="31" t="s">
        <v>226</v>
      </c>
      <c r="L64" s="31" t="s">
        <v>226</v>
      </c>
      <c r="M64" s="31" t="s">
        <v>226</v>
      </c>
      <c r="N64" s="31" t="s">
        <v>226</v>
      </c>
      <c r="O64" s="31" t="s">
        <v>226</v>
      </c>
      <c r="P64" s="31" t="s">
        <v>226</v>
      </c>
      <c r="Q64" s="31" t="s">
        <v>226</v>
      </c>
      <c r="R64" s="31" t="s">
        <v>226</v>
      </c>
      <c r="S64" s="31" t="s">
        <v>226</v>
      </c>
      <c r="T64" s="31" t="s">
        <v>226</v>
      </c>
      <c r="U64" s="31" t="s">
        <v>226</v>
      </c>
      <c r="V64" s="31" t="s">
        <v>226</v>
      </c>
      <c r="W64" s="31" t="s">
        <v>226</v>
      </c>
      <c r="X64" s="31" t="s">
        <v>226</v>
      </c>
      <c r="Y64" s="31" t="s">
        <v>226</v>
      </c>
      <c r="Z64" s="31" t="s">
        <v>226</v>
      </c>
      <c r="AA64" s="31" t="s">
        <v>226</v>
      </c>
      <c r="AB64" s="31" t="s">
        <v>226</v>
      </c>
      <c r="AC64" s="31" t="s">
        <v>226</v>
      </c>
      <c r="AD64" s="31" t="s">
        <v>226</v>
      </c>
      <c r="AE64" s="31" t="s">
        <v>226</v>
      </c>
      <c r="AF64" s="31" t="s">
        <v>226</v>
      </c>
      <c r="AG64" s="31" t="s">
        <v>226</v>
      </c>
      <c r="AH64" s="31" t="s">
        <v>226</v>
      </c>
      <c r="AI64" s="31" t="s">
        <v>226</v>
      </c>
      <c r="AJ64" s="31" t="s">
        <v>226</v>
      </c>
      <c r="AK64" s="31" t="s">
        <v>226</v>
      </c>
      <c r="AL64" s="31" t="s">
        <v>226</v>
      </c>
      <c r="AM64" s="31"/>
      <c r="AN64" s="31"/>
      <c r="AO64" s="96">
        <v>36.5</v>
      </c>
      <c r="AP64" s="33">
        <f t="shared" si="1"/>
        <v>3.0416666666666665</v>
      </c>
      <c r="AQ64" s="34">
        <f t="shared" si="2"/>
        <v>36.5</v>
      </c>
      <c r="AR64" s="35"/>
      <c r="AS64" s="36">
        <f t="shared" ref="AS64:AT86" si="19">AP64/$AZ$2</f>
        <v>3.0416666666666665</v>
      </c>
      <c r="AT64" s="36">
        <f t="shared" si="19"/>
        <v>36.5</v>
      </c>
      <c r="AU64" s="36">
        <f t="shared" si="4"/>
        <v>3.3154166666666667</v>
      </c>
      <c r="AV64" s="36">
        <f t="shared" si="5"/>
        <v>39.784999999999997</v>
      </c>
      <c r="AW64" s="37">
        <v>4.95</v>
      </c>
      <c r="AX64" s="38">
        <f t="shared" si="6"/>
        <v>59.400000000000006</v>
      </c>
      <c r="AY64" s="38">
        <f t="shared" si="7"/>
        <v>1.6345833333333335</v>
      </c>
      <c r="AZ64" s="38">
        <f t="shared" si="8"/>
        <v>19.615000000000002</v>
      </c>
      <c r="BA64" s="39">
        <f t="shared" si="9"/>
        <v>0.33021885521885525</v>
      </c>
      <c r="BB64" s="42"/>
      <c r="BC64" s="119">
        <f t="shared" si="10"/>
        <v>4.95</v>
      </c>
      <c r="BD64" s="108">
        <v>0.15</v>
      </c>
      <c r="BE64" s="120">
        <f t="shared" si="11"/>
        <v>6.0365853658536581</v>
      </c>
      <c r="BF64" s="121">
        <f t="shared" si="12"/>
        <v>1.0865853658536579</v>
      </c>
      <c r="BG64" s="121">
        <f t="shared" si="13"/>
        <v>9.7792682926829216E-2</v>
      </c>
      <c r="BH64" s="122">
        <f t="shared" si="14"/>
        <v>1.1843780487804871</v>
      </c>
      <c r="BI64" s="121">
        <f t="shared" si="15"/>
        <v>4.8522073170731712</v>
      </c>
      <c r="BJ64" s="123">
        <f t="shared" si="16"/>
        <v>0.31671990704088249</v>
      </c>
      <c r="BK64" s="124">
        <f t="shared" si="17"/>
        <v>-1.3498948177972758E-2</v>
      </c>
      <c r="BL64" s="125" t="s">
        <v>226</v>
      </c>
    </row>
    <row r="65" spans="1:64" ht="45" customHeight="1" x14ac:dyDescent="0.25">
      <c r="A65" s="30">
        <v>46</v>
      </c>
      <c r="B65" s="103" t="s">
        <v>142</v>
      </c>
      <c r="C65" s="31">
        <v>1</v>
      </c>
      <c r="D65" s="32" t="s">
        <v>144</v>
      </c>
      <c r="E65" s="31">
        <f t="shared" si="0"/>
        <v>30</v>
      </c>
      <c r="F65" s="31" t="s">
        <v>226</v>
      </c>
      <c r="G65" s="31" t="s">
        <v>226</v>
      </c>
      <c r="H65" s="31" t="s">
        <v>226</v>
      </c>
      <c r="I65" s="31" t="s">
        <v>226</v>
      </c>
      <c r="J65" s="31" t="s">
        <v>226</v>
      </c>
      <c r="K65" s="31" t="s">
        <v>226</v>
      </c>
      <c r="L65" s="31" t="s">
        <v>226</v>
      </c>
      <c r="M65" s="31" t="s">
        <v>226</v>
      </c>
      <c r="N65" s="31" t="s">
        <v>226</v>
      </c>
      <c r="O65" s="31" t="s">
        <v>226</v>
      </c>
      <c r="P65" s="31" t="s">
        <v>226</v>
      </c>
      <c r="Q65" s="31" t="s">
        <v>226</v>
      </c>
      <c r="R65" s="31" t="s">
        <v>226</v>
      </c>
      <c r="S65" s="31" t="s">
        <v>226</v>
      </c>
      <c r="T65" s="31" t="s">
        <v>226</v>
      </c>
      <c r="U65" s="31" t="s">
        <v>226</v>
      </c>
      <c r="V65" s="31" t="s">
        <v>226</v>
      </c>
      <c r="W65" s="31" t="s">
        <v>226</v>
      </c>
      <c r="X65" s="31" t="s">
        <v>226</v>
      </c>
      <c r="Y65" s="31" t="s">
        <v>226</v>
      </c>
      <c r="Z65" s="31" t="s">
        <v>226</v>
      </c>
      <c r="AA65" s="31" t="s">
        <v>226</v>
      </c>
      <c r="AB65" s="31" t="s">
        <v>226</v>
      </c>
      <c r="AC65" s="31" t="s">
        <v>226</v>
      </c>
      <c r="AD65" s="31" t="s">
        <v>226</v>
      </c>
      <c r="AE65" s="31" t="s">
        <v>226</v>
      </c>
      <c r="AF65" s="31" t="s">
        <v>226</v>
      </c>
      <c r="AG65" s="31" t="s">
        <v>226</v>
      </c>
      <c r="AH65" s="31" t="s">
        <v>226</v>
      </c>
      <c r="AI65" s="31" t="s">
        <v>226</v>
      </c>
      <c r="AJ65" s="31" t="s">
        <v>226</v>
      </c>
      <c r="AK65" s="31" t="s">
        <v>226</v>
      </c>
      <c r="AL65" s="31" t="s">
        <v>226</v>
      </c>
      <c r="AM65" s="31"/>
      <c r="AN65" s="31"/>
      <c r="AO65" s="96">
        <v>16.2</v>
      </c>
      <c r="AP65" s="33">
        <f t="shared" si="1"/>
        <v>0.53999999999999992</v>
      </c>
      <c r="AQ65" s="34">
        <f t="shared" si="2"/>
        <v>16.2</v>
      </c>
      <c r="AR65" s="35"/>
      <c r="AS65" s="36">
        <f t="shared" si="19"/>
        <v>0.53999999999999992</v>
      </c>
      <c r="AT65" s="36">
        <f t="shared" si="19"/>
        <v>16.2</v>
      </c>
      <c r="AU65" s="36">
        <f t="shared" si="4"/>
        <v>0.58860000000000001</v>
      </c>
      <c r="AV65" s="36">
        <f t="shared" si="5"/>
        <v>17.658000000000001</v>
      </c>
      <c r="AW65" s="37">
        <v>1.35</v>
      </c>
      <c r="AX65" s="38">
        <f t="shared" si="6"/>
        <v>40.5</v>
      </c>
      <c r="AY65" s="38">
        <f t="shared" si="7"/>
        <v>0.76140000000000008</v>
      </c>
      <c r="AZ65" s="38">
        <f t="shared" si="8"/>
        <v>22.842000000000002</v>
      </c>
      <c r="BA65" s="39">
        <f t="shared" si="9"/>
        <v>0.56400000000000006</v>
      </c>
      <c r="BB65" s="43"/>
      <c r="BC65" s="119">
        <f t="shared" si="10"/>
        <v>1.35</v>
      </c>
      <c r="BD65" s="108">
        <v>0.15</v>
      </c>
      <c r="BE65" s="120">
        <f t="shared" si="11"/>
        <v>1.6463414634146341</v>
      </c>
      <c r="BF65" s="121">
        <f t="shared" si="12"/>
        <v>0.29634146341463397</v>
      </c>
      <c r="BG65" s="121">
        <f t="shared" si="13"/>
        <v>2.6670731707317055E-2</v>
      </c>
      <c r="BH65" s="122">
        <f t="shared" si="14"/>
        <v>0.32301219512195101</v>
      </c>
      <c r="BI65" s="121">
        <f t="shared" si="15"/>
        <v>1.3233292682926829</v>
      </c>
      <c r="BJ65" s="123">
        <f t="shared" si="16"/>
        <v>0.55521273948743466</v>
      </c>
      <c r="BK65" s="124">
        <f t="shared" si="17"/>
        <v>-8.787260512565398E-3</v>
      </c>
      <c r="BL65" s="125" t="s">
        <v>226</v>
      </c>
    </row>
    <row r="66" spans="1:64" ht="45" customHeight="1" x14ac:dyDescent="0.25">
      <c r="A66" s="30">
        <v>47</v>
      </c>
      <c r="B66" s="103" t="s">
        <v>143</v>
      </c>
      <c r="C66" s="31">
        <v>1</v>
      </c>
      <c r="D66" s="32" t="s">
        <v>177</v>
      </c>
      <c r="E66" s="31">
        <f t="shared" si="0"/>
        <v>40</v>
      </c>
      <c r="F66" s="31" t="s">
        <v>226</v>
      </c>
      <c r="G66" s="31" t="s">
        <v>226</v>
      </c>
      <c r="H66" s="31" t="s">
        <v>226</v>
      </c>
      <c r="I66" s="31" t="s">
        <v>226</v>
      </c>
      <c r="J66" s="31" t="s">
        <v>226</v>
      </c>
      <c r="K66" s="31" t="s">
        <v>226</v>
      </c>
      <c r="L66" s="31" t="s">
        <v>226</v>
      </c>
      <c r="M66" s="31" t="s">
        <v>226</v>
      </c>
      <c r="N66" s="31" t="s">
        <v>226</v>
      </c>
      <c r="O66" s="31" t="s">
        <v>226</v>
      </c>
      <c r="P66" s="31" t="s">
        <v>226</v>
      </c>
      <c r="Q66" s="31" t="s">
        <v>226</v>
      </c>
      <c r="R66" s="31" t="s">
        <v>226</v>
      </c>
      <c r="S66" s="31" t="s">
        <v>226</v>
      </c>
      <c r="T66" s="31" t="s">
        <v>226</v>
      </c>
      <c r="U66" s="31" t="s">
        <v>226</v>
      </c>
      <c r="V66" s="31" t="s">
        <v>226</v>
      </c>
      <c r="W66" s="31" t="s">
        <v>226</v>
      </c>
      <c r="X66" s="31" t="s">
        <v>226</v>
      </c>
      <c r="Y66" s="31" t="s">
        <v>226</v>
      </c>
      <c r="Z66" s="31" t="s">
        <v>226</v>
      </c>
      <c r="AA66" s="31" t="s">
        <v>226</v>
      </c>
      <c r="AB66" s="31" t="s">
        <v>226</v>
      </c>
      <c r="AC66" s="31" t="s">
        <v>226</v>
      </c>
      <c r="AD66" s="31" t="s">
        <v>226</v>
      </c>
      <c r="AE66" s="31" t="s">
        <v>226</v>
      </c>
      <c r="AF66" s="31" t="s">
        <v>226</v>
      </c>
      <c r="AG66" s="31" t="s">
        <v>226</v>
      </c>
      <c r="AH66" s="31" t="s">
        <v>226</v>
      </c>
      <c r="AI66" s="31" t="s">
        <v>226</v>
      </c>
      <c r="AJ66" s="31" t="s">
        <v>226</v>
      </c>
      <c r="AK66" s="31" t="s">
        <v>226</v>
      </c>
      <c r="AL66" s="31" t="s">
        <v>226</v>
      </c>
      <c r="AM66" s="31"/>
      <c r="AN66" s="31"/>
      <c r="AO66" s="96">
        <v>21.6</v>
      </c>
      <c r="AP66" s="33">
        <f t="shared" si="1"/>
        <v>0.54</v>
      </c>
      <c r="AQ66" s="34">
        <f t="shared" si="2"/>
        <v>21.6</v>
      </c>
      <c r="AR66" s="35"/>
      <c r="AS66" s="36">
        <f t="shared" si="19"/>
        <v>0.54</v>
      </c>
      <c r="AT66" s="36">
        <f t="shared" si="19"/>
        <v>21.6</v>
      </c>
      <c r="AU66" s="36">
        <f t="shared" si="4"/>
        <v>0.58860000000000012</v>
      </c>
      <c r="AV66" s="36">
        <f t="shared" si="5"/>
        <v>23.544000000000004</v>
      </c>
      <c r="AW66" s="37">
        <v>1.35</v>
      </c>
      <c r="AX66" s="38">
        <f t="shared" si="6"/>
        <v>54</v>
      </c>
      <c r="AY66" s="38">
        <f t="shared" si="7"/>
        <v>0.76139999999999997</v>
      </c>
      <c r="AZ66" s="38">
        <f t="shared" si="8"/>
        <v>30.456</v>
      </c>
      <c r="BA66" s="39">
        <f t="shared" si="9"/>
        <v>0.56399999999999995</v>
      </c>
      <c r="BB66" s="43"/>
      <c r="BC66" s="119">
        <f t="shared" si="10"/>
        <v>1.35</v>
      </c>
      <c r="BD66" s="108">
        <v>0.15</v>
      </c>
      <c r="BE66" s="120">
        <f t="shared" si="11"/>
        <v>1.6463414634146341</v>
      </c>
      <c r="BF66" s="121">
        <f t="shared" si="12"/>
        <v>0.29634146341463397</v>
      </c>
      <c r="BG66" s="121">
        <f t="shared" si="13"/>
        <v>2.6670731707317055E-2</v>
      </c>
      <c r="BH66" s="122">
        <f t="shared" si="14"/>
        <v>0.32301219512195101</v>
      </c>
      <c r="BI66" s="121">
        <f t="shared" si="15"/>
        <v>1.3233292682926829</v>
      </c>
      <c r="BJ66" s="123">
        <f t="shared" si="16"/>
        <v>0.55521273948743455</v>
      </c>
      <c r="BK66" s="124">
        <f t="shared" si="17"/>
        <v>-8.787260512565398E-3</v>
      </c>
      <c r="BL66" s="125" t="s">
        <v>226</v>
      </c>
    </row>
    <row r="67" spans="1:64" ht="45" customHeight="1" x14ac:dyDescent="0.25">
      <c r="A67" s="30">
        <v>48</v>
      </c>
      <c r="B67" s="103" t="s">
        <v>137</v>
      </c>
      <c r="C67" s="31">
        <v>1</v>
      </c>
      <c r="D67" s="32" t="s">
        <v>24</v>
      </c>
      <c r="E67" s="31">
        <f t="shared" si="0"/>
        <v>24</v>
      </c>
      <c r="F67" s="31" t="s">
        <v>226</v>
      </c>
      <c r="G67" s="31" t="s">
        <v>226</v>
      </c>
      <c r="H67" s="31" t="s">
        <v>226</v>
      </c>
      <c r="I67" s="31" t="s">
        <v>226</v>
      </c>
      <c r="J67" s="31" t="s">
        <v>226</v>
      </c>
      <c r="K67" s="31" t="s">
        <v>226</v>
      </c>
      <c r="L67" s="31" t="s">
        <v>226</v>
      </c>
      <c r="M67" s="31" t="s">
        <v>226</v>
      </c>
      <c r="N67" s="31" t="s">
        <v>226</v>
      </c>
      <c r="O67" s="31" t="s">
        <v>226</v>
      </c>
      <c r="P67" s="31" t="s">
        <v>226</v>
      </c>
      <c r="Q67" s="31" t="s">
        <v>226</v>
      </c>
      <c r="R67" s="31" t="s">
        <v>226</v>
      </c>
      <c r="S67" s="31" t="s">
        <v>226</v>
      </c>
      <c r="T67" s="31" t="s">
        <v>226</v>
      </c>
      <c r="U67" s="31" t="s">
        <v>226</v>
      </c>
      <c r="V67" s="31" t="s">
        <v>226</v>
      </c>
      <c r="W67" s="31" t="s">
        <v>226</v>
      </c>
      <c r="X67" s="31" t="s">
        <v>226</v>
      </c>
      <c r="Y67" s="31" t="s">
        <v>226</v>
      </c>
      <c r="Z67" s="31" t="s">
        <v>226</v>
      </c>
      <c r="AA67" s="31" t="s">
        <v>226</v>
      </c>
      <c r="AB67" s="31" t="s">
        <v>226</v>
      </c>
      <c r="AC67" s="31" t="s">
        <v>226</v>
      </c>
      <c r="AD67" s="31" t="s">
        <v>226</v>
      </c>
      <c r="AE67" s="31" t="s">
        <v>226</v>
      </c>
      <c r="AF67" s="31" t="s">
        <v>226</v>
      </c>
      <c r="AG67" s="31" t="s">
        <v>226</v>
      </c>
      <c r="AH67" s="31" t="s">
        <v>226</v>
      </c>
      <c r="AI67" s="31" t="s">
        <v>226</v>
      </c>
      <c r="AJ67" s="31" t="s">
        <v>226</v>
      </c>
      <c r="AK67" s="31" t="s">
        <v>226</v>
      </c>
      <c r="AL67" s="31" t="s">
        <v>226</v>
      </c>
      <c r="AM67" s="31"/>
      <c r="AN67" s="31"/>
      <c r="AO67" s="96">
        <v>34.5</v>
      </c>
      <c r="AP67" s="33">
        <f t="shared" si="1"/>
        <v>1.4375</v>
      </c>
      <c r="AQ67" s="34">
        <f t="shared" si="2"/>
        <v>34.5</v>
      </c>
      <c r="AR67" s="35"/>
      <c r="AS67" s="36">
        <f t="shared" si="19"/>
        <v>1.4375</v>
      </c>
      <c r="AT67" s="36">
        <f t="shared" si="19"/>
        <v>34.5</v>
      </c>
      <c r="AU67" s="36">
        <f t="shared" si="4"/>
        <v>1.566875</v>
      </c>
      <c r="AV67" s="36">
        <f t="shared" si="5"/>
        <v>37.605000000000004</v>
      </c>
      <c r="AW67" s="37">
        <v>2.25</v>
      </c>
      <c r="AX67" s="38">
        <f t="shared" si="6"/>
        <v>54</v>
      </c>
      <c r="AY67" s="38">
        <f t="shared" si="7"/>
        <v>0.68312499999999998</v>
      </c>
      <c r="AZ67" s="38">
        <f t="shared" si="8"/>
        <v>16.395</v>
      </c>
      <c r="BA67" s="39">
        <f t="shared" si="9"/>
        <v>0.30361111111111111</v>
      </c>
      <c r="BB67" s="43"/>
      <c r="BC67" s="119">
        <f t="shared" si="10"/>
        <v>2.25</v>
      </c>
      <c r="BD67" s="108">
        <v>0.15</v>
      </c>
      <c r="BE67" s="120">
        <f t="shared" si="11"/>
        <v>2.74390243902439</v>
      </c>
      <c r="BF67" s="121">
        <f t="shared" si="12"/>
        <v>0.49390243902439002</v>
      </c>
      <c r="BG67" s="121">
        <f t="shared" si="13"/>
        <v>4.4451219512195099E-2</v>
      </c>
      <c r="BH67" s="122">
        <f t="shared" si="14"/>
        <v>0.53835365853658512</v>
      </c>
      <c r="BI67" s="121">
        <f t="shared" si="15"/>
        <v>2.2055487804878049</v>
      </c>
      <c r="BJ67" s="123">
        <f t="shared" si="16"/>
        <v>0.28957590334798594</v>
      </c>
      <c r="BK67" s="124">
        <f t="shared" si="17"/>
        <v>-1.4035207763125168E-2</v>
      </c>
      <c r="BL67" s="125" t="s">
        <v>226</v>
      </c>
    </row>
    <row r="68" spans="1:64" ht="45" customHeight="1" x14ac:dyDescent="0.25">
      <c r="A68" s="30">
        <v>49</v>
      </c>
      <c r="B68" s="103" t="s">
        <v>57</v>
      </c>
      <c r="C68" s="31">
        <v>1</v>
      </c>
      <c r="D68" s="32" t="s">
        <v>73</v>
      </c>
      <c r="E68" s="31">
        <f t="shared" si="0"/>
        <v>12</v>
      </c>
      <c r="F68" s="31" t="s">
        <v>226</v>
      </c>
      <c r="G68" s="31" t="s">
        <v>226</v>
      </c>
      <c r="H68" s="31" t="s">
        <v>226</v>
      </c>
      <c r="I68" s="31" t="s">
        <v>226</v>
      </c>
      <c r="J68" s="31" t="s">
        <v>226</v>
      </c>
      <c r="K68" s="31" t="s">
        <v>226</v>
      </c>
      <c r="L68" s="31" t="s">
        <v>226</v>
      </c>
      <c r="M68" s="31" t="s">
        <v>226</v>
      </c>
      <c r="N68" s="31" t="s">
        <v>226</v>
      </c>
      <c r="O68" s="31" t="s">
        <v>226</v>
      </c>
      <c r="P68" s="31" t="s">
        <v>226</v>
      </c>
      <c r="Q68" s="31" t="s">
        <v>226</v>
      </c>
      <c r="R68" s="31" t="s">
        <v>226</v>
      </c>
      <c r="S68" s="31" t="s">
        <v>226</v>
      </c>
      <c r="T68" s="31" t="s">
        <v>226</v>
      </c>
      <c r="U68" s="31" t="s">
        <v>226</v>
      </c>
      <c r="V68" s="31" t="s">
        <v>226</v>
      </c>
      <c r="W68" s="31" t="s">
        <v>226</v>
      </c>
      <c r="X68" s="31" t="s">
        <v>226</v>
      </c>
      <c r="Y68" s="31" t="s">
        <v>226</v>
      </c>
      <c r="Z68" s="31" t="s">
        <v>226</v>
      </c>
      <c r="AA68" s="31" t="s">
        <v>226</v>
      </c>
      <c r="AB68" s="31" t="s">
        <v>226</v>
      </c>
      <c r="AC68" s="31" t="s">
        <v>226</v>
      </c>
      <c r="AD68" s="31" t="s">
        <v>226</v>
      </c>
      <c r="AE68" s="31" t="s">
        <v>226</v>
      </c>
      <c r="AF68" s="31" t="s">
        <v>226</v>
      </c>
      <c r="AG68" s="31" t="s">
        <v>226</v>
      </c>
      <c r="AH68" s="31" t="s">
        <v>226</v>
      </c>
      <c r="AI68" s="31" t="s">
        <v>226</v>
      </c>
      <c r="AJ68" s="31" t="s">
        <v>226</v>
      </c>
      <c r="AK68" s="31" t="s">
        <v>226</v>
      </c>
      <c r="AL68" s="31" t="s">
        <v>226</v>
      </c>
      <c r="AM68" s="31"/>
      <c r="AN68" s="31"/>
      <c r="AO68" s="96">
        <v>34.5</v>
      </c>
      <c r="AP68" s="33">
        <f t="shared" si="1"/>
        <v>2.875</v>
      </c>
      <c r="AQ68" s="34">
        <f t="shared" si="2"/>
        <v>34.5</v>
      </c>
      <c r="AR68" s="35"/>
      <c r="AS68" s="36">
        <f t="shared" si="19"/>
        <v>2.875</v>
      </c>
      <c r="AT68" s="36">
        <f t="shared" si="19"/>
        <v>34.5</v>
      </c>
      <c r="AU68" s="36">
        <f t="shared" si="4"/>
        <v>3.13375</v>
      </c>
      <c r="AV68" s="36">
        <f t="shared" si="5"/>
        <v>37.605000000000004</v>
      </c>
      <c r="AW68" s="37">
        <v>4.95</v>
      </c>
      <c r="AX68" s="38">
        <f t="shared" si="6"/>
        <v>59.400000000000006</v>
      </c>
      <c r="AY68" s="38">
        <f t="shared" si="7"/>
        <v>1.8162500000000001</v>
      </c>
      <c r="AZ68" s="38">
        <f t="shared" si="8"/>
        <v>21.795000000000002</v>
      </c>
      <c r="BA68" s="39">
        <f t="shared" si="9"/>
        <v>0.36691919191919192</v>
      </c>
      <c r="BB68" s="43"/>
      <c r="BC68" s="119">
        <f t="shared" si="10"/>
        <v>4.95</v>
      </c>
      <c r="BD68" s="108">
        <v>0.15</v>
      </c>
      <c r="BE68" s="120">
        <f t="shared" si="11"/>
        <v>6.0365853658536581</v>
      </c>
      <c r="BF68" s="121">
        <f t="shared" si="12"/>
        <v>1.0865853658536579</v>
      </c>
      <c r="BG68" s="121">
        <f t="shared" si="13"/>
        <v>9.7792682926829216E-2</v>
      </c>
      <c r="BH68" s="122">
        <f t="shared" si="14"/>
        <v>1.1843780487804871</v>
      </c>
      <c r="BI68" s="121">
        <f t="shared" si="15"/>
        <v>4.8522073170731712</v>
      </c>
      <c r="BJ68" s="123">
        <f t="shared" si="16"/>
        <v>0.35415991213453274</v>
      </c>
      <c r="BK68" s="124">
        <f t="shared" si="17"/>
        <v>-1.2759279784659183E-2</v>
      </c>
      <c r="BL68" s="125" t="s">
        <v>226</v>
      </c>
    </row>
    <row r="69" spans="1:64" ht="45" customHeight="1" x14ac:dyDescent="0.25">
      <c r="A69" s="30">
        <v>50</v>
      </c>
      <c r="B69" s="100" t="s">
        <v>58</v>
      </c>
      <c r="C69" s="31">
        <v>1</v>
      </c>
      <c r="D69" s="32" t="s">
        <v>73</v>
      </c>
      <c r="E69" s="31">
        <f t="shared" si="0"/>
        <v>12</v>
      </c>
      <c r="F69" s="31" t="s">
        <v>226</v>
      </c>
      <c r="G69" s="31" t="s">
        <v>226</v>
      </c>
      <c r="H69" s="31" t="s">
        <v>226</v>
      </c>
      <c r="I69" s="31" t="s">
        <v>226</v>
      </c>
      <c r="J69" s="31" t="s">
        <v>226</v>
      </c>
      <c r="K69" s="31" t="s">
        <v>226</v>
      </c>
      <c r="L69" s="31" t="s">
        <v>226</v>
      </c>
      <c r="M69" s="31" t="s">
        <v>226</v>
      </c>
      <c r="N69" s="31" t="s">
        <v>226</v>
      </c>
      <c r="O69" s="31" t="s">
        <v>226</v>
      </c>
      <c r="P69" s="31" t="s">
        <v>226</v>
      </c>
      <c r="Q69" s="31" t="s">
        <v>226</v>
      </c>
      <c r="R69" s="31" t="s">
        <v>226</v>
      </c>
      <c r="S69" s="31" t="s">
        <v>226</v>
      </c>
      <c r="T69" s="31" t="s">
        <v>226</v>
      </c>
      <c r="U69" s="31" t="s">
        <v>226</v>
      </c>
      <c r="V69" s="31" t="s">
        <v>226</v>
      </c>
      <c r="W69" s="31" t="s">
        <v>226</v>
      </c>
      <c r="X69" s="31" t="s">
        <v>226</v>
      </c>
      <c r="Y69" s="31" t="s">
        <v>226</v>
      </c>
      <c r="Z69" s="31" t="s">
        <v>226</v>
      </c>
      <c r="AA69" s="31" t="s">
        <v>226</v>
      </c>
      <c r="AB69" s="31" t="s">
        <v>226</v>
      </c>
      <c r="AC69" s="31" t="s">
        <v>226</v>
      </c>
      <c r="AD69" s="31" t="s">
        <v>226</v>
      </c>
      <c r="AE69" s="31" t="s">
        <v>226</v>
      </c>
      <c r="AF69" s="31" t="s">
        <v>226</v>
      </c>
      <c r="AG69" s="31" t="s">
        <v>226</v>
      </c>
      <c r="AH69" s="31" t="s">
        <v>226</v>
      </c>
      <c r="AI69" s="31" t="s">
        <v>226</v>
      </c>
      <c r="AJ69" s="31" t="s">
        <v>226</v>
      </c>
      <c r="AK69" s="31" t="s">
        <v>226</v>
      </c>
      <c r="AL69" s="31" t="s">
        <v>226</v>
      </c>
      <c r="AM69" s="31"/>
      <c r="AN69" s="31"/>
      <c r="AO69" s="96">
        <v>34.200000000000003</v>
      </c>
      <c r="AP69" s="33">
        <f t="shared" si="1"/>
        <v>2.85</v>
      </c>
      <c r="AQ69" s="34">
        <f t="shared" si="2"/>
        <v>34.200000000000003</v>
      </c>
      <c r="AR69" s="35"/>
      <c r="AS69" s="36">
        <f t="shared" si="19"/>
        <v>2.85</v>
      </c>
      <c r="AT69" s="36">
        <f t="shared" si="19"/>
        <v>34.200000000000003</v>
      </c>
      <c r="AU69" s="36">
        <f t="shared" si="4"/>
        <v>3.1065000000000005</v>
      </c>
      <c r="AV69" s="36">
        <f t="shared" si="5"/>
        <v>37.278000000000006</v>
      </c>
      <c r="AW69" s="37">
        <v>4.5</v>
      </c>
      <c r="AX69" s="38">
        <f t="shared" si="6"/>
        <v>54</v>
      </c>
      <c r="AY69" s="38">
        <f t="shared" si="7"/>
        <v>1.3934999999999995</v>
      </c>
      <c r="AZ69" s="38">
        <f t="shared" si="8"/>
        <v>16.721999999999994</v>
      </c>
      <c r="BA69" s="39">
        <f t="shared" si="9"/>
        <v>0.30966666666666653</v>
      </c>
      <c r="BB69" s="40"/>
      <c r="BC69" s="119">
        <f t="shared" si="10"/>
        <v>4.5</v>
      </c>
      <c r="BD69" s="108">
        <v>0.15</v>
      </c>
      <c r="BE69" s="120">
        <f t="shared" si="11"/>
        <v>5.48780487804878</v>
      </c>
      <c r="BF69" s="121">
        <f t="shared" si="12"/>
        <v>0.98780487804878003</v>
      </c>
      <c r="BG69" s="121">
        <f t="shared" si="13"/>
        <v>8.8902439024390198E-2</v>
      </c>
      <c r="BH69" s="122">
        <f t="shared" si="14"/>
        <v>1.0767073170731702</v>
      </c>
      <c r="BI69" s="121">
        <f t="shared" si="15"/>
        <v>4.4110975609756098</v>
      </c>
      <c r="BJ69" s="123">
        <f t="shared" si="16"/>
        <v>0.29575350418843815</v>
      </c>
      <c r="BK69" s="124">
        <f t="shared" si="17"/>
        <v>-1.391316247822838E-2</v>
      </c>
      <c r="BL69" s="125" t="s">
        <v>226</v>
      </c>
    </row>
    <row r="70" spans="1:64" ht="45" customHeight="1" x14ac:dyDescent="0.25">
      <c r="A70" s="30">
        <v>51</v>
      </c>
      <c r="B70" s="100" t="s">
        <v>154</v>
      </c>
      <c r="C70" s="31">
        <v>1</v>
      </c>
      <c r="D70" s="32" t="s">
        <v>24</v>
      </c>
      <c r="E70" s="31">
        <f t="shared" si="0"/>
        <v>24</v>
      </c>
      <c r="F70" s="31" t="s">
        <v>226</v>
      </c>
      <c r="G70" s="31" t="s">
        <v>226</v>
      </c>
      <c r="H70" s="31" t="s">
        <v>226</v>
      </c>
      <c r="I70" s="31" t="s">
        <v>226</v>
      </c>
      <c r="J70" s="31" t="s">
        <v>226</v>
      </c>
      <c r="K70" s="31" t="s">
        <v>226</v>
      </c>
      <c r="L70" s="31" t="s">
        <v>226</v>
      </c>
      <c r="M70" s="31" t="s">
        <v>226</v>
      </c>
      <c r="N70" s="31" t="s">
        <v>226</v>
      </c>
      <c r="O70" s="31" t="s">
        <v>226</v>
      </c>
      <c r="P70" s="31" t="s">
        <v>226</v>
      </c>
      <c r="Q70" s="31" t="s">
        <v>226</v>
      </c>
      <c r="R70" s="31" t="s">
        <v>226</v>
      </c>
      <c r="S70" s="31" t="s">
        <v>226</v>
      </c>
      <c r="T70" s="31" t="s">
        <v>226</v>
      </c>
      <c r="U70" s="31" t="s">
        <v>226</v>
      </c>
      <c r="V70" s="31" t="s">
        <v>226</v>
      </c>
      <c r="W70" s="31" t="s">
        <v>226</v>
      </c>
      <c r="X70" s="31" t="s">
        <v>226</v>
      </c>
      <c r="Y70" s="31" t="s">
        <v>226</v>
      </c>
      <c r="Z70" s="31" t="s">
        <v>226</v>
      </c>
      <c r="AA70" s="31" t="s">
        <v>226</v>
      </c>
      <c r="AB70" s="31" t="s">
        <v>226</v>
      </c>
      <c r="AC70" s="31" t="s">
        <v>226</v>
      </c>
      <c r="AD70" s="31" t="s">
        <v>226</v>
      </c>
      <c r="AE70" s="31" t="s">
        <v>226</v>
      </c>
      <c r="AF70" s="31" t="s">
        <v>226</v>
      </c>
      <c r="AG70" s="31" t="s">
        <v>226</v>
      </c>
      <c r="AH70" s="31" t="s">
        <v>226</v>
      </c>
      <c r="AI70" s="31" t="s">
        <v>226</v>
      </c>
      <c r="AJ70" s="31" t="s">
        <v>226</v>
      </c>
      <c r="AK70" s="31" t="s">
        <v>226</v>
      </c>
      <c r="AL70" s="31" t="s">
        <v>226</v>
      </c>
      <c r="AM70" s="31"/>
      <c r="AN70" s="31"/>
      <c r="AO70" s="96">
        <v>54.5</v>
      </c>
      <c r="AP70" s="33">
        <f t="shared" si="1"/>
        <v>2.2708333333333335</v>
      </c>
      <c r="AQ70" s="34">
        <f t="shared" si="2"/>
        <v>54.5</v>
      </c>
      <c r="AR70" s="35"/>
      <c r="AS70" s="36">
        <f t="shared" si="19"/>
        <v>2.2708333333333335</v>
      </c>
      <c r="AT70" s="36">
        <f t="shared" si="19"/>
        <v>54.5</v>
      </c>
      <c r="AU70" s="36">
        <f t="shared" si="4"/>
        <v>2.4752083333333337</v>
      </c>
      <c r="AV70" s="36">
        <f t="shared" si="5"/>
        <v>59.405000000000008</v>
      </c>
      <c r="AW70" s="37">
        <v>2.95</v>
      </c>
      <c r="AX70" s="38">
        <f t="shared" si="6"/>
        <v>70.800000000000011</v>
      </c>
      <c r="AY70" s="38">
        <f t="shared" si="7"/>
        <v>0.4747916666666665</v>
      </c>
      <c r="AZ70" s="38">
        <f t="shared" si="8"/>
        <v>11.394999999999996</v>
      </c>
      <c r="BA70" s="99">
        <f t="shared" si="9"/>
        <v>0.16094632768361575</v>
      </c>
      <c r="BB70" s="41"/>
      <c r="BC70" s="119">
        <f t="shared" si="10"/>
        <v>2.95</v>
      </c>
      <c r="BD70" s="108">
        <v>0.15</v>
      </c>
      <c r="BE70" s="120">
        <f t="shared" si="11"/>
        <v>3.5975609756097562</v>
      </c>
      <c r="BF70" s="121">
        <f t="shared" si="12"/>
        <v>0.64756097560975601</v>
      </c>
      <c r="BG70" s="121">
        <f t="shared" si="13"/>
        <v>5.8280487804878038E-2</v>
      </c>
      <c r="BH70" s="122">
        <f t="shared" si="14"/>
        <v>0.70584146341463405</v>
      </c>
      <c r="BI70" s="121">
        <f t="shared" si="15"/>
        <v>2.891719512195122</v>
      </c>
      <c r="BJ70" s="123">
        <f t="shared" si="16"/>
        <v>0.14403581575088939</v>
      </c>
      <c r="BK70" s="124">
        <f t="shared" si="17"/>
        <v>-1.6910511932726358E-2</v>
      </c>
      <c r="BL70" s="125" t="s">
        <v>226</v>
      </c>
    </row>
    <row r="71" spans="1:64" ht="45" customHeight="1" x14ac:dyDescent="0.25">
      <c r="A71" s="30">
        <v>52</v>
      </c>
      <c r="B71" s="100" t="s">
        <v>155</v>
      </c>
      <c r="C71" s="31">
        <v>1</v>
      </c>
      <c r="D71" s="32" t="s">
        <v>24</v>
      </c>
      <c r="E71" s="31">
        <f t="shared" si="0"/>
        <v>24</v>
      </c>
      <c r="F71" s="31" t="s">
        <v>226</v>
      </c>
      <c r="G71" s="31" t="s">
        <v>226</v>
      </c>
      <c r="H71" s="31" t="s">
        <v>226</v>
      </c>
      <c r="I71" s="31" t="s">
        <v>226</v>
      </c>
      <c r="J71" s="31" t="s">
        <v>226</v>
      </c>
      <c r="K71" s="31" t="s">
        <v>226</v>
      </c>
      <c r="L71" s="31" t="s">
        <v>226</v>
      </c>
      <c r="M71" s="31" t="s">
        <v>226</v>
      </c>
      <c r="N71" s="31" t="s">
        <v>226</v>
      </c>
      <c r="O71" s="31" t="s">
        <v>226</v>
      </c>
      <c r="P71" s="31" t="s">
        <v>226</v>
      </c>
      <c r="Q71" s="31" t="s">
        <v>226</v>
      </c>
      <c r="R71" s="31" t="s">
        <v>226</v>
      </c>
      <c r="S71" s="31" t="s">
        <v>226</v>
      </c>
      <c r="T71" s="31" t="s">
        <v>226</v>
      </c>
      <c r="U71" s="31" t="s">
        <v>226</v>
      </c>
      <c r="V71" s="31" t="s">
        <v>226</v>
      </c>
      <c r="W71" s="31" t="s">
        <v>226</v>
      </c>
      <c r="X71" s="31" t="s">
        <v>226</v>
      </c>
      <c r="Y71" s="31" t="s">
        <v>226</v>
      </c>
      <c r="Z71" s="31" t="s">
        <v>226</v>
      </c>
      <c r="AA71" s="31" t="s">
        <v>226</v>
      </c>
      <c r="AB71" s="31" t="s">
        <v>226</v>
      </c>
      <c r="AC71" s="31" t="s">
        <v>226</v>
      </c>
      <c r="AD71" s="31" t="s">
        <v>226</v>
      </c>
      <c r="AE71" s="31" t="s">
        <v>226</v>
      </c>
      <c r="AF71" s="31" t="s">
        <v>226</v>
      </c>
      <c r="AG71" s="31" t="s">
        <v>226</v>
      </c>
      <c r="AH71" s="31" t="s">
        <v>226</v>
      </c>
      <c r="AI71" s="31" t="s">
        <v>226</v>
      </c>
      <c r="AJ71" s="31" t="s">
        <v>226</v>
      </c>
      <c r="AK71" s="31" t="s">
        <v>226</v>
      </c>
      <c r="AL71" s="31" t="s">
        <v>226</v>
      </c>
      <c r="AM71" s="31"/>
      <c r="AN71" s="31"/>
      <c r="AO71" s="96">
        <v>54.5</v>
      </c>
      <c r="AP71" s="33">
        <f t="shared" ref="AP71:AP134" si="20">AO71/D71</f>
        <v>2.2708333333333335</v>
      </c>
      <c r="AQ71" s="34">
        <f t="shared" ref="AQ71:AQ134" si="21">AP71*E71</f>
        <v>54.5</v>
      </c>
      <c r="AR71" s="35"/>
      <c r="AS71" s="36">
        <f t="shared" si="19"/>
        <v>2.2708333333333335</v>
      </c>
      <c r="AT71" s="36">
        <f t="shared" si="19"/>
        <v>54.5</v>
      </c>
      <c r="AU71" s="36">
        <f t="shared" ref="AU71:AU134" si="22">AS71*(1+$AV$189+9%)</f>
        <v>2.4752083333333337</v>
      </c>
      <c r="AV71" s="36">
        <f t="shared" ref="AV71:AV134" si="23">AU71*E71</f>
        <v>59.405000000000008</v>
      </c>
      <c r="AW71" s="37">
        <v>2.95</v>
      </c>
      <c r="AX71" s="38">
        <f t="shared" ref="AX71:AX103" si="24">AW71*E71</f>
        <v>70.800000000000011</v>
      </c>
      <c r="AY71" s="38">
        <f t="shared" si="7"/>
        <v>0.4747916666666665</v>
      </c>
      <c r="AZ71" s="38">
        <f t="shared" ref="AZ71:AZ103" si="25">AY71*E71</f>
        <v>11.394999999999996</v>
      </c>
      <c r="BA71" s="39">
        <f t="shared" si="9"/>
        <v>0.16094632768361575</v>
      </c>
      <c r="BB71" s="41"/>
      <c r="BC71" s="119">
        <f t="shared" si="10"/>
        <v>2.95</v>
      </c>
      <c r="BD71" s="108">
        <v>0.15</v>
      </c>
      <c r="BE71" s="120">
        <f t="shared" si="11"/>
        <v>3.5975609756097562</v>
      </c>
      <c r="BF71" s="121">
        <f t="shared" si="12"/>
        <v>0.64756097560975601</v>
      </c>
      <c r="BG71" s="121">
        <f t="shared" si="13"/>
        <v>5.8280487804878038E-2</v>
      </c>
      <c r="BH71" s="122">
        <f t="shared" si="14"/>
        <v>0.70584146341463405</v>
      </c>
      <c r="BI71" s="121">
        <f t="shared" si="15"/>
        <v>2.891719512195122</v>
      </c>
      <c r="BJ71" s="123">
        <f t="shared" si="16"/>
        <v>0.14403581575088939</v>
      </c>
      <c r="BK71" s="124">
        <f t="shared" si="17"/>
        <v>-1.6910511932726358E-2</v>
      </c>
      <c r="BL71" s="125" t="s">
        <v>226</v>
      </c>
    </row>
    <row r="72" spans="1:64" ht="45" customHeight="1" x14ac:dyDescent="0.25">
      <c r="A72" s="30"/>
      <c r="B72" s="100" t="s">
        <v>240</v>
      </c>
      <c r="C72" s="31">
        <v>1</v>
      </c>
      <c r="D72" s="32" t="s">
        <v>73</v>
      </c>
      <c r="E72" s="31">
        <v>12</v>
      </c>
      <c r="F72" s="31" t="s">
        <v>226</v>
      </c>
      <c r="G72" s="31" t="s">
        <v>226</v>
      </c>
      <c r="H72" s="31" t="s">
        <v>226</v>
      </c>
      <c r="I72" s="31" t="s">
        <v>226</v>
      </c>
      <c r="J72" s="31" t="s">
        <v>226</v>
      </c>
      <c r="K72" s="31" t="s">
        <v>226</v>
      </c>
      <c r="L72" s="31" t="s">
        <v>226</v>
      </c>
      <c r="M72" s="31" t="s">
        <v>226</v>
      </c>
      <c r="N72" s="31" t="s">
        <v>226</v>
      </c>
      <c r="O72" s="31" t="s">
        <v>226</v>
      </c>
      <c r="P72" s="31" t="s">
        <v>226</v>
      </c>
      <c r="Q72" s="31" t="s">
        <v>226</v>
      </c>
      <c r="R72" s="31" t="s">
        <v>226</v>
      </c>
      <c r="S72" s="31" t="s">
        <v>226</v>
      </c>
      <c r="T72" s="31" t="s">
        <v>226</v>
      </c>
      <c r="U72" s="31" t="s">
        <v>226</v>
      </c>
      <c r="V72" s="31" t="s">
        <v>226</v>
      </c>
      <c r="W72" s="31" t="s">
        <v>226</v>
      </c>
      <c r="X72" s="31" t="s">
        <v>226</v>
      </c>
      <c r="Y72" s="31" t="s">
        <v>226</v>
      </c>
      <c r="Z72" s="31" t="s">
        <v>226</v>
      </c>
      <c r="AA72" s="31" t="s">
        <v>226</v>
      </c>
      <c r="AB72" s="31" t="s">
        <v>226</v>
      </c>
      <c r="AC72" s="31" t="s">
        <v>226</v>
      </c>
      <c r="AD72" s="31" t="s">
        <v>226</v>
      </c>
      <c r="AE72" s="31" t="s">
        <v>226</v>
      </c>
      <c r="AF72" s="31" t="s">
        <v>226</v>
      </c>
      <c r="AG72" s="31" t="s">
        <v>226</v>
      </c>
      <c r="AH72" s="31" t="s">
        <v>226</v>
      </c>
      <c r="AI72" s="31" t="s">
        <v>226</v>
      </c>
      <c r="AJ72" s="31" t="s">
        <v>226</v>
      </c>
      <c r="AK72" s="31" t="s">
        <v>226</v>
      </c>
      <c r="AL72" s="31" t="s">
        <v>226</v>
      </c>
      <c r="AM72" s="31"/>
      <c r="AN72" s="31"/>
      <c r="AO72" s="96">
        <v>27.2</v>
      </c>
      <c r="AP72" s="33">
        <f t="shared" si="20"/>
        <v>2.2666666666666666</v>
      </c>
      <c r="AQ72" s="34">
        <f t="shared" si="21"/>
        <v>27.2</v>
      </c>
      <c r="AR72" s="35"/>
      <c r="AS72" s="36">
        <f t="shared" si="19"/>
        <v>2.2666666666666666</v>
      </c>
      <c r="AT72" s="36">
        <f t="shared" si="19"/>
        <v>27.2</v>
      </c>
      <c r="AU72" s="36">
        <f t="shared" si="22"/>
        <v>2.4706666666666668</v>
      </c>
      <c r="AV72" s="36">
        <f t="shared" si="23"/>
        <v>29.648000000000003</v>
      </c>
      <c r="AW72" s="37">
        <v>4.5</v>
      </c>
      <c r="AX72" s="38">
        <f t="shared" si="24"/>
        <v>54</v>
      </c>
      <c r="AY72" s="38">
        <f t="shared" si="7"/>
        <v>2.0293333333333332</v>
      </c>
      <c r="AZ72" s="38">
        <f t="shared" si="25"/>
        <v>24.351999999999997</v>
      </c>
      <c r="BA72" s="39">
        <f t="shared" si="9"/>
        <v>0.45096296296296295</v>
      </c>
      <c r="BB72" s="40"/>
      <c r="BC72" s="119">
        <f t="shared" si="10"/>
        <v>4.5</v>
      </c>
      <c r="BD72" s="108">
        <v>0.15</v>
      </c>
      <c r="BE72" s="120">
        <f t="shared" si="11"/>
        <v>5.48780487804878</v>
      </c>
      <c r="BF72" s="121">
        <f t="shared" si="12"/>
        <v>0.98780487804878003</v>
      </c>
      <c r="BG72" s="121">
        <f t="shared" si="13"/>
        <v>8.8902439024390198E-2</v>
      </c>
      <c r="BH72" s="122">
        <f t="shared" si="14"/>
        <v>1.0767073170731702</v>
      </c>
      <c r="BI72" s="121">
        <f t="shared" si="15"/>
        <v>4.4110975609756098</v>
      </c>
      <c r="BJ72" s="123">
        <f t="shared" si="16"/>
        <v>0.43989752379899183</v>
      </c>
      <c r="BK72" s="124">
        <f t="shared" si="17"/>
        <v>-1.1065439163971125E-2</v>
      </c>
      <c r="BL72" s="125"/>
    </row>
    <row r="73" spans="1:64" ht="45" customHeight="1" x14ac:dyDescent="0.25">
      <c r="A73" s="30"/>
      <c r="B73" s="100" t="s">
        <v>241</v>
      </c>
      <c r="C73" s="31">
        <v>1</v>
      </c>
      <c r="D73" s="32" t="s">
        <v>73</v>
      </c>
      <c r="E73" s="31">
        <v>12</v>
      </c>
      <c r="F73" s="31" t="s">
        <v>226</v>
      </c>
      <c r="G73" s="31" t="s">
        <v>226</v>
      </c>
      <c r="H73" s="31" t="s">
        <v>226</v>
      </c>
      <c r="I73" s="31" t="s">
        <v>226</v>
      </c>
      <c r="J73" s="31" t="s">
        <v>226</v>
      </c>
      <c r="K73" s="31" t="s">
        <v>226</v>
      </c>
      <c r="L73" s="31" t="s">
        <v>226</v>
      </c>
      <c r="M73" s="31" t="s">
        <v>226</v>
      </c>
      <c r="N73" s="31" t="s">
        <v>226</v>
      </c>
      <c r="O73" s="31" t="s">
        <v>226</v>
      </c>
      <c r="P73" s="31" t="s">
        <v>226</v>
      </c>
      <c r="Q73" s="31" t="s">
        <v>226</v>
      </c>
      <c r="R73" s="31" t="s">
        <v>226</v>
      </c>
      <c r="S73" s="31" t="s">
        <v>226</v>
      </c>
      <c r="T73" s="31" t="s">
        <v>226</v>
      </c>
      <c r="U73" s="31" t="s">
        <v>226</v>
      </c>
      <c r="V73" s="31" t="s">
        <v>226</v>
      </c>
      <c r="W73" s="31" t="s">
        <v>226</v>
      </c>
      <c r="X73" s="31" t="s">
        <v>226</v>
      </c>
      <c r="Y73" s="31" t="s">
        <v>226</v>
      </c>
      <c r="Z73" s="31" t="s">
        <v>226</v>
      </c>
      <c r="AA73" s="31" t="s">
        <v>226</v>
      </c>
      <c r="AB73" s="31" t="s">
        <v>226</v>
      </c>
      <c r="AC73" s="31" t="s">
        <v>226</v>
      </c>
      <c r="AD73" s="31" t="s">
        <v>226</v>
      </c>
      <c r="AE73" s="31" t="s">
        <v>226</v>
      </c>
      <c r="AF73" s="31" t="s">
        <v>226</v>
      </c>
      <c r="AG73" s="31" t="s">
        <v>226</v>
      </c>
      <c r="AH73" s="31" t="s">
        <v>226</v>
      </c>
      <c r="AI73" s="31" t="s">
        <v>226</v>
      </c>
      <c r="AJ73" s="31" t="s">
        <v>226</v>
      </c>
      <c r="AK73" s="31" t="s">
        <v>226</v>
      </c>
      <c r="AL73" s="31" t="s">
        <v>226</v>
      </c>
      <c r="AM73" s="31"/>
      <c r="AN73" s="31"/>
      <c r="AO73" s="96">
        <v>34.200000000000003</v>
      </c>
      <c r="AP73" s="33">
        <f t="shared" si="20"/>
        <v>2.85</v>
      </c>
      <c r="AQ73" s="34">
        <f t="shared" si="21"/>
        <v>34.200000000000003</v>
      </c>
      <c r="AR73" s="35"/>
      <c r="AS73" s="36">
        <f t="shared" si="19"/>
        <v>2.85</v>
      </c>
      <c r="AT73" s="36">
        <f t="shared" si="19"/>
        <v>34.200000000000003</v>
      </c>
      <c r="AU73" s="36">
        <f t="shared" si="22"/>
        <v>3.1065000000000005</v>
      </c>
      <c r="AV73" s="36">
        <f t="shared" si="23"/>
        <v>37.278000000000006</v>
      </c>
      <c r="AW73" s="37">
        <v>4.5</v>
      </c>
      <c r="AX73" s="38">
        <f t="shared" si="24"/>
        <v>54</v>
      </c>
      <c r="AY73" s="38">
        <f t="shared" si="7"/>
        <v>1.3934999999999995</v>
      </c>
      <c r="AZ73" s="38">
        <f t="shared" si="25"/>
        <v>16.721999999999994</v>
      </c>
      <c r="BA73" s="39">
        <f t="shared" si="9"/>
        <v>0.30966666666666653</v>
      </c>
      <c r="BB73" s="40"/>
      <c r="BC73" s="119">
        <f t="shared" si="10"/>
        <v>4.5</v>
      </c>
      <c r="BD73" s="108">
        <v>0.15</v>
      </c>
      <c r="BE73" s="120">
        <f t="shared" si="11"/>
        <v>5.48780487804878</v>
      </c>
      <c r="BF73" s="121">
        <f t="shared" si="12"/>
        <v>0.98780487804878003</v>
      </c>
      <c r="BG73" s="121">
        <f t="shared" si="13"/>
        <v>8.8902439024390198E-2</v>
      </c>
      <c r="BH73" s="122">
        <f t="shared" si="14"/>
        <v>1.0767073170731702</v>
      </c>
      <c r="BI73" s="121">
        <f t="shared" si="15"/>
        <v>4.4110975609756098</v>
      </c>
      <c r="BJ73" s="123">
        <f t="shared" si="16"/>
        <v>0.29575350418843815</v>
      </c>
      <c r="BK73" s="124">
        <f t="shared" si="17"/>
        <v>-1.391316247822838E-2</v>
      </c>
      <c r="BL73" s="125"/>
    </row>
    <row r="74" spans="1:64" ht="45" customHeight="1" x14ac:dyDescent="0.25">
      <c r="A74" s="30">
        <v>53</v>
      </c>
      <c r="B74" s="100" t="s">
        <v>196</v>
      </c>
      <c r="C74" s="31">
        <v>1</v>
      </c>
      <c r="D74" s="32" t="s">
        <v>73</v>
      </c>
      <c r="E74" s="31">
        <f t="shared" si="0"/>
        <v>12</v>
      </c>
      <c r="F74" s="31" t="s">
        <v>226</v>
      </c>
      <c r="G74" s="31" t="s">
        <v>226</v>
      </c>
      <c r="H74" s="31" t="s">
        <v>226</v>
      </c>
      <c r="I74" s="31" t="s">
        <v>226</v>
      </c>
      <c r="J74" s="31" t="s">
        <v>226</v>
      </c>
      <c r="K74" s="31" t="s">
        <v>226</v>
      </c>
      <c r="L74" s="31" t="s">
        <v>226</v>
      </c>
      <c r="M74" s="31" t="s">
        <v>226</v>
      </c>
      <c r="N74" s="31" t="s">
        <v>226</v>
      </c>
      <c r="O74" s="31" t="s">
        <v>226</v>
      </c>
      <c r="P74" s="31" t="s">
        <v>226</v>
      </c>
      <c r="Q74" s="31" t="s">
        <v>226</v>
      </c>
      <c r="R74" s="31" t="s">
        <v>226</v>
      </c>
      <c r="S74" s="31" t="s">
        <v>226</v>
      </c>
      <c r="T74" s="31" t="s">
        <v>226</v>
      </c>
      <c r="U74" s="31" t="s">
        <v>226</v>
      </c>
      <c r="V74" s="31" t="s">
        <v>226</v>
      </c>
      <c r="W74" s="31" t="s">
        <v>226</v>
      </c>
      <c r="X74" s="31" t="s">
        <v>226</v>
      </c>
      <c r="Y74" s="31" t="s">
        <v>226</v>
      </c>
      <c r="Z74" s="31" t="s">
        <v>226</v>
      </c>
      <c r="AA74" s="31" t="s">
        <v>226</v>
      </c>
      <c r="AB74" s="31" t="s">
        <v>226</v>
      </c>
      <c r="AC74" s="31" t="s">
        <v>226</v>
      </c>
      <c r="AD74" s="31" t="s">
        <v>226</v>
      </c>
      <c r="AE74" s="31" t="s">
        <v>226</v>
      </c>
      <c r="AF74" s="31" t="s">
        <v>226</v>
      </c>
      <c r="AG74" s="31" t="s">
        <v>226</v>
      </c>
      <c r="AH74" s="31" t="s">
        <v>226</v>
      </c>
      <c r="AI74" s="31" t="s">
        <v>226</v>
      </c>
      <c r="AJ74" s="31" t="s">
        <v>226</v>
      </c>
      <c r="AK74" s="31" t="s">
        <v>226</v>
      </c>
      <c r="AL74" s="31" t="s">
        <v>226</v>
      </c>
      <c r="AM74" s="31"/>
      <c r="AN74" s="31"/>
      <c r="AO74" s="96">
        <v>34.200000000000003</v>
      </c>
      <c r="AP74" s="33">
        <f t="shared" si="20"/>
        <v>2.85</v>
      </c>
      <c r="AQ74" s="34">
        <f t="shared" si="21"/>
        <v>34.200000000000003</v>
      </c>
      <c r="AR74" s="35"/>
      <c r="AS74" s="36">
        <f t="shared" si="19"/>
        <v>2.85</v>
      </c>
      <c r="AT74" s="36">
        <f t="shared" si="19"/>
        <v>34.200000000000003</v>
      </c>
      <c r="AU74" s="36">
        <f t="shared" si="22"/>
        <v>3.1065000000000005</v>
      </c>
      <c r="AV74" s="36">
        <f t="shared" si="23"/>
        <v>37.278000000000006</v>
      </c>
      <c r="AW74" s="37">
        <v>4.5</v>
      </c>
      <c r="AX74" s="38">
        <f t="shared" si="24"/>
        <v>54</v>
      </c>
      <c r="AY74" s="38">
        <f t="shared" si="7"/>
        <v>1.3934999999999995</v>
      </c>
      <c r="AZ74" s="38">
        <f t="shared" si="25"/>
        <v>16.721999999999994</v>
      </c>
      <c r="BA74" s="39">
        <f t="shared" si="9"/>
        <v>0.30966666666666653</v>
      </c>
      <c r="BB74" s="41"/>
      <c r="BC74" s="119">
        <f t="shared" si="10"/>
        <v>4.5</v>
      </c>
      <c r="BD74" s="108">
        <v>0.15</v>
      </c>
      <c r="BE74" s="120">
        <f t="shared" si="11"/>
        <v>5.48780487804878</v>
      </c>
      <c r="BF74" s="121">
        <f t="shared" si="12"/>
        <v>0.98780487804878003</v>
      </c>
      <c r="BG74" s="121">
        <f t="shared" si="13"/>
        <v>8.8902439024390198E-2</v>
      </c>
      <c r="BH74" s="122">
        <f t="shared" si="14"/>
        <v>1.0767073170731702</v>
      </c>
      <c r="BI74" s="121">
        <f t="shared" si="15"/>
        <v>4.4110975609756098</v>
      </c>
      <c r="BJ74" s="123">
        <f t="shared" si="16"/>
        <v>0.29575350418843815</v>
      </c>
      <c r="BK74" s="124">
        <f t="shared" si="17"/>
        <v>-1.391316247822838E-2</v>
      </c>
      <c r="BL74" s="125" t="s">
        <v>226</v>
      </c>
    </row>
    <row r="75" spans="1:64" ht="45" customHeight="1" x14ac:dyDescent="0.25">
      <c r="A75" s="30">
        <v>54</v>
      </c>
      <c r="B75" s="100" t="s">
        <v>59</v>
      </c>
      <c r="C75" s="31">
        <v>1</v>
      </c>
      <c r="D75" s="32" t="s">
        <v>73</v>
      </c>
      <c r="E75" s="31">
        <f t="shared" si="0"/>
        <v>12</v>
      </c>
      <c r="F75" s="31" t="s">
        <v>226</v>
      </c>
      <c r="G75" s="31" t="s">
        <v>226</v>
      </c>
      <c r="H75" s="31" t="s">
        <v>226</v>
      </c>
      <c r="I75" s="31" t="s">
        <v>226</v>
      </c>
      <c r="J75" s="31" t="s">
        <v>226</v>
      </c>
      <c r="K75" s="31" t="s">
        <v>226</v>
      </c>
      <c r="L75" s="31" t="s">
        <v>226</v>
      </c>
      <c r="M75" s="31" t="s">
        <v>226</v>
      </c>
      <c r="N75" s="31" t="s">
        <v>226</v>
      </c>
      <c r="O75" s="31" t="s">
        <v>226</v>
      </c>
      <c r="P75" s="31" t="s">
        <v>226</v>
      </c>
      <c r="Q75" s="31" t="s">
        <v>226</v>
      </c>
      <c r="R75" s="31" t="s">
        <v>226</v>
      </c>
      <c r="S75" s="31" t="s">
        <v>226</v>
      </c>
      <c r="T75" s="31" t="s">
        <v>226</v>
      </c>
      <c r="U75" s="31" t="s">
        <v>226</v>
      </c>
      <c r="V75" s="31" t="s">
        <v>226</v>
      </c>
      <c r="W75" s="31" t="s">
        <v>226</v>
      </c>
      <c r="X75" s="31" t="s">
        <v>226</v>
      </c>
      <c r="Y75" s="31" t="s">
        <v>226</v>
      </c>
      <c r="Z75" s="31" t="s">
        <v>226</v>
      </c>
      <c r="AA75" s="31" t="s">
        <v>226</v>
      </c>
      <c r="AB75" s="31" t="s">
        <v>226</v>
      </c>
      <c r="AC75" s="31" t="s">
        <v>226</v>
      </c>
      <c r="AD75" s="31" t="s">
        <v>226</v>
      </c>
      <c r="AE75" s="31" t="s">
        <v>226</v>
      </c>
      <c r="AF75" s="31" t="s">
        <v>226</v>
      </c>
      <c r="AG75" s="31" t="s">
        <v>226</v>
      </c>
      <c r="AH75" s="31" t="s">
        <v>226</v>
      </c>
      <c r="AI75" s="31" t="s">
        <v>226</v>
      </c>
      <c r="AJ75" s="31" t="s">
        <v>226</v>
      </c>
      <c r="AK75" s="31" t="s">
        <v>226</v>
      </c>
      <c r="AL75" s="31" t="s">
        <v>226</v>
      </c>
      <c r="AM75" s="31"/>
      <c r="AN75" s="31"/>
      <c r="AO75" s="96">
        <v>34.200000000000003</v>
      </c>
      <c r="AP75" s="33">
        <f t="shared" si="20"/>
        <v>2.85</v>
      </c>
      <c r="AQ75" s="34">
        <f t="shared" si="21"/>
        <v>34.200000000000003</v>
      </c>
      <c r="AR75" s="35"/>
      <c r="AS75" s="36">
        <f t="shared" si="19"/>
        <v>2.85</v>
      </c>
      <c r="AT75" s="36">
        <f t="shared" si="19"/>
        <v>34.200000000000003</v>
      </c>
      <c r="AU75" s="36">
        <f t="shared" si="22"/>
        <v>3.1065000000000005</v>
      </c>
      <c r="AV75" s="36">
        <f t="shared" si="23"/>
        <v>37.278000000000006</v>
      </c>
      <c r="AW75" s="37">
        <v>4.5</v>
      </c>
      <c r="AX75" s="38">
        <f t="shared" si="24"/>
        <v>54</v>
      </c>
      <c r="AY75" s="38">
        <f t="shared" si="7"/>
        <v>1.3934999999999995</v>
      </c>
      <c r="AZ75" s="38">
        <f t="shared" si="25"/>
        <v>16.721999999999994</v>
      </c>
      <c r="BA75" s="39">
        <f t="shared" si="9"/>
        <v>0.30966666666666653</v>
      </c>
      <c r="BB75" s="41"/>
      <c r="BC75" s="119">
        <f t="shared" si="10"/>
        <v>4.5</v>
      </c>
      <c r="BD75" s="108">
        <v>0.15</v>
      </c>
      <c r="BE75" s="120">
        <f t="shared" si="11"/>
        <v>5.48780487804878</v>
      </c>
      <c r="BF75" s="121">
        <f t="shared" si="12"/>
        <v>0.98780487804878003</v>
      </c>
      <c r="BG75" s="121">
        <f t="shared" si="13"/>
        <v>8.8902439024390198E-2</v>
      </c>
      <c r="BH75" s="122">
        <f t="shared" si="14"/>
        <v>1.0767073170731702</v>
      </c>
      <c r="BI75" s="121">
        <f t="shared" si="15"/>
        <v>4.4110975609756098</v>
      </c>
      <c r="BJ75" s="123">
        <f t="shared" si="16"/>
        <v>0.29575350418843815</v>
      </c>
      <c r="BK75" s="124">
        <f t="shared" si="17"/>
        <v>-1.391316247822838E-2</v>
      </c>
      <c r="BL75" s="125" t="s">
        <v>226</v>
      </c>
    </row>
    <row r="76" spans="1:64" ht="45" customHeight="1" x14ac:dyDescent="0.25">
      <c r="A76" s="30">
        <v>55</v>
      </c>
      <c r="B76" s="100" t="s">
        <v>176</v>
      </c>
      <c r="C76" s="31">
        <v>1</v>
      </c>
      <c r="D76" s="32" t="s">
        <v>24</v>
      </c>
      <c r="E76" s="31">
        <f t="shared" si="0"/>
        <v>24</v>
      </c>
      <c r="F76" s="31" t="s">
        <v>226</v>
      </c>
      <c r="G76" s="31" t="s">
        <v>226</v>
      </c>
      <c r="H76" s="31" t="s">
        <v>226</v>
      </c>
      <c r="I76" s="31" t="s">
        <v>226</v>
      </c>
      <c r="J76" s="31" t="s">
        <v>226</v>
      </c>
      <c r="K76" s="31" t="s">
        <v>226</v>
      </c>
      <c r="L76" s="31" t="s">
        <v>226</v>
      </c>
      <c r="M76" s="31" t="s">
        <v>226</v>
      </c>
      <c r="N76" s="31" t="s">
        <v>226</v>
      </c>
      <c r="O76" s="31" t="s">
        <v>226</v>
      </c>
      <c r="P76" s="31" t="s">
        <v>226</v>
      </c>
      <c r="Q76" s="31" t="s">
        <v>226</v>
      </c>
      <c r="R76" s="31" t="s">
        <v>226</v>
      </c>
      <c r="S76" s="31" t="s">
        <v>226</v>
      </c>
      <c r="T76" s="31" t="s">
        <v>226</v>
      </c>
      <c r="U76" s="31" t="s">
        <v>226</v>
      </c>
      <c r="V76" s="31" t="s">
        <v>226</v>
      </c>
      <c r="W76" s="31" t="s">
        <v>226</v>
      </c>
      <c r="X76" s="31" t="s">
        <v>226</v>
      </c>
      <c r="Y76" s="31" t="s">
        <v>226</v>
      </c>
      <c r="Z76" s="31" t="s">
        <v>226</v>
      </c>
      <c r="AA76" s="31" t="s">
        <v>226</v>
      </c>
      <c r="AB76" s="31" t="s">
        <v>226</v>
      </c>
      <c r="AC76" s="31" t="s">
        <v>226</v>
      </c>
      <c r="AD76" s="31" t="s">
        <v>226</v>
      </c>
      <c r="AE76" s="31" t="s">
        <v>226</v>
      </c>
      <c r="AF76" s="31" t="s">
        <v>226</v>
      </c>
      <c r="AG76" s="31" t="s">
        <v>226</v>
      </c>
      <c r="AH76" s="31" t="s">
        <v>226</v>
      </c>
      <c r="AI76" s="31" t="s">
        <v>226</v>
      </c>
      <c r="AJ76" s="31" t="s">
        <v>226</v>
      </c>
      <c r="AK76" s="31" t="s">
        <v>226</v>
      </c>
      <c r="AL76" s="31" t="s">
        <v>226</v>
      </c>
      <c r="AM76" s="31"/>
      <c r="AN76" s="31"/>
      <c r="AO76" s="96">
        <v>22.5</v>
      </c>
      <c r="AP76" s="33">
        <f t="shared" si="20"/>
        <v>0.9375</v>
      </c>
      <c r="AQ76" s="34">
        <f t="shared" si="21"/>
        <v>22.5</v>
      </c>
      <c r="AR76" s="35"/>
      <c r="AS76" s="36">
        <f t="shared" si="19"/>
        <v>0.9375</v>
      </c>
      <c r="AT76" s="36">
        <f t="shared" si="19"/>
        <v>22.5</v>
      </c>
      <c r="AU76" s="36">
        <f t="shared" si="22"/>
        <v>1.0218750000000001</v>
      </c>
      <c r="AV76" s="36">
        <f t="shared" si="23"/>
        <v>24.525000000000002</v>
      </c>
      <c r="AW76" s="37"/>
      <c r="AX76" s="38">
        <f t="shared" si="24"/>
        <v>0</v>
      </c>
      <c r="AY76" s="38">
        <f t="shared" si="7"/>
        <v>-1.0218750000000001</v>
      </c>
      <c r="AZ76" s="38">
        <f t="shared" si="25"/>
        <v>-24.525000000000002</v>
      </c>
      <c r="BA76" s="39" t="e">
        <f t="shared" si="9"/>
        <v>#DIV/0!</v>
      </c>
      <c r="BB76" s="42"/>
      <c r="BC76" s="119">
        <f t="shared" si="10"/>
        <v>0</v>
      </c>
      <c r="BD76" s="108">
        <v>0.15</v>
      </c>
      <c r="BE76" s="120">
        <f t="shared" si="11"/>
        <v>0</v>
      </c>
      <c r="BF76" s="121">
        <f t="shared" si="12"/>
        <v>0</v>
      </c>
      <c r="BG76" s="121">
        <f t="shared" si="13"/>
        <v>0</v>
      </c>
      <c r="BH76" s="122">
        <f t="shared" si="14"/>
        <v>0</v>
      </c>
      <c r="BI76" s="121">
        <f t="shared" si="15"/>
        <v>0</v>
      </c>
      <c r="BJ76" s="123" t="e">
        <f t="shared" si="16"/>
        <v>#DIV/0!</v>
      </c>
      <c r="BK76" s="124" t="e">
        <f t="shared" si="17"/>
        <v>#DIV/0!</v>
      </c>
      <c r="BL76" s="125" t="s">
        <v>226</v>
      </c>
    </row>
    <row r="77" spans="1:64" ht="45" customHeight="1" x14ac:dyDescent="0.25">
      <c r="A77" s="30">
        <v>56</v>
      </c>
      <c r="B77" s="100" t="s">
        <v>60</v>
      </c>
      <c r="C77" s="31">
        <v>1</v>
      </c>
      <c r="D77" s="32" t="s">
        <v>157</v>
      </c>
      <c r="E77" s="31">
        <f t="shared" si="0"/>
        <v>60</v>
      </c>
      <c r="F77" s="31" t="s">
        <v>226</v>
      </c>
      <c r="G77" s="31" t="s">
        <v>226</v>
      </c>
      <c r="H77" s="31" t="s">
        <v>226</v>
      </c>
      <c r="I77" s="31" t="s">
        <v>226</v>
      </c>
      <c r="J77" s="31" t="s">
        <v>226</v>
      </c>
      <c r="K77" s="31" t="s">
        <v>226</v>
      </c>
      <c r="L77" s="31" t="s">
        <v>226</v>
      </c>
      <c r="M77" s="31" t="s">
        <v>226</v>
      </c>
      <c r="N77" s="31" t="s">
        <v>226</v>
      </c>
      <c r="O77" s="31" t="s">
        <v>226</v>
      </c>
      <c r="P77" s="31" t="s">
        <v>226</v>
      </c>
      <c r="Q77" s="31" t="s">
        <v>226</v>
      </c>
      <c r="R77" s="31" t="s">
        <v>226</v>
      </c>
      <c r="S77" s="31" t="s">
        <v>226</v>
      </c>
      <c r="T77" s="31" t="s">
        <v>226</v>
      </c>
      <c r="U77" s="31" t="s">
        <v>226</v>
      </c>
      <c r="V77" s="31" t="s">
        <v>226</v>
      </c>
      <c r="W77" s="31" t="s">
        <v>226</v>
      </c>
      <c r="X77" s="31" t="s">
        <v>226</v>
      </c>
      <c r="Y77" s="31" t="s">
        <v>226</v>
      </c>
      <c r="Z77" s="31" t="s">
        <v>226</v>
      </c>
      <c r="AA77" s="31" t="s">
        <v>226</v>
      </c>
      <c r="AB77" s="31" t="s">
        <v>226</v>
      </c>
      <c r="AC77" s="31" t="s">
        <v>226</v>
      </c>
      <c r="AD77" s="31" t="s">
        <v>226</v>
      </c>
      <c r="AE77" s="31" t="s">
        <v>226</v>
      </c>
      <c r="AF77" s="31" t="s">
        <v>226</v>
      </c>
      <c r="AG77" s="31" t="s">
        <v>226</v>
      </c>
      <c r="AH77" s="31" t="s">
        <v>226</v>
      </c>
      <c r="AI77" s="31" t="s">
        <v>226</v>
      </c>
      <c r="AJ77" s="31" t="s">
        <v>226</v>
      </c>
      <c r="AK77" s="31" t="s">
        <v>226</v>
      </c>
      <c r="AL77" s="31" t="s">
        <v>226</v>
      </c>
      <c r="AM77" s="31"/>
      <c r="AN77" s="31"/>
      <c r="AO77" s="96">
        <v>28</v>
      </c>
      <c r="AP77" s="33">
        <f t="shared" si="20"/>
        <v>0.46666666666666667</v>
      </c>
      <c r="AQ77" s="34">
        <f t="shared" si="21"/>
        <v>28</v>
      </c>
      <c r="AR77" s="35"/>
      <c r="AS77" s="36">
        <f t="shared" si="19"/>
        <v>0.46666666666666667</v>
      </c>
      <c r="AT77" s="36">
        <f t="shared" si="19"/>
        <v>28</v>
      </c>
      <c r="AU77" s="36">
        <f t="shared" si="22"/>
        <v>0.50866666666666671</v>
      </c>
      <c r="AV77" s="36">
        <f t="shared" si="23"/>
        <v>30.520000000000003</v>
      </c>
      <c r="AW77" s="37">
        <v>0.85</v>
      </c>
      <c r="AX77" s="38">
        <f t="shared" si="24"/>
        <v>51</v>
      </c>
      <c r="AY77" s="38">
        <f t="shared" si="7"/>
        <v>0.34133333333333327</v>
      </c>
      <c r="AZ77" s="38">
        <f t="shared" si="25"/>
        <v>20.479999999999997</v>
      </c>
      <c r="BA77" s="39">
        <f t="shared" si="9"/>
        <v>0.40156862745098032</v>
      </c>
      <c r="BB77" s="42"/>
      <c r="BC77" s="119">
        <f t="shared" si="10"/>
        <v>0.85</v>
      </c>
      <c r="BD77" s="108">
        <v>0.15</v>
      </c>
      <c r="BE77" s="120">
        <f t="shared" si="11"/>
        <v>1.0365853658536583</v>
      </c>
      <c r="BF77" s="121">
        <f t="shared" si="12"/>
        <v>0.18658536585365837</v>
      </c>
      <c r="BG77" s="121">
        <f t="shared" si="13"/>
        <v>1.6792682926829252E-2</v>
      </c>
      <c r="BH77" s="122">
        <f t="shared" si="14"/>
        <v>0.20337804878048762</v>
      </c>
      <c r="BI77" s="121">
        <f t="shared" si="15"/>
        <v>0.83320731707317075</v>
      </c>
      <c r="BJ77" s="123">
        <f t="shared" si="16"/>
        <v>0.38950768164942012</v>
      </c>
      <c r="BK77" s="124">
        <f t="shared" si="17"/>
        <v>-1.2060945801560197E-2</v>
      </c>
      <c r="BL77" s="125" t="s">
        <v>226</v>
      </c>
    </row>
    <row r="78" spans="1:64" ht="45" customHeight="1" x14ac:dyDescent="0.25">
      <c r="A78" s="30">
        <v>57</v>
      </c>
      <c r="B78" s="101" t="s">
        <v>61</v>
      </c>
      <c r="C78" s="31">
        <v>1</v>
      </c>
      <c r="D78" s="32" t="s">
        <v>136</v>
      </c>
      <c r="E78" s="31">
        <f t="shared" si="0"/>
        <v>10</v>
      </c>
      <c r="F78" s="31" t="s">
        <v>226</v>
      </c>
      <c r="G78" s="31" t="s">
        <v>226</v>
      </c>
      <c r="H78" s="31" t="s">
        <v>226</v>
      </c>
      <c r="I78" s="31" t="s">
        <v>226</v>
      </c>
      <c r="J78" s="31" t="s">
        <v>226</v>
      </c>
      <c r="K78" s="31" t="s">
        <v>226</v>
      </c>
      <c r="L78" s="31" t="s">
        <v>226</v>
      </c>
      <c r="M78" s="31" t="s">
        <v>226</v>
      </c>
      <c r="N78" s="31" t="s">
        <v>226</v>
      </c>
      <c r="O78" s="31" t="s">
        <v>226</v>
      </c>
      <c r="P78" s="31" t="s">
        <v>226</v>
      </c>
      <c r="Q78" s="31" t="s">
        <v>226</v>
      </c>
      <c r="R78" s="31" t="s">
        <v>226</v>
      </c>
      <c r="S78" s="31" t="s">
        <v>226</v>
      </c>
      <c r="T78" s="31" t="s">
        <v>226</v>
      </c>
      <c r="U78" s="31" t="s">
        <v>226</v>
      </c>
      <c r="V78" s="31" t="s">
        <v>226</v>
      </c>
      <c r="W78" s="31" t="s">
        <v>226</v>
      </c>
      <c r="X78" s="31" t="s">
        <v>226</v>
      </c>
      <c r="Y78" s="31" t="s">
        <v>226</v>
      </c>
      <c r="Z78" s="31" t="s">
        <v>226</v>
      </c>
      <c r="AA78" s="31" t="s">
        <v>226</v>
      </c>
      <c r="AB78" s="31" t="s">
        <v>226</v>
      </c>
      <c r="AC78" s="31" t="s">
        <v>226</v>
      </c>
      <c r="AD78" s="31" t="s">
        <v>226</v>
      </c>
      <c r="AE78" s="31" t="s">
        <v>226</v>
      </c>
      <c r="AF78" s="31" t="s">
        <v>226</v>
      </c>
      <c r="AG78" s="31" t="s">
        <v>226</v>
      </c>
      <c r="AH78" s="31" t="s">
        <v>226</v>
      </c>
      <c r="AI78" s="31" t="s">
        <v>226</v>
      </c>
      <c r="AJ78" s="31" t="s">
        <v>226</v>
      </c>
      <c r="AK78" s="31" t="s">
        <v>226</v>
      </c>
      <c r="AL78" s="31" t="s">
        <v>226</v>
      </c>
      <c r="AM78" s="31"/>
      <c r="AN78" s="31"/>
      <c r="AO78" s="96">
        <v>8.5</v>
      </c>
      <c r="AP78" s="33">
        <f t="shared" si="20"/>
        <v>0.85</v>
      </c>
      <c r="AQ78" s="34">
        <f t="shared" si="21"/>
        <v>8.5</v>
      </c>
      <c r="AR78" s="35"/>
      <c r="AS78" s="36">
        <f t="shared" si="19"/>
        <v>0.85</v>
      </c>
      <c r="AT78" s="36">
        <f t="shared" si="19"/>
        <v>8.5</v>
      </c>
      <c r="AU78" s="36">
        <f t="shared" si="22"/>
        <v>0.92649999999999999</v>
      </c>
      <c r="AV78" s="36">
        <f t="shared" si="23"/>
        <v>9.2650000000000006</v>
      </c>
      <c r="AW78" s="37">
        <v>1.5</v>
      </c>
      <c r="AX78" s="38">
        <f t="shared" si="24"/>
        <v>15</v>
      </c>
      <c r="AY78" s="38">
        <f t="shared" si="7"/>
        <v>0.57350000000000001</v>
      </c>
      <c r="AZ78" s="38">
        <f t="shared" si="25"/>
        <v>5.7350000000000003</v>
      </c>
      <c r="BA78" s="39">
        <f t="shared" si="9"/>
        <v>0.38233333333333336</v>
      </c>
      <c r="BB78" s="42"/>
      <c r="BC78" s="119">
        <f t="shared" si="10"/>
        <v>1.5</v>
      </c>
      <c r="BD78" s="108">
        <v>0.15</v>
      </c>
      <c r="BE78" s="120">
        <f t="shared" si="11"/>
        <v>1.8292682926829267</v>
      </c>
      <c r="BF78" s="121">
        <f t="shared" si="12"/>
        <v>0.32926829268292668</v>
      </c>
      <c r="BG78" s="121">
        <f t="shared" si="13"/>
        <v>2.9634146341463399E-2</v>
      </c>
      <c r="BH78" s="122">
        <f t="shared" si="14"/>
        <v>0.35890243902439006</v>
      </c>
      <c r="BI78" s="121">
        <f t="shared" si="15"/>
        <v>1.4703658536585367</v>
      </c>
      <c r="BJ78" s="123">
        <f t="shared" si="16"/>
        <v>0.36988471427386582</v>
      </c>
      <c r="BK78" s="124">
        <f t="shared" si="17"/>
        <v>-1.2448619059467536E-2</v>
      </c>
      <c r="BL78" s="125">
        <v>1.5</v>
      </c>
    </row>
    <row r="79" spans="1:64" ht="45" customHeight="1" x14ac:dyDescent="0.25">
      <c r="A79" s="30">
        <v>58</v>
      </c>
      <c r="B79" s="103" t="s">
        <v>62</v>
      </c>
      <c r="C79" s="31">
        <v>1</v>
      </c>
      <c r="D79" s="32" t="s">
        <v>136</v>
      </c>
      <c r="E79" s="31">
        <f t="shared" si="0"/>
        <v>10</v>
      </c>
      <c r="F79" s="31" t="s">
        <v>226</v>
      </c>
      <c r="G79" s="31" t="s">
        <v>226</v>
      </c>
      <c r="H79" s="31" t="s">
        <v>226</v>
      </c>
      <c r="I79" s="31" t="s">
        <v>226</v>
      </c>
      <c r="J79" s="31" t="s">
        <v>226</v>
      </c>
      <c r="K79" s="31" t="s">
        <v>226</v>
      </c>
      <c r="L79" s="31" t="s">
        <v>226</v>
      </c>
      <c r="M79" s="31" t="s">
        <v>226</v>
      </c>
      <c r="N79" s="31" t="s">
        <v>226</v>
      </c>
      <c r="O79" s="31" t="s">
        <v>226</v>
      </c>
      <c r="P79" s="31" t="s">
        <v>226</v>
      </c>
      <c r="Q79" s="31" t="s">
        <v>226</v>
      </c>
      <c r="R79" s="31" t="s">
        <v>226</v>
      </c>
      <c r="S79" s="31" t="s">
        <v>226</v>
      </c>
      <c r="T79" s="31" t="s">
        <v>226</v>
      </c>
      <c r="U79" s="31" t="s">
        <v>226</v>
      </c>
      <c r="V79" s="31" t="s">
        <v>226</v>
      </c>
      <c r="W79" s="31" t="s">
        <v>226</v>
      </c>
      <c r="X79" s="31" t="s">
        <v>226</v>
      </c>
      <c r="Y79" s="31" t="s">
        <v>226</v>
      </c>
      <c r="Z79" s="31" t="s">
        <v>226</v>
      </c>
      <c r="AA79" s="31" t="s">
        <v>226</v>
      </c>
      <c r="AB79" s="31" t="s">
        <v>226</v>
      </c>
      <c r="AC79" s="31" t="s">
        <v>226</v>
      </c>
      <c r="AD79" s="31" t="s">
        <v>226</v>
      </c>
      <c r="AE79" s="31" t="s">
        <v>226</v>
      </c>
      <c r="AF79" s="31" t="s">
        <v>226</v>
      </c>
      <c r="AG79" s="31" t="s">
        <v>226</v>
      </c>
      <c r="AH79" s="31" t="s">
        <v>226</v>
      </c>
      <c r="AI79" s="31" t="s">
        <v>226</v>
      </c>
      <c r="AJ79" s="31" t="s">
        <v>226</v>
      </c>
      <c r="AK79" s="31" t="s">
        <v>226</v>
      </c>
      <c r="AL79" s="31" t="s">
        <v>226</v>
      </c>
      <c r="AM79" s="31"/>
      <c r="AN79" s="31"/>
      <c r="AO79" s="96">
        <v>13.5</v>
      </c>
      <c r="AP79" s="33">
        <f t="shared" si="20"/>
        <v>1.35</v>
      </c>
      <c r="AQ79" s="34">
        <f t="shared" si="21"/>
        <v>13.5</v>
      </c>
      <c r="AR79" s="35"/>
      <c r="AS79" s="36">
        <f t="shared" si="19"/>
        <v>1.35</v>
      </c>
      <c r="AT79" s="36">
        <f t="shared" si="19"/>
        <v>13.5</v>
      </c>
      <c r="AU79" s="36">
        <f t="shared" si="22"/>
        <v>1.4715000000000003</v>
      </c>
      <c r="AV79" s="36">
        <f t="shared" si="23"/>
        <v>14.715000000000003</v>
      </c>
      <c r="AW79" s="37">
        <v>1.95</v>
      </c>
      <c r="AX79" s="38">
        <f t="shared" si="24"/>
        <v>19.5</v>
      </c>
      <c r="AY79" s="38">
        <f t="shared" si="7"/>
        <v>0.4784999999999997</v>
      </c>
      <c r="AZ79" s="38">
        <f t="shared" si="25"/>
        <v>4.7849999999999966</v>
      </c>
      <c r="BA79" s="39">
        <f t="shared" si="9"/>
        <v>0.24538461538461523</v>
      </c>
      <c r="BB79" s="43"/>
      <c r="BC79" s="119">
        <f t="shared" si="10"/>
        <v>1.95</v>
      </c>
      <c r="BD79" s="108">
        <v>0.15</v>
      </c>
      <c r="BE79" s="120">
        <f t="shared" si="11"/>
        <v>2.3780487804878048</v>
      </c>
      <c r="BF79" s="121">
        <f t="shared" si="12"/>
        <v>0.42804878048780481</v>
      </c>
      <c r="BG79" s="121">
        <f t="shared" si="13"/>
        <v>3.8524390243902432E-2</v>
      </c>
      <c r="BH79" s="122">
        <f t="shared" si="14"/>
        <v>0.46657317073170723</v>
      </c>
      <c r="BI79" s="121">
        <f t="shared" si="15"/>
        <v>1.9114756097560974</v>
      </c>
      <c r="BJ79" s="123">
        <f t="shared" si="16"/>
        <v>0.2301758952667137</v>
      </c>
      <c r="BK79" s="124">
        <f t="shared" si="17"/>
        <v>-1.5208720117901531E-2</v>
      </c>
      <c r="BL79" s="125">
        <v>1.5</v>
      </c>
    </row>
    <row r="80" spans="1:64" ht="45" customHeight="1" x14ac:dyDescent="0.25">
      <c r="A80" s="30">
        <v>59</v>
      </c>
      <c r="B80" s="100" t="s">
        <v>63</v>
      </c>
      <c r="C80" s="31">
        <v>1</v>
      </c>
      <c r="D80" s="32" t="s">
        <v>157</v>
      </c>
      <c r="E80" s="31">
        <f t="shared" si="0"/>
        <v>60</v>
      </c>
      <c r="F80" s="31" t="s">
        <v>226</v>
      </c>
      <c r="G80" s="31" t="s">
        <v>226</v>
      </c>
      <c r="H80" s="31" t="s">
        <v>226</v>
      </c>
      <c r="I80" s="31" t="s">
        <v>226</v>
      </c>
      <c r="J80" s="31" t="s">
        <v>226</v>
      </c>
      <c r="K80" s="31" t="s">
        <v>226</v>
      </c>
      <c r="L80" s="31" t="s">
        <v>226</v>
      </c>
      <c r="M80" s="31" t="s">
        <v>226</v>
      </c>
      <c r="N80" s="31" t="s">
        <v>226</v>
      </c>
      <c r="O80" s="31" t="s">
        <v>226</v>
      </c>
      <c r="P80" s="31" t="s">
        <v>226</v>
      </c>
      <c r="Q80" s="31" t="s">
        <v>226</v>
      </c>
      <c r="R80" s="31" t="s">
        <v>226</v>
      </c>
      <c r="S80" s="31" t="s">
        <v>226</v>
      </c>
      <c r="T80" s="31" t="s">
        <v>226</v>
      </c>
      <c r="U80" s="31" t="s">
        <v>226</v>
      </c>
      <c r="V80" s="31" t="s">
        <v>226</v>
      </c>
      <c r="W80" s="31" t="s">
        <v>226</v>
      </c>
      <c r="X80" s="31" t="s">
        <v>226</v>
      </c>
      <c r="Y80" s="31" t="s">
        <v>226</v>
      </c>
      <c r="Z80" s="31" t="s">
        <v>226</v>
      </c>
      <c r="AA80" s="31" t="s">
        <v>226</v>
      </c>
      <c r="AB80" s="31" t="s">
        <v>226</v>
      </c>
      <c r="AC80" s="31" t="s">
        <v>226</v>
      </c>
      <c r="AD80" s="31" t="s">
        <v>226</v>
      </c>
      <c r="AE80" s="31" t="s">
        <v>226</v>
      </c>
      <c r="AF80" s="31" t="s">
        <v>226</v>
      </c>
      <c r="AG80" s="31" t="s">
        <v>226</v>
      </c>
      <c r="AH80" s="31" t="s">
        <v>226</v>
      </c>
      <c r="AI80" s="31" t="s">
        <v>226</v>
      </c>
      <c r="AJ80" s="31" t="s">
        <v>226</v>
      </c>
      <c r="AK80" s="31" t="s">
        <v>226</v>
      </c>
      <c r="AL80" s="31" t="s">
        <v>226</v>
      </c>
      <c r="AM80" s="31"/>
      <c r="AN80" s="31"/>
      <c r="AO80" s="96">
        <v>34</v>
      </c>
      <c r="AP80" s="33">
        <f t="shared" si="20"/>
        <v>0.56666666666666665</v>
      </c>
      <c r="AQ80" s="34">
        <f t="shared" si="21"/>
        <v>34</v>
      </c>
      <c r="AR80" s="35"/>
      <c r="AS80" s="36">
        <f t="shared" si="19"/>
        <v>0.56666666666666665</v>
      </c>
      <c r="AT80" s="36">
        <f t="shared" si="19"/>
        <v>34</v>
      </c>
      <c r="AU80" s="36">
        <f t="shared" si="22"/>
        <v>0.6176666666666667</v>
      </c>
      <c r="AV80" s="36">
        <f t="shared" si="23"/>
        <v>37.06</v>
      </c>
      <c r="AW80" s="37">
        <v>0.85</v>
      </c>
      <c r="AX80" s="38">
        <f t="shared" si="24"/>
        <v>51</v>
      </c>
      <c r="AY80" s="38">
        <f t="shared" si="7"/>
        <v>0.23233333333333328</v>
      </c>
      <c r="AZ80" s="38">
        <f t="shared" si="25"/>
        <v>13.939999999999998</v>
      </c>
      <c r="BA80" s="39">
        <f t="shared" si="9"/>
        <v>0.27333333333333326</v>
      </c>
      <c r="BB80" s="40"/>
      <c r="BC80" s="119">
        <f t="shared" si="10"/>
        <v>0.85</v>
      </c>
      <c r="BD80" s="108">
        <v>0.15</v>
      </c>
      <c r="BE80" s="120">
        <f t="shared" si="11"/>
        <v>1.0365853658536583</v>
      </c>
      <c r="BF80" s="121">
        <f t="shared" si="12"/>
        <v>0.18658536585365837</v>
      </c>
      <c r="BG80" s="121">
        <f t="shared" si="13"/>
        <v>1.6792682926829252E-2</v>
      </c>
      <c r="BH80" s="122">
        <f t="shared" si="14"/>
        <v>0.20337804878048762</v>
      </c>
      <c r="BI80" s="121">
        <f t="shared" si="15"/>
        <v>0.83320731707317075</v>
      </c>
      <c r="BJ80" s="123">
        <f t="shared" si="16"/>
        <v>0.25868789914572443</v>
      </c>
      <c r="BK80" s="124">
        <f t="shared" si="17"/>
        <v>-1.464543418760883E-2</v>
      </c>
      <c r="BL80" s="125" t="s">
        <v>226</v>
      </c>
    </row>
    <row r="81" spans="1:64" ht="45" customHeight="1" x14ac:dyDescent="0.25">
      <c r="A81" s="30">
        <v>60</v>
      </c>
      <c r="B81" s="100" t="s">
        <v>64</v>
      </c>
      <c r="C81" s="31">
        <v>1</v>
      </c>
      <c r="D81" s="32" t="s">
        <v>144</v>
      </c>
      <c r="E81" s="31">
        <f t="shared" si="0"/>
        <v>30</v>
      </c>
      <c r="F81" s="127">
        <v>35.5</v>
      </c>
      <c r="G81" s="31" t="s">
        <v>226</v>
      </c>
      <c r="H81" s="31" t="s">
        <v>226</v>
      </c>
      <c r="I81" s="31" t="s">
        <v>226</v>
      </c>
      <c r="J81" s="31" t="s">
        <v>226</v>
      </c>
      <c r="K81" s="31" t="s">
        <v>226</v>
      </c>
      <c r="L81" s="31" t="s">
        <v>226</v>
      </c>
      <c r="M81" s="31" t="s">
        <v>226</v>
      </c>
      <c r="N81" s="31" t="s">
        <v>226</v>
      </c>
      <c r="O81" s="31" t="s">
        <v>226</v>
      </c>
      <c r="P81" s="31">
        <v>37</v>
      </c>
      <c r="Q81" s="31" t="s">
        <v>226</v>
      </c>
      <c r="R81" s="31" t="s">
        <v>226</v>
      </c>
      <c r="S81" s="31" t="s">
        <v>226</v>
      </c>
      <c r="T81" s="31" t="s">
        <v>226</v>
      </c>
      <c r="U81" s="31" t="s">
        <v>226</v>
      </c>
      <c r="V81" s="31" t="s">
        <v>226</v>
      </c>
      <c r="W81" s="31" t="s">
        <v>226</v>
      </c>
      <c r="X81" s="31" t="s">
        <v>226</v>
      </c>
      <c r="Y81" s="31" t="s">
        <v>226</v>
      </c>
      <c r="Z81" s="31" t="s">
        <v>226</v>
      </c>
      <c r="AA81" s="31" t="s">
        <v>226</v>
      </c>
      <c r="AB81" s="31" t="s">
        <v>226</v>
      </c>
      <c r="AC81" s="31" t="s">
        <v>226</v>
      </c>
      <c r="AD81" s="31" t="s">
        <v>226</v>
      </c>
      <c r="AE81" s="31" t="s">
        <v>226</v>
      </c>
      <c r="AF81" s="31" t="s">
        <v>226</v>
      </c>
      <c r="AG81" s="31" t="s">
        <v>226</v>
      </c>
      <c r="AH81" s="31" t="s">
        <v>226</v>
      </c>
      <c r="AI81" s="31" t="s">
        <v>226</v>
      </c>
      <c r="AJ81" s="31" t="s">
        <v>226</v>
      </c>
      <c r="AK81" s="31" t="s">
        <v>226</v>
      </c>
      <c r="AL81" s="31" t="s">
        <v>226</v>
      </c>
      <c r="AM81" s="31"/>
      <c r="AN81" s="31"/>
      <c r="AO81" s="96">
        <v>37</v>
      </c>
      <c r="AP81" s="33">
        <f t="shared" si="20"/>
        <v>1.2333333333333334</v>
      </c>
      <c r="AQ81" s="34">
        <f t="shared" si="21"/>
        <v>37</v>
      </c>
      <c r="AR81" s="35"/>
      <c r="AS81" s="36">
        <f t="shared" si="19"/>
        <v>1.2333333333333334</v>
      </c>
      <c r="AT81" s="36">
        <f t="shared" si="19"/>
        <v>37</v>
      </c>
      <c r="AU81" s="36">
        <f t="shared" si="22"/>
        <v>1.3443333333333336</v>
      </c>
      <c r="AV81" s="36">
        <f t="shared" si="23"/>
        <v>40.330000000000005</v>
      </c>
      <c r="AW81" s="37">
        <v>1.95</v>
      </c>
      <c r="AX81" s="38">
        <f t="shared" si="24"/>
        <v>58.5</v>
      </c>
      <c r="AY81" s="38">
        <f t="shared" si="7"/>
        <v>0.60566666666666635</v>
      </c>
      <c r="AZ81" s="38">
        <f t="shared" si="25"/>
        <v>18.169999999999991</v>
      </c>
      <c r="BA81" s="39">
        <f t="shared" si="9"/>
        <v>0.31059829059829047</v>
      </c>
      <c r="BB81" s="41"/>
      <c r="BC81" s="119">
        <f t="shared" si="10"/>
        <v>1.95</v>
      </c>
      <c r="BD81" s="108">
        <v>0.15</v>
      </c>
      <c r="BE81" s="120">
        <f t="shared" si="11"/>
        <v>2.3780487804878048</v>
      </c>
      <c r="BF81" s="121">
        <f t="shared" si="12"/>
        <v>0.42804878048780481</v>
      </c>
      <c r="BG81" s="121">
        <f t="shared" si="13"/>
        <v>3.8524390243902432E-2</v>
      </c>
      <c r="BH81" s="122">
        <f t="shared" si="14"/>
        <v>0.46657317073170723</v>
      </c>
      <c r="BI81" s="121">
        <f t="shared" si="15"/>
        <v>1.9114756097560974</v>
      </c>
      <c r="BJ81" s="123">
        <f t="shared" si="16"/>
        <v>0.29670390431773841</v>
      </c>
      <c r="BK81" s="124">
        <f t="shared" si="17"/>
        <v>-1.3894386280552062E-2</v>
      </c>
      <c r="BL81" s="125" t="s">
        <v>226</v>
      </c>
    </row>
    <row r="82" spans="1:64" ht="45" customHeight="1" x14ac:dyDescent="0.25">
      <c r="A82" s="30">
        <v>61</v>
      </c>
      <c r="B82" s="100" t="s">
        <v>147</v>
      </c>
      <c r="C82" s="31">
        <v>1</v>
      </c>
      <c r="D82" s="32" t="s">
        <v>144</v>
      </c>
      <c r="E82" s="31">
        <f t="shared" si="0"/>
        <v>30</v>
      </c>
      <c r="F82" s="127">
        <v>35.5</v>
      </c>
      <c r="G82" s="31" t="s">
        <v>226</v>
      </c>
      <c r="H82" s="31" t="s">
        <v>226</v>
      </c>
      <c r="I82" s="31" t="s">
        <v>226</v>
      </c>
      <c r="J82" s="31" t="s">
        <v>226</v>
      </c>
      <c r="K82" s="31" t="s">
        <v>226</v>
      </c>
      <c r="L82" s="31" t="s">
        <v>226</v>
      </c>
      <c r="M82" s="31" t="s">
        <v>226</v>
      </c>
      <c r="N82" s="31" t="s">
        <v>226</v>
      </c>
      <c r="O82" s="31" t="s">
        <v>226</v>
      </c>
      <c r="P82" s="31">
        <v>37</v>
      </c>
      <c r="Q82" s="31" t="s">
        <v>226</v>
      </c>
      <c r="R82" s="31" t="s">
        <v>226</v>
      </c>
      <c r="S82" s="31" t="s">
        <v>226</v>
      </c>
      <c r="T82" s="31" t="s">
        <v>226</v>
      </c>
      <c r="U82" s="31" t="s">
        <v>226</v>
      </c>
      <c r="V82" s="31" t="s">
        <v>226</v>
      </c>
      <c r="W82" s="31" t="s">
        <v>226</v>
      </c>
      <c r="X82" s="31" t="s">
        <v>226</v>
      </c>
      <c r="Y82" s="31" t="s">
        <v>226</v>
      </c>
      <c r="Z82" s="31" t="s">
        <v>226</v>
      </c>
      <c r="AA82" s="31" t="s">
        <v>226</v>
      </c>
      <c r="AB82" s="31" t="s">
        <v>226</v>
      </c>
      <c r="AC82" s="31" t="s">
        <v>226</v>
      </c>
      <c r="AD82" s="31" t="s">
        <v>226</v>
      </c>
      <c r="AE82" s="31" t="s">
        <v>226</v>
      </c>
      <c r="AF82" s="31" t="s">
        <v>226</v>
      </c>
      <c r="AG82" s="31" t="s">
        <v>226</v>
      </c>
      <c r="AH82" s="31" t="s">
        <v>226</v>
      </c>
      <c r="AI82" s="31" t="s">
        <v>226</v>
      </c>
      <c r="AJ82" s="31" t="s">
        <v>226</v>
      </c>
      <c r="AK82" s="31" t="s">
        <v>226</v>
      </c>
      <c r="AL82" s="31" t="s">
        <v>226</v>
      </c>
      <c r="AM82" s="31"/>
      <c r="AN82" s="31"/>
      <c r="AO82" s="96">
        <v>37</v>
      </c>
      <c r="AP82" s="33">
        <f t="shared" si="20"/>
        <v>1.2333333333333334</v>
      </c>
      <c r="AQ82" s="34">
        <f t="shared" si="21"/>
        <v>37</v>
      </c>
      <c r="AR82" s="35"/>
      <c r="AS82" s="36">
        <f t="shared" si="19"/>
        <v>1.2333333333333334</v>
      </c>
      <c r="AT82" s="36">
        <f t="shared" si="19"/>
        <v>37</v>
      </c>
      <c r="AU82" s="36">
        <f t="shared" si="22"/>
        <v>1.3443333333333336</v>
      </c>
      <c r="AV82" s="36">
        <f t="shared" si="23"/>
        <v>40.330000000000005</v>
      </c>
      <c r="AW82" s="37">
        <v>1.95</v>
      </c>
      <c r="AX82" s="38">
        <f t="shared" si="24"/>
        <v>58.5</v>
      </c>
      <c r="AY82" s="38">
        <f t="shared" si="7"/>
        <v>0.60566666666666635</v>
      </c>
      <c r="AZ82" s="38">
        <f t="shared" si="25"/>
        <v>18.169999999999991</v>
      </c>
      <c r="BA82" s="39">
        <f t="shared" si="9"/>
        <v>0.31059829059829047</v>
      </c>
      <c r="BB82" s="42"/>
      <c r="BC82" s="119">
        <f t="shared" si="10"/>
        <v>1.95</v>
      </c>
      <c r="BD82" s="108">
        <v>0.15</v>
      </c>
      <c r="BE82" s="120">
        <f t="shared" si="11"/>
        <v>2.3780487804878048</v>
      </c>
      <c r="BF82" s="121">
        <f t="shared" si="12"/>
        <v>0.42804878048780481</v>
      </c>
      <c r="BG82" s="121">
        <f t="shared" si="13"/>
        <v>3.8524390243902432E-2</v>
      </c>
      <c r="BH82" s="122">
        <f t="shared" si="14"/>
        <v>0.46657317073170723</v>
      </c>
      <c r="BI82" s="121">
        <f t="shared" si="15"/>
        <v>1.9114756097560974</v>
      </c>
      <c r="BJ82" s="123">
        <f t="shared" si="16"/>
        <v>0.29670390431773841</v>
      </c>
      <c r="BK82" s="124">
        <f t="shared" si="17"/>
        <v>-1.3894386280552062E-2</v>
      </c>
      <c r="BL82" s="125" t="s">
        <v>226</v>
      </c>
    </row>
    <row r="83" spans="1:64" ht="45" customHeight="1" x14ac:dyDescent="0.25">
      <c r="A83" s="30">
        <v>62</v>
      </c>
      <c r="B83" s="100" t="s">
        <v>65</v>
      </c>
      <c r="C83" s="31">
        <v>1</v>
      </c>
      <c r="D83" s="32" t="s">
        <v>144</v>
      </c>
      <c r="E83" s="31">
        <f t="shared" si="0"/>
        <v>30</v>
      </c>
      <c r="F83" s="127">
        <v>35.5</v>
      </c>
      <c r="G83" s="31" t="s">
        <v>226</v>
      </c>
      <c r="H83" s="31" t="s">
        <v>226</v>
      </c>
      <c r="I83" s="31" t="s">
        <v>226</v>
      </c>
      <c r="J83" s="31" t="s">
        <v>226</v>
      </c>
      <c r="K83" s="31" t="s">
        <v>226</v>
      </c>
      <c r="L83" s="31" t="s">
        <v>226</v>
      </c>
      <c r="M83" s="31" t="s">
        <v>226</v>
      </c>
      <c r="N83" s="31" t="s">
        <v>226</v>
      </c>
      <c r="O83" s="31" t="s">
        <v>226</v>
      </c>
      <c r="P83" s="31">
        <v>37</v>
      </c>
      <c r="Q83" s="31" t="s">
        <v>226</v>
      </c>
      <c r="R83" s="31" t="s">
        <v>226</v>
      </c>
      <c r="S83" s="31" t="s">
        <v>226</v>
      </c>
      <c r="T83" s="31" t="s">
        <v>226</v>
      </c>
      <c r="U83" s="31" t="s">
        <v>226</v>
      </c>
      <c r="V83" s="31" t="s">
        <v>226</v>
      </c>
      <c r="W83" s="31" t="s">
        <v>226</v>
      </c>
      <c r="X83" s="31" t="s">
        <v>226</v>
      </c>
      <c r="Y83" s="31" t="s">
        <v>226</v>
      </c>
      <c r="Z83" s="31" t="s">
        <v>226</v>
      </c>
      <c r="AA83" s="31" t="s">
        <v>226</v>
      </c>
      <c r="AB83" s="31" t="s">
        <v>226</v>
      </c>
      <c r="AC83" s="31" t="s">
        <v>226</v>
      </c>
      <c r="AD83" s="31" t="s">
        <v>226</v>
      </c>
      <c r="AE83" s="31" t="s">
        <v>226</v>
      </c>
      <c r="AF83" s="31" t="s">
        <v>226</v>
      </c>
      <c r="AG83" s="31" t="s">
        <v>226</v>
      </c>
      <c r="AH83" s="31" t="s">
        <v>226</v>
      </c>
      <c r="AI83" s="31" t="s">
        <v>226</v>
      </c>
      <c r="AJ83" s="31" t="s">
        <v>226</v>
      </c>
      <c r="AK83" s="31" t="s">
        <v>226</v>
      </c>
      <c r="AL83" s="31" t="s">
        <v>226</v>
      </c>
      <c r="AM83" s="31"/>
      <c r="AN83" s="31"/>
      <c r="AO83" s="96">
        <v>37</v>
      </c>
      <c r="AP83" s="33">
        <f t="shared" si="20"/>
        <v>1.2333333333333334</v>
      </c>
      <c r="AQ83" s="34">
        <f t="shared" si="21"/>
        <v>37</v>
      </c>
      <c r="AR83" s="35"/>
      <c r="AS83" s="36">
        <f t="shared" si="19"/>
        <v>1.2333333333333334</v>
      </c>
      <c r="AT83" s="36">
        <f t="shared" si="19"/>
        <v>37</v>
      </c>
      <c r="AU83" s="36">
        <f t="shared" si="22"/>
        <v>1.3443333333333336</v>
      </c>
      <c r="AV83" s="36">
        <f t="shared" si="23"/>
        <v>40.330000000000005</v>
      </c>
      <c r="AW83" s="37">
        <v>1.95</v>
      </c>
      <c r="AX83" s="38">
        <f t="shared" si="24"/>
        <v>58.5</v>
      </c>
      <c r="AY83" s="38">
        <f t="shared" si="7"/>
        <v>0.60566666666666635</v>
      </c>
      <c r="AZ83" s="38">
        <f t="shared" si="25"/>
        <v>18.169999999999991</v>
      </c>
      <c r="BA83" s="39">
        <f t="shared" si="9"/>
        <v>0.31059829059829047</v>
      </c>
      <c r="BB83" s="42"/>
      <c r="BC83" s="119">
        <f t="shared" si="10"/>
        <v>1.95</v>
      </c>
      <c r="BD83" s="108">
        <v>0.15</v>
      </c>
      <c r="BE83" s="120">
        <f t="shared" si="11"/>
        <v>2.3780487804878048</v>
      </c>
      <c r="BF83" s="121">
        <f t="shared" si="12"/>
        <v>0.42804878048780481</v>
      </c>
      <c r="BG83" s="121">
        <f t="shared" si="13"/>
        <v>3.8524390243902432E-2</v>
      </c>
      <c r="BH83" s="122">
        <f t="shared" si="14"/>
        <v>0.46657317073170723</v>
      </c>
      <c r="BI83" s="121">
        <f t="shared" si="15"/>
        <v>1.9114756097560974</v>
      </c>
      <c r="BJ83" s="123">
        <f t="shared" si="16"/>
        <v>0.29670390431773841</v>
      </c>
      <c r="BK83" s="124">
        <f t="shared" si="17"/>
        <v>-1.3894386280552062E-2</v>
      </c>
      <c r="BL83" s="125" t="s">
        <v>226</v>
      </c>
    </row>
    <row r="84" spans="1:64" ht="45" customHeight="1" x14ac:dyDescent="0.25">
      <c r="A84" s="30">
        <v>63</v>
      </c>
      <c r="B84" s="101" t="s">
        <v>66</v>
      </c>
      <c r="C84" s="31">
        <v>1</v>
      </c>
      <c r="D84" s="32" t="s">
        <v>144</v>
      </c>
      <c r="E84" s="31">
        <f t="shared" si="0"/>
        <v>30</v>
      </c>
      <c r="F84" s="31" t="s">
        <v>226</v>
      </c>
      <c r="G84" s="127">
        <v>35.5</v>
      </c>
      <c r="H84" s="31" t="s">
        <v>226</v>
      </c>
      <c r="I84" s="31" t="s">
        <v>226</v>
      </c>
      <c r="J84" s="31" t="s">
        <v>226</v>
      </c>
      <c r="K84" s="31" t="s">
        <v>226</v>
      </c>
      <c r="L84" s="31" t="s">
        <v>226</v>
      </c>
      <c r="M84" s="31" t="s">
        <v>226</v>
      </c>
      <c r="N84" s="31" t="s">
        <v>226</v>
      </c>
      <c r="O84" s="31" t="s">
        <v>226</v>
      </c>
      <c r="P84" s="31">
        <v>37</v>
      </c>
      <c r="Q84" s="31" t="s">
        <v>226</v>
      </c>
      <c r="R84" s="31" t="s">
        <v>226</v>
      </c>
      <c r="S84" s="31" t="s">
        <v>226</v>
      </c>
      <c r="T84" s="31" t="s">
        <v>226</v>
      </c>
      <c r="U84" s="31" t="s">
        <v>226</v>
      </c>
      <c r="V84" s="31" t="s">
        <v>226</v>
      </c>
      <c r="W84" s="31" t="s">
        <v>226</v>
      </c>
      <c r="X84" s="31" t="s">
        <v>226</v>
      </c>
      <c r="Y84" s="31" t="s">
        <v>226</v>
      </c>
      <c r="Z84" s="31" t="s">
        <v>226</v>
      </c>
      <c r="AA84" s="31" t="s">
        <v>226</v>
      </c>
      <c r="AB84" s="31" t="s">
        <v>226</v>
      </c>
      <c r="AC84" s="129" t="s">
        <v>226</v>
      </c>
      <c r="AD84" s="129" t="s">
        <v>226</v>
      </c>
      <c r="AE84" s="31" t="s">
        <v>226</v>
      </c>
      <c r="AF84" s="31" t="s">
        <v>226</v>
      </c>
      <c r="AG84" s="31" t="s">
        <v>226</v>
      </c>
      <c r="AH84" s="31" t="s">
        <v>226</v>
      </c>
      <c r="AI84" s="31" t="s">
        <v>226</v>
      </c>
      <c r="AJ84" s="31" t="s">
        <v>226</v>
      </c>
      <c r="AK84" s="31" t="s">
        <v>226</v>
      </c>
      <c r="AL84" s="31" t="s">
        <v>226</v>
      </c>
      <c r="AM84" s="31"/>
      <c r="AN84" s="31"/>
      <c r="AO84" s="96">
        <v>37</v>
      </c>
      <c r="AP84" s="33">
        <f t="shared" si="20"/>
        <v>1.2333333333333334</v>
      </c>
      <c r="AQ84" s="34">
        <f t="shared" si="21"/>
        <v>37</v>
      </c>
      <c r="AR84" s="35"/>
      <c r="AS84" s="36">
        <f t="shared" si="19"/>
        <v>1.2333333333333334</v>
      </c>
      <c r="AT84" s="36">
        <f t="shared" si="19"/>
        <v>37</v>
      </c>
      <c r="AU84" s="36">
        <f t="shared" si="22"/>
        <v>1.3443333333333336</v>
      </c>
      <c r="AV84" s="36">
        <f t="shared" si="23"/>
        <v>40.330000000000005</v>
      </c>
      <c r="AW84" s="37">
        <v>1.95</v>
      </c>
      <c r="AX84" s="38">
        <f t="shared" si="24"/>
        <v>58.5</v>
      </c>
      <c r="AY84" s="38">
        <f t="shared" si="7"/>
        <v>0.60566666666666635</v>
      </c>
      <c r="AZ84" s="38">
        <f t="shared" si="25"/>
        <v>18.169999999999991</v>
      </c>
      <c r="BA84" s="39">
        <f t="shared" si="9"/>
        <v>0.31059829059829047</v>
      </c>
      <c r="BB84" s="42"/>
      <c r="BC84" s="119">
        <f t="shared" si="10"/>
        <v>1.95</v>
      </c>
      <c r="BD84" s="108">
        <v>0.15</v>
      </c>
      <c r="BE84" s="120">
        <f t="shared" si="11"/>
        <v>2.3780487804878048</v>
      </c>
      <c r="BF84" s="121">
        <f t="shared" si="12"/>
        <v>0.42804878048780481</v>
      </c>
      <c r="BG84" s="121">
        <f t="shared" si="13"/>
        <v>3.8524390243902432E-2</v>
      </c>
      <c r="BH84" s="122">
        <f t="shared" si="14"/>
        <v>0.46657317073170723</v>
      </c>
      <c r="BI84" s="121">
        <f t="shared" si="15"/>
        <v>1.9114756097560974</v>
      </c>
      <c r="BJ84" s="123">
        <f t="shared" si="16"/>
        <v>0.29670390431773841</v>
      </c>
      <c r="BK84" s="124">
        <f t="shared" si="17"/>
        <v>-1.3894386280552062E-2</v>
      </c>
      <c r="BL84" s="125" t="s">
        <v>226</v>
      </c>
    </row>
    <row r="85" spans="1:64" ht="45" customHeight="1" x14ac:dyDescent="0.25">
      <c r="A85" s="30">
        <v>64</v>
      </c>
      <c r="B85" s="102" t="s">
        <v>67</v>
      </c>
      <c r="C85" s="31">
        <v>1</v>
      </c>
      <c r="D85" s="32" t="s">
        <v>141</v>
      </c>
      <c r="E85" s="31">
        <f t="shared" si="0"/>
        <v>20</v>
      </c>
      <c r="F85" s="31">
        <v>29</v>
      </c>
      <c r="G85" s="31" t="s">
        <v>226</v>
      </c>
      <c r="H85" s="31" t="s">
        <v>226</v>
      </c>
      <c r="I85" s="31" t="s">
        <v>226</v>
      </c>
      <c r="J85" s="31" t="s">
        <v>226</v>
      </c>
      <c r="K85" s="31" t="s">
        <v>226</v>
      </c>
      <c r="L85" s="31" t="s">
        <v>226</v>
      </c>
      <c r="M85" s="31" t="s">
        <v>226</v>
      </c>
      <c r="N85" s="31" t="s">
        <v>226</v>
      </c>
      <c r="O85" s="31" t="s">
        <v>226</v>
      </c>
      <c r="P85" s="31" t="s">
        <v>226</v>
      </c>
      <c r="Q85" s="31" t="s">
        <v>226</v>
      </c>
      <c r="R85" s="31" t="s">
        <v>226</v>
      </c>
      <c r="S85" s="31" t="s">
        <v>226</v>
      </c>
      <c r="T85" s="31" t="s">
        <v>226</v>
      </c>
      <c r="U85" s="31" t="s">
        <v>226</v>
      </c>
      <c r="V85" s="31" t="s">
        <v>226</v>
      </c>
      <c r="W85" s="31" t="s">
        <v>226</v>
      </c>
      <c r="X85" s="31" t="s">
        <v>226</v>
      </c>
      <c r="Y85" s="31" t="s">
        <v>226</v>
      </c>
      <c r="Z85" s="31" t="s">
        <v>226</v>
      </c>
      <c r="AA85" s="31" t="s">
        <v>226</v>
      </c>
      <c r="AB85" s="128">
        <v>30.5</v>
      </c>
      <c r="AC85" s="125" t="s">
        <v>226</v>
      </c>
      <c r="AD85" s="125" t="s">
        <v>226</v>
      </c>
      <c r="AE85" s="31" t="s">
        <v>226</v>
      </c>
      <c r="AF85" s="31" t="s">
        <v>226</v>
      </c>
      <c r="AG85" s="31" t="s">
        <v>226</v>
      </c>
      <c r="AH85" s="31" t="s">
        <v>226</v>
      </c>
      <c r="AI85" s="31" t="s">
        <v>226</v>
      </c>
      <c r="AJ85" s="31" t="s">
        <v>226</v>
      </c>
      <c r="AK85" s="31" t="s">
        <v>226</v>
      </c>
      <c r="AL85" s="31" t="s">
        <v>226</v>
      </c>
      <c r="AM85" s="31"/>
      <c r="AN85" s="31"/>
      <c r="AO85" s="96">
        <v>30.5</v>
      </c>
      <c r="AP85" s="33">
        <f t="shared" si="20"/>
        <v>1.5249999999999999</v>
      </c>
      <c r="AQ85" s="34">
        <f t="shared" si="21"/>
        <v>30.5</v>
      </c>
      <c r="AR85" s="35"/>
      <c r="AS85" s="36">
        <f t="shared" si="19"/>
        <v>1.5249999999999999</v>
      </c>
      <c r="AT85" s="36">
        <f t="shared" si="19"/>
        <v>30.5</v>
      </c>
      <c r="AU85" s="36">
        <f t="shared" si="22"/>
        <v>1.66225</v>
      </c>
      <c r="AV85" s="36">
        <f t="shared" si="23"/>
        <v>33.244999999999997</v>
      </c>
      <c r="AW85" s="37">
        <v>2.5</v>
      </c>
      <c r="AX85" s="38">
        <f t="shared" si="24"/>
        <v>50</v>
      </c>
      <c r="AY85" s="38">
        <f t="shared" si="7"/>
        <v>0.83774999999999999</v>
      </c>
      <c r="AZ85" s="38">
        <f t="shared" si="25"/>
        <v>16.754999999999999</v>
      </c>
      <c r="BA85" s="39">
        <f t="shared" si="9"/>
        <v>0.33510000000000001</v>
      </c>
      <c r="BB85" s="42"/>
      <c r="BC85" s="119">
        <f t="shared" si="10"/>
        <v>2.5</v>
      </c>
      <c r="BD85" s="108">
        <v>0.15</v>
      </c>
      <c r="BE85" s="120">
        <f t="shared" si="11"/>
        <v>3.0487804878048776</v>
      </c>
      <c r="BF85" s="121">
        <f t="shared" si="12"/>
        <v>0.54878048780487765</v>
      </c>
      <c r="BG85" s="121">
        <f t="shared" si="13"/>
        <v>4.9390243902438985E-2</v>
      </c>
      <c r="BH85" s="122">
        <f t="shared" si="14"/>
        <v>0.59817073170731661</v>
      </c>
      <c r="BI85" s="121">
        <f t="shared" si="15"/>
        <v>2.450609756097561</v>
      </c>
      <c r="BJ85" s="123">
        <f t="shared" si="16"/>
        <v>0.32169942771833793</v>
      </c>
      <c r="BK85" s="124">
        <f t="shared" si="17"/>
        <v>-1.3400572281662082E-2</v>
      </c>
      <c r="BL85" s="125" t="s">
        <v>226</v>
      </c>
    </row>
    <row r="86" spans="1:64" ht="45" customHeight="1" x14ac:dyDescent="0.25">
      <c r="A86" s="30">
        <v>65</v>
      </c>
      <c r="B86" s="103" t="s">
        <v>68</v>
      </c>
      <c r="C86" s="31">
        <v>1</v>
      </c>
      <c r="D86" s="32" t="s">
        <v>141</v>
      </c>
      <c r="E86" s="31">
        <f t="shared" si="0"/>
        <v>20</v>
      </c>
      <c r="F86" s="31">
        <v>29</v>
      </c>
      <c r="G86" s="31" t="s">
        <v>226</v>
      </c>
      <c r="H86" s="31" t="s">
        <v>226</v>
      </c>
      <c r="I86" s="31" t="s">
        <v>226</v>
      </c>
      <c r="J86" s="31" t="s">
        <v>226</v>
      </c>
      <c r="K86" s="31" t="s">
        <v>226</v>
      </c>
      <c r="L86" s="31" t="s">
        <v>226</v>
      </c>
      <c r="M86" s="31" t="s">
        <v>226</v>
      </c>
      <c r="N86" s="31" t="s">
        <v>226</v>
      </c>
      <c r="O86" s="31" t="s">
        <v>226</v>
      </c>
      <c r="P86" s="31" t="s">
        <v>226</v>
      </c>
      <c r="Q86" s="31" t="s">
        <v>226</v>
      </c>
      <c r="R86" s="31" t="s">
        <v>226</v>
      </c>
      <c r="S86" s="31" t="s">
        <v>226</v>
      </c>
      <c r="T86" s="31" t="s">
        <v>226</v>
      </c>
      <c r="U86" s="31" t="s">
        <v>226</v>
      </c>
      <c r="V86" s="31" t="s">
        <v>226</v>
      </c>
      <c r="W86" s="31" t="s">
        <v>226</v>
      </c>
      <c r="X86" s="31" t="s">
        <v>226</v>
      </c>
      <c r="Y86" s="31" t="s">
        <v>226</v>
      </c>
      <c r="Z86" s="31" t="s">
        <v>226</v>
      </c>
      <c r="AA86" s="31" t="s">
        <v>226</v>
      </c>
      <c r="AB86" s="128">
        <v>30.5</v>
      </c>
      <c r="AC86" s="125" t="s">
        <v>226</v>
      </c>
      <c r="AD86" s="125" t="s">
        <v>226</v>
      </c>
      <c r="AE86" s="31" t="s">
        <v>226</v>
      </c>
      <c r="AF86" s="31" t="s">
        <v>226</v>
      </c>
      <c r="AG86" s="31" t="s">
        <v>226</v>
      </c>
      <c r="AH86" s="31" t="s">
        <v>226</v>
      </c>
      <c r="AI86" s="31" t="s">
        <v>226</v>
      </c>
      <c r="AJ86" s="31" t="s">
        <v>226</v>
      </c>
      <c r="AK86" s="31" t="s">
        <v>226</v>
      </c>
      <c r="AL86" s="31" t="s">
        <v>226</v>
      </c>
      <c r="AM86" s="31"/>
      <c r="AN86" s="31"/>
      <c r="AO86" s="96">
        <v>30.5</v>
      </c>
      <c r="AP86" s="33">
        <f t="shared" si="20"/>
        <v>1.5249999999999999</v>
      </c>
      <c r="AQ86" s="34">
        <f t="shared" si="21"/>
        <v>30.5</v>
      </c>
      <c r="AR86" s="35"/>
      <c r="AS86" s="36">
        <f t="shared" si="19"/>
        <v>1.5249999999999999</v>
      </c>
      <c r="AT86" s="36">
        <f t="shared" si="19"/>
        <v>30.5</v>
      </c>
      <c r="AU86" s="36">
        <f t="shared" si="22"/>
        <v>1.66225</v>
      </c>
      <c r="AV86" s="36">
        <f t="shared" si="23"/>
        <v>33.244999999999997</v>
      </c>
      <c r="AW86" s="37">
        <v>2.5</v>
      </c>
      <c r="AX86" s="38">
        <f t="shared" si="24"/>
        <v>50</v>
      </c>
      <c r="AY86" s="38">
        <f t="shared" si="7"/>
        <v>0.83774999999999999</v>
      </c>
      <c r="AZ86" s="38">
        <f t="shared" si="25"/>
        <v>16.754999999999999</v>
      </c>
      <c r="BA86" s="39">
        <f t="shared" si="9"/>
        <v>0.33510000000000001</v>
      </c>
      <c r="BB86" s="43"/>
      <c r="BC86" s="119">
        <f t="shared" si="10"/>
        <v>2.5</v>
      </c>
      <c r="BD86" s="108">
        <v>0.15</v>
      </c>
      <c r="BE86" s="120">
        <f t="shared" si="11"/>
        <v>3.0487804878048776</v>
      </c>
      <c r="BF86" s="121">
        <f t="shared" si="12"/>
        <v>0.54878048780487765</v>
      </c>
      <c r="BG86" s="121">
        <f t="shared" si="13"/>
        <v>4.9390243902438985E-2</v>
      </c>
      <c r="BH86" s="122">
        <f t="shared" si="14"/>
        <v>0.59817073170731661</v>
      </c>
      <c r="BI86" s="121">
        <f t="shared" si="15"/>
        <v>2.450609756097561</v>
      </c>
      <c r="BJ86" s="123">
        <f t="shared" si="16"/>
        <v>0.32169942771833793</v>
      </c>
      <c r="BK86" s="124">
        <f t="shared" si="17"/>
        <v>-1.3400572281662082E-2</v>
      </c>
      <c r="BL86" s="125" t="s">
        <v>226</v>
      </c>
    </row>
    <row r="87" spans="1:64" ht="45" customHeight="1" x14ac:dyDescent="0.25">
      <c r="A87" s="30">
        <v>66</v>
      </c>
      <c r="B87" s="100" t="s">
        <v>69</v>
      </c>
      <c r="C87" s="31">
        <v>1</v>
      </c>
      <c r="D87" s="32" t="s">
        <v>75</v>
      </c>
      <c r="E87" s="31">
        <f t="shared" si="0"/>
        <v>48</v>
      </c>
      <c r="F87" s="31" t="s">
        <v>226</v>
      </c>
      <c r="G87" s="31" t="s">
        <v>226</v>
      </c>
      <c r="H87" s="31" t="s">
        <v>226</v>
      </c>
      <c r="I87" s="31" t="s">
        <v>226</v>
      </c>
      <c r="J87" s="31" t="s">
        <v>226</v>
      </c>
      <c r="K87" s="31" t="s">
        <v>226</v>
      </c>
      <c r="L87" s="31" t="s">
        <v>226</v>
      </c>
      <c r="M87" s="31" t="s">
        <v>226</v>
      </c>
      <c r="N87" s="31" t="s">
        <v>226</v>
      </c>
      <c r="O87" s="31" t="s">
        <v>226</v>
      </c>
      <c r="P87" s="31" t="s">
        <v>226</v>
      </c>
      <c r="Q87" s="31" t="s">
        <v>226</v>
      </c>
      <c r="R87" s="31" t="s">
        <v>226</v>
      </c>
      <c r="S87" s="31" t="s">
        <v>226</v>
      </c>
      <c r="T87" s="31" t="s">
        <v>226</v>
      </c>
      <c r="U87" s="31" t="s">
        <v>226</v>
      </c>
      <c r="V87" s="31" t="s">
        <v>226</v>
      </c>
      <c r="W87" s="31" t="s">
        <v>226</v>
      </c>
      <c r="X87" s="31" t="s">
        <v>226</v>
      </c>
      <c r="Y87" s="31" t="s">
        <v>226</v>
      </c>
      <c r="Z87" s="31" t="s">
        <v>226</v>
      </c>
      <c r="AA87" s="31" t="s">
        <v>226</v>
      </c>
      <c r="AB87" s="31" t="s">
        <v>226</v>
      </c>
      <c r="AC87" s="125" t="s">
        <v>226</v>
      </c>
      <c r="AD87" s="125" t="s">
        <v>226</v>
      </c>
      <c r="AE87" s="31" t="s">
        <v>226</v>
      </c>
      <c r="AF87" s="31" t="s">
        <v>226</v>
      </c>
      <c r="AG87" s="31" t="s">
        <v>226</v>
      </c>
      <c r="AH87" s="31" t="s">
        <v>226</v>
      </c>
      <c r="AI87" s="31" t="s">
        <v>226</v>
      </c>
      <c r="AJ87" s="31" t="s">
        <v>226</v>
      </c>
      <c r="AK87" s="31" t="s">
        <v>226</v>
      </c>
      <c r="AL87" s="31" t="s">
        <v>226</v>
      </c>
      <c r="AM87" s="31"/>
      <c r="AN87" s="31"/>
      <c r="AO87" s="96">
        <v>33.5</v>
      </c>
      <c r="AP87" s="33">
        <f t="shared" si="20"/>
        <v>0.69791666666666663</v>
      </c>
      <c r="AQ87" s="34">
        <f t="shared" si="21"/>
        <v>33.5</v>
      </c>
      <c r="AR87" s="35"/>
      <c r="AS87" s="36">
        <f t="shared" ref="AS87:AT185" si="26">AP87/$AZ$2</f>
        <v>0.69791666666666663</v>
      </c>
      <c r="AT87" s="36">
        <f t="shared" si="26"/>
        <v>33.5</v>
      </c>
      <c r="AU87" s="36">
        <f t="shared" si="22"/>
        <v>0.76072916666666668</v>
      </c>
      <c r="AV87" s="36">
        <f t="shared" si="23"/>
        <v>36.515000000000001</v>
      </c>
      <c r="AW87" s="37">
        <v>1.25</v>
      </c>
      <c r="AX87" s="38">
        <f t="shared" si="24"/>
        <v>60</v>
      </c>
      <c r="AY87" s="38">
        <f t="shared" si="7"/>
        <v>0.48927083333333332</v>
      </c>
      <c r="AZ87" s="38">
        <f t="shared" si="25"/>
        <v>23.484999999999999</v>
      </c>
      <c r="BA87" s="39">
        <f t="shared" si="9"/>
        <v>0.39141666666666663</v>
      </c>
      <c r="BB87" s="41"/>
      <c r="BC87" s="119">
        <f t="shared" ref="BC87:BC150" si="27">AW87</f>
        <v>1.25</v>
      </c>
      <c r="BD87" s="108">
        <v>0.15</v>
      </c>
      <c r="BE87" s="120">
        <f t="shared" ref="BE87:BE150" si="28">BC87/(1-18%)</f>
        <v>1.5243902439024388</v>
      </c>
      <c r="BF87" s="121">
        <f t="shared" ref="BF87:BF150" si="29">BE87-BC87</f>
        <v>0.27439024390243882</v>
      </c>
      <c r="BG87" s="121">
        <f t="shared" ref="BG87:BG150" si="30">BF87*0.09</f>
        <v>2.4695121951219492E-2</v>
      </c>
      <c r="BH87" s="122">
        <f t="shared" ref="BH87:BH150" si="31">BF87+BG87</f>
        <v>0.2990853658536583</v>
      </c>
      <c r="BI87" s="121">
        <f t="shared" ref="BI87:BI150" si="32">BE87-BH87</f>
        <v>1.2253048780487805</v>
      </c>
      <c r="BJ87" s="123">
        <f t="shared" ref="BJ87:BJ150" si="33">(BI87-AU87)/BI87</f>
        <v>0.37915111553454428</v>
      </c>
      <c r="BK87" s="124">
        <f t="shared" ref="BK87:BK150" si="34">BJ87-BA87</f>
        <v>-1.2265551132122354E-2</v>
      </c>
      <c r="BL87" s="125">
        <v>1.05</v>
      </c>
    </row>
    <row r="88" spans="1:64" ht="45" customHeight="1" x14ac:dyDescent="0.25">
      <c r="A88" s="30">
        <v>67</v>
      </c>
      <c r="B88" s="100" t="s">
        <v>203</v>
      </c>
      <c r="C88" s="31">
        <v>1</v>
      </c>
      <c r="D88" s="32" t="s">
        <v>75</v>
      </c>
      <c r="E88" s="31">
        <f t="shared" si="0"/>
        <v>48</v>
      </c>
      <c r="F88" s="31" t="s">
        <v>226</v>
      </c>
      <c r="G88" s="31" t="s">
        <v>226</v>
      </c>
      <c r="H88" s="31" t="s">
        <v>226</v>
      </c>
      <c r="I88" s="31" t="s">
        <v>226</v>
      </c>
      <c r="J88" s="31" t="s">
        <v>226</v>
      </c>
      <c r="K88" s="31" t="s">
        <v>226</v>
      </c>
      <c r="L88" s="31" t="s">
        <v>226</v>
      </c>
      <c r="M88" s="31" t="s">
        <v>226</v>
      </c>
      <c r="N88" s="31" t="s">
        <v>226</v>
      </c>
      <c r="O88" s="31" t="s">
        <v>226</v>
      </c>
      <c r="P88" s="31" t="s">
        <v>226</v>
      </c>
      <c r="Q88" s="31" t="s">
        <v>226</v>
      </c>
      <c r="R88" s="31" t="s">
        <v>226</v>
      </c>
      <c r="S88" s="31" t="s">
        <v>226</v>
      </c>
      <c r="T88" s="31" t="s">
        <v>226</v>
      </c>
      <c r="U88" s="31" t="s">
        <v>226</v>
      </c>
      <c r="V88" s="31" t="s">
        <v>226</v>
      </c>
      <c r="W88" s="31" t="s">
        <v>226</v>
      </c>
      <c r="X88" s="31" t="s">
        <v>226</v>
      </c>
      <c r="Y88" s="31" t="s">
        <v>226</v>
      </c>
      <c r="Z88" s="31" t="s">
        <v>226</v>
      </c>
      <c r="AA88" s="31" t="s">
        <v>226</v>
      </c>
      <c r="AB88" s="31" t="s">
        <v>226</v>
      </c>
      <c r="AC88" s="125" t="s">
        <v>226</v>
      </c>
      <c r="AD88" s="125" t="s">
        <v>226</v>
      </c>
      <c r="AE88" s="31" t="s">
        <v>226</v>
      </c>
      <c r="AF88" s="31" t="s">
        <v>226</v>
      </c>
      <c r="AG88" s="31" t="s">
        <v>226</v>
      </c>
      <c r="AH88" s="31" t="s">
        <v>226</v>
      </c>
      <c r="AI88" s="31" t="s">
        <v>226</v>
      </c>
      <c r="AJ88" s="31" t="s">
        <v>226</v>
      </c>
      <c r="AK88" s="31" t="s">
        <v>226</v>
      </c>
      <c r="AL88" s="31" t="s">
        <v>226</v>
      </c>
      <c r="AM88" s="31"/>
      <c r="AN88" s="31"/>
      <c r="AO88" s="96">
        <v>33.5</v>
      </c>
      <c r="AP88" s="33">
        <f t="shared" si="20"/>
        <v>0.69791666666666663</v>
      </c>
      <c r="AQ88" s="34">
        <f t="shared" si="21"/>
        <v>33.5</v>
      </c>
      <c r="AR88" s="35"/>
      <c r="AS88" s="36">
        <f t="shared" si="26"/>
        <v>0.69791666666666663</v>
      </c>
      <c r="AT88" s="36">
        <f t="shared" si="26"/>
        <v>33.5</v>
      </c>
      <c r="AU88" s="36">
        <f t="shared" si="22"/>
        <v>0.76072916666666668</v>
      </c>
      <c r="AV88" s="36">
        <f t="shared" si="23"/>
        <v>36.515000000000001</v>
      </c>
      <c r="AW88" s="37">
        <v>1.25</v>
      </c>
      <c r="AX88" s="38">
        <f t="shared" si="24"/>
        <v>60</v>
      </c>
      <c r="AY88" s="38">
        <f t="shared" si="7"/>
        <v>0.48927083333333332</v>
      </c>
      <c r="AZ88" s="38">
        <f t="shared" si="25"/>
        <v>23.484999999999999</v>
      </c>
      <c r="BA88" s="39">
        <f t="shared" si="9"/>
        <v>0.39141666666666663</v>
      </c>
      <c r="BB88" s="42"/>
      <c r="BC88" s="119">
        <f t="shared" si="27"/>
        <v>1.25</v>
      </c>
      <c r="BD88" s="108">
        <v>0.15</v>
      </c>
      <c r="BE88" s="120">
        <f t="shared" si="28"/>
        <v>1.5243902439024388</v>
      </c>
      <c r="BF88" s="121">
        <f t="shared" si="29"/>
        <v>0.27439024390243882</v>
      </c>
      <c r="BG88" s="121">
        <f t="shared" si="30"/>
        <v>2.4695121951219492E-2</v>
      </c>
      <c r="BH88" s="122">
        <f t="shared" si="31"/>
        <v>0.2990853658536583</v>
      </c>
      <c r="BI88" s="121">
        <f t="shared" si="32"/>
        <v>1.2253048780487805</v>
      </c>
      <c r="BJ88" s="123">
        <f t="shared" si="33"/>
        <v>0.37915111553454428</v>
      </c>
      <c r="BK88" s="124">
        <f t="shared" si="34"/>
        <v>-1.2265551132122354E-2</v>
      </c>
      <c r="BL88" s="125">
        <v>1.05</v>
      </c>
    </row>
    <row r="89" spans="1:64" ht="45" customHeight="1" x14ac:dyDescent="0.25">
      <c r="A89" s="30">
        <v>68</v>
      </c>
      <c r="B89" s="100" t="s">
        <v>215</v>
      </c>
      <c r="C89" s="31">
        <v>1</v>
      </c>
      <c r="D89" s="32" t="s">
        <v>75</v>
      </c>
      <c r="E89" s="31">
        <f t="shared" si="0"/>
        <v>48</v>
      </c>
      <c r="F89" s="31" t="s">
        <v>226</v>
      </c>
      <c r="G89" s="31" t="s">
        <v>226</v>
      </c>
      <c r="H89" s="31" t="s">
        <v>226</v>
      </c>
      <c r="I89" s="31" t="s">
        <v>226</v>
      </c>
      <c r="J89" s="31" t="s">
        <v>226</v>
      </c>
      <c r="K89" s="31" t="s">
        <v>226</v>
      </c>
      <c r="L89" s="31" t="s">
        <v>226</v>
      </c>
      <c r="M89" s="31" t="s">
        <v>226</v>
      </c>
      <c r="N89" s="31" t="s">
        <v>226</v>
      </c>
      <c r="O89" s="31" t="s">
        <v>226</v>
      </c>
      <c r="P89" s="31" t="s">
        <v>226</v>
      </c>
      <c r="Q89" s="31" t="s">
        <v>226</v>
      </c>
      <c r="R89" s="31" t="s">
        <v>226</v>
      </c>
      <c r="S89" s="31" t="s">
        <v>226</v>
      </c>
      <c r="T89" s="31" t="s">
        <v>226</v>
      </c>
      <c r="U89" s="31" t="s">
        <v>226</v>
      </c>
      <c r="V89" s="31" t="s">
        <v>226</v>
      </c>
      <c r="W89" s="31" t="s">
        <v>226</v>
      </c>
      <c r="X89" s="31" t="s">
        <v>226</v>
      </c>
      <c r="Y89" s="31" t="s">
        <v>226</v>
      </c>
      <c r="Z89" s="31" t="s">
        <v>226</v>
      </c>
      <c r="AA89" s="31" t="s">
        <v>226</v>
      </c>
      <c r="AB89" s="31" t="s">
        <v>226</v>
      </c>
      <c r="AC89" s="125" t="s">
        <v>226</v>
      </c>
      <c r="AD89" s="125" t="s">
        <v>226</v>
      </c>
      <c r="AE89" s="31" t="s">
        <v>226</v>
      </c>
      <c r="AF89" s="31" t="s">
        <v>226</v>
      </c>
      <c r="AG89" s="31" t="s">
        <v>226</v>
      </c>
      <c r="AH89" s="31" t="s">
        <v>226</v>
      </c>
      <c r="AI89" s="31" t="s">
        <v>226</v>
      </c>
      <c r="AJ89" s="31" t="s">
        <v>226</v>
      </c>
      <c r="AK89" s="31" t="s">
        <v>226</v>
      </c>
      <c r="AL89" s="31" t="s">
        <v>226</v>
      </c>
      <c r="AM89" s="31"/>
      <c r="AN89" s="31"/>
      <c r="AO89" s="96">
        <v>33.5</v>
      </c>
      <c r="AP89" s="33">
        <f t="shared" si="20"/>
        <v>0.69791666666666663</v>
      </c>
      <c r="AQ89" s="34">
        <f t="shared" si="21"/>
        <v>33.5</v>
      </c>
      <c r="AR89" s="35"/>
      <c r="AS89" s="36">
        <f t="shared" si="26"/>
        <v>0.69791666666666663</v>
      </c>
      <c r="AT89" s="36">
        <f t="shared" si="26"/>
        <v>33.5</v>
      </c>
      <c r="AU89" s="36">
        <f t="shared" si="22"/>
        <v>0.76072916666666668</v>
      </c>
      <c r="AV89" s="36">
        <f t="shared" si="23"/>
        <v>36.515000000000001</v>
      </c>
      <c r="AW89" s="37">
        <v>1.25</v>
      </c>
      <c r="AX89" s="38">
        <f t="shared" si="24"/>
        <v>60</v>
      </c>
      <c r="AY89" s="38">
        <f t="shared" si="7"/>
        <v>0.48927083333333332</v>
      </c>
      <c r="AZ89" s="38">
        <f t="shared" si="25"/>
        <v>23.484999999999999</v>
      </c>
      <c r="BA89" s="39">
        <f t="shared" si="9"/>
        <v>0.39141666666666663</v>
      </c>
      <c r="BB89" s="42"/>
      <c r="BC89" s="119">
        <f t="shared" si="27"/>
        <v>1.25</v>
      </c>
      <c r="BD89" s="108">
        <v>0.15</v>
      </c>
      <c r="BE89" s="120">
        <f t="shared" si="28"/>
        <v>1.5243902439024388</v>
      </c>
      <c r="BF89" s="121">
        <f t="shared" si="29"/>
        <v>0.27439024390243882</v>
      </c>
      <c r="BG89" s="121">
        <f t="shared" si="30"/>
        <v>2.4695121951219492E-2</v>
      </c>
      <c r="BH89" s="122">
        <f t="shared" si="31"/>
        <v>0.2990853658536583</v>
      </c>
      <c r="BI89" s="121">
        <f t="shared" si="32"/>
        <v>1.2253048780487805</v>
      </c>
      <c r="BJ89" s="123">
        <f t="shared" si="33"/>
        <v>0.37915111553454428</v>
      </c>
      <c r="BK89" s="124">
        <f t="shared" si="34"/>
        <v>-1.2265551132122354E-2</v>
      </c>
      <c r="BL89" s="125">
        <v>1.05</v>
      </c>
    </row>
    <row r="90" spans="1:64" ht="45" customHeight="1" x14ac:dyDescent="0.25">
      <c r="A90" s="30">
        <v>69</v>
      </c>
      <c r="B90" s="100" t="s">
        <v>202</v>
      </c>
      <c r="C90" s="31">
        <v>1</v>
      </c>
      <c r="D90" s="32" t="s">
        <v>75</v>
      </c>
      <c r="E90" s="31">
        <f t="shared" si="0"/>
        <v>48</v>
      </c>
      <c r="F90" s="31" t="s">
        <v>226</v>
      </c>
      <c r="G90" s="31" t="s">
        <v>226</v>
      </c>
      <c r="H90" s="31" t="s">
        <v>226</v>
      </c>
      <c r="I90" s="31" t="s">
        <v>226</v>
      </c>
      <c r="J90" s="31" t="s">
        <v>226</v>
      </c>
      <c r="K90" s="31" t="s">
        <v>226</v>
      </c>
      <c r="L90" s="31" t="s">
        <v>226</v>
      </c>
      <c r="M90" s="31" t="s">
        <v>226</v>
      </c>
      <c r="N90" s="31" t="s">
        <v>226</v>
      </c>
      <c r="O90" s="31" t="s">
        <v>226</v>
      </c>
      <c r="P90" s="31" t="s">
        <v>226</v>
      </c>
      <c r="Q90" s="31" t="s">
        <v>226</v>
      </c>
      <c r="R90" s="31" t="s">
        <v>226</v>
      </c>
      <c r="S90" s="31" t="s">
        <v>226</v>
      </c>
      <c r="T90" s="31" t="s">
        <v>226</v>
      </c>
      <c r="U90" s="31" t="s">
        <v>226</v>
      </c>
      <c r="V90" s="31" t="s">
        <v>226</v>
      </c>
      <c r="W90" s="31" t="s">
        <v>226</v>
      </c>
      <c r="X90" s="31" t="s">
        <v>226</v>
      </c>
      <c r="Y90" s="31" t="s">
        <v>226</v>
      </c>
      <c r="Z90" s="31" t="s">
        <v>226</v>
      </c>
      <c r="AA90" s="31" t="s">
        <v>226</v>
      </c>
      <c r="AB90" s="31" t="s">
        <v>226</v>
      </c>
      <c r="AC90" s="125" t="s">
        <v>226</v>
      </c>
      <c r="AD90" s="125" t="s">
        <v>226</v>
      </c>
      <c r="AE90" s="31" t="s">
        <v>226</v>
      </c>
      <c r="AF90" s="31" t="s">
        <v>226</v>
      </c>
      <c r="AG90" s="31" t="s">
        <v>226</v>
      </c>
      <c r="AH90" s="31" t="s">
        <v>226</v>
      </c>
      <c r="AI90" s="31" t="s">
        <v>226</v>
      </c>
      <c r="AJ90" s="31" t="s">
        <v>226</v>
      </c>
      <c r="AK90" s="31" t="s">
        <v>226</v>
      </c>
      <c r="AL90" s="31" t="s">
        <v>226</v>
      </c>
      <c r="AM90" s="31"/>
      <c r="AN90" s="31"/>
      <c r="AO90" s="96">
        <v>33.5</v>
      </c>
      <c r="AP90" s="33">
        <f t="shared" si="20"/>
        <v>0.69791666666666663</v>
      </c>
      <c r="AQ90" s="34">
        <f t="shared" si="21"/>
        <v>33.5</v>
      </c>
      <c r="AR90" s="35"/>
      <c r="AS90" s="36">
        <f t="shared" si="26"/>
        <v>0.69791666666666663</v>
      </c>
      <c r="AT90" s="36">
        <f t="shared" si="26"/>
        <v>33.5</v>
      </c>
      <c r="AU90" s="36">
        <f t="shared" si="22"/>
        <v>0.76072916666666668</v>
      </c>
      <c r="AV90" s="36">
        <f t="shared" si="23"/>
        <v>36.515000000000001</v>
      </c>
      <c r="AW90" s="37">
        <v>1.25</v>
      </c>
      <c r="AX90" s="38">
        <f t="shared" si="24"/>
        <v>60</v>
      </c>
      <c r="AY90" s="38">
        <f t="shared" si="7"/>
        <v>0.48927083333333332</v>
      </c>
      <c r="AZ90" s="38">
        <f t="shared" si="25"/>
        <v>23.484999999999999</v>
      </c>
      <c r="BA90" s="39">
        <f t="shared" si="9"/>
        <v>0.39141666666666663</v>
      </c>
      <c r="BB90" s="42"/>
      <c r="BC90" s="119">
        <f t="shared" si="27"/>
        <v>1.25</v>
      </c>
      <c r="BD90" s="108">
        <v>0.15</v>
      </c>
      <c r="BE90" s="120">
        <f t="shared" si="28"/>
        <v>1.5243902439024388</v>
      </c>
      <c r="BF90" s="121">
        <f t="shared" si="29"/>
        <v>0.27439024390243882</v>
      </c>
      <c r="BG90" s="121">
        <f t="shared" si="30"/>
        <v>2.4695121951219492E-2</v>
      </c>
      <c r="BH90" s="122">
        <f t="shared" si="31"/>
        <v>0.2990853658536583</v>
      </c>
      <c r="BI90" s="121">
        <f t="shared" si="32"/>
        <v>1.2253048780487805</v>
      </c>
      <c r="BJ90" s="123">
        <f t="shared" si="33"/>
        <v>0.37915111553454428</v>
      </c>
      <c r="BK90" s="124">
        <f t="shared" si="34"/>
        <v>-1.2265551132122354E-2</v>
      </c>
      <c r="BL90" s="125">
        <v>1.05</v>
      </c>
    </row>
    <row r="91" spans="1:64" ht="45" customHeight="1" x14ac:dyDescent="0.25">
      <c r="A91" s="30">
        <v>70</v>
      </c>
      <c r="B91" s="100" t="s">
        <v>70</v>
      </c>
      <c r="C91" s="31">
        <v>1</v>
      </c>
      <c r="D91" s="32" t="s">
        <v>75</v>
      </c>
      <c r="E91" s="31">
        <f t="shared" si="0"/>
        <v>48</v>
      </c>
      <c r="F91" s="31" t="s">
        <v>226</v>
      </c>
      <c r="G91" s="31" t="s">
        <v>226</v>
      </c>
      <c r="H91" s="31" t="s">
        <v>226</v>
      </c>
      <c r="I91" s="31" t="s">
        <v>226</v>
      </c>
      <c r="J91" s="31" t="s">
        <v>226</v>
      </c>
      <c r="K91" s="31" t="s">
        <v>226</v>
      </c>
      <c r="L91" s="31" t="s">
        <v>226</v>
      </c>
      <c r="M91" s="31" t="s">
        <v>226</v>
      </c>
      <c r="N91" s="31" t="s">
        <v>226</v>
      </c>
      <c r="O91" s="31" t="s">
        <v>226</v>
      </c>
      <c r="P91" s="31" t="s">
        <v>226</v>
      </c>
      <c r="Q91" s="31" t="s">
        <v>226</v>
      </c>
      <c r="R91" s="31" t="s">
        <v>226</v>
      </c>
      <c r="S91" s="31" t="s">
        <v>226</v>
      </c>
      <c r="T91" s="31" t="s">
        <v>226</v>
      </c>
      <c r="U91" s="31" t="s">
        <v>226</v>
      </c>
      <c r="V91" s="31" t="s">
        <v>226</v>
      </c>
      <c r="W91" s="31" t="s">
        <v>226</v>
      </c>
      <c r="X91" s="31" t="s">
        <v>226</v>
      </c>
      <c r="Y91" s="31" t="s">
        <v>226</v>
      </c>
      <c r="Z91" s="31" t="s">
        <v>226</v>
      </c>
      <c r="AA91" s="31" t="s">
        <v>226</v>
      </c>
      <c r="AB91" s="31" t="s">
        <v>226</v>
      </c>
      <c r="AC91" s="125" t="s">
        <v>226</v>
      </c>
      <c r="AD91" s="125" t="s">
        <v>226</v>
      </c>
      <c r="AE91" s="31" t="s">
        <v>226</v>
      </c>
      <c r="AF91" s="31" t="s">
        <v>226</v>
      </c>
      <c r="AG91" s="31" t="s">
        <v>226</v>
      </c>
      <c r="AH91" s="31" t="s">
        <v>226</v>
      </c>
      <c r="AI91" s="31" t="s">
        <v>226</v>
      </c>
      <c r="AJ91" s="31" t="s">
        <v>226</v>
      </c>
      <c r="AK91" s="31" t="s">
        <v>226</v>
      </c>
      <c r="AL91" s="31" t="s">
        <v>226</v>
      </c>
      <c r="AM91" s="31"/>
      <c r="AN91" s="31"/>
      <c r="AO91" s="96">
        <v>33.5</v>
      </c>
      <c r="AP91" s="33">
        <f t="shared" si="20"/>
        <v>0.69791666666666663</v>
      </c>
      <c r="AQ91" s="34">
        <f t="shared" si="21"/>
        <v>33.5</v>
      </c>
      <c r="AR91" s="35"/>
      <c r="AS91" s="36">
        <f t="shared" si="26"/>
        <v>0.69791666666666663</v>
      </c>
      <c r="AT91" s="36">
        <f t="shared" si="26"/>
        <v>33.5</v>
      </c>
      <c r="AU91" s="36">
        <f t="shared" si="22"/>
        <v>0.76072916666666668</v>
      </c>
      <c r="AV91" s="36">
        <f t="shared" si="23"/>
        <v>36.515000000000001</v>
      </c>
      <c r="AW91" s="37">
        <v>1.25</v>
      </c>
      <c r="AX91" s="38">
        <f t="shared" si="24"/>
        <v>60</v>
      </c>
      <c r="AY91" s="38">
        <f t="shared" si="7"/>
        <v>0.48927083333333332</v>
      </c>
      <c r="AZ91" s="38">
        <f t="shared" si="25"/>
        <v>23.484999999999999</v>
      </c>
      <c r="BA91" s="39">
        <f t="shared" si="9"/>
        <v>0.39141666666666663</v>
      </c>
      <c r="BB91" s="42"/>
      <c r="BC91" s="119">
        <f t="shared" si="27"/>
        <v>1.25</v>
      </c>
      <c r="BD91" s="108">
        <v>0.15</v>
      </c>
      <c r="BE91" s="120">
        <f t="shared" si="28"/>
        <v>1.5243902439024388</v>
      </c>
      <c r="BF91" s="121">
        <f t="shared" si="29"/>
        <v>0.27439024390243882</v>
      </c>
      <c r="BG91" s="121">
        <f t="shared" si="30"/>
        <v>2.4695121951219492E-2</v>
      </c>
      <c r="BH91" s="122">
        <f t="shared" si="31"/>
        <v>0.2990853658536583</v>
      </c>
      <c r="BI91" s="121">
        <f t="shared" si="32"/>
        <v>1.2253048780487805</v>
      </c>
      <c r="BJ91" s="123">
        <f t="shared" si="33"/>
        <v>0.37915111553454428</v>
      </c>
      <c r="BK91" s="124">
        <f t="shared" si="34"/>
        <v>-1.2265551132122354E-2</v>
      </c>
      <c r="BL91" s="125">
        <v>1.05</v>
      </c>
    </row>
    <row r="92" spans="1:64" ht="45" customHeight="1" x14ac:dyDescent="0.25">
      <c r="A92" s="30">
        <v>71</v>
      </c>
      <c r="B92" s="101" t="s">
        <v>216</v>
      </c>
      <c r="C92" s="31">
        <v>1</v>
      </c>
      <c r="D92" s="32" t="s">
        <v>164</v>
      </c>
      <c r="E92" s="31">
        <f t="shared" si="0"/>
        <v>120</v>
      </c>
      <c r="F92" s="31" t="s">
        <v>226</v>
      </c>
      <c r="G92" s="31" t="s">
        <v>226</v>
      </c>
      <c r="H92" s="31" t="s">
        <v>226</v>
      </c>
      <c r="I92" s="31" t="s">
        <v>226</v>
      </c>
      <c r="J92" s="31" t="s">
        <v>226</v>
      </c>
      <c r="K92" s="31" t="s">
        <v>226</v>
      </c>
      <c r="L92" s="31" t="s">
        <v>226</v>
      </c>
      <c r="M92" s="31" t="s">
        <v>226</v>
      </c>
      <c r="N92" s="31" t="s">
        <v>226</v>
      </c>
      <c r="O92" s="31" t="s">
        <v>226</v>
      </c>
      <c r="P92" s="31" t="s">
        <v>226</v>
      </c>
      <c r="Q92" s="31" t="s">
        <v>226</v>
      </c>
      <c r="R92" s="31" t="s">
        <v>226</v>
      </c>
      <c r="S92" s="31" t="s">
        <v>226</v>
      </c>
      <c r="T92" s="31" t="s">
        <v>226</v>
      </c>
      <c r="U92" s="31" t="s">
        <v>226</v>
      </c>
      <c r="V92" s="31" t="s">
        <v>226</v>
      </c>
      <c r="W92" s="31" t="s">
        <v>226</v>
      </c>
      <c r="X92" s="31" t="s">
        <v>226</v>
      </c>
      <c r="Y92" s="31" t="s">
        <v>226</v>
      </c>
      <c r="Z92" s="31" t="s">
        <v>226</v>
      </c>
      <c r="AA92" s="31" t="s">
        <v>226</v>
      </c>
      <c r="AB92" s="31" t="s">
        <v>226</v>
      </c>
      <c r="AC92" s="125" t="s">
        <v>226</v>
      </c>
      <c r="AD92" s="125" t="s">
        <v>226</v>
      </c>
      <c r="AE92" s="31" t="s">
        <v>226</v>
      </c>
      <c r="AF92" s="31" t="s">
        <v>226</v>
      </c>
      <c r="AG92" s="31" t="s">
        <v>226</v>
      </c>
      <c r="AH92" s="31" t="s">
        <v>226</v>
      </c>
      <c r="AI92" s="31" t="s">
        <v>226</v>
      </c>
      <c r="AJ92" s="31" t="s">
        <v>226</v>
      </c>
      <c r="AK92" s="31" t="s">
        <v>226</v>
      </c>
      <c r="AL92" s="31" t="s">
        <v>226</v>
      </c>
      <c r="AM92" s="31"/>
      <c r="AN92" s="31">
        <v>97</v>
      </c>
      <c r="AO92" s="96">
        <v>97</v>
      </c>
      <c r="AP92" s="33">
        <f t="shared" si="20"/>
        <v>0.80833333333333335</v>
      </c>
      <c r="AQ92" s="34">
        <f t="shared" si="21"/>
        <v>97</v>
      </c>
      <c r="AR92" s="35"/>
      <c r="AS92" s="36">
        <f t="shared" si="26"/>
        <v>0.80833333333333335</v>
      </c>
      <c r="AT92" s="36">
        <f t="shared" si="26"/>
        <v>97</v>
      </c>
      <c r="AU92" s="36">
        <f t="shared" si="22"/>
        <v>0.88108333333333344</v>
      </c>
      <c r="AV92" s="36">
        <f t="shared" si="23"/>
        <v>105.73000000000002</v>
      </c>
      <c r="AW92" s="37">
        <v>1.25</v>
      </c>
      <c r="AX92" s="38">
        <f t="shared" si="24"/>
        <v>150</v>
      </c>
      <c r="AY92" s="38">
        <f t="shared" si="7"/>
        <v>0.36891666666666656</v>
      </c>
      <c r="AZ92" s="38">
        <f t="shared" si="25"/>
        <v>44.269999999999989</v>
      </c>
      <c r="BA92" s="39">
        <f t="shared" si="9"/>
        <v>0.29513333333333325</v>
      </c>
      <c r="BB92" s="42"/>
      <c r="BC92" s="119">
        <f t="shared" si="27"/>
        <v>1.25</v>
      </c>
      <c r="BD92" s="108">
        <v>0.15</v>
      </c>
      <c r="BE92" s="120">
        <f t="shared" si="28"/>
        <v>1.5243902439024388</v>
      </c>
      <c r="BF92" s="121">
        <f t="shared" si="29"/>
        <v>0.27439024390243882</v>
      </c>
      <c r="BG92" s="121">
        <f t="shared" si="30"/>
        <v>2.4695121951219492E-2</v>
      </c>
      <c r="BH92" s="122">
        <f t="shared" si="31"/>
        <v>0.2990853658536583</v>
      </c>
      <c r="BI92" s="121">
        <f t="shared" si="32"/>
        <v>1.2253048780487805</v>
      </c>
      <c r="BJ92" s="123">
        <f t="shared" si="33"/>
        <v>0.28092726217135267</v>
      </c>
      <c r="BK92" s="124">
        <f t="shared" si="34"/>
        <v>-1.4206071161980582E-2</v>
      </c>
      <c r="BL92" s="125">
        <v>1.5</v>
      </c>
    </row>
    <row r="93" spans="1:64" ht="45" customHeight="1" x14ac:dyDescent="0.25">
      <c r="A93" s="30">
        <v>72</v>
      </c>
      <c r="B93" s="101" t="s">
        <v>71</v>
      </c>
      <c r="C93" s="31">
        <v>1</v>
      </c>
      <c r="D93" s="32" t="s">
        <v>164</v>
      </c>
      <c r="E93" s="31">
        <f t="shared" si="0"/>
        <v>120</v>
      </c>
      <c r="F93" s="31" t="s">
        <v>226</v>
      </c>
      <c r="G93" s="31" t="s">
        <v>226</v>
      </c>
      <c r="H93" s="31" t="s">
        <v>226</v>
      </c>
      <c r="I93" s="31" t="s">
        <v>226</v>
      </c>
      <c r="J93" s="31" t="s">
        <v>226</v>
      </c>
      <c r="K93" s="31" t="s">
        <v>226</v>
      </c>
      <c r="L93" s="31" t="s">
        <v>226</v>
      </c>
      <c r="M93" s="31" t="s">
        <v>226</v>
      </c>
      <c r="N93" s="31" t="s">
        <v>226</v>
      </c>
      <c r="O93" s="31" t="s">
        <v>226</v>
      </c>
      <c r="P93" s="31" t="s">
        <v>226</v>
      </c>
      <c r="Q93" s="31" t="s">
        <v>226</v>
      </c>
      <c r="R93" s="31" t="s">
        <v>226</v>
      </c>
      <c r="S93" s="31" t="s">
        <v>226</v>
      </c>
      <c r="T93" s="31" t="s">
        <v>226</v>
      </c>
      <c r="U93" s="31" t="s">
        <v>226</v>
      </c>
      <c r="V93" s="31" t="s">
        <v>226</v>
      </c>
      <c r="W93" s="31" t="s">
        <v>226</v>
      </c>
      <c r="X93" s="31" t="s">
        <v>226</v>
      </c>
      <c r="Y93" s="31" t="s">
        <v>226</v>
      </c>
      <c r="Z93" s="31" t="s">
        <v>226</v>
      </c>
      <c r="AA93" s="31" t="s">
        <v>226</v>
      </c>
      <c r="AB93" s="31" t="s">
        <v>226</v>
      </c>
      <c r="AC93" s="125" t="s">
        <v>226</v>
      </c>
      <c r="AD93" s="125" t="s">
        <v>226</v>
      </c>
      <c r="AE93" s="31" t="s">
        <v>226</v>
      </c>
      <c r="AF93" s="31" t="s">
        <v>226</v>
      </c>
      <c r="AG93" s="31" t="s">
        <v>226</v>
      </c>
      <c r="AH93" s="31" t="s">
        <v>226</v>
      </c>
      <c r="AI93" s="31" t="s">
        <v>226</v>
      </c>
      <c r="AJ93" s="31" t="s">
        <v>226</v>
      </c>
      <c r="AK93" s="31" t="s">
        <v>226</v>
      </c>
      <c r="AL93" s="31" t="s">
        <v>226</v>
      </c>
      <c r="AM93" s="31"/>
      <c r="AN93" s="31"/>
      <c r="AO93" s="96">
        <v>94</v>
      </c>
      <c r="AP93" s="33">
        <f t="shared" si="20"/>
        <v>0.78333333333333333</v>
      </c>
      <c r="AQ93" s="34">
        <f t="shared" si="21"/>
        <v>94</v>
      </c>
      <c r="AR93" s="35"/>
      <c r="AS93" s="36">
        <f t="shared" si="26"/>
        <v>0.78333333333333333</v>
      </c>
      <c r="AT93" s="36">
        <f t="shared" si="26"/>
        <v>94</v>
      </c>
      <c r="AU93" s="36">
        <f t="shared" si="22"/>
        <v>0.85383333333333333</v>
      </c>
      <c r="AV93" s="36">
        <f t="shared" si="23"/>
        <v>102.46</v>
      </c>
      <c r="AW93" s="37">
        <v>1.25</v>
      </c>
      <c r="AX93" s="38">
        <f t="shared" si="24"/>
        <v>150</v>
      </c>
      <c r="AY93" s="38">
        <f t="shared" si="7"/>
        <v>0.39616666666666667</v>
      </c>
      <c r="AZ93" s="38">
        <f t="shared" si="25"/>
        <v>47.54</v>
      </c>
      <c r="BA93" s="39">
        <f t="shared" si="9"/>
        <v>0.31693333333333334</v>
      </c>
      <c r="BB93" s="42"/>
      <c r="BC93" s="119">
        <f t="shared" si="27"/>
        <v>1.25</v>
      </c>
      <c r="BD93" s="108">
        <v>0.15</v>
      </c>
      <c r="BE93" s="120">
        <f t="shared" si="28"/>
        <v>1.5243902439024388</v>
      </c>
      <c r="BF93" s="121">
        <f t="shared" si="29"/>
        <v>0.27439024390243882</v>
      </c>
      <c r="BG93" s="121">
        <f t="shared" si="30"/>
        <v>2.4695121951219492E-2</v>
      </c>
      <c r="BH93" s="122">
        <f t="shared" si="31"/>
        <v>0.2990853658536583</v>
      </c>
      <c r="BI93" s="121">
        <f t="shared" si="32"/>
        <v>1.2253048780487805</v>
      </c>
      <c r="BJ93" s="123">
        <f t="shared" si="33"/>
        <v>0.30316662519698101</v>
      </c>
      <c r="BK93" s="124">
        <f t="shared" si="34"/>
        <v>-1.3766708136352335E-2</v>
      </c>
      <c r="BL93" s="125">
        <v>1.5</v>
      </c>
    </row>
    <row r="94" spans="1:64" ht="45" customHeight="1" x14ac:dyDescent="0.25">
      <c r="A94" s="30">
        <v>73</v>
      </c>
      <c r="B94" s="102" t="s">
        <v>72</v>
      </c>
      <c r="C94" s="31">
        <v>1</v>
      </c>
      <c r="D94" s="32" t="s">
        <v>164</v>
      </c>
      <c r="E94" s="31">
        <f t="shared" si="0"/>
        <v>120</v>
      </c>
      <c r="F94" s="31" t="s">
        <v>226</v>
      </c>
      <c r="G94" s="31" t="s">
        <v>226</v>
      </c>
      <c r="H94" s="31" t="s">
        <v>226</v>
      </c>
      <c r="I94" s="31" t="s">
        <v>226</v>
      </c>
      <c r="J94" s="31" t="s">
        <v>226</v>
      </c>
      <c r="K94" s="31" t="s">
        <v>226</v>
      </c>
      <c r="L94" s="31" t="s">
        <v>226</v>
      </c>
      <c r="M94" s="31" t="s">
        <v>226</v>
      </c>
      <c r="N94" s="31" t="s">
        <v>226</v>
      </c>
      <c r="O94" s="31" t="s">
        <v>226</v>
      </c>
      <c r="P94" s="31" t="s">
        <v>226</v>
      </c>
      <c r="Q94" s="31" t="s">
        <v>226</v>
      </c>
      <c r="R94" s="31" t="s">
        <v>226</v>
      </c>
      <c r="S94" s="31" t="s">
        <v>226</v>
      </c>
      <c r="T94" s="31" t="s">
        <v>226</v>
      </c>
      <c r="U94" s="31" t="s">
        <v>226</v>
      </c>
      <c r="V94" s="31" t="s">
        <v>226</v>
      </c>
      <c r="W94" s="31" t="s">
        <v>226</v>
      </c>
      <c r="X94" s="31" t="s">
        <v>226</v>
      </c>
      <c r="Y94" s="31" t="s">
        <v>226</v>
      </c>
      <c r="Z94" s="31" t="s">
        <v>226</v>
      </c>
      <c r="AA94" s="31" t="s">
        <v>226</v>
      </c>
      <c r="AB94" s="31" t="s">
        <v>226</v>
      </c>
      <c r="AC94" s="125" t="s">
        <v>226</v>
      </c>
      <c r="AD94" s="125" t="s">
        <v>226</v>
      </c>
      <c r="AE94" s="31" t="s">
        <v>226</v>
      </c>
      <c r="AF94" s="31" t="s">
        <v>226</v>
      </c>
      <c r="AG94" s="31" t="s">
        <v>226</v>
      </c>
      <c r="AH94" s="31" t="s">
        <v>226</v>
      </c>
      <c r="AI94" s="31" t="s">
        <v>226</v>
      </c>
      <c r="AJ94" s="31" t="s">
        <v>226</v>
      </c>
      <c r="AK94" s="31" t="s">
        <v>226</v>
      </c>
      <c r="AL94" s="31" t="s">
        <v>226</v>
      </c>
      <c r="AM94" s="31"/>
      <c r="AN94" s="31"/>
      <c r="AO94" s="96">
        <v>94</v>
      </c>
      <c r="AP94" s="33">
        <f t="shared" si="20"/>
        <v>0.78333333333333333</v>
      </c>
      <c r="AQ94" s="34">
        <f t="shared" si="21"/>
        <v>94</v>
      </c>
      <c r="AR94" s="35"/>
      <c r="AS94" s="36">
        <f t="shared" si="26"/>
        <v>0.78333333333333333</v>
      </c>
      <c r="AT94" s="36">
        <f t="shared" si="26"/>
        <v>94</v>
      </c>
      <c r="AU94" s="36">
        <f t="shared" si="22"/>
        <v>0.85383333333333333</v>
      </c>
      <c r="AV94" s="36">
        <f t="shared" si="23"/>
        <v>102.46</v>
      </c>
      <c r="AW94" s="37">
        <v>1.25</v>
      </c>
      <c r="AX94" s="38">
        <f t="shared" si="24"/>
        <v>150</v>
      </c>
      <c r="AY94" s="38">
        <f t="shared" si="7"/>
        <v>0.39616666666666667</v>
      </c>
      <c r="AZ94" s="38">
        <f t="shared" si="25"/>
        <v>47.54</v>
      </c>
      <c r="BA94" s="39">
        <f t="shared" si="9"/>
        <v>0.31693333333333334</v>
      </c>
      <c r="BB94" s="42"/>
      <c r="BC94" s="119">
        <f t="shared" si="27"/>
        <v>1.25</v>
      </c>
      <c r="BD94" s="108">
        <v>0.15</v>
      </c>
      <c r="BE94" s="120">
        <f t="shared" si="28"/>
        <v>1.5243902439024388</v>
      </c>
      <c r="BF94" s="121">
        <f t="shared" si="29"/>
        <v>0.27439024390243882</v>
      </c>
      <c r="BG94" s="121">
        <f t="shared" si="30"/>
        <v>2.4695121951219492E-2</v>
      </c>
      <c r="BH94" s="122">
        <f t="shared" si="31"/>
        <v>0.2990853658536583</v>
      </c>
      <c r="BI94" s="121">
        <f t="shared" si="32"/>
        <v>1.2253048780487805</v>
      </c>
      <c r="BJ94" s="123">
        <f t="shared" si="33"/>
        <v>0.30316662519698101</v>
      </c>
      <c r="BK94" s="124">
        <f t="shared" si="34"/>
        <v>-1.3766708136352335E-2</v>
      </c>
      <c r="BL94" s="125">
        <v>1.5</v>
      </c>
    </row>
    <row r="95" spans="1:64" ht="45" customHeight="1" x14ac:dyDescent="0.25">
      <c r="A95" s="30">
        <v>74</v>
      </c>
      <c r="B95" s="100" t="s">
        <v>135</v>
      </c>
      <c r="C95" s="31">
        <v>1</v>
      </c>
      <c r="D95" s="32" t="s">
        <v>73</v>
      </c>
      <c r="E95" s="31">
        <f t="shared" si="0"/>
        <v>12</v>
      </c>
      <c r="F95" s="31" t="s">
        <v>226</v>
      </c>
      <c r="G95" s="31" t="s">
        <v>226</v>
      </c>
      <c r="H95" s="31" t="s">
        <v>226</v>
      </c>
      <c r="I95" s="31" t="s">
        <v>226</v>
      </c>
      <c r="J95" s="31" t="s">
        <v>226</v>
      </c>
      <c r="K95" s="31" t="s">
        <v>226</v>
      </c>
      <c r="L95" s="31" t="s">
        <v>226</v>
      </c>
      <c r="M95" s="31" t="s">
        <v>226</v>
      </c>
      <c r="N95" s="31" t="s">
        <v>226</v>
      </c>
      <c r="O95" s="31" t="s">
        <v>226</v>
      </c>
      <c r="P95" s="31" t="s">
        <v>226</v>
      </c>
      <c r="Q95" s="31" t="s">
        <v>226</v>
      </c>
      <c r="R95" s="31" t="s">
        <v>226</v>
      </c>
      <c r="S95" s="31" t="s">
        <v>226</v>
      </c>
      <c r="T95" s="31" t="s">
        <v>226</v>
      </c>
      <c r="U95" s="31" t="s">
        <v>226</v>
      </c>
      <c r="V95" s="31" t="s">
        <v>226</v>
      </c>
      <c r="W95" s="31" t="s">
        <v>226</v>
      </c>
      <c r="X95" s="31" t="s">
        <v>226</v>
      </c>
      <c r="Y95" s="31" t="s">
        <v>226</v>
      </c>
      <c r="Z95" s="31" t="s">
        <v>226</v>
      </c>
      <c r="AA95" s="31" t="s">
        <v>226</v>
      </c>
      <c r="AB95" s="31" t="s">
        <v>226</v>
      </c>
      <c r="AC95" s="125" t="s">
        <v>226</v>
      </c>
      <c r="AD95" s="125" t="s">
        <v>226</v>
      </c>
      <c r="AE95" s="31" t="s">
        <v>226</v>
      </c>
      <c r="AF95" s="31" t="s">
        <v>226</v>
      </c>
      <c r="AG95" s="31" t="s">
        <v>226</v>
      </c>
      <c r="AH95" s="31" t="s">
        <v>226</v>
      </c>
      <c r="AI95" s="31" t="s">
        <v>226</v>
      </c>
      <c r="AJ95" s="31" t="s">
        <v>226</v>
      </c>
      <c r="AK95" s="31" t="s">
        <v>226</v>
      </c>
      <c r="AL95" s="31" t="s">
        <v>226</v>
      </c>
      <c r="AM95" s="31"/>
      <c r="AN95" s="31"/>
      <c r="AO95" s="96">
        <v>8.9</v>
      </c>
      <c r="AP95" s="33">
        <f t="shared" si="20"/>
        <v>0.7416666666666667</v>
      </c>
      <c r="AQ95" s="34">
        <f t="shared" si="21"/>
        <v>8.9</v>
      </c>
      <c r="AR95" s="35"/>
      <c r="AS95" s="36">
        <f t="shared" si="26"/>
        <v>0.7416666666666667</v>
      </c>
      <c r="AT95" s="36">
        <f t="shared" si="26"/>
        <v>8.9</v>
      </c>
      <c r="AU95" s="36">
        <f t="shared" si="22"/>
        <v>0.80841666666666678</v>
      </c>
      <c r="AV95" s="36">
        <f t="shared" si="23"/>
        <v>9.7010000000000005</v>
      </c>
      <c r="AW95" s="37">
        <v>1.25</v>
      </c>
      <c r="AX95" s="38">
        <f t="shared" si="24"/>
        <v>15</v>
      </c>
      <c r="AY95" s="38">
        <f t="shared" si="7"/>
        <v>0.44158333333333322</v>
      </c>
      <c r="AZ95" s="38">
        <f t="shared" si="25"/>
        <v>5.2989999999999986</v>
      </c>
      <c r="BA95" s="39">
        <f t="shared" si="9"/>
        <v>0.35326666666666656</v>
      </c>
      <c r="BB95" s="40"/>
      <c r="BC95" s="119">
        <f t="shared" si="27"/>
        <v>1.25</v>
      </c>
      <c r="BD95" s="108">
        <v>0.15</v>
      </c>
      <c r="BE95" s="120">
        <f t="shared" si="28"/>
        <v>1.5243902439024388</v>
      </c>
      <c r="BF95" s="121">
        <f t="shared" si="29"/>
        <v>0.27439024390243882</v>
      </c>
      <c r="BG95" s="121">
        <f t="shared" si="30"/>
        <v>2.4695121951219492E-2</v>
      </c>
      <c r="BH95" s="122">
        <f t="shared" si="31"/>
        <v>0.2990853658536583</v>
      </c>
      <c r="BI95" s="121">
        <f t="shared" si="32"/>
        <v>1.2253048780487805</v>
      </c>
      <c r="BJ95" s="123">
        <f t="shared" si="33"/>
        <v>0.34023223023969473</v>
      </c>
      <c r="BK95" s="124">
        <f t="shared" si="34"/>
        <v>-1.3034436426971829E-2</v>
      </c>
      <c r="BL95" s="125" t="s">
        <v>226</v>
      </c>
    </row>
    <row r="96" spans="1:64" ht="45" customHeight="1" x14ac:dyDescent="0.25">
      <c r="A96" s="30">
        <v>75</v>
      </c>
      <c r="B96" s="100" t="s">
        <v>128</v>
      </c>
      <c r="C96" s="31">
        <v>1</v>
      </c>
      <c r="D96" s="32" t="s">
        <v>73</v>
      </c>
      <c r="E96" s="31">
        <f t="shared" si="0"/>
        <v>12</v>
      </c>
      <c r="F96" s="31" t="s">
        <v>226</v>
      </c>
      <c r="G96" s="31" t="s">
        <v>226</v>
      </c>
      <c r="H96" s="31" t="s">
        <v>226</v>
      </c>
      <c r="I96" s="31" t="s">
        <v>226</v>
      </c>
      <c r="J96" s="31" t="s">
        <v>226</v>
      </c>
      <c r="K96" s="31" t="s">
        <v>226</v>
      </c>
      <c r="L96" s="31" t="s">
        <v>226</v>
      </c>
      <c r="M96" s="31" t="s">
        <v>226</v>
      </c>
      <c r="N96" s="31" t="s">
        <v>226</v>
      </c>
      <c r="O96" s="31" t="s">
        <v>226</v>
      </c>
      <c r="P96" s="31" t="s">
        <v>226</v>
      </c>
      <c r="Q96" s="31" t="s">
        <v>226</v>
      </c>
      <c r="R96" s="31" t="s">
        <v>226</v>
      </c>
      <c r="S96" s="31" t="s">
        <v>226</v>
      </c>
      <c r="T96" s="31" t="s">
        <v>226</v>
      </c>
      <c r="U96" s="31" t="s">
        <v>226</v>
      </c>
      <c r="V96" s="31" t="s">
        <v>226</v>
      </c>
      <c r="W96" s="31" t="s">
        <v>226</v>
      </c>
      <c r="X96" s="31" t="s">
        <v>226</v>
      </c>
      <c r="Y96" s="31" t="s">
        <v>226</v>
      </c>
      <c r="Z96" s="31" t="s">
        <v>226</v>
      </c>
      <c r="AA96" s="31" t="s">
        <v>226</v>
      </c>
      <c r="AB96" s="31" t="s">
        <v>226</v>
      </c>
      <c r="AC96" s="125" t="s">
        <v>226</v>
      </c>
      <c r="AD96" s="125" t="s">
        <v>226</v>
      </c>
      <c r="AE96" s="31" t="s">
        <v>226</v>
      </c>
      <c r="AF96" s="31" t="s">
        <v>226</v>
      </c>
      <c r="AG96" s="31" t="s">
        <v>226</v>
      </c>
      <c r="AH96" s="31" t="s">
        <v>226</v>
      </c>
      <c r="AI96" s="31" t="s">
        <v>226</v>
      </c>
      <c r="AJ96" s="31" t="s">
        <v>226</v>
      </c>
      <c r="AK96" s="31" t="s">
        <v>226</v>
      </c>
      <c r="AL96" s="31" t="s">
        <v>226</v>
      </c>
      <c r="AM96" s="31"/>
      <c r="AN96" s="31"/>
      <c r="AO96" s="96">
        <v>8.9</v>
      </c>
      <c r="AP96" s="33">
        <f t="shared" si="20"/>
        <v>0.7416666666666667</v>
      </c>
      <c r="AQ96" s="34">
        <f t="shared" si="21"/>
        <v>8.9</v>
      </c>
      <c r="AR96" s="35"/>
      <c r="AS96" s="36">
        <f t="shared" si="26"/>
        <v>0.7416666666666667</v>
      </c>
      <c r="AT96" s="36">
        <f t="shared" si="26"/>
        <v>8.9</v>
      </c>
      <c r="AU96" s="36">
        <f t="shared" si="22"/>
        <v>0.80841666666666678</v>
      </c>
      <c r="AV96" s="36">
        <f t="shared" si="23"/>
        <v>9.7010000000000005</v>
      </c>
      <c r="AW96" s="37">
        <v>1.25</v>
      </c>
      <c r="AX96" s="38">
        <f t="shared" si="24"/>
        <v>15</v>
      </c>
      <c r="AY96" s="38">
        <f t="shared" si="7"/>
        <v>0.44158333333333322</v>
      </c>
      <c r="AZ96" s="38">
        <f t="shared" si="25"/>
        <v>5.2989999999999986</v>
      </c>
      <c r="BA96" s="39">
        <f t="shared" si="9"/>
        <v>0.35326666666666656</v>
      </c>
      <c r="BB96" s="41"/>
      <c r="BC96" s="119">
        <f t="shared" si="27"/>
        <v>1.25</v>
      </c>
      <c r="BD96" s="108">
        <v>0.15</v>
      </c>
      <c r="BE96" s="120">
        <f t="shared" si="28"/>
        <v>1.5243902439024388</v>
      </c>
      <c r="BF96" s="121">
        <f t="shared" si="29"/>
        <v>0.27439024390243882</v>
      </c>
      <c r="BG96" s="121">
        <f t="shared" si="30"/>
        <v>2.4695121951219492E-2</v>
      </c>
      <c r="BH96" s="122">
        <f t="shared" si="31"/>
        <v>0.2990853658536583</v>
      </c>
      <c r="BI96" s="121">
        <f t="shared" si="32"/>
        <v>1.2253048780487805</v>
      </c>
      <c r="BJ96" s="123">
        <f t="shared" si="33"/>
        <v>0.34023223023969473</v>
      </c>
      <c r="BK96" s="124">
        <f t="shared" si="34"/>
        <v>-1.3034436426971829E-2</v>
      </c>
      <c r="BL96" s="125" t="s">
        <v>226</v>
      </c>
    </row>
    <row r="97" spans="1:64" ht="45" customHeight="1" x14ac:dyDescent="0.25">
      <c r="A97" s="30">
        <v>76</v>
      </c>
      <c r="B97" s="100" t="s">
        <v>129</v>
      </c>
      <c r="C97" s="31">
        <v>1</v>
      </c>
      <c r="D97" s="32" t="s">
        <v>73</v>
      </c>
      <c r="E97" s="31">
        <f t="shared" si="0"/>
        <v>12</v>
      </c>
      <c r="F97" s="31" t="s">
        <v>226</v>
      </c>
      <c r="G97" s="31" t="s">
        <v>226</v>
      </c>
      <c r="H97" s="31" t="s">
        <v>226</v>
      </c>
      <c r="I97" s="31" t="s">
        <v>226</v>
      </c>
      <c r="J97" s="31" t="s">
        <v>226</v>
      </c>
      <c r="K97" s="31" t="s">
        <v>226</v>
      </c>
      <c r="L97" s="31" t="s">
        <v>226</v>
      </c>
      <c r="M97" s="31" t="s">
        <v>226</v>
      </c>
      <c r="N97" s="31" t="s">
        <v>226</v>
      </c>
      <c r="O97" s="31" t="s">
        <v>226</v>
      </c>
      <c r="P97" s="31" t="s">
        <v>226</v>
      </c>
      <c r="Q97" s="31" t="s">
        <v>226</v>
      </c>
      <c r="R97" s="31" t="s">
        <v>226</v>
      </c>
      <c r="S97" s="31" t="s">
        <v>226</v>
      </c>
      <c r="T97" s="31" t="s">
        <v>226</v>
      </c>
      <c r="U97" s="31" t="s">
        <v>226</v>
      </c>
      <c r="V97" s="31" t="s">
        <v>226</v>
      </c>
      <c r="W97" s="31" t="s">
        <v>226</v>
      </c>
      <c r="X97" s="31" t="s">
        <v>226</v>
      </c>
      <c r="Y97" s="31" t="s">
        <v>226</v>
      </c>
      <c r="Z97" s="31" t="s">
        <v>226</v>
      </c>
      <c r="AA97" s="31" t="s">
        <v>226</v>
      </c>
      <c r="AB97" s="31" t="s">
        <v>226</v>
      </c>
      <c r="AC97" s="125" t="s">
        <v>226</v>
      </c>
      <c r="AD97" s="125" t="s">
        <v>226</v>
      </c>
      <c r="AE97" s="31" t="s">
        <v>226</v>
      </c>
      <c r="AF97" s="31" t="s">
        <v>226</v>
      </c>
      <c r="AG97" s="31" t="s">
        <v>226</v>
      </c>
      <c r="AH97" s="31" t="s">
        <v>226</v>
      </c>
      <c r="AI97" s="31" t="s">
        <v>226</v>
      </c>
      <c r="AJ97" s="31" t="s">
        <v>226</v>
      </c>
      <c r="AK97" s="31" t="s">
        <v>226</v>
      </c>
      <c r="AL97" s="31" t="s">
        <v>226</v>
      </c>
      <c r="AM97" s="31"/>
      <c r="AN97" s="31"/>
      <c r="AO97" s="96">
        <v>8.9</v>
      </c>
      <c r="AP97" s="33">
        <f t="shared" si="20"/>
        <v>0.7416666666666667</v>
      </c>
      <c r="AQ97" s="34">
        <f t="shared" si="21"/>
        <v>8.9</v>
      </c>
      <c r="AR97" s="35"/>
      <c r="AS97" s="36">
        <f t="shared" si="26"/>
        <v>0.7416666666666667</v>
      </c>
      <c r="AT97" s="36">
        <f t="shared" si="26"/>
        <v>8.9</v>
      </c>
      <c r="AU97" s="36">
        <f t="shared" si="22"/>
        <v>0.80841666666666678</v>
      </c>
      <c r="AV97" s="36">
        <f t="shared" si="23"/>
        <v>9.7010000000000005</v>
      </c>
      <c r="AW97" s="37">
        <v>1.25</v>
      </c>
      <c r="AX97" s="38">
        <f t="shared" si="24"/>
        <v>15</v>
      </c>
      <c r="AY97" s="38">
        <f t="shared" si="7"/>
        <v>0.44158333333333322</v>
      </c>
      <c r="AZ97" s="38">
        <f t="shared" si="25"/>
        <v>5.2989999999999986</v>
      </c>
      <c r="BA97" s="39">
        <f t="shared" si="9"/>
        <v>0.35326666666666656</v>
      </c>
      <c r="BB97" s="42"/>
      <c r="BC97" s="119">
        <f t="shared" si="27"/>
        <v>1.25</v>
      </c>
      <c r="BD97" s="108">
        <v>0.15</v>
      </c>
      <c r="BE97" s="120">
        <f t="shared" si="28"/>
        <v>1.5243902439024388</v>
      </c>
      <c r="BF97" s="121">
        <f t="shared" si="29"/>
        <v>0.27439024390243882</v>
      </c>
      <c r="BG97" s="121">
        <f t="shared" si="30"/>
        <v>2.4695121951219492E-2</v>
      </c>
      <c r="BH97" s="122">
        <f t="shared" si="31"/>
        <v>0.2990853658536583</v>
      </c>
      <c r="BI97" s="121">
        <f t="shared" si="32"/>
        <v>1.2253048780487805</v>
      </c>
      <c r="BJ97" s="123">
        <f t="shared" si="33"/>
        <v>0.34023223023969473</v>
      </c>
      <c r="BK97" s="124">
        <f t="shared" si="34"/>
        <v>-1.3034436426971829E-2</v>
      </c>
      <c r="BL97" s="125">
        <v>1.25</v>
      </c>
    </row>
    <row r="98" spans="1:64" ht="45" customHeight="1" x14ac:dyDescent="0.25">
      <c r="A98" s="30">
        <v>77</v>
      </c>
      <c r="B98" s="100" t="s">
        <v>205</v>
      </c>
      <c r="C98" s="31">
        <v>1</v>
      </c>
      <c r="D98" s="32" t="s">
        <v>24</v>
      </c>
      <c r="E98" s="31">
        <f t="shared" si="0"/>
        <v>24</v>
      </c>
      <c r="F98" s="31" t="s">
        <v>226</v>
      </c>
      <c r="G98" s="31" t="s">
        <v>226</v>
      </c>
      <c r="H98" s="31" t="s">
        <v>226</v>
      </c>
      <c r="I98" s="31" t="s">
        <v>226</v>
      </c>
      <c r="J98" s="31" t="s">
        <v>226</v>
      </c>
      <c r="K98" s="31" t="s">
        <v>226</v>
      </c>
      <c r="L98" s="31" t="s">
        <v>226</v>
      </c>
      <c r="M98" s="31" t="s">
        <v>226</v>
      </c>
      <c r="N98" s="31" t="s">
        <v>226</v>
      </c>
      <c r="O98" s="31" t="s">
        <v>226</v>
      </c>
      <c r="P98" s="31" t="s">
        <v>226</v>
      </c>
      <c r="Q98" s="31" t="s">
        <v>226</v>
      </c>
      <c r="R98" s="31" t="s">
        <v>226</v>
      </c>
      <c r="S98" s="31" t="s">
        <v>226</v>
      </c>
      <c r="T98" s="31" t="s">
        <v>226</v>
      </c>
      <c r="U98" s="31" t="s">
        <v>226</v>
      </c>
      <c r="V98" s="31" t="s">
        <v>226</v>
      </c>
      <c r="W98" s="31" t="s">
        <v>226</v>
      </c>
      <c r="X98" s="31" t="s">
        <v>226</v>
      </c>
      <c r="Y98" s="31" t="s">
        <v>226</v>
      </c>
      <c r="Z98" s="31" t="s">
        <v>226</v>
      </c>
      <c r="AA98" s="31" t="s">
        <v>226</v>
      </c>
      <c r="AB98" s="31" t="s">
        <v>226</v>
      </c>
      <c r="AC98" s="125" t="s">
        <v>226</v>
      </c>
      <c r="AD98" s="125" t="s">
        <v>226</v>
      </c>
      <c r="AE98" s="31" t="s">
        <v>226</v>
      </c>
      <c r="AF98" s="31" t="s">
        <v>226</v>
      </c>
      <c r="AG98" s="31" t="s">
        <v>226</v>
      </c>
      <c r="AH98" s="31" t="s">
        <v>226</v>
      </c>
      <c r="AI98" s="31" t="s">
        <v>226</v>
      </c>
      <c r="AJ98" s="31" t="s">
        <v>226</v>
      </c>
      <c r="AK98" s="31" t="s">
        <v>226</v>
      </c>
      <c r="AL98" s="31" t="s">
        <v>226</v>
      </c>
      <c r="AM98" s="31"/>
      <c r="AN98" s="31"/>
      <c r="AO98" s="96">
        <v>9.1999999999999993</v>
      </c>
      <c r="AP98" s="33">
        <f t="shared" si="20"/>
        <v>0.3833333333333333</v>
      </c>
      <c r="AQ98" s="34">
        <f t="shared" si="21"/>
        <v>9.1999999999999993</v>
      </c>
      <c r="AR98" s="35"/>
      <c r="AS98" s="36">
        <f t="shared" si="26"/>
        <v>0.3833333333333333</v>
      </c>
      <c r="AT98" s="36">
        <f t="shared" si="26"/>
        <v>9.1999999999999993</v>
      </c>
      <c r="AU98" s="36">
        <f t="shared" si="22"/>
        <v>0.41783333333333333</v>
      </c>
      <c r="AV98" s="36">
        <f t="shared" si="23"/>
        <v>10.028</v>
      </c>
      <c r="AW98" s="37">
        <v>0.6</v>
      </c>
      <c r="AX98" s="38">
        <f t="shared" si="24"/>
        <v>14.399999999999999</v>
      </c>
      <c r="AY98" s="38">
        <f t="shared" si="7"/>
        <v>0.18216666666666664</v>
      </c>
      <c r="AZ98" s="38">
        <f t="shared" si="25"/>
        <v>4.3719999999999999</v>
      </c>
      <c r="BA98" s="39">
        <f t="shared" si="9"/>
        <v>0.30361111111111111</v>
      </c>
      <c r="BB98" s="41"/>
      <c r="BC98" s="119">
        <f t="shared" si="27"/>
        <v>0.6</v>
      </c>
      <c r="BD98" s="108">
        <v>0.15</v>
      </c>
      <c r="BE98" s="120">
        <f t="shared" si="28"/>
        <v>0.7317073170731706</v>
      </c>
      <c r="BF98" s="121">
        <f t="shared" si="29"/>
        <v>0.13170731707317063</v>
      </c>
      <c r="BG98" s="121">
        <f t="shared" si="30"/>
        <v>1.1853658536585356E-2</v>
      </c>
      <c r="BH98" s="122">
        <f t="shared" si="31"/>
        <v>0.14356097560975598</v>
      </c>
      <c r="BI98" s="121">
        <f t="shared" si="32"/>
        <v>0.5881463414634146</v>
      </c>
      <c r="BJ98" s="123">
        <f t="shared" si="33"/>
        <v>0.28957590334798594</v>
      </c>
      <c r="BK98" s="124">
        <f t="shared" si="34"/>
        <v>-1.4035207763125168E-2</v>
      </c>
      <c r="BL98" s="125">
        <v>0.95</v>
      </c>
    </row>
    <row r="99" spans="1:64" ht="45" customHeight="1" x14ac:dyDescent="0.25">
      <c r="A99" s="30">
        <v>78</v>
      </c>
      <c r="B99" s="104" t="s">
        <v>77</v>
      </c>
      <c r="C99" s="31">
        <v>1</v>
      </c>
      <c r="D99" s="32" t="s">
        <v>84</v>
      </c>
      <c r="E99" s="31">
        <f t="shared" si="0"/>
        <v>8</v>
      </c>
      <c r="F99" s="31" t="s">
        <v>226</v>
      </c>
      <c r="G99" s="31" t="s">
        <v>226</v>
      </c>
      <c r="H99" s="31" t="s">
        <v>226</v>
      </c>
      <c r="I99" s="31" t="s">
        <v>226</v>
      </c>
      <c r="J99" s="31" t="s">
        <v>226</v>
      </c>
      <c r="K99" s="31" t="s">
        <v>226</v>
      </c>
      <c r="L99" s="31" t="s">
        <v>226</v>
      </c>
      <c r="M99" s="31" t="s">
        <v>226</v>
      </c>
      <c r="N99" s="31" t="s">
        <v>226</v>
      </c>
      <c r="O99" s="31" t="s">
        <v>226</v>
      </c>
      <c r="P99" s="31" t="s">
        <v>226</v>
      </c>
      <c r="Q99" s="31" t="s">
        <v>226</v>
      </c>
      <c r="R99" s="31" t="s">
        <v>226</v>
      </c>
      <c r="S99" s="31" t="s">
        <v>226</v>
      </c>
      <c r="T99" s="31" t="s">
        <v>226</v>
      </c>
      <c r="U99" s="31" t="s">
        <v>226</v>
      </c>
      <c r="V99" s="31" t="s">
        <v>226</v>
      </c>
      <c r="W99" s="31" t="s">
        <v>226</v>
      </c>
      <c r="X99" s="31" t="s">
        <v>226</v>
      </c>
      <c r="Y99" s="31" t="s">
        <v>226</v>
      </c>
      <c r="Z99" s="31" t="s">
        <v>226</v>
      </c>
      <c r="AA99" s="31" t="s">
        <v>226</v>
      </c>
      <c r="AB99" s="31" t="s">
        <v>226</v>
      </c>
      <c r="AC99" s="125" t="s">
        <v>226</v>
      </c>
      <c r="AD99" s="125" t="s">
        <v>226</v>
      </c>
      <c r="AE99" s="31" t="s">
        <v>226</v>
      </c>
      <c r="AF99" s="31" t="s">
        <v>226</v>
      </c>
      <c r="AG99" s="31" t="s">
        <v>226</v>
      </c>
      <c r="AH99" s="31" t="s">
        <v>226</v>
      </c>
      <c r="AI99" s="31" t="s">
        <v>226</v>
      </c>
      <c r="AJ99" s="31" t="s">
        <v>226</v>
      </c>
      <c r="AK99" s="31" t="s">
        <v>226</v>
      </c>
      <c r="AL99" s="31" t="s">
        <v>226</v>
      </c>
      <c r="AM99" s="31"/>
      <c r="AN99" s="31"/>
      <c r="AO99" s="96">
        <v>11.5</v>
      </c>
      <c r="AP99" s="33">
        <f t="shared" si="20"/>
        <v>1.4375</v>
      </c>
      <c r="AQ99" s="34">
        <f t="shared" si="21"/>
        <v>11.5</v>
      </c>
      <c r="AR99" s="35"/>
      <c r="AS99" s="36">
        <f t="shared" si="26"/>
        <v>1.4375</v>
      </c>
      <c r="AT99" s="36">
        <f t="shared" si="26"/>
        <v>11.5</v>
      </c>
      <c r="AU99" s="36">
        <f t="shared" si="22"/>
        <v>1.566875</v>
      </c>
      <c r="AV99" s="36">
        <f t="shared" si="23"/>
        <v>12.535</v>
      </c>
      <c r="AW99" s="37">
        <v>1.95</v>
      </c>
      <c r="AX99" s="38">
        <f t="shared" si="24"/>
        <v>15.6</v>
      </c>
      <c r="AY99" s="38">
        <f t="shared" si="7"/>
        <v>0.38312499999999994</v>
      </c>
      <c r="AZ99" s="38">
        <f t="shared" si="25"/>
        <v>3.0649999999999995</v>
      </c>
      <c r="BA99" s="39">
        <f t="shared" si="9"/>
        <v>0.19647435897435894</v>
      </c>
      <c r="BB99" s="43"/>
      <c r="BC99" s="119">
        <f t="shared" si="27"/>
        <v>1.95</v>
      </c>
      <c r="BD99" s="108">
        <v>0.15</v>
      </c>
      <c r="BE99" s="120">
        <f t="shared" si="28"/>
        <v>2.3780487804878048</v>
      </c>
      <c r="BF99" s="121">
        <f t="shared" si="29"/>
        <v>0.42804878048780481</v>
      </c>
      <c r="BG99" s="121">
        <f t="shared" si="30"/>
        <v>3.8524390243902432E-2</v>
      </c>
      <c r="BH99" s="122">
        <f t="shared" si="31"/>
        <v>0.46657317073170723</v>
      </c>
      <c r="BI99" s="121">
        <f t="shared" si="32"/>
        <v>1.9114756097560974</v>
      </c>
      <c r="BJ99" s="123">
        <f t="shared" si="33"/>
        <v>0.18027988847844525</v>
      </c>
      <c r="BK99" s="124">
        <f t="shared" si="34"/>
        <v>-1.6194470495913688E-2</v>
      </c>
      <c r="BL99" s="125" t="s">
        <v>226</v>
      </c>
    </row>
    <row r="100" spans="1:64" ht="45" customHeight="1" x14ac:dyDescent="0.25">
      <c r="A100" s="30">
        <v>79</v>
      </c>
      <c r="B100" s="100" t="s">
        <v>78</v>
      </c>
      <c r="C100" s="31">
        <v>1</v>
      </c>
      <c r="D100" s="32" t="s">
        <v>141</v>
      </c>
      <c r="E100" s="31">
        <f t="shared" si="0"/>
        <v>20</v>
      </c>
      <c r="F100" s="31">
        <v>29</v>
      </c>
      <c r="G100" s="31" t="s">
        <v>226</v>
      </c>
      <c r="H100" s="31" t="s">
        <v>226</v>
      </c>
      <c r="I100" s="31" t="s">
        <v>226</v>
      </c>
      <c r="J100" s="31" t="s">
        <v>226</v>
      </c>
      <c r="K100" s="31" t="s">
        <v>226</v>
      </c>
      <c r="L100" s="31" t="s">
        <v>226</v>
      </c>
      <c r="M100" s="31" t="s">
        <v>226</v>
      </c>
      <c r="N100" s="31" t="s">
        <v>226</v>
      </c>
      <c r="O100" s="31" t="s">
        <v>226</v>
      </c>
      <c r="P100" s="31" t="s">
        <v>226</v>
      </c>
      <c r="Q100" s="31" t="s">
        <v>226</v>
      </c>
      <c r="R100" s="31" t="s">
        <v>226</v>
      </c>
      <c r="S100" s="31" t="s">
        <v>226</v>
      </c>
      <c r="T100" s="31" t="s">
        <v>226</v>
      </c>
      <c r="U100" s="31" t="s">
        <v>226</v>
      </c>
      <c r="V100" s="31" t="s">
        <v>226</v>
      </c>
      <c r="W100" s="31" t="s">
        <v>226</v>
      </c>
      <c r="X100" s="31" t="s">
        <v>226</v>
      </c>
      <c r="Y100" s="31" t="s">
        <v>226</v>
      </c>
      <c r="Z100" s="31" t="s">
        <v>226</v>
      </c>
      <c r="AA100" s="31" t="s">
        <v>226</v>
      </c>
      <c r="AB100" s="128">
        <v>30.5</v>
      </c>
      <c r="AC100" s="125" t="s">
        <v>226</v>
      </c>
      <c r="AD100" s="125" t="s">
        <v>226</v>
      </c>
      <c r="AE100" s="31" t="s">
        <v>226</v>
      </c>
      <c r="AF100" s="31" t="s">
        <v>226</v>
      </c>
      <c r="AG100" s="31" t="s">
        <v>226</v>
      </c>
      <c r="AH100" s="31" t="s">
        <v>226</v>
      </c>
      <c r="AI100" s="31" t="s">
        <v>226</v>
      </c>
      <c r="AJ100" s="31" t="s">
        <v>226</v>
      </c>
      <c r="AK100" s="31" t="s">
        <v>226</v>
      </c>
      <c r="AL100" s="31" t="s">
        <v>226</v>
      </c>
      <c r="AM100" s="31"/>
      <c r="AN100" s="31"/>
      <c r="AO100" s="96">
        <v>30.5</v>
      </c>
      <c r="AP100" s="33">
        <f t="shared" si="20"/>
        <v>1.5249999999999999</v>
      </c>
      <c r="AQ100" s="34">
        <f t="shared" si="21"/>
        <v>30.5</v>
      </c>
      <c r="AR100" s="35"/>
      <c r="AS100" s="36">
        <f t="shared" si="26"/>
        <v>1.5249999999999999</v>
      </c>
      <c r="AT100" s="36">
        <f t="shared" si="26"/>
        <v>30.5</v>
      </c>
      <c r="AU100" s="36">
        <f t="shared" si="22"/>
        <v>1.66225</v>
      </c>
      <c r="AV100" s="36">
        <f t="shared" si="23"/>
        <v>33.244999999999997</v>
      </c>
      <c r="AW100" s="37">
        <v>2.5</v>
      </c>
      <c r="AX100" s="38">
        <f t="shared" si="24"/>
        <v>50</v>
      </c>
      <c r="AY100" s="38">
        <f t="shared" si="7"/>
        <v>0.83774999999999999</v>
      </c>
      <c r="AZ100" s="38">
        <f t="shared" si="25"/>
        <v>16.754999999999999</v>
      </c>
      <c r="BA100" s="39">
        <f t="shared" si="9"/>
        <v>0.33510000000000001</v>
      </c>
      <c r="BB100" s="41"/>
      <c r="BC100" s="119">
        <f t="shared" si="27"/>
        <v>2.5</v>
      </c>
      <c r="BD100" s="108">
        <v>0.15</v>
      </c>
      <c r="BE100" s="120">
        <f t="shared" si="28"/>
        <v>3.0487804878048776</v>
      </c>
      <c r="BF100" s="121">
        <f t="shared" si="29"/>
        <v>0.54878048780487765</v>
      </c>
      <c r="BG100" s="121">
        <f t="shared" si="30"/>
        <v>4.9390243902438985E-2</v>
      </c>
      <c r="BH100" s="122">
        <f t="shared" si="31"/>
        <v>0.59817073170731661</v>
      </c>
      <c r="BI100" s="121">
        <f t="shared" si="32"/>
        <v>2.450609756097561</v>
      </c>
      <c r="BJ100" s="123">
        <f t="shared" si="33"/>
        <v>0.32169942771833793</v>
      </c>
      <c r="BK100" s="124">
        <f t="shared" si="34"/>
        <v>-1.3400572281662082E-2</v>
      </c>
      <c r="BL100" s="125" t="s">
        <v>226</v>
      </c>
    </row>
    <row r="101" spans="1:64" ht="45" customHeight="1" x14ac:dyDescent="0.25">
      <c r="A101" s="30">
        <v>80</v>
      </c>
      <c r="B101" s="106" t="s">
        <v>79</v>
      </c>
      <c r="C101" s="31">
        <v>1</v>
      </c>
      <c r="D101" s="32" t="s">
        <v>141</v>
      </c>
      <c r="E101" s="31">
        <f t="shared" si="0"/>
        <v>20</v>
      </c>
      <c r="F101" s="31">
        <v>29</v>
      </c>
      <c r="G101" s="31" t="s">
        <v>226</v>
      </c>
      <c r="H101" s="31" t="s">
        <v>226</v>
      </c>
      <c r="I101" s="31" t="s">
        <v>226</v>
      </c>
      <c r="J101" s="31" t="s">
        <v>226</v>
      </c>
      <c r="K101" s="31" t="s">
        <v>226</v>
      </c>
      <c r="L101" s="31" t="s">
        <v>226</v>
      </c>
      <c r="M101" s="31" t="s">
        <v>226</v>
      </c>
      <c r="N101" s="31" t="s">
        <v>226</v>
      </c>
      <c r="O101" s="31" t="s">
        <v>226</v>
      </c>
      <c r="P101" s="31" t="s">
        <v>226</v>
      </c>
      <c r="Q101" s="31" t="s">
        <v>226</v>
      </c>
      <c r="R101" s="31" t="s">
        <v>226</v>
      </c>
      <c r="S101" s="31" t="s">
        <v>226</v>
      </c>
      <c r="T101" s="31" t="s">
        <v>226</v>
      </c>
      <c r="U101" s="31" t="s">
        <v>226</v>
      </c>
      <c r="V101" s="31" t="s">
        <v>226</v>
      </c>
      <c r="W101" s="31" t="s">
        <v>226</v>
      </c>
      <c r="X101" s="31" t="s">
        <v>226</v>
      </c>
      <c r="Y101" s="31" t="s">
        <v>226</v>
      </c>
      <c r="Z101" s="31" t="s">
        <v>226</v>
      </c>
      <c r="AA101" s="31" t="s">
        <v>226</v>
      </c>
      <c r="AB101" s="128">
        <v>30.5</v>
      </c>
      <c r="AC101" s="125" t="s">
        <v>226</v>
      </c>
      <c r="AD101" s="125" t="s">
        <v>226</v>
      </c>
      <c r="AE101" s="31" t="s">
        <v>226</v>
      </c>
      <c r="AF101" s="31" t="s">
        <v>226</v>
      </c>
      <c r="AG101" s="31" t="s">
        <v>226</v>
      </c>
      <c r="AH101" s="31" t="s">
        <v>226</v>
      </c>
      <c r="AI101" s="31" t="s">
        <v>226</v>
      </c>
      <c r="AJ101" s="31" t="s">
        <v>226</v>
      </c>
      <c r="AK101" s="31" t="s">
        <v>226</v>
      </c>
      <c r="AL101" s="31" t="s">
        <v>226</v>
      </c>
      <c r="AM101" s="31"/>
      <c r="AN101" s="31"/>
      <c r="AO101" s="96">
        <v>30.5</v>
      </c>
      <c r="AP101" s="33">
        <f t="shared" si="20"/>
        <v>1.5249999999999999</v>
      </c>
      <c r="AQ101" s="34">
        <f t="shared" si="21"/>
        <v>30.5</v>
      </c>
      <c r="AR101" s="35"/>
      <c r="AS101" s="36">
        <f t="shared" si="26"/>
        <v>1.5249999999999999</v>
      </c>
      <c r="AT101" s="36">
        <f t="shared" si="26"/>
        <v>30.5</v>
      </c>
      <c r="AU101" s="36">
        <f t="shared" si="22"/>
        <v>1.66225</v>
      </c>
      <c r="AV101" s="36">
        <f t="shared" si="23"/>
        <v>33.244999999999997</v>
      </c>
      <c r="AW101" s="37">
        <v>2.5</v>
      </c>
      <c r="AX101" s="38">
        <f t="shared" si="24"/>
        <v>50</v>
      </c>
      <c r="AY101" s="38">
        <f t="shared" si="7"/>
        <v>0.83774999999999999</v>
      </c>
      <c r="AZ101" s="38">
        <f t="shared" si="25"/>
        <v>16.754999999999999</v>
      </c>
      <c r="BA101" s="39">
        <f t="shared" si="9"/>
        <v>0.33510000000000001</v>
      </c>
      <c r="BB101" s="42"/>
      <c r="BC101" s="119">
        <f t="shared" si="27"/>
        <v>2.5</v>
      </c>
      <c r="BD101" s="108">
        <v>0.15</v>
      </c>
      <c r="BE101" s="120">
        <f t="shared" si="28"/>
        <v>3.0487804878048776</v>
      </c>
      <c r="BF101" s="121">
        <f t="shared" si="29"/>
        <v>0.54878048780487765</v>
      </c>
      <c r="BG101" s="121">
        <f t="shared" si="30"/>
        <v>4.9390243902438985E-2</v>
      </c>
      <c r="BH101" s="122">
        <f t="shared" si="31"/>
        <v>0.59817073170731661</v>
      </c>
      <c r="BI101" s="121">
        <f t="shared" si="32"/>
        <v>2.450609756097561</v>
      </c>
      <c r="BJ101" s="123">
        <f t="shared" si="33"/>
        <v>0.32169942771833793</v>
      </c>
      <c r="BK101" s="124">
        <f t="shared" si="34"/>
        <v>-1.3400572281662082E-2</v>
      </c>
      <c r="BL101" s="125" t="s">
        <v>226</v>
      </c>
    </row>
    <row r="102" spans="1:64" ht="45" customHeight="1" x14ac:dyDescent="0.25">
      <c r="A102" s="30">
        <v>81</v>
      </c>
      <c r="B102" s="102" t="s">
        <v>80</v>
      </c>
      <c r="C102" s="31">
        <v>1</v>
      </c>
      <c r="D102" s="32" t="s">
        <v>73</v>
      </c>
      <c r="E102" s="31">
        <f t="shared" si="0"/>
        <v>12</v>
      </c>
      <c r="F102" s="31" t="s">
        <v>226</v>
      </c>
      <c r="G102" s="31" t="s">
        <v>226</v>
      </c>
      <c r="H102" s="31" t="s">
        <v>226</v>
      </c>
      <c r="I102" s="31" t="s">
        <v>226</v>
      </c>
      <c r="J102" s="31" t="s">
        <v>226</v>
      </c>
      <c r="K102" s="31" t="s">
        <v>226</v>
      </c>
      <c r="L102" s="31" t="s">
        <v>226</v>
      </c>
      <c r="M102" s="31" t="s">
        <v>226</v>
      </c>
      <c r="N102" s="31" t="s">
        <v>226</v>
      </c>
      <c r="O102" s="31" t="s">
        <v>226</v>
      </c>
      <c r="P102" s="31" t="s">
        <v>226</v>
      </c>
      <c r="Q102" s="31" t="s">
        <v>226</v>
      </c>
      <c r="R102" s="31" t="s">
        <v>226</v>
      </c>
      <c r="S102" s="31" t="s">
        <v>226</v>
      </c>
      <c r="T102" s="31" t="s">
        <v>226</v>
      </c>
      <c r="U102" s="31" t="s">
        <v>226</v>
      </c>
      <c r="V102" s="31" t="s">
        <v>226</v>
      </c>
      <c r="W102" s="31" t="s">
        <v>226</v>
      </c>
      <c r="X102" s="31" t="s">
        <v>226</v>
      </c>
      <c r="Y102" s="31" t="s">
        <v>226</v>
      </c>
      <c r="Z102" s="31" t="s">
        <v>226</v>
      </c>
      <c r="AA102" s="31" t="s">
        <v>226</v>
      </c>
      <c r="AB102" s="31" t="s">
        <v>226</v>
      </c>
      <c r="AC102" s="130" t="s">
        <v>226</v>
      </c>
      <c r="AD102" s="130" t="s">
        <v>226</v>
      </c>
      <c r="AE102" s="31" t="s">
        <v>226</v>
      </c>
      <c r="AF102" s="31" t="s">
        <v>226</v>
      </c>
      <c r="AG102" s="31" t="s">
        <v>226</v>
      </c>
      <c r="AH102" s="31" t="s">
        <v>226</v>
      </c>
      <c r="AI102" s="31" t="s">
        <v>226</v>
      </c>
      <c r="AJ102" s="31" t="s">
        <v>226</v>
      </c>
      <c r="AK102" s="31" t="s">
        <v>226</v>
      </c>
      <c r="AL102" s="31" t="s">
        <v>226</v>
      </c>
      <c r="AM102" s="31"/>
      <c r="AN102" s="31"/>
      <c r="AO102" s="96">
        <v>34.5</v>
      </c>
      <c r="AP102" s="33">
        <f t="shared" si="20"/>
        <v>2.875</v>
      </c>
      <c r="AQ102" s="34">
        <f t="shared" si="21"/>
        <v>34.5</v>
      </c>
      <c r="AR102" s="35"/>
      <c r="AS102" s="36">
        <f t="shared" si="26"/>
        <v>2.875</v>
      </c>
      <c r="AT102" s="36">
        <f t="shared" si="26"/>
        <v>34.5</v>
      </c>
      <c r="AU102" s="36">
        <f t="shared" si="22"/>
        <v>3.13375</v>
      </c>
      <c r="AV102" s="36">
        <f t="shared" si="23"/>
        <v>37.605000000000004</v>
      </c>
      <c r="AW102" s="37">
        <v>4.9000000000000004</v>
      </c>
      <c r="AX102" s="38">
        <f t="shared" si="24"/>
        <v>58.800000000000004</v>
      </c>
      <c r="AY102" s="38">
        <f t="shared" si="7"/>
        <v>1.7662500000000003</v>
      </c>
      <c r="AZ102" s="38">
        <f t="shared" si="25"/>
        <v>21.195000000000004</v>
      </c>
      <c r="BA102" s="39">
        <f t="shared" si="9"/>
        <v>0.36045918367346941</v>
      </c>
      <c r="BB102" s="42"/>
      <c r="BC102" s="119">
        <f t="shared" si="27"/>
        <v>4.9000000000000004</v>
      </c>
      <c r="BD102" s="108">
        <v>0.15</v>
      </c>
      <c r="BE102" s="120">
        <f t="shared" si="28"/>
        <v>5.975609756097561</v>
      </c>
      <c r="BF102" s="121">
        <f t="shared" si="29"/>
        <v>1.0756097560975606</v>
      </c>
      <c r="BG102" s="121">
        <f t="shared" si="30"/>
        <v>9.6804878048780449E-2</v>
      </c>
      <c r="BH102" s="122">
        <f t="shared" si="31"/>
        <v>1.1724146341463411</v>
      </c>
      <c r="BI102" s="121">
        <f t="shared" si="32"/>
        <v>4.8031951219512194</v>
      </c>
      <c r="BJ102" s="123">
        <f t="shared" si="33"/>
        <v>0.34756970715631363</v>
      </c>
      <c r="BK102" s="124">
        <f t="shared" si="34"/>
        <v>-1.2889476517155773E-2</v>
      </c>
      <c r="BL102" s="125" t="s">
        <v>226</v>
      </c>
    </row>
    <row r="103" spans="1:64" ht="45" customHeight="1" x14ac:dyDescent="0.25">
      <c r="A103" s="30">
        <v>82</v>
      </c>
      <c r="B103" s="101" t="s">
        <v>81</v>
      </c>
      <c r="C103" s="31">
        <v>1</v>
      </c>
      <c r="D103" s="32" t="s">
        <v>82</v>
      </c>
      <c r="E103" s="31">
        <f t="shared" si="0"/>
        <v>28</v>
      </c>
      <c r="F103" s="31" t="s">
        <v>226</v>
      </c>
      <c r="G103" s="31" t="s">
        <v>226</v>
      </c>
      <c r="H103" s="31" t="s">
        <v>226</v>
      </c>
      <c r="I103" s="31" t="s">
        <v>226</v>
      </c>
      <c r="J103" s="31" t="s">
        <v>226</v>
      </c>
      <c r="K103" s="31" t="s">
        <v>226</v>
      </c>
      <c r="L103" s="31" t="s">
        <v>226</v>
      </c>
      <c r="M103" s="31" t="s">
        <v>226</v>
      </c>
      <c r="N103" s="31" t="s">
        <v>226</v>
      </c>
      <c r="O103" s="31" t="s">
        <v>226</v>
      </c>
      <c r="P103" s="31" t="s">
        <v>226</v>
      </c>
      <c r="Q103" s="31" t="s">
        <v>226</v>
      </c>
      <c r="R103" s="31" t="s">
        <v>226</v>
      </c>
      <c r="S103" s="31" t="s">
        <v>226</v>
      </c>
      <c r="T103" s="31" t="s">
        <v>226</v>
      </c>
      <c r="U103" s="31" t="s">
        <v>226</v>
      </c>
      <c r="V103" s="31" t="s">
        <v>226</v>
      </c>
      <c r="W103" s="31" t="s">
        <v>226</v>
      </c>
      <c r="X103" s="31" t="s">
        <v>226</v>
      </c>
      <c r="Y103" s="31" t="s">
        <v>226</v>
      </c>
      <c r="Z103" s="31" t="s">
        <v>226</v>
      </c>
      <c r="AA103" s="31" t="s">
        <v>226</v>
      </c>
      <c r="AB103" s="31" t="s">
        <v>226</v>
      </c>
      <c r="AC103" s="31" t="s">
        <v>226</v>
      </c>
      <c r="AD103" s="31" t="s">
        <v>226</v>
      </c>
      <c r="AE103" s="31" t="s">
        <v>226</v>
      </c>
      <c r="AF103" s="31" t="s">
        <v>226</v>
      </c>
      <c r="AG103" s="31" t="s">
        <v>226</v>
      </c>
      <c r="AH103" s="31" t="s">
        <v>226</v>
      </c>
      <c r="AI103" s="31" t="s">
        <v>226</v>
      </c>
      <c r="AJ103" s="31" t="s">
        <v>226</v>
      </c>
      <c r="AK103" s="31" t="s">
        <v>226</v>
      </c>
      <c r="AL103" s="31" t="s">
        <v>226</v>
      </c>
      <c r="AM103" s="31"/>
      <c r="AN103" s="31"/>
      <c r="AO103" s="96">
        <v>9.1999999999999993</v>
      </c>
      <c r="AP103" s="33">
        <f t="shared" si="20"/>
        <v>0.32857142857142857</v>
      </c>
      <c r="AQ103" s="34">
        <f t="shared" si="21"/>
        <v>9.1999999999999993</v>
      </c>
      <c r="AR103" s="35"/>
      <c r="AS103" s="36">
        <f t="shared" si="26"/>
        <v>0.32857142857142857</v>
      </c>
      <c r="AT103" s="36">
        <f t="shared" si="26"/>
        <v>9.1999999999999993</v>
      </c>
      <c r="AU103" s="36">
        <f t="shared" si="22"/>
        <v>0.35814285714285715</v>
      </c>
      <c r="AV103" s="36">
        <f t="shared" si="23"/>
        <v>10.028</v>
      </c>
      <c r="AW103" s="37">
        <v>0.65</v>
      </c>
      <c r="AX103" s="38">
        <f t="shared" si="24"/>
        <v>18.2</v>
      </c>
      <c r="AY103" s="38">
        <f t="shared" si="7"/>
        <v>0.29185714285714287</v>
      </c>
      <c r="AZ103" s="38">
        <f t="shared" si="25"/>
        <v>8.1720000000000006</v>
      </c>
      <c r="BA103" s="39">
        <f t="shared" si="9"/>
        <v>0.44901098901098901</v>
      </c>
      <c r="BB103" s="42"/>
      <c r="BC103" s="119">
        <f t="shared" si="27"/>
        <v>0.65</v>
      </c>
      <c r="BD103" s="108">
        <v>0.15</v>
      </c>
      <c r="BE103" s="120">
        <f t="shared" si="28"/>
        <v>0.79268292682926822</v>
      </c>
      <c r="BF103" s="121">
        <f t="shared" si="29"/>
        <v>0.1426829268292682</v>
      </c>
      <c r="BG103" s="121">
        <f t="shared" si="30"/>
        <v>1.2841463414634137E-2</v>
      </c>
      <c r="BH103" s="122">
        <f t="shared" si="31"/>
        <v>0.15552439024390233</v>
      </c>
      <c r="BI103" s="121">
        <f t="shared" si="32"/>
        <v>0.63715853658536592</v>
      </c>
      <c r="BJ103" s="123">
        <f t="shared" si="33"/>
        <v>0.43790620924236257</v>
      </c>
      <c r="BK103" s="124">
        <f t="shared" si="34"/>
        <v>-1.1104779768626449E-2</v>
      </c>
      <c r="BL103" s="125" t="s">
        <v>226</v>
      </c>
    </row>
    <row r="104" spans="1:64" ht="45" customHeight="1" x14ac:dyDescent="0.25">
      <c r="A104" s="30">
        <v>83</v>
      </c>
      <c r="B104" s="105" t="s">
        <v>169</v>
      </c>
      <c r="C104" s="31">
        <v>1</v>
      </c>
      <c r="D104" s="32" t="s">
        <v>73</v>
      </c>
      <c r="E104" s="31">
        <f t="shared" si="0"/>
        <v>12</v>
      </c>
      <c r="F104" s="31" t="s">
        <v>226</v>
      </c>
      <c r="G104" s="31" t="s">
        <v>226</v>
      </c>
      <c r="H104" s="31" t="s">
        <v>226</v>
      </c>
      <c r="I104" s="31" t="s">
        <v>226</v>
      </c>
      <c r="J104" s="31" t="s">
        <v>226</v>
      </c>
      <c r="K104" s="31" t="s">
        <v>226</v>
      </c>
      <c r="L104" s="31" t="s">
        <v>226</v>
      </c>
      <c r="M104" s="31" t="s">
        <v>226</v>
      </c>
      <c r="N104" s="31" t="s">
        <v>226</v>
      </c>
      <c r="O104" s="31" t="s">
        <v>226</v>
      </c>
      <c r="P104" s="31" t="s">
        <v>226</v>
      </c>
      <c r="Q104" s="31" t="s">
        <v>226</v>
      </c>
      <c r="R104" s="31" t="s">
        <v>226</v>
      </c>
      <c r="S104" s="31" t="s">
        <v>226</v>
      </c>
      <c r="T104" s="31" t="s">
        <v>226</v>
      </c>
      <c r="U104" s="31" t="s">
        <v>226</v>
      </c>
      <c r="V104" s="31" t="s">
        <v>226</v>
      </c>
      <c r="W104" s="31" t="s">
        <v>226</v>
      </c>
      <c r="X104" s="31" t="s">
        <v>226</v>
      </c>
      <c r="Y104" s="31" t="s">
        <v>226</v>
      </c>
      <c r="Z104" s="31" t="s">
        <v>226</v>
      </c>
      <c r="AA104" s="31" t="s">
        <v>226</v>
      </c>
      <c r="AB104" s="31" t="s">
        <v>226</v>
      </c>
      <c r="AC104" s="31" t="s">
        <v>226</v>
      </c>
      <c r="AD104" s="31" t="s">
        <v>226</v>
      </c>
      <c r="AE104" s="31" t="s">
        <v>226</v>
      </c>
      <c r="AF104" s="31" t="s">
        <v>226</v>
      </c>
      <c r="AG104" s="31" t="s">
        <v>226</v>
      </c>
      <c r="AH104" s="31" t="s">
        <v>226</v>
      </c>
      <c r="AI104" s="31" t="s">
        <v>226</v>
      </c>
      <c r="AJ104" s="31" t="s">
        <v>226</v>
      </c>
      <c r="AK104" s="31" t="s">
        <v>226</v>
      </c>
      <c r="AL104" s="31" t="s">
        <v>226</v>
      </c>
      <c r="AM104" s="31"/>
      <c r="AN104" s="31"/>
      <c r="AO104" s="96">
        <v>34.5</v>
      </c>
      <c r="AP104" s="33">
        <f t="shared" si="20"/>
        <v>2.875</v>
      </c>
      <c r="AQ104" s="34">
        <f t="shared" si="21"/>
        <v>34.5</v>
      </c>
      <c r="AR104" s="35"/>
      <c r="AS104" s="36">
        <f t="shared" si="26"/>
        <v>2.875</v>
      </c>
      <c r="AT104" s="36">
        <f t="shared" si="26"/>
        <v>34.5</v>
      </c>
      <c r="AU104" s="36">
        <f t="shared" si="22"/>
        <v>3.13375</v>
      </c>
      <c r="AV104" s="36">
        <f t="shared" si="23"/>
        <v>37.605000000000004</v>
      </c>
      <c r="AW104" s="37"/>
      <c r="AX104" s="38"/>
      <c r="AY104" s="38"/>
      <c r="AZ104" s="38"/>
      <c r="BA104" s="39"/>
      <c r="BB104" s="43"/>
      <c r="BC104" s="119">
        <f t="shared" si="27"/>
        <v>0</v>
      </c>
      <c r="BD104" s="108">
        <v>0.15</v>
      </c>
      <c r="BE104" s="120">
        <f t="shared" si="28"/>
        <v>0</v>
      </c>
      <c r="BF104" s="121">
        <f t="shared" si="29"/>
        <v>0</v>
      </c>
      <c r="BG104" s="121">
        <f t="shared" si="30"/>
        <v>0</v>
      </c>
      <c r="BH104" s="122">
        <f t="shared" si="31"/>
        <v>0</v>
      </c>
      <c r="BI104" s="121">
        <f t="shared" si="32"/>
        <v>0</v>
      </c>
      <c r="BJ104" s="123" t="e">
        <f t="shared" si="33"/>
        <v>#DIV/0!</v>
      </c>
      <c r="BK104" s="124" t="e">
        <f t="shared" si="34"/>
        <v>#DIV/0!</v>
      </c>
      <c r="BL104" s="125" t="s">
        <v>226</v>
      </c>
    </row>
    <row r="105" spans="1:64" ht="45" customHeight="1" x14ac:dyDescent="0.25">
      <c r="A105" s="30">
        <v>84</v>
      </c>
      <c r="B105" s="100" t="s">
        <v>85</v>
      </c>
      <c r="C105" s="31">
        <v>1</v>
      </c>
      <c r="D105" s="32" t="s">
        <v>25</v>
      </c>
      <c r="E105" s="31">
        <f t="shared" si="0"/>
        <v>6</v>
      </c>
      <c r="F105" s="31" t="s">
        <v>226</v>
      </c>
      <c r="G105" s="31" t="s">
        <v>226</v>
      </c>
      <c r="H105" s="31" t="s">
        <v>226</v>
      </c>
      <c r="I105" s="31" t="s">
        <v>226</v>
      </c>
      <c r="J105" s="31" t="s">
        <v>226</v>
      </c>
      <c r="K105" s="31" t="s">
        <v>226</v>
      </c>
      <c r="L105" s="31" t="s">
        <v>226</v>
      </c>
      <c r="M105" s="31" t="s">
        <v>226</v>
      </c>
      <c r="N105" s="31" t="s">
        <v>226</v>
      </c>
      <c r="O105" s="31" t="s">
        <v>226</v>
      </c>
      <c r="P105" s="31" t="s">
        <v>226</v>
      </c>
      <c r="Q105" s="31" t="s">
        <v>226</v>
      </c>
      <c r="R105" s="31" t="s">
        <v>226</v>
      </c>
      <c r="S105" s="31" t="s">
        <v>226</v>
      </c>
      <c r="T105" s="31" t="s">
        <v>226</v>
      </c>
      <c r="U105" s="31" t="s">
        <v>226</v>
      </c>
      <c r="V105" s="31" t="s">
        <v>226</v>
      </c>
      <c r="W105" s="31" t="s">
        <v>226</v>
      </c>
      <c r="X105" s="31" t="s">
        <v>226</v>
      </c>
      <c r="Y105" s="31" t="s">
        <v>226</v>
      </c>
      <c r="Z105" s="31" t="s">
        <v>226</v>
      </c>
      <c r="AA105" s="31" t="s">
        <v>226</v>
      </c>
      <c r="AB105" s="31" t="s">
        <v>226</v>
      </c>
      <c r="AC105" s="31" t="s">
        <v>226</v>
      </c>
      <c r="AD105" s="31" t="s">
        <v>226</v>
      </c>
      <c r="AE105" s="31" t="s">
        <v>226</v>
      </c>
      <c r="AF105" s="31" t="s">
        <v>226</v>
      </c>
      <c r="AG105" s="31" t="s">
        <v>226</v>
      </c>
      <c r="AH105" s="31" t="s">
        <v>226</v>
      </c>
      <c r="AI105" s="31" t="s">
        <v>226</v>
      </c>
      <c r="AJ105" s="31" t="s">
        <v>226</v>
      </c>
      <c r="AK105" s="31" t="s">
        <v>226</v>
      </c>
      <c r="AL105" s="31" t="s">
        <v>226</v>
      </c>
      <c r="AM105" s="31"/>
      <c r="AN105" s="31"/>
      <c r="AO105" s="96">
        <v>20.5</v>
      </c>
      <c r="AP105" s="33">
        <f t="shared" si="20"/>
        <v>3.4166666666666665</v>
      </c>
      <c r="AQ105" s="34">
        <f t="shared" si="21"/>
        <v>20.5</v>
      </c>
      <c r="AR105" s="35"/>
      <c r="AS105" s="36">
        <f t="shared" si="26"/>
        <v>3.4166666666666665</v>
      </c>
      <c r="AT105" s="36">
        <f t="shared" si="26"/>
        <v>20.5</v>
      </c>
      <c r="AU105" s="36">
        <f t="shared" si="22"/>
        <v>3.7241666666666666</v>
      </c>
      <c r="AV105" s="36">
        <f t="shared" si="23"/>
        <v>22.344999999999999</v>
      </c>
      <c r="AW105" s="37">
        <v>4.95</v>
      </c>
      <c r="AX105" s="38">
        <f t="shared" ref="AX105:AX131" si="35">AW105*E105</f>
        <v>29.700000000000003</v>
      </c>
      <c r="AY105" s="38">
        <f t="shared" si="7"/>
        <v>1.2258333333333336</v>
      </c>
      <c r="AZ105" s="38">
        <f t="shared" ref="AZ105:AZ131" si="36">AY105*E105</f>
        <v>7.3550000000000013</v>
      </c>
      <c r="BA105" s="39">
        <f t="shared" si="9"/>
        <v>0.24764309764309766</v>
      </c>
      <c r="BB105" s="40"/>
      <c r="BC105" s="119">
        <f t="shared" si="27"/>
        <v>4.95</v>
      </c>
      <c r="BD105" s="108">
        <v>0.15</v>
      </c>
      <c r="BE105" s="120">
        <f t="shared" si="28"/>
        <v>6.0365853658536581</v>
      </c>
      <c r="BF105" s="121">
        <f t="shared" si="29"/>
        <v>1.0865853658536579</v>
      </c>
      <c r="BG105" s="121">
        <f t="shared" si="30"/>
        <v>9.7792682926829216E-2</v>
      </c>
      <c r="BH105" s="122">
        <f t="shared" si="31"/>
        <v>1.1843780487804871</v>
      </c>
      <c r="BI105" s="121">
        <f t="shared" si="32"/>
        <v>4.8522073170731712</v>
      </c>
      <c r="BJ105" s="123">
        <f t="shared" si="33"/>
        <v>0.23247989558016938</v>
      </c>
      <c r="BK105" s="124">
        <f t="shared" si="34"/>
        <v>-1.5163202062928288E-2</v>
      </c>
      <c r="BL105" s="125" t="s">
        <v>226</v>
      </c>
    </row>
    <row r="106" spans="1:64" ht="45" customHeight="1" x14ac:dyDescent="0.25">
      <c r="A106" s="30">
        <v>85</v>
      </c>
      <c r="B106" s="100" t="s">
        <v>87</v>
      </c>
      <c r="C106" s="31">
        <v>1</v>
      </c>
      <c r="D106" s="32" t="s">
        <v>83</v>
      </c>
      <c r="E106" s="31">
        <f t="shared" si="0"/>
        <v>4</v>
      </c>
      <c r="F106" s="31" t="s">
        <v>226</v>
      </c>
      <c r="G106" s="127">
        <v>24.5</v>
      </c>
      <c r="H106" s="31" t="s">
        <v>226</v>
      </c>
      <c r="I106" s="31" t="s">
        <v>226</v>
      </c>
      <c r="J106" s="31" t="s">
        <v>226</v>
      </c>
      <c r="K106" s="31" t="s">
        <v>226</v>
      </c>
      <c r="L106" s="31" t="s">
        <v>226</v>
      </c>
      <c r="M106" s="31" t="s">
        <v>226</v>
      </c>
      <c r="N106" s="31" t="s">
        <v>226</v>
      </c>
      <c r="O106" s="31" t="s">
        <v>226</v>
      </c>
      <c r="P106" s="127">
        <v>25.7</v>
      </c>
      <c r="Q106" s="31" t="s">
        <v>226</v>
      </c>
      <c r="R106" s="31" t="s">
        <v>226</v>
      </c>
      <c r="S106" s="31" t="s">
        <v>226</v>
      </c>
      <c r="T106" s="31" t="s">
        <v>226</v>
      </c>
      <c r="U106" s="31" t="s">
        <v>226</v>
      </c>
      <c r="V106" s="31" t="s">
        <v>226</v>
      </c>
      <c r="W106" s="31" t="s">
        <v>226</v>
      </c>
      <c r="X106" s="31" t="s">
        <v>226</v>
      </c>
      <c r="Y106" s="31" t="s">
        <v>226</v>
      </c>
      <c r="Z106" s="31" t="s">
        <v>226</v>
      </c>
      <c r="AA106" s="31" t="s">
        <v>226</v>
      </c>
      <c r="AB106" s="31" t="s">
        <v>226</v>
      </c>
      <c r="AC106" s="31" t="s">
        <v>226</v>
      </c>
      <c r="AD106" s="31" t="s">
        <v>226</v>
      </c>
      <c r="AE106" s="31" t="s">
        <v>226</v>
      </c>
      <c r="AF106" s="31" t="s">
        <v>226</v>
      </c>
      <c r="AG106" s="31" t="s">
        <v>226</v>
      </c>
      <c r="AH106" s="31" t="s">
        <v>226</v>
      </c>
      <c r="AI106" s="31" t="s">
        <v>226</v>
      </c>
      <c r="AJ106" s="31" t="s">
        <v>226</v>
      </c>
      <c r="AK106" s="31" t="s">
        <v>226</v>
      </c>
      <c r="AL106" s="31" t="s">
        <v>226</v>
      </c>
      <c r="AM106" s="31"/>
      <c r="AN106" s="31"/>
      <c r="AO106" s="96">
        <v>25.7</v>
      </c>
      <c r="AP106" s="33">
        <f t="shared" si="20"/>
        <v>6.4249999999999998</v>
      </c>
      <c r="AQ106" s="34">
        <f t="shared" si="21"/>
        <v>25.7</v>
      </c>
      <c r="AR106" s="35"/>
      <c r="AS106" s="36">
        <f t="shared" si="26"/>
        <v>6.4249999999999998</v>
      </c>
      <c r="AT106" s="36">
        <f t="shared" si="26"/>
        <v>25.7</v>
      </c>
      <c r="AU106" s="36">
        <f t="shared" si="22"/>
        <v>7.0032500000000004</v>
      </c>
      <c r="AV106" s="36">
        <f t="shared" si="23"/>
        <v>28.013000000000002</v>
      </c>
      <c r="AW106" s="37">
        <v>8.5</v>
      </c>
      <c r="AX106" s="38">
        <f t="shared" si="35"/>
        <v>34</v>
      </c>
      <c r="AY106" s="38">
        <f>AW106-AU106</f>
        <v>1.4967499999999996</v>
      </c>
      <c r="AZ106" s="38">
        <f t="shared" si="36"/>
        <v>5.9869999999999983</v>
      </c>
      <c r="BA106" s="39">
        <f t="shared" si="9"/>
        <v>0.1760882352941176</v>
      </c>
      <c r="BB106" s="40"/>
      <c r="BC106" s="119">
        <f t="shared" si="27"/>
        <v>8.5</v>
      </c>
      <c r="BD106" s="108">
        <v>0.15</v>
      </c>
      <c r="BE106" s="120">
        <f t="shared" si="28"/>
        <v>10.365853658536585</v>
      </c>
      <c r="BF106" s="121">
        <f t="shared" si="29"/>
        <v>1.8658536585365848</v>
      </c>
      <c r="BG106" s="121">
        <f t="shared" si="30"/>
        <v>0.16792682926829264</v>
      </c>
      <c r="BH106" s="122">
        <f t="shared" si="31"/>
        <v>2.0337804878048775</v>
      </c>
      <c r="BI106" s="121">
        <f t="shared" si="32"/>
        <v>8.3320731707317073</v>
      </c>
      <c r="BJ106" s="123">
        <f t="shared" si="33"/>
        <v>0.15948289741375521</v>
      </c>
      <c r="BK106" s="124">
        <f t="shared" si="34"/>
        <v>-1.6605337880362392E-2</v>
      </c>
      <c r="BL106" s="125">
        <v>9.9</v>
      </c>
    </row>
    <row r="107" spans="1:64" ht="45" customHeight="1" x14ac:dyDescent="0.25">
      <c r="A107" s="30">
        <v>86</v>
      </c>
      <c r="B107" s="100" t="s">
        <v>86</v>
      </c>
      <c r="C107" s="31">
        <v>1</v>
      </c>
      <c r="D107" s="32" t="s">
        <v>83</v>
      </c>
      <c r="E107" s="31">
        <f t="shared" si="0"/>
        <v>4</v>
      </c>
      <c r="F107" s="31" t="s">
        <v>226</v>
      </c>
      <c r="G107" s="127">
        <v>24.5</v>
      </c>
      <c r="H107" s="31" t="s">
        <v>226</v>
      </c>
      <c r="I107" s="31" t="s">
        <v>226</v>
      </c>
      <c r="J107" s="31" t="s">
        <v>226</v>
      </c>
      <c r="K107" s="31" t="s">
        <v>226</v>
      </c>
      <c r="L107" s="31" t="s">
        <v>226</v>
      </c>
      <c r="M107" s="31" t="s">
        <v>226</v>
      </c>
      <c r="N107" s="31" t="s">
        <v>226</v>
      </c>
      <c r="O107" s="31" t="s">
        <v>226</v>
      </c>
      <c r="P107" s="127">
        <v>25.7</v>
      </c>
      <c r="Q107" s="31" t="s">
        <v>226</v>
      </c>
      <c r="R107" s="31" t="s">
        <v>226</v>
      </c>
      <c r="S107" s="31" t="s">
        <v>226</v>
      </c>
      <c r="T107" s="31" t="s">
        <v>226</v>
      </c>
      <c r="U107" s="31" t="s">
        <v>226</v>
      </c>
      <c r="V107" s="31" t="s">
        <v>226</v>
      </c>
      <c r="W107" s="31" t="s">
        <v>226</v>
      </c>
      <c r="X107" s="31" t="s">
        <v>226</v>
      </c>
      <c r="Y107" s="31" t="s">
        <v>226</v>
      </c>
      <c r="Z107" s="31" t="s">
        <v>226</v>
      </c>
      <c r="AA107" s="31" t="s">
        <v>226</v>
      </c>
      <c r="AB107" s="31" t="s">
        <v>226</v>
      </c>
      <c r="AC107" s="31" t="s">
        <v>226</v>
      </c>
      <c r="AD107" s="31" t="s">
        <v>226</v>
      </c>
      <c r="AE107" s="31" t="s">
        <v>226</v>
      </c>
      <c r="AF107" s="31" t="s">
        <v>226</v>
      </c>
      <c r="AG107" s="31" t="s">
        <v>226</v>
      </c>
      <c r="AH107" s="31" t="s">
        <v>226</v>
      </c>
      <c r="AI107" s="31" t="s">
        <v>226</v>
      </c>
      <c r="AJ107" s="31" t="s">
        <v>226</v>
      </c>
      <c r="AK107" s="31" t="s">
        <v>226</v>
      </c>
      <c r="AL107" s="31" t="s">
        <v>226</v>
      </c>
      <c r="AM107" s="31"/>
      <c r="AN107" s="31"/>
      <c r="AO107" s="96">
        <v>25.7</v>
      </c>
      <c r="AP107" s="33">
        <f t="shared" si="20"/>
        <v>6.4249999999999998</v>
      </c>
      <c r="AQ107" s="34">
        <f t="shared" si="21"/>
        <v>25.7</v>
      </c>
      <c r="AR107" s="35"/>
      <c r="AS107" s="36">
        <f t="shared" si="26"/>
        <v>6.4249999999999998</v>
      </c>
      <c r="AT107" s="36">
        <f t="shared" si="26"/>
        <v>25.7</v>
      </c>
      <c r="AU107" s="36">
        <f t="shared" si="22"/>
        <v>7.0032500000000004</v>
      </c>
      <c r="AV107" s="36">
        <f t="shared" si="23"/>
        <v>28.013000000000002</v>
      </c>
      <c r="AW107" s="37">
        <v>8.5</v>
      </c>
      <c r="AX107" s="38">
        <f t="shared" si="35"/>
        <v>34</v>
      </c>
      <c r="AY107" s="38">
        <f t="shared" si="7"/>
        <v>1.4967499999999996</v>
      </c>
      <c r="AZ107" s="38">
        <f t="shared" si="36"/>
        <v>5.9869999999999983</v>
      </c>
      <c r="BA107" s="39">
        <f t="shared" si="9"/>
        <v>0.1760882352941176</v>
      </c>
      <c r="BB107" s="41"/>
      <c r="BC107" s="119">
        <f t="shared" si="27"/>
        <v>8.5</v>
      </c>
      <c r="BD107" s="108">
        <v>0.15</v>
      </c>
      <c r="BE107" s="120">
        <f t="shared" si="28"/>
        <v>10.365853658536585</v>
      </c>
      <c r="BF107" s="121">
        <f t="shared" si="29"/>
        <v>1.8658536585365848</v>
      </c>
      <c r="BG107" s="121">
        <f t="shared" si="30"/>
        <v>0.16792682926829264</v>
      </c>
      <c r="BH107" s="122">
        <f t="shared" si="31"/>
        <v>2.0337804878048775</v>
      </c>
      <c r="BI107" s="121">
        <f t="shared" si="32"/>
        <v>8.3320731707317073</v>
      </c>
      <c r="BJ107" s="123">
        <f t="shared" si="33"/>
        <v>0.15948289741375521</v>
      </c>
      <c r="BK107" s="124">
        <f t="shared" si="34"/>
        <v>-1.6605337880362392E-2</v>
      </c>
      <c r="BL107" s="125">
        <v>9.9</v>
      </c>
    </row>
    <row r="108" spans="1:64" ht="45" customHeight="1" x14ac:dyDescent="0.25">
      <c r="A108" s="30">
        <v>87</v>
      </c>
      <c r="B108" s="100" t="s">
        <v>182</v>
      </c>
      <c r="C108" s="31">
        <v>1</v>
      </c>
      <c r="D108" s="32" t="s">
        <v>83</v>
      </c>
      <c r="E108" s="31">
        <f t="shared" si="0"/>
        <v>4</v>
      </c>
      <c r="F108" s="31" t="s">
        <v>226</v>
      </c>
      <c r="G108" s="127">
        <v>24.5</v>
      </c>
      <c r="H108" s="31" t="s">
        <v>226</v>
      </c>
      <c r="I108" s="31" t="s">
        <v>226</v>
      </c>
      <c r="J108" s="31" t="s">
        <v>226</v>
      </c>
      <c r="K108" s="31" t="s">
        <v>226</v>
      </c>
      <c r="L108" s="31" t="s">
        <v>226</v>
      </c>
      <c r="M108" s="31" t="s">
        <v>226</v>
      </c>
      <c r="N108" s="31" t="s">
        <v>226</v>
      </c>
      <c r="O108" s="31" t="s">
        <v>226</v>
      </c>
      <c r="P108" s="127">
        <v>25.7</v>
      </c>
      <c r="Q108" s="31" t="s">
        <v>226</v>
      </c>
      <c r="R108" s="31" t="s">
        <v>226</v>
      </c>
      <c r="S108" s="31" t="s">
        <v>226</v>
      </c>
      <c r="T108" s="31" t="s">
        <v>226</v>
      </c>
      <c r="U108" s="31" t="s">
        <v>226</v>
      </c>
      <c r="V108" s="31" t="s">
        <v>226</v>
      </c>
      <c r="W108" s="31" t="s">
        <v>226</v>
      </c>
      <c r="X108" s="31" t="s">
        <v>226</v>
      </c>
      <c r="Y108" s="31" t="s">
        <v>226</v>
      </c>
      <c r="Z108" s="31" t="s">
        <v>226</v>
      </c>
      <c r="AA108" s="31" t="s">
        <v>226</v>
      </c>
      <c r="AB108" s="31" t="s">
        <v>226</v>
      </c>
      <c r="AC108" s="31" t="s">
        <v>226</v>
      </c>
      <c r="AD108" s="31" t="s">
        <v>226</v>
      </c>
      <c r="AE108" s="31" t="s">
        <v>226</v>
      </c>
      <c r="AF108" s="31" t="s">
        <v>226</v>
      </c>
      <c r="AG108" s="31" t="s">
        <v>226</v>
      </c>
      <c r="AH108" s="31" t="s">
        <v>226</v>
      </c>
      <c r="AI108" s="31" t="s">
        <v>226</v>
      </c>
      <c r="AJ108" s="31" t="s">
        <v>226</v>
      </c>
      <c r="AK108" s="31" t="s">
        <v>226</v>
      </c>
      <c r="AL108" s="31" t="s">
        <v>226</v>
      </c>
      <c r="AM108" s="31"/>
      <c r="AN108" s="31"/>
      <c r="AO108" s="96">
        <v>25.7</v>
      </c>
      <c r="AP108" s="33">
        <f t="shared" si="20"/>
        <v>6.4249999999999998</v>
      </c>
      <c r="AQ108" s="34">
        <f t="shared" si="21"/>
        <v>25.7</v>
      </c>
      <c r="AR108" s="35"/>
      <c r="AS108" s="36">
        <f t="shared" si="26"/>
        <v>6.4249999999999998</v>
      </c>
      <c r="AT108" s="36">
        <f t="shared" si="26"/>
        <v>25.7</v>
      </c>
      <c r="AU108" s="36">
        <f t="shared" si="22"/>
        <v>7.0032500000000004</v>
      </c>
      <c r="AV108" s="36">
        <f t="shared" si="23"/>
        <v>28.013000000000002</v>
      </c>
      <c r="AW108" s="37">
        <v>8.5</v>
      </c>
      <c r="AX108" s="38">
        <f t="shared" si="35"/>
        <v>34</v>
      </c>
      <c r="AY108" s="38">
        <f t="shared" si="7"/>
        <v>1.4967499999999996</v>
      </c>
      <c r="AZ108" s="38">
        <f t="shared" si="36"/>
        <v>5.9869999999999983</v>
      </c>
      <c r="BA108" s="39">
        <f t="shared" si="9"/>
        <v>0.1760882352941176</v>
      </c>
      <c r="BB108" s="41"/>
      <c r="BC108" s="119">
        <f t="shared" si="27"/>
        <v>8.5</v>
      </c>
      <c r="BD108" s="108">
        <v>0.15</v>
      </c>
      <c r="BE108" s="120">
        <f t="shared" si="28"/>
        <v>10.365853658536585</v>
      </c>
      <c r="BF108" s="121">
        <f t="shared" si="29"/>
        <v>1.8658536585365848</v>
      </c>
      <c r="BG108" s="121">
        <f t="shared" si="30"/>
        <v>0.16792682926829264</v>
      </c>
      <c r="BH108" s="122">
        <f t="shared" si="31"/>
        <v>2.0337804878048775</v>
      </c>
      <c r="BI108" s="121">
        <f t="shared" si="32"/>
        <v>8.3320731707317073</v>
      </c>
      <c r="BJ108" s="123">
        <f t="shared" si="33"/>
        <v>0.15948289741375521</v>
      </c>
      <c r="BK108" s="124">
        <f t="shared" si="34"/>
        <v>-1.6605337880362392E-2</v>
      </c>
      <c r="BL108" s="125">
        <v>9.9</v>
      </c>
    </row>
    <row r="109" spans="1:64" ht="45" customHeight="1" x14ac:dyDescent="0.25">
      <c r="A109" s="30">
        <v>88</v>
      </c>
      <c r="B109" s="106" t="s">
        <v>88</v>
      </c>
      <c r="C109" s="31">
        <v>1</v>
      </c>
      <c r="D109" s="32" t="s">
        <v>83</v>
      </c>
      <c r="E109" s="31">
        <f t="shared" si="0"/>
        <v>4</v>
      </c>
      <c r="F109" s="31" t="s">
        <v>226</v>
      </c>
      <c r="G109" s="127">
        <v>24.5</v>
      </c>
      <c r="H109" s="31" t="s">
        <v>226</v>
      </c>
      <c r="I109" s="31" t="s">
        <v>226</v>
      </c>
      <c r="J109" s="31" t="s">
        <v>226</v>
      </c>
      <c r="K109" s="31" t="s">
        <v>226</v>
      </c>
      <c r="L109" s="31" t="s">
        <v>226</v>
      </c>
      <c r="M109" s="31" t="s">
        <v>226</v>
      </c>
      <c r="N109" s="31" t="s">
        <v>226</v>
      </c>
      <c r="O109" s="31" t="s">
        <v>226</v>
      </c>
      <c r="P109" s="127">
        <v>25.7</v>
      </c>
      <c r="Q109" s="31" t="s">
        <v>226</v>
      </c>
      <c r="R109" s="31" t="s">
        <v>226</v>
      </c>
      <c r="S109" s="31" t="s">
        <v>226</v>
      </c>
      <c r="T109" s="31" t="s">
        <v>226</v>
      </c>
      <c r="U109" s="31" t="s">
        <v>226</v>
      </c>
      <c r="V109" s="31" t="s">
        <v>226</v>
      </c>
      <c r="W109" s="31" t="s">
        <v>226</v>
      </c>
      <c r="X109" s="31" t="s">
        <v>226</v>
      </c>
      <c r="Y109" s="31" t="s">
        <v>226</v>
      </c>
      <c r="Z109" s="31" t="s">
        <v>226</v>
      </c>
      <c r="AA109" s="31" t="s">
        <v>226</v>
      </c>
      <c r="AB109" s="31" t="s">
        <v>226</v>
      </c>
      <c r="AC109" s="31" t="s">
        <v>226</v>
      </c>
      <c r="AD109" s="31" t="s">
        <v>226</v>
      </c>
      <c r="AE109" s="31" t="s">
        <v>226</v>
      </c>
      <c r="AF109" s="31" t="s">
        <v>226</v>
      </c>
      <c r="AG109" s="31" t="s">
        <v>226</v>
      </c>
      <c r="AH109" s="31" t="s">
        <v>226</v>
      </c>
      <c r="AI109" s="31" t="s">
        <v>226</v>
      </c>
      <c r="AJ109" s="31" t="s">
        <v>226</v>
      </c>
      <c r="AK109" s="31" t="s">
        <v>226</v>
      </c>
      <c r="AL109" s="31" t="s">
        <v>226</v>
      </c>
      <c r="AM109" s="31"/>
      <c r="AN109" s="31"/>
      <c r="AO109" s="96">
        <v>25.7</v>
      </c>
      <c r="AP109" s="33">
        <f t="shared" si="20"/>
        <v>6.4249999999999998</v>
      </c>
      <c r="AQ109" s="34">
        <f t="shared" si="21"/>
        <v>25.7</v>
      </c>
      <c r="AR109" s="35"/>
      <c r="AS109" s="36">
        <f t="shared" si="26"/>
        <v>6.4249999999999998</v>
      </c>
      <c r="AT109" s="36">
        <f t="shared" si="26"/>
        <v>25.7</v>
      </c>
      <c r="AU109" s="36">
        <f t="shared" si="22"/>
        <v>7.0032500000000004</v>
      </c>
      <c r="AV109" s="36">
        <f t="shared" si="23"/>
        <v>28.013000000000002</v>
      </c>
      <c r="AW109" s="37">
        <v>8.5</v>
      </c>
      <c r="AX109" s="38">
        <f t="shared" si="35"/>
        <v>34</v>
      </c>
      <c r="AY109" s="38">
        <f t="shared" si="7"/>
        <v>1.4967499999999996</v>
      </c>
      <c r="AZ109" s="38">
        <f t="shared" si="36"/>
        <v>5.9869999999999983</v>
      </c>
      <c r="BA109" s="39">
        <f t="shared" si="9"/>
        <v>0.1760882352941176</v>
      </c>
      <c r="BB109" s="42"/>
      <c r="BC109" s="119">
        <f t="shared" si="27"/>
        <v>8.5</v>
      </c>
      <c r="BD109" s="108">
        <v>0.15</v>
      </c>
      <c r="BE109" s="120">
        <f t="shared" si="28"/>
        <v>10.365853658536585</v>
      </c>
      <c r="BF109" s="121">
        <f t="shared" si="29"/>
        <v>1.8658536585365848</v>
      </c>
      <c r="BG109" s="121">
        <f t="shared" si="30"/>
        <v>0.16792682926829264</v>
      </c>
      <c r="BH109" s="122">
        <f t="shared" si="31"/>
        <v>2.0337804878048775</v>
      </c>
      <c r="BI109" s="121">
        <f t="shared" si="32"/>
        <v>8.3320731707317073</v>
      </c>
      <c r="BJ109" s="123">
        <f t="shared" si="33"/>
        <v>0.15948289741375521</v>
      </c>
      <c r="BK109" s="124">
        <f t="shared" si="34"/>
        <v>-1.6605337880362392E-2</v>
      </c>
      <c r="BL109" s="125">
        <v>9.9</v>
      </c>
    </row>
    <row r="110" spans="1:64" ht="45" customHeight="1" x14ac:dyDescent="0.25">
      <c r="A110" s="30">
        <v>89</v>
      </c>
      <c r="B110" s="102" t="s">
        <v>162</v>
      </c>
      <c r="C110" s="31">
        <v>1</v>
      </c>
      <c r="D110" s="32" t="s">
        <v>84</v>
      </c>
      <c r="E110" s="31">
        <f t="shared" si="0"/>
        <v>8</v>
      </c>
      <c r="F110" s="31" t="s">
        <v>226</v>
      </c>
      <c r="G110" s="31" t="s">
        <v>226</v>
      </c>
      <c r="H110" s="31" t="s">
        <v>226</v>
      </c>
      <c r="I110" s="31" t="s">
        <v>226</v>
      </c>
      <c r="J110" s="31" t="s">
        <v>226</v>
      </c>
      <c r="K110" s="31" t="s">
        <v>226</v>
      </c>
      <c r="L110" s="31" t="s">
        <v>226</v>
      </c>
      <c r="M110" s="31" t="s">
        <v>226</v>
      </c>
      <c r="N110" s="31" t="s">
        <v>226</v>
      </c>
      <c r="O110" s="31" t="s">
        <v>226</v>
      </c>
      <c r="P110" s="31" t="s">
        <v>226</v>
      </c>
      <c r="Q110" s="31" t="s">
        <v>226</v>
      </c>
      <c r="R110" s="31" t="s">
        <v>226</v>
      </c>
      <c r="S110" s="31" t="s">
        <v>226</v>
      </c>
      <c r="T110" s="31" t="s">
        <v>226</v>
      </c>
      <c r="U110" s="31" t="s">
        <v>226</v>
      </c>
      <c r="V110" s="31" t="s">
        <v>226</v>
      </c>
      <c r="W110" s="31" t="s">
        <v>226</v>
      </c>
      <c r="X110" s="31" t="s">
        <v>226</v>
      </c>
      <c r="Y110" s="31" t="s">
        <v>226</v>
      </c>
      <c r="Z110" s="31" t="s">
        <v>226</v>
      </c>
      <c r="AA110" s="31" t="s">
        <v>226</v>
      </c>
      <c r="AB110" s="31" t="s">
        <v>226</v>
      </c>
      <c r="AC110" s="31" t="s">
        <v>226</v>
      </c>
      <c r="AD110" s="31" t="s">
        <v>226</v>
      </c>
      <c r="AE110" s="31" t="s">
        <v>226</v>
      </c>
      <c r="AF110" s="31" t="s">
        <v>226</v>
      </c>
      <c r="AG110" s="31" t="s">
        <v>226</v>
      </c>
      <c r="AH110" s="31" t="s">
        <v>226</v>
      </c>
      <c r="AI110" s="31" t="s">
        <v>226</v>
      </c>
      <c r="AJ110" s="31" t="s">
        <v>226</v>
      </c>
      <c r="AK110" s="31" t="s">
        <v>226</v>
      </c>
      <c r="AL110" s="31" t="s">
        <v>226</v>
      </c>
      <c r="AM110" s="31"/>
      <c r="AN110" s="31"/>
      <c r="AO110" s="96">
        <v>13.6</v>
      </c>
      <c r="AP110" s="33">
        <f t="shared" si="20"/>
        <v>1.7</v>
      </c>
      <c r="AQ110" s="34">
        <f t="shared" si="21"/>
        <v>13.6</v>
      </c>
      <c r="AR110" s="35"/>
      <c r="AS110" s="36">
        <f t="shared" si="26"/>
        <v>1.7</v>
      </c>
      <c r="AT110" s="36">
        <f t="shared" si="26"/>
        <v>13.6</v>
      </c>
      <c r="AU110" s="36">
        <f t="shared" si="22"/>
        <v>1.853</v>
      </c>
      <c r="AV110" s="36">
        <f t="shared" si="23"/>
        <v>14.824</v>
      </c>
      <c r="AW110" s="37">
        <v>2.5</v>
      </c>
      <c r="AX110" s="38">
        <f t="shared" si="35"/>
        <v>20</v>
      </c>
      <c r="AY110" s="38">
        <f t="shared" si="7"/>
        <v>0.64700000000000002</v>
      </c>
      <c r="AZ110" s="38">
        <f t="shared" si="36"/>
        <v>5.1760000000000002</v>
      </c>
      <c r="BA110" s="39">
        <f t="shared" si="9"/>
        <v>0.25880000000000003</v>
      </c>
      <c r="BB110" s="42"/>
      <c r="BC110" s="119">
        <f t="shared" si="27"/>
        <v>2.5</v>
      </c>
      <c r="BD110" s="108">
        <v>0.15</v>
      </c>
      <c r="BE110" s="120">
        <f t="shared" si="28"/>
        <v>3.0487804878048776</v>
      </c>
      <c r="BF110" s="121">
        <f t="shared" si="29"/>
        <v>0.54878048780487765</v>
      </c>
      <c r="BG110" s="121">
        <f t="shared" si="30"/>
        <v>4.9390243902438985E-2</v>
      </c>
      <c r="BH110" s="122">
        <f t="shared" si="31"/>
        <v>0.59817073170731661</v>
      </c>
      <c r="BI110" s="121">
        <f t="shared" si="32"/>
        <v>2.450609756097561</v>
      </c>
      <c r="BJ110" s="123">
        <f t="shared" si="33"/>
        <v>0.243861657128639</v>
      </c>
      <c r="BK110" s="124">
        <f t="shared" si="34"/>
        <v>-1.4938342871361032E-2</v>
      </c>
      <c r="BL110" s="125">
        <v>2.95</v>
      </c>
    </row>
    <row r="111" spans="1:64" ht="45" customHeight="1" x14ac:dyDescent="0.25">
      <c r="A111" s="30">
        <v>90</v>
      </c>
      <c r="B111" s="102" t="s">
        <v>175</v>
      </c>
      <c r="C111" s="31">
        <v>1</v>
      </c>
      <c r="D111" s="32" t="s">
        <v>84</v>
      </c>
      <c r="E111" s="31">
        <f t="shared" si="0"/>
        <v>8</v>
      </c>
      <c r="F111" s="31" t="s">
        <v>226</v>
      </c>
      <c r="G111" s="31" t="s">
        <v>226</v>
      </c>
      <c r="H111" s="31" t="s">
        <v>226</v>
      </c>
      <c r="I111" s="31" t="s">
        <v>226</v>
      </c>
      <c r="J111" s="31" t="s">
        <v>226</v>
      </c>
      <c r="K111" s="31" t="s">
        <v>226</v>
      </c>
      <c r="L111" s="31" t="s">
        <v>226</v>
      </c>
      <c r="M111" s="31" t="s">
        <v>226</v>
      </c>
      <c r="N111" s="31" t="s">
        <v>226</v>
      </c>
      <c r="O111" s="31" t="s">
        <v>226</v>
      </c>
      <c r="P111" s="31" t="s">
        <v>226</v>
      </c>
      <c r="Q111" s="31" t="s">
        <v>226</v>
      </c>
      <c r="R111" s="31" t="s">
        <v>226</v>
      </c>
      <c r="S111" s="31" t="s">
        <v>226</v>
      </c>
      <c r="T111" s="31" t="s">
        <v>226</v>
      </c>
      <c r="U111" s="31" t="s">
        <v>226</v>
      </c>
      <c r="V111" s="31" t="s">
        <v>226</v>
      </c>
      <c r="W111" s="31" t="s">
        <v>226</v>
      </c>
      <c r="X111" s="31" t="s">
        <v>226</v>
      </c>
      <c r="Y111" s="31" t="s">
        <v>226</v>
      </c>
      <c r="Z111" s="31" t="s">
        <v>226</v>
      </c>
      <c r="AA111" s="31" t="s">
        <v>226</v>
      </c>
      <c r="AB111" s="31" t="s">
        <v>226</v>
      </c>
      <c r="AC111" s="31" t="s">
        <v>226</v>
      </c>
      <c r="AD111" s="31" t="s">
        <v>226</v>
      </c>
      <c r="AE111" s="31" t="s">
        <v>226</v>
      </c>
      <c r="AF111" s="31" t="s">
        <v>226</v>
      </c>
      <c r="AG111" s="31" t="s">
        <v>226</v>
      </c>
      <c r="AH111" s="31" t="s">
        <v>226</v>
      </c>
      <c r="AI111" s="31" t="s">
        <v>226</v>
      </c>
      <c r="AJ111" s="31" t="s">
        <v>226</v>
      </c>
      <c r="AK111" s="31" t="s">
        <v>226</v>
      </c>
      <c r="AL111" s="31" t="s">
        <v>226</v>
      </c>
      <c r="AM111" s="31"/>
      <c r="AN111" s="31"/>
      <c r="AO111" s="96">
        <v>13.6</v>
      </c>
      <c r="AP111" s="33">
        <f t="shared" si="20"/>
        <v>1.7</v>
      </c>
      <c r="AQ111" s="34">
        <f t="shared" si="21"/>
        <v>13.6</v>
      </c>
      <c r="AR111" s="35"/>
      <c r="AS111" s="36">
        <f t="shared" si="26"/>
        <v>1.7</v>
      </c>
      <c r="AT111" s="36">
        <f t="shared" si="26"/>
        <v>13.6</v>
      </c>
      <c r="AU111" s="36">
        <f t="shared" si="22"/>
        <v>1.853</v>
      </c>
      <c r="AV111" s="36">
        <f t="shared" si="23"/>
        <v>14.824</v>
      </c>
      <c r="AW111" s="37">
        <v>2.5</v>
      </c>
      <c r="AX111" s="38">
        <f t="shared" si="35"/>
        <v>20</v>
      </c>
      <c r="AY111" s="38">
        <f t="shared" si="7"/>
        <v>0.64700000000000002</v>
      </c>
      <c r="AZ111" s="38">
        <f t="shared" si="36"/>
        <v>5.1760000000000002</v>
      </c>
      <c r="BA111" s="39">
        <f t="shared" si="9"/>
        <v>0.25880000000000003</v>
      </c>
      <c r="BB111" s="42"/>
      <c r="BC111" s="119">
        <f t="shared" si="27"/>
        <v>2.5</v>
      </c>
      <c r="BD111" s="108">
        <v>0.15</v>
      </c>
      <c r="BE111" s="120">
        <f t="shared" si="28"/>
        <v>3.0487804878048776</v>
      </c>
      <c r="BF111" s="121">
        <f t="shared" si="29"/>
        <v>0.54878048780487765</v>
      </c>
      <c r="BG111" s="121">
        <f t="shared" si="30"/>
        <v>4.9390243902438985E-2</v>
      </c>
      <c r="BH111" s="122">
        <f t="shared" si="31"/>
        <v>0.59817073170731661</v>
      </c>
      <c r="BI111" s="121">
        <f t="shared" si="32"/>
        <v>2.450609756097561</v>
      </c>
      <c r="BJ111" s="123">
        <f t="shared" si="33"/>
        <v>0.243861657128639</v>
      </c>
      <c r="BK111" s="124">
        <f t="shared" si="34"/>
        <v>-1.4938342871361032E-2</v>
      </c>
      <c r="BL111" s="125">
        <v>2.95</v>
      </c>
    </row>
    <row r="112" spans="1:64" ht="45" customHeight="1" x14ac:dyDescent="0.25">
      <c r="A112" s="30">
        <v>91</v>
      </c>
      <c r="B112" s="102" t="s">
        <v>134</v>
      </c>
      <c r="C112" s="31">
        <v>1</v>
      </c>
      <c r="D112" s="32" t="s">
        <v>84</v>
      </c>
      <c r="E112" s="31">
        <f t="shared" si="0"/>
        <v>8</v>
      </c>
      <c r="F112" s="31" t="s">
        <v>226</v>
      </c>
      <c r="G112" s="31" t="s">
        <v>226</v>
      </c>
      <c r="H112" s="31" t="s">
        <v>226</v>
      </c>
      <c r="I112" s="31" t="s">
        <v>226</v>
      </c>
      <c r="J112" s="31" t="s">
        <v>226</v>
      </c>
      <c r="K112" s="31" t="s">
        <v>226</v>
      </c>
      <c r="L112" s="31" t="s">
        <v>226</v>
      </c>
      <c r="M112" s="31" t="s">
        <v>226</v>
      </c>
      <c r="N112" s="31" t="s">
        <v>226</v>
      </c>
      <c r="O112" s="31" t="s">
        <v>226</v>
      </c>
      <c r="P112" s="31" t="s">
        <v>226</v>
      </c>
      <c r="Q112" s="31" t="s">
        <v>226</v>
      </c>
      <c r="R112" s="31" t="s">
        <v>226</v>
      </c>
      <c r="S112" s="31" t="s">
        <v>226</v>
      </c>
      <c r="T112" s="31" t="s">
        <v>226</v>
      </c>
      <c r="U112" s="31" t="s">
        <v>226</v>
      </c>
      <c r="V112" s="31" t="s">
        <v>226</v>
      </c>
      <c r="W112" s="31" t="s">
        <v>226</v>
      </c>
      <c r="X112" s="31" t="s">
        <v>226</v>
      </c>
      <c r="Y112" s="31" t="s">
        <v>226</v>
      </c>
      <c r="Z112" s="31" t="s">
        <v>226</v>
      </c>
      <c r="AA112" s="31" t="s">
        <v>226</v>
      </c>
      <c r="AB112" s="31" t="s">
        <v>226</v>
      </c>
      <c r="AC112" s="31" t="s">
        <v>226</v>
      </c>
      <c r="AD112" s="31" t="s">
        <v>226</v>
      </c>
      <c r="AE112" s="31" t="s">
        <v>226</v>
      </c>
      <c r="AF112" s="31" t="s">
        <v>226</v>
      </c>
      <c r="AG112" s="31" t="s">
        <v>226</v>
      </c>
      <c r="AH112" s="31" t="s">
        <v>226</v>
      </c>
      <c r="AI112" s="31" t="s">
        <v>226</v>
      </c>
      <c r="AJ112" s="31" t="s">
        <v>226</v>
      </c>
      <c r="AK112" s="31" t="s">
        <v>226</v>
      </c>
      <c r="AL112" s="31" t="s">
        <v>226</v>
      </c>
      <c r="AM112" s="31"/>
      <c r="AN112" s="31"/>
      <c r="AO112" s="96">
        <v>13.6</v>
      </c>
      <c r="AP112" s="33">
        <f t="shared" si="20"/>
        <v>1.7</v>
      </c>
      <c r="AQ112" s="34">
        <f t="shared" si="21"/>
        <v>13.6</v>
      </c>
      <c r="AR112" s="35"/>
      <c r="AS112" s="36">
        <f t="shared" si="26"/>
        <v>1.7</v>
      </c>
      <c r="AT112" s="36">
        <f t="shared" si="26"/>
        <v>13.6</v>
      </c>
      <c r="AU112" s="36">
        <f t="shared" si="22"/>
        <v>1.853</v>
      </c>
      <c r="AV112" s="36">
        <f t="shared" si="23"/>
        <v>14.824</v>
      </c>
      <c r="AW112" s="37">
        <v>2.5</v>
      </c>
      <c r="AX112" s="38">
        <f t="shared" si="35"/>
        <v>20</v>
      </c>
      <c r="AY112" s="38">
        <f t="shared" si="7"/>
        <v>0.64700000000000002</v>
      </c>
      <c r="AZ112" s="38">
        <f t="shared" si="36"/>
        <v>5.1760000000000002</v>
      </c>
      <c r="BA112" s="39">
        <f t="shared" si="9"/>
        <v>0.25880000000000003</v>
      </c>
      <c r="BB112" s="42"/>
      <c r="BC112" s="119">
        <f t="shared" si="27"/>
        <v>2.5</v>
      </c>
      <c r="BD112" s="108">
        <v>0.15</v>
      </c>
      <c r="BE112" s="120">
        <f t="shared" si="28"/>
        <v>3.0487804878048776</v>
      </c>
      <c r="BF112" s="121">
        <f t="shared" si="29"/>
        <v>0.54878048780487765</v>
      </c>
      <c r="BG112" s="121">
        <f t="shared" si="30"/>
        <v>4.9390243902438985E-2</v>
      </c>
      <c r="BH112" s="122">
        <f t="shared" si="31"/>
        <v>0.59817073170731661</v>
      </c>
      <c r="BI112" s="121">
        <f t="shared" si="32"/>
        <v>2.450609756097561</v>
      </c>
      <c r="BJ112" s="123">
        <f t="shared" si="33"/>
        <v>0.243861657128639</v>
      </c>
      <c r="BK112" s="124">
        <f t="shared" si="34"/>
        <v>-1.4938342871361032E-2</v>
      </c>
      <c r="BL112" s="125">
        <v>2.95</v>
      </c>
    </row>
    <row r="113" spans="1:64" ht="45" customHeight="1" x14ac:dyDescent="0.25">
      <c r="A113" s="30">
        <v>92</v>
      </c>
      <c r="B113" s="101" t="s">
        <v>130</v>
      </c>
      <c r="C113" s="31">
        <v>1</v>
      </c>
      <c r="D113" s="32" t="s">
        <v>73</v>
      </c>
      <c r="E113" s="31">
        <f t="shared" si="0"/>
        <v>12</v>
      </c>
      <c r="F113" s="31" t="s">
        <v>226</v>
      </c>
      <c r="G113" s="31" t="s">
        <v>226</v>
      </c>
      <c r="H113" s="31" t="s">
        <v>226</v>
      </c>
      <c r="I113" s="31" t="s">
        <v>226</v>
      </c>
      <c r="J113" s="31" t="s">
        <v>226</v>
      </c>
      <c r="K113" s="31" t="s">
        <v>226</v>
      </c>
      <c r="L113" s="31" t="s">
        <v>226</v>
      </c>
      <c r="M113" s="31" t="s">
        <v>226</v>
      </c>
      <c r="N113" s="31" t="s">
        <v>226</v>
      </c>
      <c r="O113" s="31" t="s">
        <v>226</v>
      </c>
      <c r="P113" s="31" t="s">
        <v>226</v>
      </c>
      <c r="Q113" s="31" t="s">
        <v>226</v>
      </c>
      <c r="R113" s="31" t="s">
        <v>226</v>
      </c>
      <c r="S113" s="31" t="s">
        <v>226</v>
      </c>
      <c r="T113" s="31" t="s">
        <v>226</v>
      </c>
      <c r="U113" s="31" t="s">
        <v>226</v>
      </c>
      <c r="V113" s="31" t="s">
        <v>226</v>
      </c>
      <c r="W113" s="31" t="s">
        <v>226</v>
      </c>
      <c r="X113" s="31" t="s">
        <v>226</v>
      </c>
      <c r="Y113" s="31" t="s">
        <v>226</v>
      </c>
      <c r="Z113" s="31" t="s">
        <v>226</v>
      </c>
      <c r="AA113" s="31" t="s">
        <v>226</v>
      </c>
      <c r="AB113" s="31" t="s">
        <v>226</v>
      </c>
      <c r="AC113" s="31" t="s">
        <v>226</v>
      </c>
      <c r="AD113" s="31" t="s">
        <v>226</v>
      </c>
      <c r="AE113" s="31" t="s">
        <v>226</v>
      </c>
      <c r="AF113" s="31" t="s">
        <v>226</v>
      </c>
      <c r="AG113" s="31" t="s">
        <v>226</v>
      </c>
      <c r="AH113" s="31" t="s">
        <v>226</v>
      </c>
      <c r="AI113" s="31" t="s">
        <v>226</v>
      </c>
      <c r="AJ113" s="31" t="s">
        <v>226</v>
      </c>
      <c r="AK113" s="31" t="s">
        <v>226</v>
      </c>
      <c r="AL113" s="31" t="s">
        <v>226</v>
      </c>
      <c r="AM113" s="31"/>
      <c r="AN113" s="31"/>
      <c r="AO113" s="96">
        <v>8.9</v>
      </c>
      <c r="AP113" s="33">
        <f t="shared" si="20"/>
        <v>0.7416666666666667</v>
      </c>
      <c r="AQ113" s="34">
        <f t="shared" si="21"/>
        <v>8.9</v>
      </c>
      <c r="AR113" s="35"/>
      <c r="AS113" s="36">
        <f t="shared" si="26"/>
        <v>0.7416666666666667</v>
      </c>
      <c r="AT113" s="36">
        <f t="shared" si="26"/>
        <v>8.9</v>
      </c>
      <c r="AU113" s="36">
        <f t="shared" si="22"/>
        <v>0.80841666666666678</v>
      </c>
      <c r="AV113" s="36">
        <f t="shared" si="23"/>
        <v>9.7010000000000005</v>
      </c>
      <c r="AW113" s="37">
        <v>1.25</v>
      </c>
      <c r="AX113" s="38">
        <f t="shared" si="35"/>
        <v>15</v>
      </c>
      <c r="AY113" s="38">
        <f t="shared" si="7"/>
        <v>0.44158333333333322</v>
      </c>
      <c r="AZ113" s="38">
        <f t="shared" si="36"/>
        <v>5.2989999999999986</v>
      </c>
      <c r="BA113" s="39">
        <f t="shared" si="9"/>
        <v>0.35326666666666656</v>
      </c>
      <c r="BB113" s="42"/>
      <c r="BC113" s="119">
        <f t="shared" si="27"/>
        <v>1.25</v>
      </c>
      <c r="BD113" s="108">
        <v>0.15</v>
      </c>
      <c r="BE113" s="120">
        <f t="shared" si="28"/>
        <v>1.5243902439024388</v>
      </c>
      <c r="BF113" s="121">
        <f t="shared" si="29"/>
        <v>0.27439024390243882</v>
      </c>
      <c r="BG113" s="121">
        <f t="shared" si="30"/>
        <v>2.4695121951219492E-2</v>
      </c>
      <c r="BH113" s="122">
        <f t="shared" si="31"/>
        <v>0.2990853658536583</v>
      </c>
      <c r="BI113" s="121">
        <f t="shared" si="32"/>
        <v>1.2253048780487805</v>
      </c>
      <c r="BJ113" s="123">
        <f t="shared" si="33"/>
        <v>0.34023223023969473</v>
      </c>
      <c r="BK113" s="124">
        <f t="shared" si="34"/>
        <v>-1.3034436426971829E-2</v>
      </c>
      <c r="BL113" s="125" t="s">
        <v>226</v>
      </c>
    </row>
    <row r="114" spans="1:64" ht="45" customHeight="1" x14ac:dyDescent="0.25">
      <c r="A114" s="30">
        <v>93</v>
      </c>
      <c r="B114" s="104" t="s">
        <v>89</v>
      </c>
      <c r="C114" s="31">
        <v>1</v>
      </c>
      <c r="D114" s="32" t="s">
        <v>25</v>
      </c>
      <c r="E114" s="31">
        <f t="shared" si="0"/>
        <v>6</v>
      </c>
      <c r="F114" s="31" t="s">
        <v>226</v>
      </c>
      <c r="G114" s="31" t="s">
        <v>226</v>
      </c>
      <c r="H114" s="31" t="s">
        <v>226</v>
      </c>
      <c r="I114" s="31" t="s">
        <v>226</v>
      </c>
      <c r="J114" s="31" t="s">
        <v>226</v>
      </c>
      <c r="K114" s="31" t="s">
        <v>226</v>
      </c>
      <c r="L114" s="31" t="s">
        <v>226</v>
      </c>
      <c r="M114" s="31" t="s">
        <v>226</v>
      </c>
      <c r="N114" s="31" t="s">
        <v>226</v>
      </c>
      <c r="O114" s="31" t="s">
        <v>226</v>
      </c>
      <c r="P114" s="31" t="s">
        <v>226</v>
      </c>
      <c r="Q114" s="31" t="s">
        <v>226</v>
      </c>
      <c r="R114" s="31" t="s">
        <v>226</v>
      </c>
      <c r="S114" s="31" t="s">
        <v>226</v>
      </c>
      <c r="T114" s="31" t="s">
        <v>226</v>
      </c>
      <c r="U114" s="31" t="s">
        <v>226</v>
      </c>
      <c r="V114" s="31" t="s">
        <v>226</v>
      </c>
      <c r="W114" s="31" t="s">
        <v>226</v>
      </c>
      <c r="X114" s="31" t="s">
        <v>226</v>
      </c>
      <c r="Y114" s="31" t="s">
        <v>226</v>
      </c>
      <c r="Z114" s="31" t="s">
        <v>226</v>
      </c>
      <c r="AA114" s="31" t="s">
        <v>226</v>
      </c>
      <c r="AB114" s="31" t="s">
        <v>226</v>
      </c>
      <c r="AC114" s="31" t="s">
        <v>226</v>
      </c>
      <c r="AD114" s="31" t="s">
        <v>226</v>
      </c>
      <c r="AE114" s="31" t="s">
        <v>226</v>
      </c>
      <c r="AF114" s="31" t="s">
        <v>226</v>
      </c>
      <c r="AG114" s="31" t="s">
        <v>226</v>
      </c>
      <c r="AH114" s="31" t="s">
        <v>226</v>
      </c>
      <c r="AI114" s="31" t="s">
        <v>226</v>
      </c>
      <c r="AJ114" s="31" t="s">
        <v>226</v>
      </c>
      <c r="AK114" s="31" t="s">
        <v>226</v>
      </c>
      <c r="AL114" s="31" t="s">
        <v>226</v>
      </c>
      <c r="AM114" s="31"/>
      <c r="AN114" s="31"/>
      <c r="AO114" s="96">
        <v>20.5</v>
      </c>
      <c r="AP114" s="33">
        <f t="shared" si="20"/>
        <v>3.4166666666666665</v>
      </c>
      <c r="AQ114" s="34">
        <f t="shared" si="21"/>
        <v>20.5</v>
      </c>
      <c r="AR114" s="35"/>
      <c r="AS114" s="36">
        <f t="shared" si="26"/>
        <v>3.4166666666666665</v>
      </c>
      <c r="AT114" s="36">
        <f t="shared" si="26"/>
        <v>20.5</v>
      </c>
      <c r="AU114" s="36">
        <f t="shared" si="22"/>
        <v>3.7241666666666666</v>
      </c>
      <c r="AV114" s="36">
        <f t="shared" si="23"/>
        <v>22.344999999999999</v>
      </c>
      <c r="AW114" s="37">
        <v>4.95</v>
      </c>
      <c r="AX114" s="38">
        <f t="shared" si="35"/>
        <v>29.700000000000003</v>
      </c>
      <c r="AY114" s="38">
        <f t="shared" si="7"/>
        <v>1.2258333333333336</v>
      </c>
      <c r="AZ114" s="38">
        <f t="shared" si="36"/>
        <v>7.3550000000000013</v>
      </c>
      <c r="BA114" s="39">
        <f t="shared" si="9"/>
        <v>0.24764309764309766</v>
      </c>
      <c r="BB114" s="43"/>
      <c r="BC114" s="119">
        <f t="shared" si="27"/>
        <v>4.95</v>
      </c>
      <c r="BD114" s="108">
        <v>0.15</v>
      </c>
      <c r="BE114" s="120">
        <f t="shared" si="28"/>
        <v>6.0365853658536581</v>
      </c>
      <c r="BF114" s="121">
        <f t="shared" si="29"/>
        <v>1.0865853658536579</v>
      </c>
      <c r="BG114" s="121">
        <f t="shared" si="30"/>
        <v>9.7792682926829216E-2</v>
      </c>
      <c r="BH114" s="122">
        <f t="shared" si="31"/>
        <v>1.1843780487804871</v>
      </c>
      <c r="BI114" s="121">
        <f t="shared" si="32"/>
        <v>4.8522073170731712</v>
      </c>
      <c r="BJ114" s="123">
        <f t="shared" si="33"/>
        <v>0.23247989558016938</v>
      </c>
      <c r="BK114" s="124">
        <f t="shared" si="34"/>
        <v>-1.5163202062928288E-2</v>
      </c>
      <c r="BL114" s="125" t="s">
        <v>226</v>
      </c>
    </row>
    <row r="115" spans="1:64" ht="45" customHeight="1" x14ac:dyDescent="0.25">
      <c r="A115" s="30">
        <v>94</v>
      </c>
      <c r="B115" s="100" t="s">
        <v>199</v>
      </c>
      <c r="C115" s="31">
        <v>1</v>
      </c>
      <c r="D115" s="32" t="s">
        <v>24</v>
      </c>
      <c r="E115" s="31">
        <f t="shared" si="0"/>
        <v>24</v>
      </c>
      <c r="F115" s="31" t="s">
        <v>226</v>
      </c>
      <c r="G115" s="31" t="s">
        <v>226</v>
      </c>
      <c r="H115" s="31" t="s">
        <v>226</v>
      </c>
      <c r="I115" s="31" t="s">
        <v>226</v>
      </c>
      <c r="J115" s="31" t="s">
        <v>226</v>
      </c>
      <c r="K115" s="31" t="s">
        <v>226</v>
      </c>
      <c r="L115" s="31" t="s">
        <v>226</v>
      </c>
      <c r="M115" s="31" t="s">
        <v>226</v>
      </c>
      <c r="N115" s="31" t="s">
        <v>226</v>
      </c>
      <c r="O115" s="31" t="s">
        <v>226</v>
      </c>
      <c r="P115" s="31" t="s">
        <v>226</v>
      </c>
      <c r="Q115" s="31" t="s">
        <v>226</v>
      </c>
      <c r="R115" s="31" t="s">
        <v>226</v>
      </c>
      <c r="S115" s="31" t="s">
        <v>226</v>
      </c>
      <c r="T115" s="31" t="s">
        <v>226</v>
      </c>
      <c r="U115" s="31" t="s">
        <v>226</v>
      </c>
      <c r="V115" s="31" t="s">
        <v>226</v>
      </c>
      <c r="W115" s="31" t="s">
        <v>226</v>
      </c>
      <c r="X115" s="31" t="s">
        <v>226</v>
      </c>
      <c r="Y115" s="31" t="s">
        <v>226</v>
      </c>
      <c r="Z115" s="31" t="s">
        <v>226</v>
      </c>
      <c r="AA115" s="31" t="s">
        <v>226</v>
      </c>
      <c r="AB115" s="31" t="s">
        <v>226</v>
      </c>
      <c r="AC115" s="31" t="s">
        <v>226</v>
      </c>
      <c r="AD115" s="31" t="s">
        <v>226</v>
      </c>
      <c r="AE115" s="31" t="s">
        <v>226</v>
      </c>
      <c r="AF115" s="31" t="s">
        <v>226</v>
      </c>
      <c r="AG115" s="31" t="s">
        <v>226</v>
      </c>
      <c r="AH115" s="31" t="s">
        <v>226</v>
      </c>
      <c r="AI115" s="31" t="s">
        <v>226</v>
      </c>
      <c r="AJ115" s="31" t="s">
        <v>226</v>
      </c>
      <c r="AK115" s="31" t="s">
        <v>226</v>
      </c>
      <c r="AL115" s="31" t="s">
        <v>226</v>
      </c>
      <c r="AM115" s="31"/>
      <c r="AN115" s="31"/>
      <c r="AO115" s="96">
        <v>10</v>
      </c>
      <c r="AP115" s="33">
        <f t="shared" si="20"/>
        <v>0.41666666666666669</v>
      </c>
      <c r="AQ115" s="34">
        <f t="shared" si="21"/>
        <v>10</v>
      </c>
      <c r="AR115" s="35"/>
      <c r="AS115" s="36">
        <f t="shared" si="26"/>
        <v>0.41666666666666669</v>
      </c>
      <c r="AT115" s="36">
        <f t="shared" si="26"/>
        <v>10</v>
      </c>
      <c r="AU115" s="36">
        <f t="shared" si="22"/>
        <v>0.45416666666666672</v>
      </c>
      <c r="AV115" s="36">
        <f t="shared" si="23"/>
        <v>10.900000000000002</v>
      </c>
      <c r="AW115" s="37"/>
      <c r="AX115" s="38">
        <f t="shared" si="35"/>
        <v>0</v>
      </c>
      <c r="AY115" s="38">
        <f t="shared" si="7"/>
        <v>-0.45416666666666672</v>
      </c>
      <c r="AZ115" s="38">
        <f t="shared" si="36"/>
        <v>-10.900000000000002</v>
      </c>
      <c r="BA115" s="39" t="e">
        <f t="shared" si="9"/>
        <v>#DIV/0!</v>
      </c>
      <c r="BB115" s="41"/>
      <c r="BC115" s="119">
        <f t="shared" si="27"/>
        <v>0</v>
      </c>
      <c r="BD115" s="108">
        <v>0.15</v>
      </c>
      <c r="BE115" s="120">
        <f t="shared" si="28"/>
        <v>0</v>
      </c>
      <c r="BF115" s="121">
        <f t="shared" si="29"/>
        <v>0</v>
      </c>
      <c r="BG115" s="121">
        <f t="shared" si="30"/>
        <v>0</v>
      </c>
      <c r="BH115" s="122">
        <f t="shared" si="31"/>
        <v>0</v>
      </c>
      <c r="BI115" s="121">
        <f t="shared" si="32"/>
        <v>0</v>
      </c>
      <c r="BJ115" s="123" t="e">
        <f t="shared" si="33"/>
        <v>#DIV/0!</v>
      </c>
      <c r="BK115" s="124" t="e">
        <f t="shared" si="34"/>
        <v>#DIV/0!</v>
      </c>
      <c r="BL115" s="125" t="s">
        <v>226</v>
      </c>
    </row>
    <row r="116" spans="1:64" ht="45" customHeight="1" x14ac:dyDescent="0.25">
      <c r="A116" s="30">
        <v>95</v>
      </c>
      <c r="B116" s="100" t="s">
        <v>213</v>
      </c>
      <c r="C116" s="31">
        <v>1</v>
      </c>
      <c r="D116" s="32" t="s">
        <v>73</v>
      </c>
      <c r="E116" s="31">
        <f t="shared" si="0"/>
        <v>12</v>
      </c>
      <c r="F116" s="31" t="s">
        <v>226</v>
      </c>
      <c r="G116" s="31" t="s">
        <v>226</v>
      </c>
      <c r="H116" s="31" t="s">
        <v>226</v>
      </c>
      <c r="I116" s="31" t="s">
        <v>226</v>
      </c>
      <c r="J116" s="31" t="s">
        <v>226</v>
      </c>
      <c r="K116" s="31" t="s">
        <v>226</v>
      </c>
      <c r="L116" s="31" t="s">
        <v>226</v>
      </c>
      <c r="M116" s="31" t="s">
        <v>226</v>
      </c>
      <c r="N116" s="31" t="s">
        <v>226</v>
      </c>
      <c r="O116" s="31" t="s">
        <v>226</v>
      </c>
      <c r="P116" s="31" t="s">
        <v>226</v>
      </c>
      <c r="Q116" s="31" t="s">
        <v>226</v>
      </c>
      <c r="R116" s="31" t="s">
        <v>226</v>
      </c>
      <c r="S116" s="31" t="s">
        <v>226</v>
      </c>
      <c r="T116" s="31" t="s">
        <v>226</v>
      </c>
      <c r="U116" s="31" t="s">
        <v>226</v>
      </c>
      <c r="V116" s="31" t="s">
        <v>226</v>
      </c>
      <c r="W116" s="31" t="s">
        <v>226</v>
      </c>
      <c r="X116" s="31" t="s">
        <v>226</v>
      </c>
      <c r="Y116" s="31" t="s">
        <v>226</v>
      </c>
      <c r="Z116" s="31" t="s">
        <v>226</v>
      </c>
      <c r="AA116" s="31" t="s">
        <v>226</v>
      </c>
      <c r="AB116" s="31" t="s">
        <v>226</v>
      </c>
      <c r="AC116" s="31" t="s">
        <v>226</v>
      </c>
      <c r="AD116" s="31" t="s">
        <v>226</v>
      </c>
      <c r="AE116" s="31" t="s">
        <v>226</v>
      </c>
      <c r="AF116" s="31" t="s">
        <v>226</v>
      </c>
      <c r="AG116" s="31" t="s">
        <v>226</v>
      </c>
      <c r="AH116" s="31" t="s">
        <v>226</v>
      </c>
      <c r="AI116" s="31" t="s">
        <v>226</v>
      </c>
      <c r="AJ116" s="31" t="s">
        <v>226</v>
      </c>
      <c r="AK116" s="31" t="s">
        <v>226</v>
      </c>
      <c r="AL116" s="31" t="s">
        <v>226</v>
      </c>
      <c r="AM116" s="31"/>
      <c r="AN116" s="31"/>
      <c r="AO116" s="96">
        <v>19</v>
      </c>
      <c r="AP116" s="33">
        <f t="shared" si="20"/>
        <v>1.5833333333333333</v>
      </c>
      <c r="AQ116" s="34">
        <f t="shared" si="21"/>
        <v>19</v>
      </c>
      <c r="AR116" s="35"/>
      <c r="AS116" s="36">
        <f t="shared" si="26"/>
        <v>1.5833333333333333</v>
      </c>
      <c r="AT116" s="36">
        <f t="shared" si="26"/>
        <v>19</v>
      </c>
      <c r="AU116" s="36">
        <f t="shared" si="22"/>
        <v>1.7258333333333333</v>
      </c>
      <c r="AV116" s="36">
        <f t="shared" si="23"/>
        <v>20.71</v>
      </c>
      <c r="AW116" s="37"/>
      <c r="AX116" s="38">
        <f t="shared" si="35"/>
        <v>0</v>
      </c>
      <c r="AY116" s="38">
        <f t="shared" si="7"/>
        <v>-1.7258333333333333</v>
      </c>
      <c r="AZ116" s="38">
        <f t="shared" si="36"/>
        <v>-20.71</v>
      </c>
      <c r="BA116" s="39" t="e">
        <f t="shared" si="9"/>
        <v>#DIV/0!</v>
      </c>
      <c r="BB116" s="41"/>
      <c r="BC116" s="119">
        <f t="shared" si="27"/>
        <v>0</v>
      </c>
      <c r="BD116" s="108">
        <v>0.15</v>
      </c>
      <c r="BE116" s="120">
        <f t="shared" si="28"/>
        <v>0</v>
      </c>
      <c r="BF116" s="121">
        <f t="shared" si="29"/>
        <v>0</v>
      </c>
      <c r="BG116" s="121">
        <f t="shared" si="30"/>
        <v>0</v>
      </c>
      <c r="BH116" s="122">
        <f t="shared" si="31"/>
        <v>0</v>
      </c>
      <c r="BI116" s="121">
        <f t="shared" si="32"/>
        <v>0</v>
      </c>
      <c r="BJ116" s="123" t="e">
        <f t="shared" si="33"/>
        <v>#DIV/0!</v>
      </c>
      <c r="BK116" s="124" t="e">
        <f t="shared" si="34"/>
        <v>#DIV/0!</v>
      </c>
      <c r="BL116" s="125" t="s">
        <v>226</v>
      </c>
    </row>
    <row r="117" spans="1:64" ht="45" customHeight="1" x14ac:dyDescent="0.25">
      <c r="A117" s="30">
        <v>96</v>
      </c>
      <c r="B117" s="100" t="s">
        <v>209</v>
      </c>
      <c r="C117" s="31">
        <v>1</v>
      </c>
      <c r="D117" s="32" t="s">
        <v>24</v>
      </c>
      <c r="E117" s="31">
        <f t="shared" si="0"/>
        <v>24</v>
      </c>
      <c r="F117" s="31" t="s">
        <v>226</v>
      </c>
      <c r="G117" s="31" t="s">
        <v>226</v>
      </c>
      <c r="H117" s="31" t="s">
        <v>226</v>
      </c>
      <c r="I117" s="31" t="s">
        <v>226</v>
      </c>
      <c r="J117" s="31" t="s">
        <v>226</v>
      </c>
      <c r="K117" s="31" t="s">
        <v>226</v>
      </c>
      <c r="L117" s="31" t="s">
        <v>226</v>
      </c>
      <c r="M117" s="31" t="s">
        <v>226</v>
      </c>
      <c r="N117" s="31" t="s">
        <v>226</v>
      </c>
      <c r="O117" s="31" t="s">
        <v>226</v>
      </c>
      <c r="P117" s="31" t="s">
        <v>226</v>
      </c>
      <c r="Q117" s="31" t="s">
        <v>226</v>
      </c>
      <c r="R117" s="31" t="s">
        <v>226</v>
      </c>
      <c r="S117" s="31" t="s">
        <v>226</v>
      </c>
      <c r="T117" s="31" t="s">
        <v>226</v>
      </c>
      <c r="U117" s="31" t="s">
        <v>226</v>
      </c>
      <c r="V117" s="31" t="s">
        <v>226</v>
      </c>
      <c r="W117" s="31" t="s">
        <v>226</v>
      </c>
      <c r="X117" s="31" t="s">
        <v>226</v>
      </c>
      <c r="Y117" s="31" t="s">
        <v>226</v>
      </c>
      <c r="Z117" s="31" t="s">
        <v>226</v>
      </c>
      <c r="AA117" s="31" t="s">
        <v>226</v>
      </c>
      <c r="AB117" s="31" t="s">
        <v>226</v>
      </c>
      <c r="AC117" s="31" t="s">
        <v>226</v>
      </c>
      <c r="AD117" s="31" t="s">
        <v>226</v>
      </c>
      <c r="AE117" s="31" t="s">
        <v>226</v>
      </c>
      <c r="AF117" s="31" t="s">
        <v>226</v>
      </c>
      <c r="AG117" s="31" t="s">
        <v>226</v>
      </c>
      <c r="AH117" s="31" t="s">
        <v>226</v>
      </c>
      <c r="AI117" s="31" t="s">
        <v>226</v>
      </c>
      <c r="AJ117" s="31" t="s">
        <v>226</v>
      </c>
      <c r="AK117" s="31" t="s">
        <v>226</v>
      </c>
      <c r="AL117" s="31" t="s">
        <v>226</v>
      </c>
      <c r="AM117" s="31"/>
      <c r="AN117" s="31"/>
      <c r="AO117" s="96">
        <v>17.2</v>
      </c>
      <c r="AP117" s="33">
        <f t="shared" si="20"/>
        <v>0.71666666666666667</v>
      </c>
      <c r="AQ117" s="34">
        <f t="shared" si="21"/>
        <v>17.2</v>
      </c>
      <c r="AR117" s="35"/>
      <c r="AS117" s="36">
        <f t="shared" si="26"/>
        <v>0.71666666666666667</v>
      </c>
      <c r="AT117" s="36">
        <f t="shared" si="26"/>
        <v>17.2</v>
      </c>
      <c r="AU117" s="36">
        <f t="shared" si="22"/>
        <v>0.78116666666666679</v>
      </c>
      <c r="AV117" s="36">
        <f t="shared" si="23"/>
        <v>18.748000000000005</v>
      </c>
      <c r="AW117" s="37"/>
      <c r="AX117" s="38">
        <f t="shared" si="35"/>
        <v>0</v>
      </c>
      <c r="AY117" s="38">
        <f t="shared" si="7"/>
        <v>-0.78116666666666679</v>
      </c>
      <c r="AZ117" s="38">
        <f t="shared" si="36"/>
        <v>-18.748000000000005</v>
      </c>
      <c r="BA117" s="39" t="e">
        <f t="shared" si="9"/>
        <v>#DIV/0!</v>
      </c>
      <c r="BB117" s="41"/>
      <c r="BC117" s="119">
        <f t="shared" si="27"/>
        <v>0</v>
      </c>
      <c r="BD117" s="108">
        <v>0.15</v>
      </c>
      <c r="BE117" s="120">
        <f t="shared" si="28"/>
        <v>0</v>
      </c>
      <c r="BF117" s="121">
        <f t="shared" si="29"/>
        <v>0</v>
      </c>
      <c r="BG117" s="121">
        <f t="shared" si="30"/>
        <v>0</v>
      </c>
      <c r="BH117" s="122">
        <f t="shared" si="31"/>
        <v>0</v>
      </c>
      <c r="BI117" s="121">
        <f t="shared" si="32"/>
        <v>0</v>
      </c>
      <c r="BJ117" s="123" t="e">
        <f t="shared" si="33"/>
        <v>#DIV/0!</v>
      </c>
      <c r="BK117" s="124" t="e">
        <f t="shared" si="34"/>
        <v>#DIV/0!</v>
      </c>
      <c r="BL117" s="125">
        <v>1.05</v>
      </c>
    </row>
    <row r="118" spans="1:64" ht="45" customHeight="1" x14ac:dyDescent="0.25">
      <c r="A118" s="30">
        <v>97</v>
      </c>
      <c r="B118" s="100" t="s">
        <v>92</v>
      </c>
      <c r="C118" s="31">
        <v>1</v>
      </c>
      <c r="D118" s="32" t="s">
        <v>83</v>
      </c>
      <c r="E118" s="31">
        <f t="shared" si="0"/>
        <v>4</v>
      </c>
      <c r="F118" s="31" t="s">
        <v>226</v>
      </c>
      <c r="G118" s="31" t="s">
        <v>226</v>
      </c>
      <c r="H118" s="31" t="s">
        <v>226</v>
      </c>
      <c r="I118" s="31" t="s">
        <v>226</v>
      </c>
      <c r="J118" s="31" t="s">
        <v>226</v>
      </c>
      <c r="K118" s="31" t="s">
        <v>226</v>
      </c>
      <c r="L118" s="31" t="s">
        <v>226</v>
      </c>
      <c r="M118" s="31" t="s">
        <v>226</v>
      </c>
      <c r="N118" s="31" t="s">
        <v>226</v>
      </c>
      <c r="O118" s="31" t="s">
        <v>226</v>
      </c>
      <c r="P118" s="31" t="s">
        <v>226</v>
      </c>
      <c r="Q118" s="31" t="s">
        <v>226</v>
      </c>
      <c r="R118" s="31" t="s">
        <v>226</v>
      </c>
      <c r="S118" s="31" t="s">
        <v>226</v>
      </c>
      <c r="T118" s="31" t="s">
        <v>226</v>
      </c>
      <c r="U118" s="31" t="s">
        <v>226</v>
      </c>
      <c r="V118" s="31" t="s">
        <v>226</v>
      </c>
      <c r="W118" s="31" t="s">
        <v>226</v>
      </c>
      <c r="X118" s="31" t="s">
        <v>226</v>
      </c>
      <c r="Y118" s="31" t="s">
        <v>226</v>
      </c>
      <c r="Z118" s="31" t="s">
        <v>226</v>
      </c>
      <c r="AA118" s="31" t="s">
        <v>226</v>
      </c>
      <c r="AB118" s="31" t="s">
        <v>226</v>
      </c>
      <c r="AC118" s="31" t="s">
        <v>226</v>
      </c>
      <c r="AD118" s="31" t="s">
        <v>226</v>
      </c>
      <c r="AE118" s="31" t="s">
        <v>226</v>
      </c>
      <c r="AF118" s="31" t="s">
        <v>226</v>
      </c>
      <c r="AG118" s="31" t="s">
        <v>226</v>
      </c>
      <c r="AH118" s="31" t="s">
        <v>226</v>
      </c>
      <c r="AI118" s="31" t="s">
        <v>226</v>
      </c>
      <c r="AJ118" s="31" t="s">
        <v>226</v>
      </c>
      <c r="AK118" s="31" t="s">
        <v>226</v>
      </c>
      <c r="AL118" s="31" t="s">
        <v>226</v>
      </c>
      <c r="AM118" s="31"/>
      <c r="AN118" s="31"/>
      <c r="AO118" s="96">
        <v>8.9</v>
      </c>
      <c r="AP118" s="33">
        <f t="shared" si="20"/>
        <v>2.2250000000000001</v>
      </c>
      <c r="AQ118" s="34">
        <f t="shared" si="21"/>
        <v>8.9</v>
      </c>
      <c r="AR118" s="35"/>
      <c r="AS118" s="36">
        <f t="shared" si="26"/>
        <v>2.2250000000000001</v>
      </c>
      <c r="AT118" s="36">
        <f t="shared" si="26"/>
        <v>8.9</v>
      </c>
      <c r="AU118" s="36">
        <f t="shared" si="22"/>
        <v>2.4252500000000001</v>
      </c>
      <c r="AV118" s="36">
        <f t="shared" si="23"/>
        <v>9.7010000000000005</v>
      </c>
      <c r="AW118" s="37">
        <v>3.25</v>
      </c>
      <c r="AX118" s="38">
        <f t="shared" si="35"/>
        <v>13</v>
      </c>
      <c r="AY118" s="38">
        <f t="shared" si="7"/>
        <v>0.82474999999999987</v>
      </c>
      <c r="AZ118" s="38">
        <f t="shared" si="36"/>
        <v>3.2989999999999995</v>
      </c>
      <c r="BA118" s="39">
        <f t="shared" si="9"/>
        <v>0.25376923076923075</v>
      </c>
      <c r="BB118" s="41"/>
      <c r="BC118" s="119">
        <f t="shared" si="27"/>
        <v>3.25</v>
      </c>
      <c r="BD118" s="108">
        <v>0.15</v>
      </c>
      <c r="BE118" s="120">
        <f t="shared" si="28"/>
        <v>3.963414634146341</v>
      </c>
      <c r="BF118" s="121">
        <f t="shared" si="29"/>
        <v>0.71341463414634099</v>
      </c>
      <c r="BG118" s="121">
        <f t="shared" si="30"/>
        <v>6.4207317073170692E-2</v>
      </c>
      <c r="BH118" s="122">
        <f t="shared" si="31"/>
        <v>0.77762195121951172</v>
      </c>
      <c r="BI118" s="121">
        <f t="shared" si="32"/>
        <v>3.185792682926829</v>
      </c>
      <c r="BJ118" s="123">
        <f t="shared" si="33"/>
        <v>0.23872949643041697</v>
      </c>
      <c r="BK118" s="124">
        <f t="shared" si="34"/>
        <v>-1.5039734338813782E-2</v>
      </c>
      <c r="BL118" s="125" t="s">
        <v>226</v>
      </c>
    </row>
    <row r="119" spans="1:64" ht="45" customHeight="1" x14ac:dyDescent="0.25">
      <c r="A119" s="30">
        <v>98</v>
      </c>
      <c r="B119" s="100" t="s">
        <v>93</v>
      </c>
      <c r="C119" s="31">
        <v>1</v>
      </c>
      <c r="D119" s="32" t="s">
        <v>73</v>
      </c>
      <c r="E119" s="31">
        <f t="shared" si="0"/>
        <v>12</v>
      </c>
      <c r="F119" s="31" t="s">
        <v>226</v>
      </c>
      <c r="G119" s="31" t="s">
        <v>226</v>
      </c>
      <c r="H119" s="31" t="s">
        <v>226</v>
      </c>
      <c r="I119" s="31" t="s">
        <v>226</v>
      </c>
      <c r="J119" s="31" t="s">
        <v>226</v>
      </c>
      <c r="K119" s="31" t="s">
        <v>226</v>
      </c>
      <c r="L119" s="31" t="s">
        <v>226</v>
      </c>
      <c r="M119" s="31" t="s">
        <v>226</v>
      </c>
      <c r="N119" s="31" t="s">
        <v>226</v>
      </c>
      <c r="O119" s="31" t="s">
        <v>226</v>
      </c>
      <c r="P119" s="31" t="s">
        <v>226</v>
      </c>
      <c r="Q119" s="31" t="s">
        <v>226</v>
      </c>
      <c r="R119" s="31" t="s">
        <v>226</v>
      </c>
      <c r="S119" s="31" t="s">
        <v>226</v>
      </c>
      <c r="T119" s="128">
        <v>12.7</v>
      </c>
      <c r="U119" s="31" t="s">
        <v>226</v>
      </c>
      <c r="V119" s="31" t="s">
        <v>226</v>
      </c>
      <c r="W119" s="31" t="s">
        <v>226</v>
      </c>
      <c r="X119" s="31" t="s">
        <v>226</v>
      </c>
      <c r="Y119" s="31" t="s">
        <v>226</v>
      </c>
      <c r="Z119" s="31" t="s">
        <v>226</v>
      </c>
      <c r="AA119" s="31" t="s">
        <v>226</v>
      </c>
      <c r="AB119" s="31" t="s">
        <v>226</v>
      </c>
      <c r="AC119" s="31" t="s">
        <v>226</v>
      </c>
      <c r="AD119" s="31" t="s">
        <v>226</v>
      </c>
      <c r="AE119" s="31" t="s">
        <v>226</v>
      </c>
      <c r="AF119" s="31" t="s">
        <v>226</v>
      </c>
      <c r="AG119" s="31" t="s">
        <v>226</v>
      </c>
      <c r="AH119" s="31" t="s">
        <v>226</v>
      </c>
      <c r="AI119" s="31" t="s">
        <v>226</v>
      </c>
      <c r="AJ119" s="31" t="s">
        <v>226</v>
      </c>
      <c r="AK119" s="31" t="s">
        <v>226</v>
      </c>
      <c r="AL119" s="31" t="s">
        <v>226</v>
      </c>
      <c r="AM119" s="31"/>
      <c r="AN119" s="31"/>
      <c r="AO119" s="96">
        <v>12.3</v>
      </c>
      <c r="AP119" s="33">
        <f t="shared" si="20"/>
        <v>1.0250000000000001</v>
      </c>
      <c r="AQ119" s="34">
        <f t="shared" si="21"/>
        <v>12.3</v>
      </c>
      <c r="AR119" s="35"/>
      <c r="AS119" s="36">
        <f t="shared" si="26"/>
        <v>1.0250000000000001</v>
      </c>
      <c r="AT119" s="36">
        <f t="shared" si="26"/>
        <v>12.3</v>
      </c>
      <c r="AU119" s="36">
        <f t="shared" si="22"/>
        <v>1.1172500000000003</v>
      </c>
      <c r="AV119" s="36">
        <f t="shared" si="23"/>
        <v>13.407000000000004</v>
      </c>
      <c r="AW119" s="37">
        <v>1.75</v>
      </c>
      <c r="AX119" s="38">
        <f t="shared" si="35"/>
        <v>21</v>
      </c>
      <c r="AY119" s="38">
        <f t="shared" si="7"/>
        <v>0.6327499999999997</v>
      </c>
      <c r="AZ119" s="38">
        <f t="shared" si="36"/>
        <v>7.5929999999999964</v>
      </c>
      <c r="BA119" s="39">
        <f t="shared" si="9"/>
        <v>0.36157142857142838</v>
      </c>
      <c r="BB119" s="42"/>
      <c r="BC119" s="119">
        <f t="shared" si="27"/>
        <v>1.75</v>
      </c>
      <c r="BD119" s="108">
        <v>0.15</v>
      </c>
      <c r="BE119" s="120">
        <f t="shared" si="28"/>
        <v>2.1341463414634143</v>
      </c>
      <c r="BF119" s="121">
        <f t="shared" si="29"/>
        <v>0.38414634146341431</v>
      </c>
      <c r="BG119" s="121">
        <f t="shared" si="30"/>
        <v>3.4573170731707285E-2</v>
      </c>
      <c r="BH119" s="122">
        <f t="shared" si="31"/>
        <v>0.4187195121951216</v>
      </c>
      <c r="BI119" s="121">
        <f t="shared" si="32"/>
        <v>1.7154268292682926</v>
      </c>
      <c r="BJ119" s="123">
        <f t="shared" si="33"/>
        <v>0.348704368535172</v>
      </c>
      <c r="BK119" s="124">
        <f t="shared" si="34"/>
        <v>-1.2867060036256373E-2</v>
      </c>
      <c r="BL119" s="125">
        <v>1.55</v>
      </c>
    </row>
    <row r="120" spans="1:64" ht="45" customHeight="1" x14ac:dyDescent="0.25">
      <c r="A120" s="30">
        <v>99</v>
      </c>
      <c r="B120" s="101" t="s">
        <v>94</v>
      </c>
      <c r="C120" s="31">
        <v>1</v>
      </c>
      <c r="D120" s="32" t="s">
        <v>24</v>
      </c>
      <c r="E120" s="31">
        <f t="shared" si="0"/>
        <v>24</v>
      </c>
      <c r="F120" s="31" t="s">
        <v>226</v>
      </c>
      <c r="G120" s="31" t="s">
        <v>226</v>
      </c>
      <c r="H120" s="31" t="s">
        <v>226</v>
      </c>
      <c r="I120" s="31" t="s">
        <v>226</v>
      </c>
      <c r="J120" s="31" t="s">
        <v>226</v>
      </c>
      <c r="K120" s="31" t="s">
        <v>226</v>
      </c>
      <c r="L120" s="31" t="s">
        <v>226</v>
      </c>
      <c r="M120" s="31" t="s">
        <v>226</v>
      </c>
      <c r="N120" s="31" t="s">
        <v>226</v>
      </c>
      <c r="O120" s="31" t="s">
        <v>226</v>
      </c>
      <c r="P120" s="31" t="s">
        <v>226</v>
      </c>
      <c r="Q120" s="31" t="s">
        <v>226</v>
      </c>
      <c r="R120" s="31" t="s">
        <v>226</v>
      </c>
      <c r="S120" s="31" t="s">
        <v>226</v>
      </c>
      <c r="T120" s="31" t="s">
        <v>226</v>
      </c>
      <c r="U120" s="31" t="s">
        <v>226</v>
      </c>
      <c r="V120" s="31" t="s">
        <v>226</v>
      </c>
      <c r="W120" s="31" t="s">
        <v>226</v>
      </c>
      <c r="X120" s="31" t="s">
        <v>226</v>
      </c>
      <c r="Y120" s="31" t="s">
        <v>226</v>
      </c>
      <c r="Z120" s="31" t="s">
        <v>226</v>
      </c>
      <c r="AA120" s="31" t="s">
        <v>226</v>
      </c>
      <c r="AB120" s="31" t="s">
        <v>226</v>
      </c>
      <c r="AC120" s="31" t="s">
        <v>226</v>
      </c>
      <c r="AD120" s="31" t="s">
        <v>226</v>
      </c>
      <c r="AE120" s="31" t="s">
        <v>226</v>
      </c>
      <c r="AF120" s="31" t="s">
        <v>226</v>
      </c>
      <c r="AG120" s="31" t="s">
        <v>226</v>
      </c>
      <c r="AH120" s="31" t="s">
        <v>226</v>
      </c>
      <c r="AI120" s="31" t="s">
        <v>226</v>
      </c>
      <c r="AJ120" s="31" t="s">
        <v>226</v>
      </c>
      <c r="AK120" s="31" t="s">
        <v>226</v>
      </c>
      <c r="AL120" s="31" t="s">
        <v>226</v>
      </c>
      <c r="AM120" s="31"/>
      <c r="AN120" s="31"/>
      <c r="AO120" s="96">
        <v>13</v>
      </c>
      <c r="AP120" s="33">
        <f t="shared" si="20"/>
        <v>0.54166666666666663</v>
      </c>
      <c r="AQ120" s="34">
        <f t="shared" si="21"/>
        <v>13</v>
      </c>
      <c r="AR120" s="35"/>
      <c r="AS120" s="36">
        <f t="shared" si="26"/>
        <v>0.54166666666666663</v>
      </c>
      <c r="AT120" s="36">
        <f t="shared" si="26"/>
        <v>13</v>
      </c>
      <c r="AU120" s="36">
        <f t="shared" si="22"/>
        <v>0.5904166666666667</v>
      </c>
      <c r="AV120" s="36">
        <f t="shared" si="23"/>
        <v>14.170000000000002</v>
      </c>
      <c r="AW120" s="37">
        <v>0.8</v>
      </c>
      <c r="AX120" s="38">
        <f t="shared" si="35"/>
        <v>19.200000000000003</v>
      </c>
      <c r="AY120" s="38">
        <f t="shared" si="7"/>
        <v>0.20958333333333334</v>
      </c>
      <c r="AZ120" s="38">
        <f t="shared" si="36"/>
        <v>5.03</v>
      </c>
      <c r="BA120" s="39">
        <f t="shared" si="9"/>
        <v>0.26197916666666665</v>
      </c>
      <c r="BB120" s="42"/>
      <c r="BC120" s="119">
        <f t="shared" si="27"/>
        <v>0.8</v>
      </c>
      <c r="BD120" s="108">
        <v>0.15</v>
      </c>
      <c r="BE120" s="120">
        <f t="shared" si="28"/>
        <v>0.97560975609756095</v>
      </c>
      <c r="BF120" s="121">
        <f t="shared" si="29"/>
        <v>0.17560975609756091</v>
      </c>
      <c r="BG120" s="121">
        <f t="shared" si="30"/>
        <v>1.5804878048780481E-2</v>
      </c>
      <c r="BH120" s="122">
        <f t="shared" si="31"/>
        <v>0.19141463414634138</v>
      </c>
      <c r="BI120" s="121">
        <f t="shared" si="32"/>
        <v>0.78419512195121954</v>
      </c>
      <c r="BJ120" s="123">
        <f t="shared" si="33"/>
        <v>0.24710489756987641</v>
      </c>
      <c r="BK120" s="124">
        <f t="shared" si="34"/>
        <v>-1.4874269096790238E-2</v>
      </c>
      <c r="BL120" s="125">
        <v>0.7</v>
      </c>
    </row>
    <row r="121" spans="1:64" ht="45" customHeight="1" x14ac:dyDescent="0.25">
      <c r="A121" s="30">
        <v>100</v>
      </c>
      <c r="B121" s="103" t="s">
        <v>95</v>
      </c>
      <c r="C121" s="31">
        <v>1</v>
      </c>
      <c r="D121" s="32" t="s">
        <v>24</v>
      </c>
      <c r="E121" s="31">
        <f t="shared" si="0"/>
        <v>24</v>
      </c>
      <c r="F121" s="31" t="s">
        <v>226</v>
      </c>
      <c r="G121" s="31" t="s">
        <v>226</v>
      </c>
      <c r="H121" s="31" t="s">
        <v>226</v>
      </c>
      <c r="I121" s="31" t="s">
        <v>226</v>
      </c>
      <c r="J121" s="31" t="s">
        <v>226</v>
      </c>
      <c r="K121" s="31" t="s">
        <v>226</v>
      </c>
      <c r="L121" s="31" t="s">
        <v>226</v>
      </c>
      <c r="M121" s="31" t="s">
        <v>226</v>
      </c>
      <c r="N121" s="31" t="s">
        <v>226</v>
      </c>
      <c r="O121" s="31" t="s">
        <v>226</v>
      </c>
      <c r="P121" s="31" t="s">
        <v>226</v>
      </c>
      <c r="Q121" s="31" t="s">
        <v>226</v>
      </c>
      <c r="R121" s="31" t="s">
        <v>226</v>
      </c>
      <c r="S121" s="31" t="s">
        <v>226</v>
      </c>
      <c r="T121" s="31" t="s">
        <v>226</v>
      </c>
      <c r="U121" s="31" t="s">
        <v>226</v>
      </c>
      <c r="V121" s="31" t="s">
        <v>226</v>
      </c>
      <c r="W121" s="31" t="s">
        <v>226</v>
      </c>
      <c r="X121" s="31" t="s">
        <v>226</v>
      </c>
      <c r="Y121" s="31" t="s">
        <v>226</v>
      </c>
      <c r="Z121" s="31" t="s">
        <v>226</v>
      </c>
      <c r="AA121" s="31" t="s">
        <v>226</v>
      </c>
      <c r="AB121" s="31" t="s">
        <v>226</v>
      </c>
      <c r="AC121" s="31" t="s">
        <v>226</v>
      </c>
      <c r="AD121" s="31" t="s">
        <v>226</v>
      </c>
      <c r="AE121" s="31" t="s">
        <v>226</v>
      </c>
      <c r="AF121" s="31" t="s">
        <v>226</v>
      </c>
      <c r="AG121" s="31" t="s">
        <v>226</v>
      </c>
      <c r="AH121" s="31" t="s">
        <v>226</v>
      </c>
      <c r="AI121" s="31" t="s">
        <v>226</v>
      </c>
      <c r="AJ121" s="31" t="s">
        <v>226</v>
      </c>
      <c r="AK121" s="31" t="s">
        <v>226</v>
      </c>
      <c r="AL121" s="31" t="s">
        <v>226</v>
      </c>
      <c r="AM121" s="31"/>
      <c r="AN121" s="31"/>
      <c r="AO121" s="96">
        <v>13</v>
      </c>
      <c r="AP121" s="33">
        <f t="shared" si="20"/>
        <v>0.54166666666666663</v>
      </c>
      <c r="AQ121" s="34">
        <f t="shared" si="21"/>
        <v>13</v>
      </c>
      <c r="AR121" s="35"/>
      <c r="AS121" s="36">
        <f t="shared" si="26"/>
        <v>0.54166666666666663</v>
      </c>
      <c r="AT121" s="36">
        <f t="shared" si="26"/>
        <v>13</v>
      </c>
      <c r="AU121" s="36">
        <f t="shared" si="22"/>
        <v>0.5904166666666667</v>
      </c>
      <c r="AV121" s="36">
        <f t="shared" si="23"/>
        <v>14.170000000000002</v>
      </c>
      <c r="AW121" s="37">
        <v>0.8</v>
      </c>
      <c r="AX121" s="38">
        <f t="shared" si="35"/>
        <v>19.200000000000003</v>
      </c>
      <c r="AY121" s="38">
        <f t="shared" si="7"/>
        <v>0.20958333333333334</v>
      </c>
      <c r="AZ121" s="38">
        <f t="shared" si="36"/>
        <v>5.03</v>
      </c>
      <c r="BA121" s="39">
        <f t="shared" si="9"/>
        <v>0.26197916666666665</v>
      </c>
      <c r="BB121" s="43"/>
      <c r="BC121" s="119">
        <f t="shared" si="27"/>
        <v>0.8</v>
      </c>
      <c r="BD121" s="108">
        <v>0.15</v>
      </c>
      <c r="BE121" s="120">
        <f t="shared" si="28"/>
        <v>0.97560975609756095</v>
      </c>
      <c r="BF121" s="121">
        <f t="shared" si="29"/>
        <v>0.17560975609756091</v>
      </c>
      <c r="BG121" s="121">
        <f t="shared" si="30"/>
        <v>1.5804878048780481E-2</v>
      </c>
      <c r="BH121" s="122">
        <f t="shared" si="31"/>
        <v>0.19141463414634138</v>
      </c>
      <c r="BI121" s="121">
        <f t="shared" si="32"/>
        <v>0.78419512195121954</v>
      </c>
      <c r="BJ121" s="123">
        <f t="shared" si="33"/>
        <v>0.24710489756987641</v>
      </c>
      <c r="BK121" s="124">
        <f t="shared" si="34"/>
        <v>-1.4874269096790238E-2</v>
      </c>
      <c r="BL121" s="125">
        <v>0.7</v>
      </c>
    </row>
    <row r="122" spans="1:64" ht="45" customHeight="1" x14ac:dyDescent="0.25">
      <c r="A122" s="30">
        <v>101</v>
      </c>
      <c r="B122" s="106" t="s">
        <v>96</v>
      </c>
      <c r="C122" s="31">
        <v>1</v>
      </c>
      <c r="D122" s="32" t="s">
        <v>24</v>
      </c>
      <c r="E122" s="31">
        <f t="shared" si="0"/>
        <v>24</v>
      </c>
      <c r="F122" s="31" t="s">
        <v>226</v>
      </c>
      <c r="G122" s="31" t="s">
        <v>226</v>
      </c>
      <c r="H122" s="31" t="s">
        <v>226</v>
      </c>
      <c r="I122" s="31" t="s">
        <v>226</v>
      </c>
      <c r="J122" s="31" t="s">
        <v>226</v>
      </c>
      <c r="K122" s="31" t="s">
        <v>226</v>
      </c>
      <c r="L122" s="31" t="s">
        <v>226</v>
      </c>
      <c r="M122" s="31" t="s">
        <v>226</v>
      </c>
      <c r="N122" s="31" t="s">
        <v>226</v>
      </c>
      <c r="O122" s="31" t="s">
        <v>226</v>
      </c>
      <c r="P122" s="31" t="s">
        <v>226</v>
      </c>
      <c r="Q122" s="31" t="s">
        <v>226</v>
      </c>
      <c r="R122" s="31" t="s">
        <v>226</v>
      </c>
      <c r="S122" s="31" t="s">
        <v>226</v>
      </c>
      <c r="T122" s="31" t="s">
        <v>226</v>
      </c>
      <c r="U122" s="31" t="s">
        <v>226</v>
      </c>
      <c r="V122" s="31" t="s">
        <v>226</v>
      </c>
      <c r="W122" s="31" t="s">
        <v>226</v>
      </c>
      <c r="X122" s="31" t="s">
        <v>226</v>
      </c>
      <c r="Y122" s="31" t="s">
        <v>226</v>
      </c>
      <c r="Z122" s="31" t="s">
        <v>226</v>
      </c>
      <c r="AA122" s="31" t="s">
        <v>226</v>
      </c>
      <c r="AB122" s="31" t="s">
        <v>226</v>
      </c>
      <c r="AC122" s="31" t="s">
        <v>226</v>
      </c>
      <c r="AD122" s="31" t="s">
        <v>226</v>
      </c>
      <c r="AE122" s="31" t="s">
        <v>226</v>
      </c>
      <c r="AF122" s="31" t="s">
        <v>226</v>
      </c>
      <c r="AG122" s="31" t="s">
        <v>226</v>
      </c>
      <c r="AH122" s="31" t="s">
        <v>226</v>
      </c>
      <c r="AI122" s="31" t="s">
        <v>226</v>
      </c>
      <c r="AJ122" s="31" t="s">
        <v>226</v>
      </c>
      <c r="AK122" s="31" t="s">
        <v>226</v>
      </c>
      <c r="AL122" s="31" t="s">
        <v>226</v>
      </c>
      <c r="AM122" s="31"/>
      <c r="AN122" s="31"/>
      <c r="AO122" s="96">
        <v>13</v>
      </c>
      <c r="AP122" s="33">
        <f t="shared" si="20"/>
        <v>0.54166666666666663</v>
      </c>
      <c r="AQ122" s="34">
        <f t="shared" si="21"/>
        <v>13</v>
      </c>
      <c r="AR122" s="35"/>
      <c r="AS122" s="36">
        <f t="shared" si="26"/>
        <v>0.54166666666666663</v>
      </c>
      <c r="AT122" s="36">
        <f t="shared" si="26"/>
        <v>13</v>
      </c>
      <c r="AU122" s="36">
        <f t="shared" si="22"/>
        <v>0.5904166666666667</v>
      </c>
      <c r="AV122" s="36">
        <f t="shared" si="23"/>
        <v>14.170000000000002</v>
      </c>
      <c r="AW122" s="37">
        <v>0.8</v>
      </c>
      <c r="AX122" s="38">
        <f t="shared" si="35"/>
        <v>19.200000000000003</v>
      </c>
      <c r="AY122" s="38">
        <f t="shared" si="7"/>
        <v>0.20958333333333334</v>
      </c>
      <c r="AZ122" s="38">
        <f t="shared" si="36"/>
        <v>5.03</v>
      </c>
      <c r="BA122" s="39">
        <f t="shared" si="9"/>
        <v>0.26197916666666665</v>
      </c>
      <c r="BB122" s="40"/>
      <c r="BC122" s="119">
        <f t="shared" si="27"/>
        <v>0.8</v>
      </c>
      <c r="BD122" s="108">
        <v>0.15</v>
      </c>
      <c r="BE122" s="120">
        <f t="shared" si="28"/>
        <v>0.97560975609756095</v>
      </c>
      <c r="BF122" s="121">
        <f t="shared" si="29"/>
        <v>0.17560975609756091</v>
      </c>
      <c r="BG122" s="121">
        <f t="shared" si="30"/>
        <v>1.5804878048780481E-2</v>
      </c>
      <c r="BH122" s="122">
        <f t="shared" si="31"/>
        <v>0.19141463414634138</v>
      </c>
      <c r="BI122" s="121">
        <f t="shared" si="32"/>
        <v>0.78419512195121954</v>
      </c>
      <c r="BJ122" s="123">
        <f t="shared" si="33"/>
        <v>0.24710489756987641</v>
      </c>
      <c r="BK122" s="124">
        <f t="shared" si="34"/>
        <v>-1.4874269096790238E-2</v>
      </c>
      <c r="BL122" s="125">
        <v>0.7</v>
      </c>
    </row>
    <row r="123" spans="1:64" ht="45" customHeight="1" x14ac:dyDescent="0.25">
      <c r="A123" s="30">
        <v>102</v>
      </c>
      <c r="B123" s="106" t="s">
        <v>201</v>
      </c>
      <c r="C123" s="31">
        <v>1</v>
      </c>
      <c r="D123" s="32" t="s">
        <v>25</v>
      </c>
      <c r="E123" s="31">
        <f t="shared" ref="E123:E185" si="37">D123*C123</f>
        <v>6</v>
      </c>
      <c r="F123" s="31" t="s">
        <v>226</v>
      </c>
      <c r="G123" s="31" t="s">
        <v>226</v>
      </c>
      <c r="H123" s="31" t="s">
        <v>226</v>
      </c>
      <c r="I123" s="31" t="s">
        <v>226</v>
      </c>
      <c r="J123" s="31" t="s">
        <v>226</v>
      </c>
      <c r="K123" s="31" t="s">
        <v>226</v>
      </c>
      <c r="L123" s="31" t="s">
        <v>226</v>
      </c>
      <c r="M123" s="31" t="s">
        <v>226</v>
      </c>
      <c r="N123" s="31" t="s">
        <v>226</v>
      </c>
      <c r="O123" s="31" t="s">
        <v>226</v>
      </c>
      <c r="P123" s="31" t="s">
        <v>226</v>
      </c>
      <c r="Q123" s="31" t="s">
        <v>226</v>
      </c>
      <c r="R123" s="31" t="s">
        <v>226</v>
      </c>
      <c r="S123" s="31" t="s">
        <v>226</v>
      </c>
      <c r="T123" s="31" t="s">
        <v>226</v>
      </c>
      <c r="U123" s="31" t="s">
        <v>226</v>
      </c>
      <c r="V123" s="31" t="s">
        <v>226</v>
      </c>
      <c r="W123" s="31" t="s">
        <v>226</v>
      </c>
      <c r="X123" s="31" t="s">
        <v>226</v>
      </c>
      <c r="Y123" s="31" t="s">
        <v>226</v>
      </c>
      <c r="Z123" s="31" t="s">
        <v>226</v>
      </c>
      <c r="AA123" s="31" t="s">
        <v>226</v>
      </c>
      <c r="AB123" s="31" t="s">
        <v>226</v>
      </c>
      <c r="AC123" s="31" t="s">
        <v>226</v>
      </c>
      <c r="AD123" s="31" t="s">
        <v>226</v>
      </c>
      <c r="AE123" s="31" t="s">
        <v>226</v>
      </c>
      <c r="AF123" s="31" t="s">
        <v>226</v>
      </c>
      <c r="AG123" s="31" t="s">
        <v>226</v>
      </c>
      <c r="AH123" s="31" t="s">
        <v>226</v>
      </c>
      <c r="AI123" s="31" t="s">
        <v>226</v>
      </c>
      <c r="AJ123" s="31" t="s">
        <v>226</v>
      </c>
      <c r="AK123" s="31" t="s">
        <v>226</v>
      </c>
      <c r="AL123" s="31" t="s">
        <v>226</v>
      </c>
      <c r="AM123" s="31"/>
      <c r="AN123" s="31"/>
      <c r="AO123" s="96">
        <v>26.5</v>
      </c>
      <c r="AP123" s="33">
        <f t="shared" si="20"/>
        <v>4.416666666666667</v>
      </c>
      <c r="AQ123" s="34">
        <f t="shared" si="21"/>
        <v>26.5</v>
      </c>
      <c r="AR123" s="35"/>
      <c r="AS123" s="36">
        <f t="shared" si="26"/>
        <v>4.416666666666667</v>
      </c>
      <c r="AT123" s="36">
        <f t="shared" si="26"/>
        <v>26.5</v>
      </c>
      <c r="AU123" s="36">
        <f t="shared" si="22"/>
        <v>4.8141666666666669</v>
      </c>
      <c r="AV123" s="36">
        <f t="shared" si="23"/>
        <v>28.885000000000002</v>
      </c>
      <c r="AW123" s="37"/>
      <c r="AX123" s="38">
        <f t="shared" si="35"/>
        <v>0</v>
      </c>
      <c r="AY123" s="38">
        <f t="shared" ref="AY123:AY185" si="38">AW123-AU123</f>
        <v>-4.8141666666666669</v>
      </c>
      <c r="AZ123" s="38">
        <f t="shared" si="36"/>
        <v>-28.885000000000002</v>
      </c>
      <c r="BA123" s="39" t="e">
        <f t="shared" ref="BA123:BA185" si="39">AY123/AW123</f>
        <v>#DIV/0!</v>
      </c>
      <c r="BB123" s="42"/>
      <c r="BC123" s="119">
        <f t="shared" si="27"/>
        <v>0</v>
      </c>
      <c r="BD123" s="108">
        <v>0.15</v>
      </c>
      <c r="BE123" s="120">
        <f t="shared" si="28"/>
        <v>0</v>
      </c>
      <c r="BF123" s="121">
        <f t="shared" si="29"/>
        <v>0</v>
      </c>
      <c r="BG123" s="121">
        <f t="shared" si="30"/>
        <v>0</v>
      </c>
      <c r="BH123" s="122">
        <f t="shared" si="31"/>
        <v>0</v>
      </c>
      <c r="BI123" s="121">
        <f t="shared" si="32"/>
        <v>0</v>
      </c>
      <c r="BJ123" s="123" t="e">
        <f t="shared" si="33"/>
        <v>#DIV/0!</v>
      </c>
      <c r="BK123" s="124" t="e">
        <f t="shared" si="34"/>
        <v>#DIV/0!</v>
      </c>
      <c r="BL123" s="125" t="s">
        <v>226</v>
      </c>
    </row>
    <row r="124" spans="1:64" ht="45" customHeight="1" x14ac:dyDescent="0.25">
      <c r="A124" s="30">
        <v>103</v>
      </c>
      <c r="B124" s="106" t="s">
        <v>200</v>
      </c>
      <c r="C124" s="31">
        <v>1</v>
      </c>
      <c r="D124" s="32" t="s">
        <v>73</v>
      </c>
      <c r="E124" s="31">
        <f t="shared" si="37"/>
        <v>12</v>
      </c>
      <c r="F124" s="31" t="s">
        <v>226</v>
      </c>
      <c r="G124" s="31" t="s">
        <v>226</v>
      </c>
      <c r="H124" s="31" t="s">
        <v>226</v>
      </c>
      <c r="I124" s="31" t="s">
        <v>226</v>
      </c>
      <c r="J124" s="31" t="s">
        <v>226</v>
      </c>
      <c r="K124" s="31" t="s">
        <v>226</v>
      </c>
      <c r="L124" s="31" t="s">
        <v>226</v>
      </c>
      <c r="M124" s="31" t="s">
        <v>226</v>
      </c>
      <c r="N124" s="31" t="s">
        <v>226</v>
      </c>
      <c r="O124" s="31" t="s">
        <v>226</v>
      </c>
      <c r="P124" s="31" t="s">
        <v>226</v>
      </c>
      <c r="Q124" s="31" t="s">
        <v>226</v>
      </c>
      <c r="R124" s="31" t="s">
        <v>226</v>
      </c>
      <c r="S124" s="31" t="s">
        <v>226</v>
      </c>
      <c r="T124" s="31" t="s">
        <v>226</v>
      </c>
      <c r="U124" s="31" t="s">
        <v>226</v>
      </c>
      <c r="V124" s="31" t="s">
        <v>226</v>
      </c>
      <c r="W124" s="31" t="s">
        <v>226</v>
      </c>
      <c r="X124" s="31" t="s">
        <v>226</v>
      </c>
      <c r="Y124" s="31" t="s">
        <v>226</v>
      </c>
      <c r="Z124" s="31" t="s">
        <v>226</v>
      </c>
      <c r="AA124" s="31" t="s">
        <v>226</v>
      </c>
      <c r="AB124" s="31" t="s">
        <v>226</v>
      </c>
      <c r="AC124" s="31" t="s">
        <v>226</v>
      </c>
      <c r="AD124" s="31" t="s">
        <v>226</v>
      </c>
      <c r="AE124" s="31" t="s">
        <v>226</v>
      </c>
      <c r="AF124" s="31" t="s">
        <v>226</v>
      </c>
      <c r="AG124" s="31" t="s">
        <v>226</v>
      </c>
      <c r="AH124" s="31" t="s">
        <v>226</v>
      </c>
      <c r="AI124" s="31" t="s">
        <v>226</v>
      </c>
      <c r="AJ124" s="31" t="s">
        <v>226</v>
      </c>
      <c r="AK124" s="31" t="s">
        <v>226</v>
      </c>
      <c r="AL124" s="31" t="s">
        <v>226</v>
      </c>
      <c r="AM124" s="31"/>
      <c r="AN124" s="31"/>
      <c r="AO124" s="96">
        <v>18.850000000000001</v>
      </c>
      <c r="AP124" s="33">
        <f t="shared" si="20"/>
        <v>1.5708333333333335</v>
      </c>
      <c r="AQ124" s="34">
        <f t="shared" si="21"/>
        <v>18.850000000000001</v>
      </c>
      <c r="AR124" s="35"/>
      <c r="AS124" s="36">
        <f>AP124/$AZ$2</f>
        <v>1.5708333333333335</v>
      </c>
      <c r="AT124" s="36">
        <f>AQ124/$AZ$2</f>
        <v>18.850000000000001</v>
      </c>
      <c r="AU124" s="36">
        <f t="shared" si="22"/>
        <v>1.7122083333333338</v>
      </c>
      <c r="AV124" s="36">
        <f t="shared" si="23"/>
        <v>20.546500000000005</v>
      </c>
      <c r="AW124" s="37">
        <v>2.5</v>
      </c>
      <c r="AX124" s="38">
        <f t="shared" si="35"/>
        <v>30</v>
      </c>
      <c r="AY124" s="38">
        <f t="shared" si="38"/>
        <v>0.78779166666666622</v>
      </c>
      <c r="AZ124" s="38">
        <f t="shared" si="36"/>
        <v>9.4534999999999947</v>
      </c>
      <c r="BA124" s="39">
        <f t="shared" si="39"/>
        <v>0.31511666666666649</v>
      </c>
      <c r="BB124" s="42"/>
      <c r="BC124" s="119">
        <f t="shared" si="27"/>
        <v>2.5</v>
      </c>
      <c r="BD124" s="108">
        <v>0.15</v>
      </c>
      <c r="BE124" s="120">
        <f t="shared" si="28"/>
        <v>3.0487804878048776</v>
      </c>
      <c r="BF124" s="121">
        <f t="shared" si="29"/>
        <v>0.54878048780487765</v>
      </c>
      <c r="BG124" s="121">
        <f t="shared" si="30"/>
        <v>4.9390243902438985E-2</v>
      </c>
      <c r="BH124" s="122">
        <f t="shared" si="31"/>
        <v>0.59817073170731661</v>
      </c>
      <c r="BI124" s="121">
        <f t="shared" si="32"/>
        <v>2.450609756097561</v>
      </c>
      <c r="BJ124" s="123">
        <f t="shared" si="33"/>
        <v>0.30131334494484513</v>
      </c>
      <c r="BK124" s="124">
        <f t="shared" si="34"/>
        <v>-1.380332172182136E-2</v>
      </c>
      <c r="BL124" s="125" t="s">
        <v>226</v>
      </c>
    </row>
    <row r="125" spans="1:64" ht="45" customHeight="1" x14ac:dyDescent="0.25">
      <c r="A125" s="30">
        <v>105</v>
      </c>
      <c r="B125" s="106" t="s">
        <v>90</v>
      </c>
      <c r="C125" s="31">
        <v>1</v>
      </c>
      <c r="D125" s="32" t="s">
        <v>73</v>
      </c>
      <c r="E125" s="31">
        <f t="shared" si="37"/>
        <v>12</v>
      </c>
      <c r="F125" s="31" t="s">
        <v>226</v>
      </c>
      <c r="G125" s="31" t="s">
        <v>226</v>
      </c>
      <c r="H125" s="31" t="s">
        <v>226</v>
      </c>
      <c r="I125" s="31" t="s">
        <v>226</v>
      </c>
      <c r="J125" s="31" t="s">
        <v>226</v>
      </c>
      <c r="K125" s="31" t="s">
        <v>226</v>
      </c>
      <c r="L125" s="31" t="s">
        <v>226</v>
      </c>
      <c r="M125" s="31" t="s">
        <v>226</v>
      </c>
      <c r="N125" s="31" t="s">
        <v>226</v>
      </c>
      <c r="O125" s="31" t="s">
        <v>226</v>
      </c>
      <c r="P125" s="31" t="s">
        <v>226</v>
      </c>
      <c r="Q125" s="31" t="s">
        <v>226</v>
      </c>
      <c r="R125" s="31" t="s">
        <v>226</v>
      </c>
      <c r="S125" s="31" t="s">
        <v>226</v>
      </c>
      <c r="T125" s="31" t="s">
        <v>226</v>
      </c>
      <c r="U125" s="31" t="s">
        <v>226</v>
      </c>
      <c r="V125" s="31" t="s">
        <v>226</v>
      </c>
      <c r="W125" s="31" t="s">
        <v>226</v>
      </c>
      <c r="X125" s="31" t="s">
        <v>226</v>
      </c>
      <c r="Y125" s="31" t="s">
        <v>226</v>
      </c>
      <c r="Z125" s="31" t="s">
        <v>226</v>
      </c>
      <c r="AA125" s="31" t="s">
        <v>226</v>
      </c>
      <c r="AB125" s="31" t="s">
        <v>226</v>
      </c>
      <c r="AC125" s="31" t="s">
        <v>226</v>
      </c>
      <c r="AD125" s="31" t="s">
        <v>226</v>
      </c>
      <c r="AE125" s="31" t="s">
        <v>226</v>
      </c>
      <c r="AF125" s="31" t="s">
        <v>226</v>
      </c>
      <c r="AG125" s="31" t="s">
        <v>226</v>
      </c>
      <c r="AH125" s="31" t="s">
        <v>226</v>
      </c>
      <c r="AI125" s="31" t="s">
        <v>226</v>
      </c>
      <c r="AJ125" s="31" t="s">
        <v>226</v>
      </c>
      <c r="AK125" s="31" t="s">
        <v>226</v>
      </c>
      <c r="AL125" s="31" t="s">
        <v>226</v>
      </c>
      <c r="AM125" s="31"/>
      <c r="AN125" s="31"/>
      <c r="AO125" s="96">
        <v>18.850000000000001</v>
      </c>
      <c r="AP125" s="33">
        <f t="shared" si="20"/>
        <v>1.5708333333333335</v>
      </c>
      <c r="AQ125" s="34">
        <f t="shared" si="21"/>
        <v>18.850000000000001</v>
      </c>
      <c r="AR125" s="35"/>
      <c r="AS125" s="36">
        <f t="shared" si="26"/>
        <v>1.5708333333333335</v>
      </c>
      <c r="AT125" s="36">
        <f t="shared" si="26"/>
        <v>18.850000000000001</v>
      </c>
      <c r="AU125" s="36">
        <f t="shared" si="22"/>
        <v>1.7122083333333338</v>
      </c>
      <c r="AV125" s="36">
        <f t="shared" si="23"/>
        <v>20.546500000000005</v>
      </c>
      <c r="AW125" s="37">
        <v>2.5</v>
      </c>
      <c r="AX125" s="38">
        <f t="shared" si="35"/>
        <v>30</v>
      </c>
      <c r="AY125" s="38">
        <f t="shared" si="38"/>
        <v>0.78779166666666622</v>
      </c>
      <c r="AZ125" s="38">
        <f t="shared" si="36"/>
        <v>9.4534999999999947</v>
      </c>
      <c r="BA125" s="39">
        <f t="shared" si="39"/>
        <v>0.31511666666666649</v>
      </c>
      <c r="BB125" s="42"/>
      <c r="BC125" s="119">
        <f t="shared" si="27"/>
        <v>2.5</v>
      </c>
      <c r="BD125" s="108">
        <v>0.15</v>
      </c>
      <c r="BE125" s="120">
        <f t="shared" si="28"/>
        <v>3.0487804878048776</v>
      </c>
      <c r="BF125" s="121">
        <f t="shared" si="29"/>
        <v>0.54878048780487765</v>
      </c>
      <c r="BG125" s="121">
        <f t="shared" si="30"/>
        <v>4.9390243902438985E-2</v>
      </c>
      <c r="BH125" s="122">
        <f t="shared" si="31"/>
        <v>0.59817073170731661</v>
      </c>
      <c r="BI125" s="121">
        <f t="shared" si="32"/>
        <v>2.450609756097561</v>
      </c>
      <c r="BJ125" s="123">
        <f t="shared" si="33"/>
        <v>0.30131334494484513</v>
      </c>
      <c r="BK125" s="124">
        <f t="shared" si="34"/>
        <v>-1.380332172182136E-2</v>
      </c>
      <c r="BL125" s="125" t="s">
        <v>226</v>
      </c>
    </row>
    <row r="126" spans="1:64" ht="45" customHeight="1" x14ac:dyDescent="0.25">
      <c r="A126" s="30">
        <v>106</v>
      </c>
      <c r="B126" s="101" t="s">
        <v>139</v>
      </c>
      <c r="C126" s="31">
        <v>1</v>
      </c>
      <c r="D126" s="32" t="s">
        <v>75</v>
      </c>
      <c r="E126" s="31">
        <f t="shared" si="37"/>
        <v>48</v>
      </c>
      <c r="F126" s="31" t="s">
        <v>226</v>
      </c>
      <c r="G126" s="31" t="s">
        <v>226</v>
      </c>
      <c r="H126" s="31" t="s">
        <v>226</v>
      </c>
      <c r="I126" s="31" t="s">
        <v>226</v>
      </c>
      <c r="J126" s="31" t="s">
        <v>226</v>
      </c>
      <c r="K126" s="31" t="s">
        <v>226</v>
      </c>
      <c r="L126" s="31" t="s">
        <v>226</v>
      </c>
      <c r="M126" s="31" t="s">
        <v>226</v>
      </c>
      <c r="N126" s="31" t="s">
        <v>226</v>
      </c>
      <c r="O126" s="31" t="s">
        <v>226</v>
      </c>
      <c r="P126" s="31" t="s">
        <v>226</v>
      </c>
      <c r="Q126" s="31" t="s">
        <v>226</v>
      </c>
      <c r="R126" s="31" t="s">
        <v>226</v>
      </c>
      <c r="S126" s="31" t="s">
        <v>226</v>
      </c>
      <c r="T126" s="31" t="s">
        <v>226</v>
      </c>
      <c r="U126" s="31" t="s">
        <v>226</v>
      </c>
      <c r="V126" s="31" t="s">
        <v>226</v>
      </c>
      <c r="W126" s="31" t="s">
        <v>226</v>
      </c>
      <c r="X126" s="31" t="s">
        <v>226</v>
      </c>
      <c r="Y126" s="31" t="s">
        <v>226</v>
      </c>
      <c r="Z126" s="31" t="s">
        <v>226</v>
      </c>
      <c r="AA126" s="31" t="s">
        <v>226</v>
      </c>
      <c r="AB126" s="31" t="s">
        <v>226</v>
      </c>
      <c r="AC126" s="31" t="s">
        <v>226</v>
      </c>
      <c r="AD126" s="31" t="s">
        <v>226</v>
      </c>
      <c r="AE126" s="31" t="s">
        <v>226</v>
      </c>
      <c r="AF126" s="31" t="s">
        <v>226</v>
      </c>
      <c r="AG126" s="31" t="s">
        <v>226</v>
      </c>
      <c r="AH126" s="31" t="s">
        <v>226</v>
      </c>
      <c r="AI126" s="31" t="s">
        <v>226</v>
      </c>
      <c r="AJ126" s="31" t="s">
        <v>226</v>
      </c>
      <c r="AK126" s="31" t="s">
        <v>226</v>
      </c>
      <c r="AL126" s="31" t="s">
        <v>226</v>
      </c>
      <c r="AM126" s="31"/>
      <c r="AN126" s="31"/>
      <c r="AO126" s="96">
        <v>20.5</v>
      </c>
      <c r="AP126" s="33">
        <f t="shared" si="20"/>
        <v>0.42708333333333331</v>
      </c>
      <c r="AQ126" s="34">
        <f t="shared" si="21"/>
        <v>20.5</v>
      </c>
      <c r="AR126" s="35"/>
      <c r="AS126" s="36">
        <f t="shared" si="26"/>
        <v>0.42708333333333331</v>
      </c>
      <c r="AT126" s="36">
        <f t="shared" si="26"/>
        <v>20.5</v>
      </c>
      <c r="AU126" s="36">
        <f t="shared" si="22"/>
        <v>0.46552083333333333</v>
      </c>
      <c r="AV126" s="36">
        <f t="shared" si="23"/>
        <v>22.344999999999999</v>
      </c>
      <c r="AW126" s="37">
        <v>0.6</v>
      </c>
      <c r="AX126" s="38">
        <f t="shared" si="35"/>
        <v>28.799999999999997</v>
      </c>
      <c r="AY126" s="38">
        <f t="shared" si="38"/>
        <v>0.13447916666666665</v>
      </c>
      <c r="AZ126" s="38">
        <f t="shared" si="36"/>
        <v>6.4549999999999992</v>
      </c>
      <c r="BA126" s="39">
        <f t="shared" si="39"/>
        <v>0.22413194444444443</v>
      </c>
      <c r="BB126" s="42"/>
      <c r="BC126" s="119">
        <f t="shared" si="27"/>
        <v>0.6</v>
      </c>
      <c r="BD126" s="108">
        <v>0.15</v>
      </c>
      <c r="BE126" s="120">
        <f t="shared" si="28"/>
        <v>0.7317073170731706</v>
      </c>
      <c r="BF126" s="121">
        <f t="shared" si="29"/>
        <v>0.13170731707317063</v>
      </c>
      <c r="BG126" s="121">
        <f t="shared" si="30"/>
        <v>1.1853658536585356E-2</v>
      </c>
      <c r="BH126" s="122">
        <f t="shared" si="31"/>
        <v>0.14356097560975598</v>
      </c>
      <c r="BI126" s="121">
        <f t="shared" si="32"/>
        <v>0.5881463414634146</v>
      </c>
      <c r="BJ126" s="123">
        <f t="shared" si="33"/>
        <v>0.20849489231704954</v>
      </c>
      <c r="BK126" s="124">
        <f t="shared" si="34"/>
        <v>-1.5637052127394885E-2</v>
      </c>
      <c r="BL126" s="125" t="s">
        <v>226</v>
      </c>
    </row>
    <row r="127" spans="1:64" ht="45" customHeight="1" x14ac:dyDescent="0.25">
      <c r="A127" s="30">
        <v>107</v>
      </c>
      <c r="B127" s="101" t="s">
        <v>146</v>
      </c>
      <c r="C127" s="31">
        <v>1</v>
      </c>
      <c r="D127" s="32" t="s">
        <v>73</v>
      </c>
      <c r="E127" s="31">
        <f t="shared" si="37"/>
        <v>12</v>
      </c>
      <c r="F127" s="31" t="s">
        <v>226</v>
      </c>
      <c r="G127" s="31" t="s">
        <v>226</v>
      </c>
      <c r="H127" s="31" t="s">
        <v>226</v>
      </c>
      <c r="I127" s="31" t="s">
        <v>226</v>
      </c>
      <c r="J127" s="31" t="s">
        <v>226</v>
      </c>
      <c r="K127" s="31" t="s">
        <v>226</v>
      </c>
      <c r="L127" s="31" t="s">
        <v>226</v>
      </c>
      <c r="M127" s="31" t="s">
        <v>226</v>
      </c>
      <c r="N127" s="31" t="s">
        <v>226</v>
      </c>
      <c r="O127" s="31" t="s">
        <v>226</v>
      </c>
      <c r="P127" s="31" t="s">
        <v>226</v>
      </c>
      <c r="Q127" s="31" t="s">
        <v>226</v>
      </c>
      <c r="R127" s="31" t="s">
        <v>226</v>
      </c>
      <c r="S127" s="31" t="s">
        <v>226</v>
      </c>
      <c r="T127" s="31" t="s">
        <v>226</v>
      </c>
      <c r="U127" s="31" t="s">
        <v>226</v>
      </c>
      <c r="V127" s="31" t="s">
        <v>226</v>
      </c>
      <c r="W127" s="31" t="s">
        <v>226</v>
      </c>
      <c r="X127" s="31" t="s">
        <v>226</v>
      </c>
      <c r="Y127" s="31" t="s">
        <v>226</v>
      </c>
      <c r="Z127" s="31" t="s">
        <v>226</v>
      </c>
      <c r="AA127" s="31" t="s">
        <v>226</v>
      </c>
      <c r="AB127" s="31" t="s">
        <v>226</v>
      </c>
      <c r="AC127" s="31" t="s">
        <v>226</v>
      </c>
      <c r="AD127" s="31" t="s">
        <v>226</v>
      </c>
      <c r="AE127" s="31" t="s">
        <v>226</v>
      </c>
      <c r="AF127" s="31" t="s">
        <v>226</v>
      </c>
      <c r="AG127" s="31" t="s">
        <v>226</v>
      </c>
      <c r="AH127" s="31" t="s">
        <v>226</v>
      </c>
      <c r="AI127" s="31" t="s">
        <v>226</v>
      </c>
      <c r="AJ127" s="31" t="s">
        <v>226</v>
      </c>
      <c r="AK127" s="31" t="s">
        <v>226</v>
      </c>
      <c r="AL127" s="31" t="s">
        <v>226</v>
      </c>
      <c r="AM127" s="31"/>
      <c r="AN127" s="31"/>
      <c r="AO127" s="96">
        <v>21</v>
      </c>
      <c r="AP127" s="33">
        <f t="shared" si="20"/>
        <v>1.75</v>
      </c>
      <c r="AQ127" s="34">
        <f t="shared" si="21"/>
        <v>21</v>
      </c>
      <c r="AR127" s="35"/>
      <c r="AS127" s="36">
        <f t="shared" si="26"/>
        <v>1.75</v>
      </c>
      <c r="AT127" s="36">
        <f t="shared" si="26"/>
        <v>21</v>
      </c>
      <c r="AU127" s="36">
        <f t="shared" si="22"/>
        <v>1.9075000000000002</v>
      </c>
      <c r="AV127" s="36">
        <f t="shared" si="23"/>
        <v>22.89</v>
      </c>
      <c r="AW127" s="37">
        <v>2.25</v>
      </c>
      <c r="AX127" s="38">
        <f t="shared" si="35"/>
        <v>27</v>
      </c>
      <c r="AY127" s="38">
        <f t="shared" si="38"/>
        <v>0.3424999999999998</v>
      </c>
      <c r="AZ127" s="38">
        <f t="shared" si="36"/>
        <v>4.1099999999999977</v>
      </c>
      <c r="BA127" s="39">
        <f t="shared" si="39"/>
        <v>0.15222222222222215</v>
      </c>
      <c r="BB127" s="42"/>
      <c r="BC127" s="119">
        <f t="shared" si="27"/>
        <v>2.25</v>
      </c>
      <c r="BD127" s="108">
        <v>0.15</v>
      </c>
      <c r="BE127" s="120">
        <f t="shared" si="28"/>
        <v>2.74390243902439</v>
      </c>
      <c r="BF127" s="121">
        <f t="shared" si="29"/>
        <v>0.49390243902439002</v>
      </c>
      <c r="BG127" s="121">
        <f t="shared" si="30"/>
        <v>4.4451219512195099E-2</v>
      </c>
      <c r="BH127" s="122">
        <f t="shared" si="31"/>
        <v>0.53835365853658512</v>
      </c>
      <c r="BI127" s="121">
        <f t="shared" si="32"/>
        <v>2.2055487804878049</v>
      </c>
      <c r="BJ127" s="123">
        <f t="shared" si="33"/>
        <v>0.13513588233667848</v>
      </c>
      <c r="BK127" s="124">
        <f t="shared" si="34"/>
        <v>-1.7086339885543672E-2</v>
      </c>
      <c r="BL127" s="125" t="s">
        <v>226</v>
      </c>
    </row>
    <row r="128" spans="1:64" ht="45" customHeight="1" x14ac:dyDescent="0.25">
      <c r="A128" s="30">
        <v>108</v>
      </c>
      <c r="B128" s="101" t="s">
        <v>163</v>
      </c>
      <c r="C128" s="31">
        <v>1</v>
      </c>
      <c r="D128" s="32" t="s">
        <v>73</v>
      </c>
      <c r="E128" s="31">
        <f t="shared" si="37"/>
        <v>12</v>
      </c>
      <c r="F128" s="31" t="s">
        <v>226</v>
      </c>
      <c r="G128" s="31" t="s">
        <v>226</v>
      </c>
      <c r="H128" s="31" t="s">
        <v>226</v>
      </c>
      <c r="I128" s="31" t="s">
        <v>226</v>
      </c>
      <c r="J128" s="31" t="s">
        <v>226</v>
      </c>
      <c r="K128" s="31" t="s">
        <v>226</v>
      </c>
      <c r="L128" s="31" t="s">
        <v>226</v>
      </c>
      <c r="M128" s="31" t="s">
        <v>226</v>
      </c>
      <c r="N128" s="31" t="s">
        <v>226</v>
      </c>
      <c r="O128" s="31" t="s">
        <v>226</v>
      </c>
      <c r="P128" s="31" t="s">
        <v>226</v>
      </c>
      <c r="Q128" s="31" t="s">
        <v>226</v>
      </c>
      <c r="R128" s="31" t="s">
        <v>226</v>
      </c>
      <c r="S128" s="31" t="s">
        <v>226</v>
      </c>
      <c r="T128" s="31" t="s">
        <v>226</v>
      </c>
      <c r="U128" s="31" t="s">
        <v>226</v>
      </c>
      <c r="V128" s="31" t="s">
        <v>226</v>
      </c>
      <c r="W128" s="31" t="s">
        <v>226</v>
      </c>
      <c r="X128" s="31" t="s">
        <v>226</v>
      </c>
      <c r="Y128" s="31" t="s">
        <v>226</v>
      </c>
      <c r="Z128" s="31" t="s">
        <v>226</v>
      </c>
      <c r="AA128" s="31" t="s">
        <v>226</v>
      </c>
      <c r="AB128" s="31" t="s">
        <v>226</v>
      </c>
      <c r="AC128" s="31" t="s">
        <v>226</v>
      </c>
      <c r="AD128" s="31" t="s">
        <v>226</v>
      </c>
      <c r="AE128" s="31" t="s">
        <v>226</v>
      </c>
      <c r="AF128" s="31" t="s">
        <v>226</v>
      </c>
      <c r="AG128" s="31" t="s">
        <v>226</v>
      </c>
      <c r="AH128" s="31" t="s">
        <v>226</v>
      </c>
      <c r="AI128" s="31" t="s">
        <v>226</v>
      </c>
      <c r="AJ128" s="31" t="s">
        <v>226</v>
      </c>
      <c r="AK128" s="31" t="s">
        <v>226</v>
      </c>
      <c r="AL128" s="31" t="s">
        <v>226</v>
      </c>
      <c r="AM128" s="31"/>
      <c r="AN128" s="31"/>
      <c r="AO128" s="96">
        <v>21</v>
      </c>
      <c r="AP128" s="33">
        <f t="shared" si="20"/>
        <v>1.75</v>
      </c>
      <c r="AQ128" s="34">
        <f t="shared" si="21"/>
        <v>21</v>
      </c>
      <c r="AR128" s="35"/>
      <c r="AS128" s="36">
        <f t="shared" si="26"/>
        <v>1.75</v>
      </c>
      <c r="AT128" s="36">
        <f t="shared" si="26"/>
        <v>21</v>
      </c>
      <c r="AU128" s="36">
        <f t="shared" si="22"/>
        <v>1.9075000000000002</v>
      </c>
      <c r="AV128" s="36">
        <f t="shared" si="23"/>
        <v>22.89</v>
      </c>
      <c r="AW128" s="37">
        <v>2.25</v>
      </c>
      <c r="AX128" s="38">
        <f t="shared" si="35"/>
        <v>27</v>
      </c>
      <c r="AY128" s="38">
        <f t="shared" si="38"/>
        <v>0.3424999999999998</v>
      </c>
      <c r="AZ128" s="38">
        <f t="shared" si="36"/>
        <v>4.1099999999999977</v>
      </c>
      <c r="BA128" s="39">
        <f t="shared" si="39"/>
        <v>0.15222222222222215</v>
      </c>
      <c r="BB128" s="42"/>
      <c r="BC128" s="119">
        <f t="shared" si="27"/>
        <v>2.25</v>
      </c>
      <c r="BD128" s="108">
        <v>0.15</v>
      </c>
      <c r="BE128" s="120">
        <f t="shared" si="28"/>
        <v>2.74390243902439</v>
      </c>
      <c r="BF128" s="121">
        <f t="shared" si="29"/>
        <v>0.49390243902439002</v>
      </c>
      <c r="BG128" s="121">
        <f t="shared" si="30"/>
        <v>4.4451219512195099E-2</v>
      </c>
      <c r="BH128" s="122">
        <f t="shared" si="31"/>
        <v>0.53835365853658512</v>
      </c>
      <c r="BI128" s="121">
        <f t="shared" si="32"/>
        <v>2.2055487804878049</v>
      </c>
      <c r="BJ128" s="123">
        <f t="shared" si="33"/>
        <v>0.13513588233667848</v>
      </c>
      <c r="BK128" s="124">
        <f t="shared" si="34"/>
        <v>-1.7086339885543672E-2</v>
      </c>
      <c r="BL128" s="125" t="s">
        <v>226</v>
      </c>
    </row>
    <row r="129" spans="1:64" ht="45" customHeight="1" x14ac:dyDescent="0.25">
      <c r="A129" s="30">
        <v>109</v>
      </c>
      <c r="B129" s="101" t="s">
        <v>140</v>
      </c>
      <c r="C129" s="31">
        <v>1</v>
      </c>
      <c r="D129" s="32" t="s">
        <v>75</v>
      </c>
      <c r="E129" s="31">
        <f t="shared" si="37"/>
        <v>48</v>
      </c>
      <c r="F129" s="31" t="s">
        <v>226</v>
      </c>
      <c r="G129" s="31" t="s">
        <v>226</v>
      </c>
      <c r="H129" s="31" t="s">
        <v>226</v>
      </c>
      <c r="I129" s="31" t="s">
        <v>226</v>
      </c>
      <c r="J129" s="31" t="s">
        <v>226</v>
      </c>
      <c r="K129" s="31" t="s">
        <v>226</v>
      </c>
      <c r="L129" s="31" t="s">
        <v>226</v>
      </c>
      <c r="M129" s="31" t="s">
        <v>226</v>
      </c>
      <c r="N129" s="31" t="s">
        <v>226</v>
      </c>
      <c r="O129" s="31" t="s">
        <v>226</v>
      </c>
      <c r="P129" s="31" t="s">
        <v>226</v>
      </c>
      <c r="Q129" s="31" t="s">
        <v>226</v>
      </c>
      <c r="R129" s="31" t="s">
        <v>226</v>
      </c>
      <c r="S129" s="31" t="s">
        <v>226</v>
      </c>
      <c r="T129" s="31" t="s">
        <v>226</v>
      </c>
      <c r="U129" s="31" t="s">
        <v>226</v>
      </c>
      <c r="V129" s="31" t="s">
        <v>226</v>
      </c>
      <c r="W129" s="31" t="s">
        <v>226</v>
      </c>
      <c r="X129" s="31" t="s">
        <v>226</v>
      </c>
      <c r="Y129" s="31" t="s">
        <v>226</v>
      </c>
      <c r="Z129" s="31" t="s">
        <v>226</v>
      </c>
      <c r="AA129" s="31" t="s">
        <v>226</v>
      </c>
      <c r="AB129" s="31" t="s">
        <v>226</v>
      </c>
      <c r="AC129" s="31" t="s">
        <v>226</v>
      </c>
      <c r="AD129" s="31" t="s">
        <v>226</v>
      </c>
      <c r="AE129" s="31" t="s">
        <v>226</v>
      </c>
      <c r="AF129" s="31" t="s">
        <v>226</v>
      </c>
      <c r="AG129" s="31" t="s">
        <v>226</v>
      </c>
      <c r="AH129" s="31" t="s">
        <v>226</v>
      </c>
      <c r="AI129" s="31" t="s">
        <v>226</v>
      </c>
      <c r="AJ129" s="31" t="s">
        <v>226</v>
      </c>
      <c r="AK129" s="31" t="s">
        <v>226</v>
      </c>
      <c r="AL129" s="31" t="s">
        <v>226</v>
      </c>
      <c r="AM129" s="31"/>
      <c r="AN129" s="31"/>
      <c r="AO129" s="96">
        <v>20.5</v>
      </c>
      <c r="AP129" s="33">
        <f t="shared" si="20"/>
        <v>0.42708333333333331</v>
      </c>
      <c r="AQ129" s="34">
        <f t="shared" si="21"/>
        <v>20.5</v>
      </c>
      <c r="AR129" s="35"/>
      <c r="AS129" s="36">
        <f t="shared" si="26"/>
        <v>0.42708333333333331</v>
      </c>
      <c r="AT129" s="36">
        <f t="shared" si="26"/>
        <v>20.5</v>
      </c>
      <c r="AU129" s="36">
        <f t="shared" si="22"/>
        <v>0.46552083333333333</v>
      </c>
      <c r="AV129" s="36">
        <f t="shared" si="23"/>
        <v>22.344999999999999</v>
      </c>
      <c r="AW129" s="37">
        <v>0.6</v>
      </c>
      <c r="AX129" s="38">
        <f t="shared" si="35"/>
        <v>28.799999999999997</v>
      </c>
      <c r="AY129" s="38">
        <f t="shared" si="38"/>
        <v>0.13447916666666665</v>
      </c>
      <c r="AZ129" s="38">
        <f t="shared" si="36"/>
        <v>6.4549999999999992</v>
      </c>
      <c r="BA129" s="39">
        <f t="shared" si="39"/>
        <v>0.22413194444444443</v>
      </c>
      <c r="BB129" s="42"/>
      <c r="BC129" s="119">
        <f t="shared" si="27"/>
        <v>0.6</v>
      </c>
      <c r="BD129" s="108">
        <v>0.15</v>
      </c>
      <c r="BE129" s="120">
        <f t="shared" si="28"/>
        <v>0.7317073170731706</v>
      </c>
      <c r="BF129" s="121">
        <f t="shared" si="29"/>
        <v>0.13170731707317063</v>
      </c>
      <c r="BG129" s="121">
        <f t="shared" si="30"/>
        <v>1.1853658536585356E-2</v>
      </c>
      <c r="BH129" s="122">
        <f t="shared" si="31"/>
        <v>0.14356097560975598</v>
      </c>
      <c r="BI129" s="121">
        <f t="shared" si="32"/>
        <v>0.5881463414634146</v>
      </c>
      <c r="BJ129" s="123">
        <f t="shared" si="33"/>
        <v>0.20849489231704954</v>
      </c>
      <c r="BK129" s="124">
        <f t="shared" si="34"/>
        <v>-1.5637052127394885E-2</v>
      </c>
      <c r="BL129" s="125" t="s">
        <v>226</v>
      </c>
    </row>
    <row r="130" spans="1:64" ht="45" customHeight="1" x14ac:dyDescent="0.25">
      <c r="A130" s="30">
        <v>110</v>
      </c>
      <c r="B130" s="101" t="s">
        <v>91</v>
      </c>
      <c r="C130" s="31">
        <v>1</v>
      </c>
      <c r="D130" s="32" t="s">
        <v>73</v>
      </c>
      <c r="E130" s="31">
        <f t="shared" si="37"/>
        <v>12</v>
      </c>
      <c r="F130" s="31" t="s">
        <v>226</v>
      </c>
      <c r="G130" s="31" t="s">
        <v>226</v>
      </c>
      <c r="H130" s="31" t="s">
        <v>226</v>
      </c>
      <c r="I130" s="31" t="s">
        <v>226</v>
      </c>
      <c r="J130" s="31" t="s">
        <v>226</v>
      </c>
      <c r="K130" s="31" t="s">
        <v>226</v>
      </c>
      <c r="L130" s="31" t="s">
        <v>226</v>
      </c>
      <c r="M130" s="31" t="s">
        <v>226</v>
      </c>
      <c r="N130" s="31" t="s">
        <v>226</v>
      </c>
      <c r="O130" s="31" t="s">
        <v>226</v>
      </c>
      <c r="P130" s="31" t="s">
        <v>226</v>
      </c>
      <c r="Q130" s="31" t="s">
        <v>226</v>
      </c>
      <c r="R130" s="31" t="s">
        <v>226</v>
      </c>
      <c r="S130" s="31" t="s">
        <v>226</v>
      </c>
      <c r="T130" s="31" t="s">
        <v>226</v>
      </c>
      <c r="U130" s="31" t="s">
        <v>226</v>
      </c>
      <c r="V130" s="31" t="s">
        <v>226</v>
      </c>
      <c r="W130" s="31" t="s">
        <v>226</v>
      </c>
      <c r="X130" s="31" t="s">
        <v>226</v>
      </c>
      <c r="Y130" s="31" t="s">
        <v>226</v>
      </c>
      <c r="Z130" s="31" t="s">
        <v>226</v>
      </c>
      <c r="AA130" s="31" t="s">
        <v>226</v>
      </c>
      <c r="AB130" s="31" t="s">
        <v>226</v>
      </c>
      <c r="AC130" s="31" t="s">
        <v>226</v>
      </c>
      <c r="AD130" s="31" t="s">
        <v>226</v>
      </c>
      <c r="AE130" s="31" t="s">
        <v>226</v>
      </c>
      <c r="AF130" s="31" t="s">
        <v>226</v>
      </c>
      <c r="AG130" s="31" t="s">
        <v>226</v>
      </c>
      <c r="AH130" s="31" t="s">
        <v>226</v>
      </c>
      <c r="AI130" s="31" t="s">
        <v>226</v>
      </c>
      <c r="AJ130" s="31" t="s">
        <v>226</v>
      </c>
      <c r="AK130" s="31" t="s">
        <v>226</v>
      </c>
      <c r="AL130" s="31" t="s">
        <v>226</v>
      </c>
      <c r="AM130" s="31"/>
      <c r="AN130" s="31"/>
      <c r="AO130" s="96">
        <v>18.850000000000001</v>
      </c>
      <c r="AP130" s="33">
        <f t="shared" si="20"/>
        <v>1.5708333333333335</v>
      </c>
      <c r="AQ130" s="34">
        <f t="shared" si="21"/>
        <v>18.850000000000001</v>
      </c>
      <c r="AR130" s="35"/>
      <c r="AS130" s="36">
        <f t="shared" si="26"/>
        <v>1.5708333333333335</v>
      </c>
      <c r="AT130" s="36">
        <f t="shared" si="26"/>
        <v>18.850000000000001</v>
      </c>
      <c r="AU130" s="36">
        <f t="shared" si="22"/>
        <v>1.7122083333333338</v>
      </c>
      <c r="AV130" s="36">
        <f t="shared" si="23"/>
        <v>20.546500000000005</v>
      </c>
      <c r="AW130" s="37">
        <v>2.5</v>
      </c>
      <c r="AX130" s="38">
        <f t="shared" si="35"/>
        <v>30</v>
      </c>
      <c r="AY130" s="38">
        <f t="shared" si="38"/>
        <v>0.78779166666666622</v>
      </c>
      <c r="AZ130" s="38">
        <f t="shared" si="36"/>
        <v>9.4534999999999947</v>
      </c>
      <c r="BA130" s="39">
        <f t="shared" si="39"/>
        <v>0.31511666666666649</v>
      </c>
      <c r="BB130" s="42"/>
      <c r="BC130" s="119">
        <f t="shared" si="27"/>
        <v>2.5</v>
      </c>
      <c r="BD130" s="108">
        <v>0.15</v>
      </c>
      <c r="BE130" s="120">
        <f t="shared" si="28"/>
        <v>3.0487804878048776</v>
      </c>
      <c r="BF130" s="121">
        <f t="shared" si="29"/>
        <v>0.54878048780487765</v>
      </c>
      <c r="BG130" s="121">
        <f t="shared" si="30"/>
        <v>4.9390243902438985E-2</v>
      </c>
      <c r="BH130" s="122">
        <f t="shared" si="31"/>
        <v>0.59817073170731661</v>
      </c>
      <c r="BI130" s="121">
        <f t="shared" si="32"/>
        <v>2.450609756097561</v>
      </c>
      <c r="BJ130" s="123">
        <f t="shared" si="33"/>
        <v>0.30131334494484513</v>
      </c>
      <c r="BK130" s="124">
        <f t="shared" si="34"/>
        <v>-1.380332172182136E-2</v>
      </c>
      <c r="BL130" s="125" t="s">
        <v>226</v>
      </c>
    </row>
    <row r="131" spans="1:64" ht="45" customHeight="1" x14ac:dyDescent="0.25">
      <c r="A131" s="30">
        <v>111</v>
      </c>
      <c r="B131" s="101" t="s">
        <v>97</v>
      </c>
      <c r="C131" s="31">
        <v>1</v>
      </c>
      <c r="D131" s="32" t="s">
        <v>136</v>
      </c>
      <c r="E131" s="31">
        <f t="shared" si="37"/>
        <v>10</v>
      </c>
      <c r="F131" s="31" t="s">
        <v>226</v>
      </c>
      <c r="G131" s="31" t="s">
        <v>226</v>
      </c>
      <c r="H131" s="31" t="s">
        <v>226</v>
      </c>
      <c r="I131" s="31" t="s">
        <v>226</v>
      </c>
      <c r="J131" s="31" t="s">
        <v>226</v>
      </c>
      <c r="K131" s="31" t="s">
        <v>226</v>
      </c>
      <c r="L131" s="31" t="s">
        <v>226</v>
      </c>
      <c r="M131" s="31" t="s">
        <v>226</v>
      </c>
      <c r="N131" s="31" t="s">
        <v>226</v>
      </c>
      <c r="O131" s="31" t="s">
        <v>226</v>
      </c>
      <c r="P131" s="31" t="s">
        <v>226</v>
      </c>
      <c r="Q131" s="31" t="s">
        <v>226</v>
      </c>
      <c r="R131" s="31" t="s">
        <v>226</v>
      </c>
      <c r="S131" s="31" t="s">
        <v>226</v>
      </c>
      <c r="T131" s="31" t="s">
        <v>226</v>
      </c>
      <c r="U131" s="31" t="s">
        <v>226</v>
      </c>
      <c r="V131" s="31" t="s">
        <v>226</v>
      </c>
      <c r="W131" s="31" t="s">
        <v>226</v>
      </c>
      <c r="X131" s="31" t="s">
        <v>226</v>
      </c>
      <c r="Y131" s="31" t="s">
        <v>226</v>
      </c>
      <c r="Z131" s="31" t="s">
        <v>226</v>
      </c>
      <c r="AA131" s="31" t="s">
        <v>226</v>
      </c>
      <c r="AB131" s="31" t="s">
        <v>226</v>
      </c>
      <c r="AC131" s="31" t="s">
        <v>226</v>
      </c>
      <c r="AD131" s="31" t="s">
        <v>226</v>
      </c>
      <c r="AE131" s="31" t="s">
        <v>226</v>
      </c>
      <c r="AF131" s="31" t="s">
        <v>226</v>
      </c>
      <c r="AG131" s="31" t="s">
        <v>226</v>
      </c>
      <c r="AH131" s="31" t="s">
        <v>226</v>
      </c>
      <c r="AI131" s="31" t="s">
        <v>226</v>
      </c>
      <c r="AJ131" s="31" t="s">
        <v>226</v>
      </c>
      <c r="AK131" s="31" t="s">
        <v>226</v>
      </c>
      <c r="AL131" s="31" t="s">
        <v>226</v>
      </c>
      <c r="AM131" s="31"/>
      <c r="AN131" s="31"/>
      <c r="AO131" s="96">
        <v>13.5</v>
      </c>
      <c r="AP131" s="33">
        <f t="shared" si="20"/>
        <v>1.35</v>
      </c>
      <c r="AQ131" s="34">
        <f t="shared" si="21"/>
        <v>13.5</v>
      </c>
      <c r="AR131" s="35"/>
      <c r="AS131" s="36">
        <f t="shared" si="26"/>
        <v>1.35</v>
      </c>
      <c r="AT131" s="36">
        <f t="shared" si="26"/>
        <v>13.5</v>
      </c>
      <c r="AU131" s="36">
        <f t="shared" si="22"/>
        <v>1.4715000000000003</v>
      </c>
      <c r="AV131" s="36">
        <f t="shared" si="23"/>
        <v>14.715000000000003</v>
      </c>
      <c r="AW131" s="37">
        <v>1.95</v>
      </c>
      <c r="AX131" s="38">
        <f t="shared" si="35"/>
        <v>19.5</v>
      </c>
      <c r="AY131" s="38">
        <f t="shared" si="38"/>
        <v>0.4784999999999997</v>
      </c>
      <c r="AZ131" s="38">
        <f t="shared" si="36"/>
        <v>4.7849999999999966</v>
      </c>
      <c r="BA131" s="39">
        <f t="shared" si="39"/>
        <v>0.24538461538461523</v>
      </c>
      <c r="BB131" s="42"/>
      <c r="BC131" s="119">
        <f t="shared" si="27"/>
        <v>1.95</v>
      </c>
      <c r="BD131" s="108">
        <v>0.15</v>
      </c>
      <c r="BE131" s="120">
        <f t="shared" si="28"/>
        <v>2.3780487804878048</v>
      </c>
      <c r="BF131" s="121">
        <f t="shared" si="29"/>
        <v>0.42804878048780481</v>
      </c>
      <c r="BG131" s="121">
        <f t="shared" si="30"/>
        <v>3.8524390243902432E-2</v>
      </c>
      <c r="BH131" s="122">
        <f t="shared" si="31"/>
        <v>0.46657317073170723</v>
      </c>
      <c r="BI131" s="121">
        <f t="shared" si="32"/>
        <v>1.9114756097560974</v>
      </c>
      <c r="BJ131" s="123">
        <f t="shared" si="33"/>
        <v>0.2301758952667137</v>
      </c>
      <c r="BK131" s="124">
        <f t="shared" si="34"/>
        <v>-1.5208720117901531E-2</v>
      </c>
      <c r="BL131" s="125">
        <v>1.5</v>
      </c>
    </row>
    <row r="132" spans="1:64" ht="45" customHeight="1" x14ac:dyDescent="0.25">
      <c r="A132" s="30">
        <v>112</v>
      </c>
      <c r="B132" s="104" t="s">
        <v>211</v>
      </c>
      <c r="C132" s="31">
        <v>1</v>
      </c>
      <c r="D132" s="32" t="s">
        <v>84</v>
      </c>
      <c r="E132" s="31">
        <f t="shared" si="37"/>
        <v>8</v>
      </c>
      <c r="F132" s="31" t="s">
        <v>226</v>
      </c>
      <c r="G132" s="31" t="s">
        <v>226</v>
      </c>
      <c r="H132" s="31" t="s">
        <v>226</v>
      </c>
      <c r="I132" s="31" t="s">
        <v>226</v>
      </c>
      <c r="J132" s="31" t="s">
        <v>226</v>
      </c>
      <c r="K132" s="31" t="s">
        <v>226</v>
      </c>
      <c r="L132" s="31" t="s">
        <v>226</v>
      </c>
      <c r="M132" s="31" t="s">
        <v>226</v>
      </c>
      <c r="N132" s="31" t="s">
        <v>226</v>
      </c>
      <c r="O132" s="31" t="s">
        <v>226</v>
      </c>
      <c r="P132" s="31" t="s">
        <v>226</v>
      </c>
      <c r="Q132" s="31" t="s">
        <v>226</v>
      </c>
      <c r="R132" s="31" t="s">
        <v>226</v>
      </c>
      <c r="S132" s="31" t="s">
        <v>226</v>
      </c>
      <c r="T132" s="31" t="s">
        <v>226</v>
      </c>
      <c r="U132" s="31" t="s">
        <v>226</v>
      </c>
      <c r="V132" s="31" t="s">
        <v>226</v>
      </c>
      <c r="W132" s="31" t="s">
        <v>226</v>
      </c>
      <c r="X132" s="31" t="s">
        <v>226</v>
      </c>
      <c r="Y132" s="31" t="s">
        <v>226</v>
      </c>
      <c r="Z132" s="31" t="s">
        <v>226</v>
      </c>
      <c r="AA132" s="31" t="s">
        <v>226</v>
      </c>
      <c r="AB132" s="31" t="s">
        <v>226</v>
      </c>
      <c r="AC132" s="31" t="s">
        <v>226</v>
      </c>
      <c r="AD132" s="31" t="s">
        <v>226</v>
      </c>
      <c r="AE132" s="31" t="s">
        <v>226</v>
      </c>
      <c r="AF132" s="31" t="s">
        <v>226</v>
      </c>
      <c r="AG132" s="31" t="s">
        <v>226</v>
      </c>
      <c r="AH132" s="31" t="s">
        <v>226</v>
      </c>
      <c r="AI132" s="31" t="s">
        <v>226</v>
      </c>
      <c r="AJ132" s="31" t="s">
        <v>226</v>
      </c>
      <c r="AK132" s="31" t="s">
        <v>226</v>
      </c>
      <c r="AL132" s="31" t="s">
        <v>226</v>
      </c>
      <c r="AM132" s="31"/>
      <c r="AN132" s="31"/>
      <c r="AO132" s="96">
        <v>11.8</v>
      </c>
      <c r="AP132" s="33">
        <f t="shared" si="20"/>
        <v>1.4750000000000001</v>
      </c>
      <c r="AQ132" s="34">
        <f t="shared" si="21"/>
        <v>11.8</v>
      </c>
      <c r="AR132" s="35"/>
      <c r="AS132" s="36">
        <f t="shared" si="26"/>
        <v>1.4750000000000001</v>
      </c>
      <c r="AT132" s="36">
        <f t="shared" si="26"/>
        <v>11.8</v>
      </c>
      <c r="AU132" s="36">
        <f t="shared" si="22"/>
        <v>1.6077500000000002</v>
      </c>
      <c r="AV132" s="36">
        <f t="shared" si="23"/>
        <v>12.862000000000002</v>
      </c>
      <c r="AW132" s="37"/>
      <c r="AX132" s="38"/>
      <c r="AY132" s="38"/>
      <c r="AZ132" s="38"/>
      <c r="BA132" s="39"/>
      <c r="BB132" s="43"/>
      <c r="BC132" s="119">
        <f t="shared" si="27"/>
        <v>0</v>
      </c>
      <c r="BD132" s="108">
        <v>0.15</v>
      </c>
      <c r="BE132" s="120">
        <f t="shared" si="28"/>
        <v>0</v>
      </c>
      <c r="BF132" s="121">
        <f t="shared" si="29"/>
        <v>0</v>
      </c>
      <c r="BG132" s="121">
        <f t="shared" si="30"/>
        <v>0</v>
      </c>
      <c r="BH132" s="122">
        <f t="shared" si="31"/>
        <v>0</v>
      </c>
      <c r="BI132" s="121">
        <f t="shared" si="32"/>
        <v>0</v>
      </c>
      <c r="BJ132" s="123" t="e">
        <f t="shared" si="33"/>
        <v>#DIV/0!</v>
      </c>
      <c r="BK132" s="124" t="e">
        <f t="shared" si="34"/>
        <v>#DIV/0!</v>
      </c>
      <c r="BL132" s="125" t="s">
        <v>226</v>
      </c>
    </row>
    <row r="133" spans="1:64" ht="45" customHeight="1" x14ac:dyDescent="0.25">
      <c r="A133" s="30">
        <v>113</v>
      </c>
      <c r="B133" s="104" t="s">
        <v>170</v>
      </c>
      <c r="C133" s="31">
        <v>1</v>
      </c>
      <c r="D133" s="32" t="s">
        <v>73</v>
      </c>
      <c r="E133" s="31">
        <f t="shared" si="37"/>
        <v>12</v>
      </c>
      <c r="F133" s="31" t="s">
        <v>226</v>
      </c>
      <c r="G133" s="31" t="s">
        <v>226</v>
      </c>
      <c r="H133" s="31" t="s">
        <v>226</v>
      </c>
      <c r="I133" s="31" t="s">
        <v>226</v>
      </c>
      <c r="J133" s="31" t="s">
        <v>226</v>
      </c>
      <c r="K133" s="31" t="s">
        <v>226</v>
      </c>
      <c r="L133" s="31" t="s">
        <v>226</v>
      </c>
      <c r="M133" s="31" t="s">
        <v>226</v>
      </c>
      <c r="N133" s="31" t="s">
        <v>226</v>
      </c>
      <c r="O133" s="31" t="s">
        <v>226</v>
      </c>
      <c r="P133" s="31" t="s">
        <v>226</v>
      </c>
      <c r="Q133" s="31" t="s">
        <v>226</v>
      </c>
      <c r="R133" s="31" t="s">
        <v>226</v>
      </c>
      <c r="S133" s="31" t="s">
        <v>226</v>
      </c>
      <c r="T133" s="31" t="s">
        <v>226</v>
      </c>
      <c r="U133" s="31" t="s">
        <v>226</v>
      </c>
      <c r="V133" s="31" t="s">
        <v>226</v>
      </c>
      <c r="W133" s="31" t="s">
        <v>226</v>
      </c>
      <c r="X133" s="31" t="s">
        <v>226</v>
      </c>
      <c r="Y133" s="31" t="s">
        <v>226</v>
      </c>
      <c r="Z133" s="31" t="s">
        <v>226</v>
      </c>
      <c r="AA133" s="31" t="s">
        <v>226</v>
      </c>
      <c r="AB133" s="31" t="s">
        <v>226</v>
      </c>
      <c r="AC133" s="31" t="s">
        <v>226</v>
      </c>
      <c r="AD133" s="31" t="s">
        <v>226</v>
      </c>
      <c r="AE133" s="31" t="s">
        <v>226</v>
      </c>
      <c r="AF133" s="31" t="s">
        <v>226</v>
      </c>
      <c r="AG133" s="31" t="s">
        <v>226</v>
      </c>
      <c r="AH133" s="31" t="s">
        <v>226</v>
      </c>
      <c r="AI133" s="31" t="s">
        <v>226</v>
      </c>
      <c r="AJ133" s="31" t="s">
        <v>226</v>
      </c>
      <c r="AK133" s="31" t="s">
        <v>226</v>
      </c>
      <c r="AL133" s="31" t="s">
        <v>226</v>
      </c>
      <c r="AM133" s="31"/>
      <c r="AN133" s="31"/>
      <c r="AO133" s="96">
        <v>18.5</v>
      </c>
      <c r="AP133" s="33">
        <f t="shared" si="20"/>
        <v>1.5416666666666667</v>
      </c>
      <c r="AQ133" s="34">
        <f t="shared" si="21"/>
        <v>18.5</v>
      </c>
      <c r="AR133" s="35"/>
      <c r="AS133" s="36">
        <f t="shared" si="26"/>
        <v>1.5416666666666667</v>
      </c>
      <c r="AT133" s="36">
        <f t="shared" si="26"/>
        <v>18.5</v>
      </c>
      <c r="AU133" s="36">
        <f t="shared" si="22"/>
        <v>1.6804166666666669</v>
      </c>
      <c r="AV133" s="36">
        <f t="shared" si="23"/>
        <v>20.165000000000003</v>
      </c>
      <c r="AW133" s="37"/>
      <c r="AX133" s="38"/>
      <c r="AY133" s="38"/>
      <c r="AZ133" s="38"/>
      <c r="BA133" s="39"/>
      <c r="BB133" s="43"/>
      <c r="BC133" s="119">
        <f t="shared" si="27"/>
        <v>0</v>
      </c>
      <c r="BD133" s="108">
        <v>0.15</v>
      </c>
      <c r="BE133" s="120">
        <f t="shared" si="28"/>
        <v>0</v>
      </c>
      <c r="BF133" s="121">
        <f t="shared" si="29"/>
        <v>0</v>
      </c>
      <c r="BG133" s="121">
        <f t="shared" si="30"/>
        <v>0</v>
      </c>
      <c r="BH133" s="122">
        <f t="shared" si="31"/>
        <v>0</v>
      </c>
      <c r="BI133" s="121">
        <f t="shared" si="32"/>
        <v>0</v>
      </c>
      <c r="BJ133" s="123" t="e">
        <f t="shared" si="33"/>
        <v>#DIV/0!</v>
      </c>
      <c r="BK133" s="124" t="e">
        <f t="shared" si="34"/>
        <v>#DIV/0!</v>
      </c>
      <c r="BL133" s="125" t="s">
        <v>226</v>
      </c>
    </row>
    <row r="134" spans="1:64" ht="45" customHeight="1" x14ac:dyDescent="0.25">
      <c r="A134" s="30">
        <v>114</v>
      </c>
      <c r="B134" s="104" t="s">
        <v>98</v>
      </c>
      <c r="C134" s="31">
        <v>1</v>
      </c>
      <c r="D134" s="32" t="s">
        <v>157</v>
      </c>
      <c r="E134" s="31">
        <f t="shared" si="37"/>
        <v>60</v>
      </c>
      <c r="F134" s="31">
        <v>30</v>
      </c>
      <c r="G134" s="31" t="s">
        <v>226</v>
      </c>
      <c r="H134" s="31" t="s">
        <v>226</v>
      </c>
      <c r="I134" s="31" t="s">
        <v>226</v>
      </c>
      <c r="J134" s="31" t="s">
        <v>226</v>
      </c>
      <c r="K134" s="31" t="s">
        <v>226</v>
      </c>
      <c r="L134" s="31" t="s">
        <v>226</v>
      </c>
      <c r="M134" s="31" t="s">
        <v>226</v>
      </c>
      <c r="N134" s="31" t="s">
        <v>226</v>
      </c>
      <c r="O134" s="31" t="s">
        <v>226</v>
      </c>
      <c r="P134" s="31" t="s">
        <v>226</v>
      </c>
      <c r="Q134" s="31" t="s">
        <v>226</v>
      </c>
      <c r="R134" s="31" t="s">
        <v>226</v>
      </c>
      <c r="S134" s="31" t="s">
        <v>226</v>
      </c>
      <c r="T134" s="31" t="s">
        <v>226</v>
      </c>
      <c r="U134" s="31" t="s">
        <v>226</v>
      </c>
      <c r="V134" s="31" t="s">
        <v>226</v>
      </c>
      <c r="W134" s="31" t="s">
        <v>226</v>
      </c>
      <c r="X134" s="31" t="s">
        <v>226</v>
      </c>
      <c r="Y134" s="31" t="s">
        <v>226</v>
      </c>
      <c r="Z134" s="31" t="s">
        <v>226</v>
      </c>
      <c r="AA134" s="31" t="s">
        <v>226</v>
      </c>
      <c r="AB134" s="31" t="s">
        <v>226</v>
      </c>
      <c r="AC134" s="31" t="s">
        <v>226</v>
      </c>
      <c r="AD134" s="31" t="s">
        <v>226</v>
      </c>
      <c r="AE134" s="31" t="s">
        <v>226</v>
      </c>
      <c r="AF134" s="31" t="s">
        <v>226</v>
      </c>
      <c r="AG134" s="31" t="s">
        <v>226</v>
      </c>
      <c r="AH134" s="31" t="s">
        <v>226</v>
      </c>
      <c r="AI134" s="31" t="s">
        <v>226</v>
      </c>
      <c r="AJ134" s="31" t="s">
        <v>226</v>
      </c>
      <c r="AK134" s="31" t="s">
        <v>226</v>
      </c>
      <c r="AL134" s="31" t="s">
        <v>226</v>
      </c>
      <c r="AM134" s="31"/>
      <c r="AN134" s="31"/>
      <c r="AO134" s="96">
        <v>34</v>
      </c>
      <c r="AP134" s="33">
        <f t="shared" si="20"/>
        <v>0.56666666666666665</v>
      </c>
      <c r="AQ134" s="34">
        <f t="shared" si="21"/>
        <v>34</v>
      </c>
      <c r="AR134" s="35"/>
      <c r="AS134" s="36">
        <f t="shared" si="26"/>
        <v>0.56666666666666665</v>
      </c>
      <c r="AT134" s="36">
        <f t="shared" si="26"/>
        <v>34</v>
      </c>
      <c r="AU134" s="36">
        <f t="shared" si="22"/>
        <v>0.6176666666666667</v>
      </c>
      <c r="AV134" s="36">
        <f t="shared" si="23"/>
        <v>37.06</v>
      </c>
      <c r="AW134" s="37">
        <v>0.85</v>
      </c>
      <c r="AX134" s="38">
        <f t="shared" ref="AX134:AX185" si="40">AW134*E134</f>
        <v>51</v>
      </c>
      <c r="AY134" s="38">
        <f t="shared" si="38"/>
        <v>0.23233333333333328</v>
      </c>
      <c r="AZ134" s="38">
        <f t="shared" ref="AZ134:AZ185" si="41">AY134*E134</f>
        <v>13.939999999999998</v>
      </c>
      <c r="BA134" s="39">
        <f t="shared" si="39"/>
        <v>0.27333333333333326</v>
      </c>
      <c r="BB134" s="43"/>
      <c r="BC134" s="119">
        <f t="shared" si="27"/>
        <v>0.85</v>
      </c>
      <c r="BD134" s="108">
        <v>0.15</v>
      </c>
      <c r="BE134" s="120">
        <f t="shared" si="28"/>
        <v>1.0365853658536583</v>
      </c>
      <c r="BF134" s="121">
        <f t="shared" si="29"/>
        <v>0.18658536585365837</v>
      </c>
      <c r="BG134" s="121">
        <f t="shared" si="30"/>
        <v>1.6792682926829252E-2</v>
      </c>
      <c r="BH134" s="122">
        <f t="shared" si="31"/>
        <v>0.20337804878048762</v>
      </c>
      <c r="BI134" s="121">
        <f t="shared" si="32"/>
        <v>0.83320731707317075</v>
      </c>
      <c r="BJ134" s="123">
        <f t="shared" si="33"/>
        <v>0.25868789914572443</v>
      </c>
      <c r="BK134" s="124">
        <f t="shared" si="34"/>
        <v>-1.464543418760883E-2</v>
      </c>
      <c r="BL134" s="125" t="s">
        <v>226</v>
      </c>
    </row>
    <row r="135" spans="1:64" ht="45" customHeight="1" x14ac:dyDescent="0.25">
      <c r="A135" s="30">
        <v>115</v>
      </c>
      <c r="B135" s="100" t="s">
        <v>99</v>
      </c>
      <c r="C135" s="31">
        <v>1</v>
      </c>
      <c r="D135" s="32" t="s">
        <v>157</v>
      </c>
      <c r="E135" s="31">
        <f t="shared" si="37"/>
        <v>60</v>
      </c>
      <c r="F135" s="31">
        <v>30</v>
      </c>
      <c r="G135" s="31" t="s">
        <v>226</v>
      </c>
      <c r="H135" s="31" t="s">
        <v>226</v>
      </c>
      <c r="I135" s="31" t="s">
        <v>226</v>
      </c>
      <c r="J135" s="31" t="s">
        <v>226</v>
      </c>
      <c r="K135" s="31" t="s">
        <v>226</v>
      </c>
      <c r="L135" s="31" t="s">
        <v>226</v>
      </c>
      <c r="M135" s="31" t="s">
        <v>226</v>
      </c>
      <c r="N135" s="31" t="s">
        <v>226</v>
      </c>
      <c r="O135" s="31" t="s">
        <v>226</v>
      </c>
      <c r="P135" s="31" t="s">
        <v>226</v>
      </c>
      <c r="Q135" s="31" t="s">
        <v>226</v>
      </c>
      <c r="R135" s="31" t="s">
        <v>226</v>
      </c>
      <c r="S135" s="31" t="s">
        <v>226</v>
      </c>
      <c r="T135" s="31" t="s">
        <v>226</v>
      </c>
      <c r="U135" s="31" t="s">
        <v>226</v>
      </c>
      <c r="V135" s="31" t="s">
        <v>226</v>
      </c>
      <c r="W135" s="31" t="s">
        <v>226</v>
      </c>
      <c r="X135" s="31" t="s">
        <v>226</v>
      </c>
      <c r="Y135" s="31" t="s">
        <v>226</v>
      </c>
      <c r="Z135" s="31" t="s">
        <v>226</v>
      </c>
      <c r="AA135" s="31" t="s">
        <v>226</v>
      </c>
      <c r="AB135" s="31" t="s">
        <v>226</v>
      </c>
      <c r="AC135" s="31" t="s">
        <v>226</v>
      </c>
      <c r="AD135" s="31" t="s">
        <v>226</v>
      </c>
      <c r="AE135" s="31" t="s">
        <v>226</v>
      </c>
      <c r="AF135" s="31" t="s">
        <v>226</v>
      </c>
      <c r="AG135" s="31" t="s">
        <v>226</v>
      </c>
      <c r="AH135" s="31" t="s">
        <v>226</v>
      </c>
      <c r="AI135" s="31" t="s">
        <v>226</v>
      </c>
      <c r="AJ135" s="31" t="s">
        <v>226</v>
      </c>
      <c r="AK135" s="31" t="s">
        <v>226</v>
      </c>
      <c r="AL135" s="31" t="s">
        <v>226</v>
      </c>
      <c r="AM135" s="31"/>
      <c r="AN135" s="31"/>
      <c r="AO135" s="96">
        <v>34</v>
      </c>
      <c r="AP135" s="33">
        <f t="shared" ref="AP135:AP185" si="42">AO135/D135</f>
        <v>0.56666666666666665</v>
      </c>
      <c r="AQ135" s="34">
        <f t="shared" ref="AQ135:AQ185" si="43">AP135*E135</f>
        <v>34</v>
      </c>
      <c r="AR135" s="35"/>
      <c r="AS135" s="36">
        <f t="shared" si="26"/>
        <v>0.56666666666666665</v>
      </c>
      <c r="AT135" s="36">
        <f t="shared" si="26"/>
        <v>34</v>
      </c>
      <c r="AU135" s="36">
        <f t="shared" ref="AU135:AU156" si="44">AS135*(1+$AV$189+9%)</f>
        <v>0.6176666666666667</v>
      </c>
      <c r="AV135" s="36">
        <f t="shared" ref="AV135:AV185" si="45">AU135*E135</f>
        <v>37.06</v>
      </c>
      <c r="AW135" s="37">
        <v>0.85</v>
      </c>
      <c r="AX135" s="38">
        <f t="shared" si="40"/>
        <v>51</v>
      </c>
      <c r="AY135" s="38">
        <f t="shared" si="38"/>
        <v>0.23233333333333328</v>
      </c>
      <c r="AZ135" s="38">
        <f t="shared" si="41"/>
        <v>13.939999999999998</v>
      </c>
      <c r="BA135" s="39">
        <f t="shared" si="39"/>
        <v>0.27333333333333326</v>
      </c>
      <c r="BB135" s="40"/>
      <c r="BC135" s="119">
        <f t="shared" si="27"/>
        <v>0.85</v>
      </c>
      <c r="BD135" s="108">
        <v>0.15</v>
      </c>
      <c r="BE135" s="120">
        <f t="shared" si="28"/>
        <v>1.0365853658536583</v>
      </c>
      <c r="BF135" s="121">
        <f t="shared" si="29"/>
        <v>0.18658536585365837</v>
      </c>
      <c r="BG135" s="121">
        <f t="shared" si="30"/>
        <v>1.6792682926829252E-2</v>
      </c>
      <c r="BH135" s="122">
        <f t="shared" si="31"/>
        <v>0.20337804878048762</v>
      </c>
      <c r="BI135" s="121">
        <f t="shared" si="32"/>
        <v>0.83320731707317075</v>
      </c>
      <c r="BJ135" s="123">
        <f t="shared" si="33"/>
        <v>0.25868789914572443</v>
      </c>
      <c r="BK135" s="124">
        <f t="shared" si="34"/>
        <v>-1.464543418760883E-2</v>
      </c>
      <c r="BL135" s="125" t="s">
        <v>226</v>
      </c>
    </row>
    <row r="136" spans="1:64" ht="45" customHeight="1" x14ac:dyDescent="0.25">
      <c r="A136" s="30">
        <v>116</v>
      </c>
      <c r="B136" s="100" t="s">
        <v>100</v>
      </c>
      <c r="C136" s="31">
        <v>1</v>
      </c>
      <c r="D136" s="32" t="s">
        <v>165</v>
      </c>
      <c r="E136" s="31">
        <f t="shared" si="37"/>
        <v>72</v>
      </c>
      <c r="F136" s="31" t="s">
        <v>226</v>
      </c>
      <c r="G136" s="31" t="s">
        <v>226</v>
      </c>
      <c r="H136" s="31" t="s">
        <v>226</v>
      </c>
      <c r="I136" s="31" t="s">
        <v>226</v>
      </c>
      <c r="J136" s="31" t="s">
        <v>226</v>
      </c>
      <c r="K136" s="31" t="s">
        <v>226</v>
      </c>
      <c r="L136" s="31" t="s">
        <v>226</v>
      </c>
      <c r="M136" s="31" t="s">
        <v>226</v>
      </c>
      <c r="N136" s="31" t="s">
        <v>226</v>
      </c>
      <c r="O136" s="31" t="s">
        <v>226</v>
      </c>
      <c r="P136" s="31" t="s">
        <v>226</v>
      </c>
      <c r="Q136" s="31" t="s">
        <v>226</v>
      </c>
      <c r="R136" s="31" t="s">
        <v>226</v>
      </c>
      <c r="S136" s="31" t="s">
        <v>226</v>
      </c>
      <c r="T136" s="31" t="s">
        <v>226</v>
      </c>
      <c r="U136" s="31" t="s">
        <v>226</v>
      </c>
      <c r="V136" s="31" t="s">
        <v>226</v>
      </c>
      <c r="W136" s="31" t="s">
        <v>226</v>
      </c>
      <c r="X136" s="31" t="s">
        <v>226</v>
      </c>
      <c r="Y136" s="31" t="s">
        <v>226</v>
      </c>
      <c r="Z136" s="31" t="s">
        <v>226</v>
      </c>
      <c r="AA136" s="31" t="s">
        <v>226</v>
      </c>
      <c r="AB136" s="31" t="s">
        <v>226</v>
      </c>
      <c r="AC136" s="31" t="s">
        <v>226</v>
      </c>
      <c r="AD136" s="31" t="s">
        <v>226</v>
      </c>
      <c r="AE136" s="31" t="s">
        <v>226</v>
      </c>
      <c r="AF136" s="31" t="s">
        <v>226</v>
      </c>
      <c r="AG136" s="31" t="s">
        <v>226</v>
      </c>
      <c r="AH136" s="31" t="s">
        <v>226</v>
      </c>
      <c r="AI136" s="31" t="s">
        <v>226</v>
      </c>
      <c r="AJ136" s="31" t="s">
        <v>226</v>
      </c>
      <c r="AK136" s="31" t="s">
        <v>226</v>
      </c>
      <c r="AL136" s="31" t="s">
        <v>226</v>
      </c>
      <c r="AM136" s="31"/>
      <c r="AN136" s="31"/>
      <c r="AO136" s="96">
        <v>52.2</v>
      </c>
      <c r="AP136" s="33">
        <f t="shared" si="42"/>
        <v>0.72500000000000009</v>
      </c>
      <c r="AQ136" s="34">
        <f t="shared" si="43"/>
        <v>52.2</v>
      </c>
      <c r="AR136" s="35"/>
      <c r="AS136" s="36">
        <f t="shared" si="26"/>
        <v>0.72500000000000009</v>
      </c>
      <c r="AT136" s="36">
        <f t="shared" si="26"/>
        <v>52.2</v>
      </c>
      <c r="AU136" s="36">
        <f t="shared" si="44"/>
        <v>0.79025000000000012</v>
      </c>
      <c r="AV136" s="36">
        <f t="shared" si="45"/>
        <v>56.89800000000001</v>
      </c>
      <c r="AW136" s="37">
        <v>1</v>
      </c>
      <c r="AX136" s="38">
        <f t="shared" si="40"/>
        <v>72</v>
      </c>
      <c r="AY136" s="38">
        <f t="shared" si="38"/>
        <v>0.20974999999999988</v>
      </c>
      <c r="AZ136" s="38">
        <f t="shared" si="41"/>
        <v>15.101999999999991</v>
      </c>
      <c r="BA136" s="39">
        <f t="shared" si="39"/>
        <v>0.20974999999999988</v>
      </c>
      <c r="BB136" s="41"/>
      <c r="BC136" s="119">
        <f t="shared" si="27"/>
        <v>1</v>
      </c>
      <c r="BD136" s="108">
        <v>0.15</v>
      </c>
      <c r="BE136" s="120">
        <f t="shared" si="28"/>
        <v>1.2195121951219512</v>
      </c>
      <c r="BF136" s="121">
        <f t="shared" si="29"/>
        <v>0.21951219512195119</v>
      </c>
      <c r="BG136" s="121">
        <f t="shared" si="30"/>
        <v>1.9756097560975606E-2</v>
      </c>
      <c r="BH136" s="122">
        <f t="shared" si="31"/>
        <v>0.23926829268292679</v>
      </c>
      <c r="BI136" s="121">
        <f t="shared" si="32"/>
        <v>0.98024390243902437</v>
      </c>
      <c r="BJ136" s="123">
        <f t="shared" si="33"/>
        <v>0.19382309032097522</v>
      </c>
      <c r="BK136" s="124">
        <f t="shared" si="34"/>
        <v>-1.5926909679024659E-2</v>
      </c>
      <c r="BL136" s="125" t="s">
        <v>226</v>
      </c>
    </row>
    <row r="137" spans="1:64" ht="45" customHeight="1" x14ac:dyDescent="0.25">
      <c r="A137" s="30">
        <v>117</v>
      </c>
      <c r="B137" s="100" t="s">
        <v>101</v>
      </c>
      <c r="C137" s="31">
        <v>1</v>
      </c>
      <c r="D137" s="32" t="s">
        <v>165</v>
      </c>
      <c r="E137" s="31">
        <f t="shared" si="37"/>
        <v>72</v>
      </c>
      <c r="F137" s="31" t="s">
        <v>226</v>
      </c>
      <c r="G137" s="31" t="s">
        <v>226</v>
      </c>
      <c r="H137" s="31" t="s">
        <v>226</v>
      </c>
      <c r="I137" s="31" t="s">
        <v>226</v>
      </c>
      <c r="J137" s="31" t="s">
        <v>226</v>
      </c>
      <c r="K137" s="31" t="s">
        <v>226</v>
      </c>
      <c r="L137" s="31" t="s">
        <v>226</v>
      </c>
      <c r="M137" s="31" t="s">
        <v>226</v>
      </c>
      <c r="N137" s="31" t="s">
        <v>226</v>
      </c>
      <c r="O137" s="31" t="s">
        <v>226</v>
      </c>
      <c r="P137" s="31" t="s">
        <v>226</v>
      </c>
      <c r="Q137" s="31" t="s">
        <v>226</v>
      </c>
      <c r="R137" s="31" t="s">
        <v>226</v>
      </c>
      <c r="S137" s="31" t="s">
        <v>226</v>
      </c>
      <c r="T137" s="31" t="s">
        <v>226</v>
      </c>
      <c r="U137" s="31" t="s">
        <v>226</v>
      </c>
      <c r="V137" s="31" t="s">
        <v>226</v>
      </c>
      <c r="W137" s="31" t="s">
        <v>226</v>
      </c>
      <c r="X137" s="31" t="s">
        <v>226</v>
      </c>
      <c r="Y137" s="31" t="s">
        <v>226</v>
      </c>
      <c r="Z137" s="31" t="s">
        <v>226</v>
      </c>
      <c r="AA137" s="31" t="s">
        <v>226</v>
      </c>
      <c r="AB137" s="31" t="s">
        <v>226</v>
      </c>
      <c r="AC137" s="31" t="s">
        <v>226</v>
      </c>
      <c r="AD137" s="31" t="s">
        <v>226</v>
      </c>
      <c r="AE137" s="31" t="s">
        <v>226</v>
      </c>
      <c r="AF137" s="31" t="s">
        <v>226</v>
      </c>
      <c r="AG137" s="31" t="s">
        <v>226</v>
      </c>
      <c r="AH137" s="31" t="s">
        <v>226</v>
      </c>
      <c r="AI137" s="31" t="s">
        <v>226</v>
      </c>
      <c r="AJ137" s="31" t="s">
        <v>226</v>
      </c>
      <c r="AK137" s="31" t="s">
        <v>226</v>
      </c>
      <c r="AL137" s="31" t="s">
        <v>226</v>
      </c>
      <c r="AM137" s="31"/>
      <c r="AN137" s="31"/>
      <c r="AO137" s="96">
        <v>52.2</v>
      </c>
      <c r="AP137" s="33">
        <f t="shared" si="42"/>
        <v>0.72500000000000009</v>
      </c>
      <c r="AQ137" s="34">
        <f t="shared" si="43"/>
        <v>52.2</v>
      </c>
      <c r="AR137" s="35"/>
      <c r="AS137" s="36">
        <f t="shared" si="26"/>
        <v>0.72500000000000009</v>
      </c>
      <c r="AT137" s="36">
        <f t="shared" si="26"/>
        <v>52.2</v>
      </c>
      <c r="AU137" s="36">
        <f t="shared" si="44"/>
        <v>0.79025000000000012</v>
      </c>
      <c r="AV137" s="36">
        <f t="shared" si="45"/>
        <v>56.89800000000001</v>
      </c>
      <c r="AW137" s="37">
        <v>1</v>
      </c>
      <c r="AX137" s="38">
        <f t="shared" si="40"/>
        <v>72</v>
      </c>
      <c r="AY137" s="38">
        <f t="shared" si="38"/>
        <v>0.20974999999999988</v>
      </c>
      <c r="AZ137" s="38">
        <f t="shared" si="41"/>
        <v>15.101999999999991</v>
      </c>
      <c r="BA137" s="39">
        <f t="shared" si="39"/>
        <v>0.20974999999999988</v>
      </c>
      <c r="BB137" s="42"/>
      <c r="BC137" s="119">
        <f t="shared" si="27"/>
        <v>1</v>
      </c>
      <c r="BD137" s="108">
        <v>0.15</v>
      </c>
      <c r="BE137" s="120">
        <f t="shared" si="28"/>
        <v>1.2195121951219512</v>
      </c>
      <c r="BF137" s="121">
        <f t="shared" si="29"/>
        <v>0.21951219512195119</v>
      </c>
      <c r="BG137" s="121">
        <f t="shared" si="30"/>
        <v>1.9756097560975606E-2</v>
      </c>
      <c r="BH137" s="122">
        <f t="shared" si="31"/>
        <v>0.23926829268292679</v>
      </c>
      <c r="BI137" s="121">
        <f t="shared" si="32"/>
        <v>0.98024390243902437</v>
      </c>
      <c r="BJ137" s="123">
        <f t="shared" si="33"/>
        <v>0.19382309032097522</v>
      </c>
      <c r="BK137" s="124">
        <f t="shared" si="34"/>
        <v>-1.5926909679024659E-2</v>
      </c>
      <c r="BL137" s="125" t="s">
        <v>226</v>
      </c>
    </row>
    <row r="138" spans="1:64" ht="45" customHeight="1" x14ac:dyDescent="0.25">
      <c r="A138" s="30">
        <v>118</v>
      </c>
      <c r="B138" s="101" t="s">
        <v>212</v>
      </c>
      <c r="C138" s="31">
        <v>1</v>
      </c>
      <c r="D138" s="32" t="s">
        <v>24</v>
      </c>
      <c r="E138" s="31">
        <f t="shared" si="37"/>
        <v>24</v>
      </c>
      <c r="F138" s="31" t="s">
        <v>226</v>
      </c>
      <c r="G138" s="31" t="s">
        <v>226</v>
      </c>
      <c r="H138" s="31" t="s">
        <v>226</v>
      </c>
      <c r="I138" s="31" t="s">
        <v>226</v>
      </c>
      <c r="J138" s="31" t="s">
        <v>226</v>
      </c>
      <c r="K138" s="31" t="s">
        <v>226</v>
      </c>
      <c r="L138" s="31" t="s">
        <v>226</v>
      </c>
      <c r="M138" s="31" t="s">
        <v>226</v>
      </c>
      <c r="N138" s="31" t="s">
        <v>226</v>
      </c>
      <c r="O138" s="31" t="s">
        <v>226</v>
      </c>
      <c r="P138" s="31" t="s">
        <v>226</v>
      </c>
      <c r="Q138" s="31" t="s">
        <v>226</v>
      </c>
      <c r="R138" s="31" t="s">
        <v>226</v>
      </c>
      <c r="S138" s="31" t="s">
        <v>226</v>
      </c>
      <c r="T138" s="31" t="s">
        <v>226</v>
      </c>
      <c r="U138" s="31" t="s">
        <v>226</v>
      </c>
      <c r="V138" s="31" t="s">
        <v>226</v>
      </c>
      <c r="W138" s="31" t="s">
        <v>226</v>
      </c>
      <c r="X138" s="31" t="s">
        <v>226</v>
      </c>
      <c r="Y138" s="31" t="s">
        <v>226</v>
      </c>
      <c r="Z138" s="31" t="s">
        <v>226</v>
      </c>
      <c r="AA138" s="31" t="s">
        <v>226</v>
      </c>
      <c r="AB138" s="31" t="s">
        <v>226</v>
      </c>
      <c r="AC138" s="31" t="s">
        <v>226</v>
      </c>
      <c r="AD138" s="31" t="s">
        <v>226</v>
      </c>
      <c r="AE138" s="31" t="s">
        <v>226</v>
      </c>
      <c r="AF138" s="31" t="s">
        <v>226</v>
      </c>
      <c r="AG138" s="31" t="s">
        <v>226</v>
      </c>
      <c r="AH138" s="31" t="s">
        <v>226</v>
      </c>
      <c r="AI138" s="31" t="s">
        <v>226</v>
      </c>
      <c r="AJ138" s="31" t="s">
        <v>226</v>
      </c>
      <c r="AK138" s="31" t="s">
        <v>226</v>
      </c>
      <c r="AL138" s="31" t="s">
        <v>226</v>
      </c>
      <c r="AM138" s="31"/>
      <c r="AN138" s="31"/>
      <c r="AO138" s="96">
        <v>39</v>
      </c>
      <c r="AP138" s="33">
        <f t="shared" si="42"/>
        <v>1.625</v>
      </c>
      <c r="AQ138" s="34">
        <f t="shared" si="43"/>
        <v>39</v>
      </c>
      <c r="AR138" s="35"/>
      <c r="AS138" s="36">
        <f t="shared" si="26"/>
        <v>1.625</v>
      </c>
      <c r="AT138" s="36">
        <f t="shared" si="26"/>
        <v>39</v>
      </c>
      <c r="AU138" s="36">
        <f t="shared" si="44"/>
        <v>1.7712500000000002</v>
      </c>
      <c r="AV138" s="36">
        <f t="shared" si="45"/>
        <v>42.510000000000005</v>
      </c>
      <c r="AW138" s="37"/>
      <c r="AX138" s="38">
        <f t="shared" si="40"/>
        <v>0</v>
      </c>
      <c r="AY138" s="38">
        <f t="shared" si="38"/>
        <v>-1.7712500000000002</v>
      </c>
      <c r="AZ138" s="38">
        <f t="shared" si="41"/>
        <v>-42.510000000000005</v>
      </c>
      <c r="BA138" s="39" t="e">
        <f t="shared" si="39"/>
        <v>#DIV/0!</v>
      </c>
      <c r="BB138" s="42"/>
      <c r="BC138" s="119">
        <f t="shared" si="27"/>
        <v>0</v>
      </c>
      <c r="BD138" s="108">
        <v>0.15</v>
      </c>
      <c r="BE138" s="120">
        <f t="shared" si="28"/>
        <v>0</v>
      </c>
      <c r="BF138" s="121">
        <f t="shared" si="29"/>
        <v>0</v>
      </c>
      <c r="BG138" s="121">
        <f t="shared" si="30"/>
        <v>0</v>
      </c>
      <c r="BH138" s="122">
        <f t="shared" si="31"/>
        <v>0</v>
      </c>
      <c r="BI138" s="121">
        <f t="shared" si="32"/>
        <v>0</v>
      </c>
      <c r="BJ138" s="123" t="e">
        <f t="shared" si="33"/>
        <v>#DIV/0!</v>
      </c>
      <c r="BK138" s="124" t="e">
        <f t="shared" si="34"/>
        <v>#DIV/0!</v>
      </c>
      <c r="BL138" s="125" t="s">
        <v>226</v>
      </c>
    </row>
    <row r="139" spans="1:64" ht="45" customHeight="1" x14ac:dyDescent="0.25">
      <c r="A139" s="30">
        <v>119</v>
      </c>
      <c r="B139" s="101" t="s">
        <v>193</v>
      </c>
      <c r="C139" s="31">
        <v>1</v>
      </c>
      <c r="D139" s="32" t="s">
        <v>165</v>
      </c>
      <c r="E139" s="31">
        <f t="shared" si="37"/>
        <v>72</v>
      </c>
      <c r="F139" s="31" t="s">
        <v>226</v>
      </c>
      <c r="G139" s="31" t="s">
        <v>226</v>
      </c>
      <c r="H139" s="31" t="s">
        <v>226</v>
      </c>
      <c r="I139" s="31" t="s">
        <v>226</v>
      </c>
      <c r="J139" s="31" t="s">
        <v>226</v>
      </c>
      <c r="K139" s="31" t="s">
        <v>226</v>
      </c>
      <c r="L139" s="31" t="s">
        <v>226</v>
      </c>
      <c r="M139" s="31" t="s">
        <v>226</v>
      </c>
      <c r="N139" s="31" t="s">
        <v>226</v>
      </c>
      <c r="O139" s="31" t="s">
        <v>226</v>
      </c>
      <c r="P139" s="31" t="s">
        <v>226</v>
      </c>
      <c r="Q139" s="31" t="s">
        <v>226</v>
      </c>
      <c r="R139" s="31" t="s">
        <v>226</v>
      </c>
      <c r="S139" s="31" t="s">
        <v>226</v>
      </c>
      <c r="T139" s="31" t="s">
        <v>226</v>
      </c>
      <c r="U139" s="31" t="s">
        <v>226</v>
      </c>
      <c r="V139" s="31" t="s">
        <v>226</v>
      </c>
      <c r="W139" s="31" t="s">
        <v>226</v>
      </c>
      <c r="X139" s="31" t="s">
        <v>226</v>
      </c>
      <c r="Y139" s="31" t="s">
        <v>226</v>
      </c>
      <c r="Z139" s="31" t="s">
        <v>226</v>
      </c>
      <c r="AA139" s="31" t="s">
        <v>226</v>
      </c>
      <c r="AB139" s="31" t="s">
        <v>226</v>
      </c>
      <c r="AC139" s="31" t="s">
        <v>226</v>
      </c>
      <c r="AD139" s="31" t="s">
        <v>226</v>
      </c>
      <c r="AE139" s="31" t="s">
        <v>226</v>
      </c>
      <c r="AF139" s="31" t="s">
        <v>226</v>
      </c>
      <c r="AG139" s="31" t="s">
        <v>226</v>
      </c>
      <c r="AH139" s="31" t="s">
        <v>226</v>
      </c>
      <c r="AI139" s="31" t="s">
        <v>226</v>
      </c>
      <c r="AJ139" s="31" t="s">
        <v>226</v>
      </c>
      <c r="AK139" s="31" t="s">
        <v>226</v>
      </c>
      <c r="AL139" s="31" t="s">
        <v>226</v>
      </c>
      <c r="AM139" s="31"/>
      <c r="AN139" s="127">
        <v>55.5</v>
      </c>
      <c r="AO139" s="96">
        <v>55.5</v>
      </c>
      <c r="AP139" s="33">
        <f t="shared" si="42"/>
        <v>0.77083333333333337</v>
      </c>
      <c r="AQ139" s="34">
        <f t="shared" si="43"/>
        <v>55.5</v>
      </c>
      <c r="AR139" s="35"/>
      <c r="AS139" s="36">
        <f t="shared" si="26"/>
        <v>0.77083333333333337</v>
      </c>
      <c r="AT139" s="36">
        <f t="shared" si="26"/>
        <v>55.5</v>
      </c>
      <c r="AU139" s="36">
        <f t="shared" si="44"/>
        <v>0.84020833333333345</v>
      </c>
      <c r="AV139" s="36">
        <f t="shared" si="45"/>
        <v>60.495000000000005</v>
      </c>
      <c r="AW139" s="37">
        <v>1</v>
      </c>
      <c r="AX139" s="38">
        <f t="shared" si="40"/>
        <v>72</v>
      </c>
      <c r="AY139" s="38">
        <f t="shared" si="38"/>
        <v>0.15979166666666655</v>
      </c>
      <c r="AZ139" s="38">
        <f t="shared" si="41"/>
        <v>11.504999999999992</v>
      </c>
      <c r="BA139" s="39">
        <f t="shared" si="39"/>
        <v>0.15979166666666655</v>
      </c>
      <c r="BB139" s="42"/>
      <c r="BC139" s="119">
        <f t="shared" si="27"/>
        <v>1</v>
      </c>
      <c r="BD139" s="108">
        <v>0.15</v>
      </c>
      <c r="BE139" s="120">
        <f t="shared" si="28"/>
        <v>1.2195121951219512</v>
      </c>
      <c r="BF139" s="121">
        <f t="shared" si="29"/>
        <v>0.21951219512195119</v>
      </c>
      <c r="BG139" s="121">
        <f t="shared" si="30"/>
        <v>1.9756097560975606E-2</v>
      </c>
      <c r="BH139" s="122">
        <f t="shared" si="31"/>
        <v>0.23926829268292679</v>
      </c>
      <c r="BI139" s="121">
        <f t="shared" si="32"/>
        <v>0.98024390243902437</v>
      </c>
      <c r="BJ139" s="123">
        <f t="shared" si="33"/>
        <v>0.14285788338724378</v>
      </c>
      <c r="BK139" s="124">
        <f t="shared" si="34"/>
        <v>-1.6933783279422771E-2</v>
      </c>
      <c r="BL139" s="125" t="s">
        <v>226</v>
      </c>
    </row>
    <row r="140" spans="1:64" ht="45" customHeight="1" x14ac:dyDescent="0.25">
      <c r="A140" s="30">
        <v>120</v>
      </c>
      <c r="B140" s="101" t="s">
        <v>102</v>
      </c>
      <c r="C140" s="31">
        <v>1</v>
      </c>
      <c r="D140" s="32" t="s">
        <v>165</v>
      </c>
      <c r="E140" s="31">
        <f t="shared" si="37"/>
        <v>72</v>
      </c>
      <c r="F140" s="31" t="s">
        <v>226</v>
      </c>
      <c r="G140" s="31" t="s">
        <v>226</v>
      </c>
      <c r="H140" s="31" t="s">
        <v>226</v>
      </c>
      <c r="I140" s="31" t="s">
        <v>226</v>
      </c>
      <c r="J140" s="31" t="s">
        <v>226</v>
      </c>
      <c r="K140" s="31" t="s">
        <v>226</v>
      </c>
      <c r="L140" s="31" t="s">
        <v>226</v>
      </c>
      <c r="M140" s="31" t="s">
        <v>226</v>
      </c>
      <c r="N140" s="31" t="s">
        <v>226</v>
      </c>
      <c r="O140" s="31" t="s">
        <v>226</v>
      </c>
      <c r="P140" s="31" t="s">
        <v>226</v>
      </c>
      <c r="Q140" s="31" t="s">
        <v>226</v>
      </c>
      <c r="R140" s="31" t="s">
        <v>226</v>
      </c>
      <c r="S140" s="31" t="s">
        <v>226</v>
      </c>
      <c r="T140" s="31" t="s">
        <v>226</v>
      </c>
      <c r="U140" s="31" t="s">
        <v>226</v>
      </c>
      <c r="V140" s="31" t="s">
        <v>226</v>
      </c>
      <c r="W140" s="31" t="s">
        <v>226</v>
      </c>
      <c r="X140" s="31" t="s">
        <v>226</v>
      </c>
      <c r="Y140" s="31" t="s">
        <v>226</v>
      </c>
      <c r="Z140" s="31" t="s">
        <v>226</v>
      </c>
      <c r="AA140" s="31" t="s">
        <v>226</v>
      </c>
      <c r="AB140" s="31" t="s">
        <v>226</v>
      </c>
      <c r="AC140" s="31" t="s">
        <v>226</v>
      </c>
      <c r="AD140" s="31" t="s">
        <v>226</v>
      </c>
      <c r="AE140" s="31" t="s">
        <v>226</v>
      </c>
      <c r="AF140" s="31" t="s">
        <v>226</v>
      </c>
      <c r="AG140" s="31" t="s">
        <v>226</v>
      </c>
      <c r="AH140" s="31" t="s">
        <v>226</v>
      </c>
      <c r="AI140" s="31" t="s">
        <v>226</v>
      </c>
      <c r="AJ140" s="31" t="s">
        <v>226</v>
      </c>
      <c r="AK140" s="31" t="s">
        <v>226</v>
      </c>
      <c r="AL140" s="31" t="s">
        <v>226</v>
      </c>
      <c r="AM140" s="31"/>
      <c r="AN140" s="31"/>
      <c r="AO140" s="96">
        <v>52.2</v>
      </c>
      <c r="AP140" s="33">
        <f t="shared" si="42"/>
        <v>0.72500000000000009</v>
      </c>
      <c r="AQ140" s="34">
        <f t="shared" si="43"/>
        <v>52.2</v>
      </c>
      <c r="AR140" s="35"/>
      <c r="AS140" s="36">
        <f t="shared" si="26"/>
        <v>0.72500000000000009</v>
      </c>
      <c r="AT140" s="36">
        <f t="shared" si="26"/>
        <v>52.2</v>
      </c>
      <c r="AU140" s="36">
        <f t="shared" si="44"/>
        <v>0.79025000000000012</v>
      </c>
      <c r="AV140" s="36">
        <f t="shared" si="45"/>
        <v>56.89800000000001</v>
      </c>
      <c r="AW140" s="37">
        <v>1</v>
      </c>
      <c r="AX140" s="38">
        <f t="shared" si="40"/>
        <v>72</v>
      </c>
      <c r="AY140" s="38">
        <f t="shared" si="38"/>
        <v>0.20974999999999988</v>
      </c>
      <c r="AZ140" s="38">
        <f t="shared" si="41"/>
        <v>15.101999999999991</v>
      </c>
      <c r="BA140" s="39">
        <f t="shared" si="39"/>
        <v>0.20974999999999988</v>
      </c>
      <c r="BB140" s="42"/>
      <c r="BC140" s="119">
        <f t="shared" si="27"/>
        <v>1</v>
      </c>
      <c r="BD140" s="108">
        <v>0.15</v>
      </c>
      <c r="BE140" s="120">
        <f t="shared" si="28"/>
        <v>1.2195121951219512</v>
      </c>
      <c r="BF140" s="121">
        <f t="shared" si="29"/>
        <v>0.21951219512195119</v>
      </c>
      <c r="BG140" s="121">
        <f t="shared" si="30"/>
        <v>1.9756097560975606E-2</v>
      </c>
      <c r="BH140" s="122">
        <f t="shared" si="31"/>
        <v>0.23926829268292679</v>
      </c>
      <c r="BI140" s="121">
        <f t="shared" si="32"/>
        <v>0.98024390243902437</v>
      </c>
      <c r="BJ140" s="123">
        <f t="shared" si="33"/>
        <v>0.19382309032097522</v>
      </c>
      <c r="BK140" s="124">
        <f t="shared" si="34"/>
        <v>-1.5926909679024659E-2</v>
      </c>
      <c r="BL140" s="125" t="s">
        <v>226</v>
      </c>
    </row>
    <row r="141" spans="1:64" ht="45" customHeight="1" x14ac:dyDescent="0.25">
      <c r="A141" s="30">
        <v>126</v>
      </c>
      <c r="B141" s="106" t="s">
        <v>195</v>
      </c>
      <c r="C141" s="31">
        <v>1</v>
      </c>
      <c r="D141" s="32" t="s">
        <v>83</v>
      </c>
      <c r="E141" s="31">
        <f t="shared" si="37"/>
        <v>4</v>
      </c>
      <c r="F141" s="31" t="s">
        <v>226</v>
      </c>
      <c r="G141" s="127">
        <v>24.5</v>
      </c>
      <c r="H141" s="31" t="s">
        <v>226</v>
      </c>
      <c r="I141" s="31" t="s">
        <v>226</v>
      </c>
      <c r="J141" s="31" t="s">
        <v>226</v>
      </c>
      <c r="K141" s="31" t="s">
        <v>226</v>
      </c>
      <c r="L141" s="31" t="s">
        <v>226</v>
      </c>
      <c r="M141" s="31" t="s">
        <v>226</v>
      </c>
      <c r="N141" s="31" t="s">
        <v>226</v>
      </c>
      <c r="O141" s="31" t="s">
        <v>226</v>
      </c>
      <c r="P141" s="127">
        <v>25.7</v>
      </c>
      <c r="Q141" s="31" t="s">
        <v>226</v>
      </c>
      <c r="R141" s="31" t="s">
        <v>226</v>
      </c>
      <c r="S141" s="31" t="s">
        <v>226</v>
      </c>
      <c r="T141" s="31" t="s">
        <v>226</v>
      </c>
      <c r="U141" s="31" t="s">
        <v>226</v>
      </c>
      <c r="V141" s="31" t="s">
        <v>226</v>
      </c>
      <c r="W141" s="31" t="s">
        <v>226</v>
      </c>
      <c r="X141" s="31" t="s">
        <v>226</v>
      </c>
      <c r="Y141" s="31" t="s">
        <v>226</v>
      </c>
      <c r="Z141" s="31" t="s">
        <v>226</v>
      </c>
      <c r="AA141" s="31" t="s">
        <v>226</v>
      </c>
      <c r="AB141" s="31" t="s">
        <v>226</v>
      </c>
      <c r="AC141" s="31" t="s">
        <v>226</v>
      </c>
      <c r="AD141" s="31" t="s">
        <v>226</v>
      </c>
      <c r="AE141" s="31" t="s">
        <v>226</v>
      </c>
      <c r="AF141" s="31" t="s">
        <v>226</v>
      </c>
      <c r="AG141" s="31" t="s">
        <v>226</v>
      </c>
      <c r="AH141" s="31" t="s">
        <v>226</v>
      </c>
      <c r="AI141" s="31" t="s">
        <v>226</v>
      </c>
      <c r="AJ141" s="31" t="s">
        <v>226</v>
      </c>
      <c r="AK141" s="31" t="s">
        <v>226</v>
      </c>
      <c r="AL141" s="31" t="s">
        <v>226</v>
      </c>
      <c r="AM141" s="31"/>
      <c r="AN141" s="31"/>
      <c r="AO141" s="96">
        <v>25.7</v>
      </c>
      <c r="AP141" s="33">
        <f t="shared" si="42"/>
        <v>6.4249999999999998</v>
      </c>
      <c r="AQ141" s="34">
        <f t="shared" si="43"/>
        <v>25.7</v>
      </c>
      <c r="AR141" s="35"/>
      <c r="AS141" s="36">
        <f t="shared" si="26"/>
        <v>6.4249999999999998</v>
      </c>
      <c r="AT141" s="36">
        <f t="shared" si="26"/>
        <v>25.7</v>
      </c>
      <c r="AU141" s="36">
        <f t="shared" si="44"/>
        <v>7.0032500000000004</v>
      </c>
      <c r="AV141" s="36">
        <f t="shared" si="45"/>
        <v>28.013000000000002</v>
      </c>
      <c r="AW141" s="37">
        <v>8.5</v>
      </c>
      <c r="AX141" s="38">
        <f t="shared" si="40"/>
        <v>34</v>
      </c>
      <c r="AY141" s="38">
        <f t="shared" si="38"/>
        <v>1.4967499999999996</v>
      </c>
      <c r="AZ141" s="38">
        <f t="shared" si="41"/>
        <v>5.9869999999999983</v>
      </c>
      <c r="BA141" s="39">
        <f t="shared" si="39"/>
        <v>0.1760882352941176</v>
      </c>
      <c r="BB141" s="40"/>
      <c r="BC141" s="119">
        <f t="shared" si="27"/>
        <v>8.5</v>
      </c>
      <c r="BD141" s="108">
        <v>0.15</v>
      </c>
      <c r="BE141" s="120">
        <f t="shared" si="28"/>
        <v>10.365853658536585</v>
      </c>
      <c r="BF141" s="121">
        <f t="shared" si="29"/>
        <v>1.8658536585365848</v>
      </c>
      <c r="BG141" s="121">
        <f t="shared" si="30"/>
        <v>0.16792682926829264</v>
      </c>
      <c r="BH141" s="122">
        <f t="shared" si="31"/>
        <v>2.0337804878048775</v>
      </c>
      <c r="BI141" s="121">
        <f t="shared" si="32"/>
        <v>8.3320731707317073</v>
      </c>
      <c r="BJ141" s="123">
        <f t="shared" si="33"/>
        <v>0.15948289741375521</v>
      </c>
      <c r="BK141" s="124">
        <f t="shared" si="34"/>
        <v>-1.6605337880362392E-2</v>
      </c>
      <c r="BL141" s="125">
        <v>9.9</v>
      </c>
    </row>
    <row r="142" spans="1:64" ht="45" customHeight="1" x14ac:dyDescent="0.25">
      <c r="A142" s="30">
        <v>127</v>
      </c>
      <c r="B142" s="106" t="s">
        <v>103</v>
      </c>
      <c r="C142" s="31">
        <v>1</v>
      </c>
      <c r="D142" s="32" t="s">
        <v>83</v>
      </c>
      <c r="E142" s="31">
        <f t="shared" si="37"/>
        <v>4</v>
      </c>
      <c r="F142" s="31" t="s">
        <v>226</v>
      </c>
      <c r="G142" s="127">
        <v>24.5</v>
      </c>
      <c r="H142" s="31" t="s">
        <v>226</v>
      </c>
      <c r="I142" s="31" t="s">
        <v>226</v>
      </c>
      <c r="J142" s="31" t="s">
        <v>226</v>
      </c>
      <c r="K142" s="31" t="s">
        <v>226</v>
      </c>
      <c r="L142" s="31" t="s">
        <v>226</v>
      </c>
      <c r="M142" s="31" t="s">
        <v>226</v>
      </c>
      <c r="N142" s="31" t="s">
        <v>226</v>
      </c>
      <c r="O142" s="31" t="s">
        <v>226</v>
      </c>
      <c r="P142" s="127">
        <v>25.7</v>
      </c>
      <c r="Q142" s="31" t="s">
        <v>226</v>
      </c>
      <c r="R142" s="31" t="s">
        <v>226</v>
      </c>
      <c r="S142" s="31" t="s">
        <v>226</v>
      </c>
      <c r="T142" s="31" t="s">
        <v>226</v>
      </c>
      <c r="U142" s="31" t="s">
        <v>226</v>
      </c>
      <c r="V142" s="31" t="s">
        <v>226</v>
      </c>
      <c r="W142" s="31" t="s">
        <v>226</v>
      </c>
      <c r="X142" s="31" t="s">
        <v>226</v>
      </c>
      <c r="Y142" s="31" t="s">
        <v>226</v>
      </c>
      <c r="Z142" s="31" t="s">
        <v>226</v>
      </c>
      <c r="AA142" s="31" t="s">
        <v>226</v>
      </c>
      <c r="AB142" s="31" t="s">
        <v>226</v>
      </c>
      <c r="AC142" s="31" t="s">
        <v>226</v>
      </c>
      <c r="AD142" s="31" t="s">
        <v>226</v>
      </c>
      <c r="AE142" s="31" t="s">
        <v>226</v>
      </c>
      <c r="AF142" s="31" t="s">
        <v>226</v>
      </c>
      <c r="AG142" s="31" t="s">
        <v>226</v>
      </c>
      <c r="AH142" s="31" t="s">
        <v>226</v>
      </c>
      <c r="AI142" s="31" t="s">
        <v>226</v>
      </c>
      <c r="AJ142" s="31" t="s">
        <v>226</v>
      </c>
      <c r="AK142" s="31" t="s">
        <v>226</v>
      </c>
      <c r="AL142" s="31" t="s">
        <v>226</v>
      </c>
      <c r="AM142" s="31"/>
      <c r="AN142" s="31"/>
      <c r="AO142" s="96">
        <v>25.7</v>
      </c>
      <c r="AP142" s="33">
        <f t="shared" si="42"/>
        <v>6.4249999999999998</v>
      </c>
      <c r="AQ142" s="34">
        <f t="shared" si="43"/>
        <v>25.7</v>
      </c>
      <c r="AR142" s="35"/>
      <c r="AS142" s="36">
        <f t="shared" si="26"/>
        <v>6.4249999999999998</v>
      </c>
      <c r="AT142" s="36">
        <f t="shared" si="26"/>
        <v>25.7</v>
      </c>
      <c r="AU142" s="36">
        <f t="shared" si="44"/>
        <v>7.0032500000000004</v>
      </c>
      <c r="AV142" s="36">
        <f t="shared" si="45"/>
        <v>28.013000000000002</v>
      </c>
      <c r="AW142" s="37">
        <v>8.5</v>
      </c>
      <c r="AX142" s="38">
        <f t="shared" si="40"/>
        <v>34</v>
      </c>
      <c r="AY142" s="38">
        <f t="shared" si="38"/>
        <v>1.4967499999999996</v>
      </c>
      <c r="AZ142" s="38">
        <f t="shared" si="41"/>
        <v>5.9869999999999983</v>
      </c>
      <c r="BA142" s="39">
        <f t="shared" si="39"/>
        <v>0.1760882352941176</v>
      </c>
      <c r="BB142" s="40"/>
      <c r="BC142" s="119">
        <f t="shared" si="27"/>
        <v>8.5</v>
      </c>
      <c r="BD142" s="108">
        <v>0.15</v>
      </c>
      <c r="BE142" s="120">
        <f t="shared" si="28"/>
        <v>10.365853658536585</v>
      </c>
      <c r="BF142" s="121">
        <f t="shared" si="29"/>
        <v>1.8658536585365848</v>
      </c>
      <c r="BG142" s="121">
        <f t="shared" si="30"/>
        <v>0.16792682926829264</v>
      </c>
      <c r="BH142" s="122">
        <f t="shared" si="31"/>
        <v>2.0337804878048775</v>
      </c>
      <c r="BI142" s="121">
        <f t="shared" si="32"/>
        <v>8.3320731707317073</v>
      </c>
      <c r="BJ142" s="123">
        <f t="shared" si="33"/>
        <v>0.15948289741375521</v>
      </c>
      <c r="BK142" s="124">
        <f t="shared" si="34"/>
        <v>-1.6605337880362392E-2</v>
      </c>
      <c r="BL142" s="125">
        <v>9.9</v>
      </c>
    </row>
    <row r="143" spans="1:64" ht="45" customHeight="1" x14ac:dyDescent="0.25">
      <c r="A143" s="30">
        <v>128</v>
      </c>
      <c r="B143" s="100" t="s">
        <v>183</v>
      </c>
      <c r="C143" s="31">
        <v>1</v>
      </c>
      <c r="D143" s="32" t="s">
        <v>83</v>
      </c>
      <c r="E143" s="31">
        <f t="shared" si="37"/>
        <v>4</v>
      </c>
      <c r="F143" s="31" t="s">
        <v>226</v>
      </c>
      <c r="G143" s="127">
        <v>24.5</v>
      </c>
      <c r="H143" s="31" t="s">
        <v>226</v>
      </c>
      <c r="I143" s="31" t="s">
        <v>226</v>
      </c>
      <c r="J143" s="31" t="s">
        <v>226</v>
      </c>
      <c r="K143" s="31" t="s">
        <v>226</v>
      </c>
      <c r="L143" s="31" t="s">
        <v>226</v>
      </c>
      <c r="M143" s="31" t="s">
        <v>226</v>
      </c>
      <c r="N143" s="31" t="s">
        <v>226</v>
      </c>
      <c r="O143" s="31" t="s">
        <v>226</v>
      </c>
      <c r="P143" s="127">
        <v>25.7</v>
      </c>
      <c r="Q143" s="31" t="s">
        <v>226</v>
      </c>
      <c r="R143" s="31" t="s">
        <v>226</v>
      </c>
      <c r="S143" s="31" t="s">
        <v>226</v>
      </c>
      <c r="T143" s="31" t="s">
        <v>226</v>
      </c>
      <c r="U143" s="31" t="s">
        <v>226</v>
      </c>
      <c r="V143" s="31" t="s">
        <v>226</v>
      </c>
      <c r="W143" s="31" t="s">
        <v>226</v>
      </c>
      <c r="X143" s="31" t="s">
        <v>226</v>
      </c>
      <c r="Y143" s="31" t="s">
        <v>226</v>
      </c>
      <c r="Z143" s="31" t="s">
        <v>226</v>
      </c>
      <c r="AA143" s="31" t="s">
        <v>226</v>
      </c>
      <c r="AB143" s="31" t="s">
        <v>226</v>
      </c>
      <c r="AC143" s="31" t="s">
        <v>226</v>
      </c>
      <c r="AD143" s="31" t="s">
        <v>226</v>
      </c>
      <c r="AE143" s="31" t="s">
        <v>226</v>
      </c>
      <c r="AF143" s="31" t="s">
        <v>226</v>
      </c>
      <c r="AG143" s="31" t="s">
        <v>226</v>
      </c>
      <c r="AH143" s="31" t="s">
        <v>226</v>
      </c>
      <c r="AI143" s="31" t="s">
        <v>226</v>
      </c>
      <c r="AJ143" s="31" t="s">
        <v>226</v>
      </c>
      <c r="AK143" s="31" t="s">
        <v>226</v>
      </c>
      <c r="AL143" s="31" t="s">
        <v>226</v>
      </c>
      <c r="AM143" s="31"/>
      <c r="AN143" s="31"/>
      <c r="AO143" s="96">
        <v>25.7</v>
      </c>
      <c r="AP143" s="33">
        <f t="shared" si="42"/>
        <v>6.4249999999999998</v>
      </c>
      <c r="AQ143" s="34">
        <f t="shared" si="43"/>
        <v>25.7</v>
      </c>
      <c r="AR143" s="35"/>
      <c r="AS143" s="36">
        <f t="shared" si="26"/>
        <v>6.4249999999999998</v>
      </c>
      <c r="AT143" s="36">
        <f t="shared" si="26"/>
        <v>25.7</v>
      </c>
      <c r="AU143" s="36">
        <f t="shared" si="44"/>
        <v>7.0032500000000004</v>
      </c>
      <c r="AV143" s="36">
        <f t="shared" si="45"/>
        <v>28.013000000000002</v>
      </c>
      <c r="AW143" s="37">
        <v>8.5</v>
      </c>
      <c r="AX143" s="38">
        <f t="shared" si="40"/>
        <v>34</v>
      </c>
      <c r="AY143" s="38">
        <f t="shared" si="38"/>
        <v>1.4967499999999996</v>
      </c>
      <c r="AZ143" s="38">
        <f t="shared" si="41"/>
        <v>5.9869999999999983</v>
      </c>
      <c r="BA143" s="39">
        <f t="shared" si="39"/>
        <v>0.1760882352941176</v>
      </c>
      <c r="BB143" s="41"/>
      <c r="BC143" s="119">
        <f t="shared" si="27"/>
        <v>8.5</v>
      </c>
      <c r="BD143" s="108">
        <v>0.15</v>
      </c>
      <c r="BE143" s="120">
        <f t="shared" si="28"/>
        <v>10.365853658536585</v>
      </c>
      <c r="BF143" s="121">
        <f t="shared" si="29"/>
        <v>1.8658536585365848</v>
      </c>
      <c r="BG143" s="121">
        <f t="shared" si="30"/>
        <v>0.16792682926829264</v>
      </c>
      <c r="BH143" s="122">
        <f t="shared" si="31"/>
        <v>2.0337804878048775</v>
      </c>
      <c r="BI143" s="121">
        <f t="shared" si="32"/>
        <v>8.3320731707317073</v>
      </c>
      <c r="BJ143" s="123">
        <f t="shared" si="33"/>
        <v>0.15948289741375521</v>
      </c>
      <c r="BK143" s="124">
        <f t="shared" si="34"/>
        <v>-1.6605337880362392E-2</v>
      </c>
      <c r="BL143" s="125">
        <v>9.9</v>
      </c>
    </row>
    <row r="144" spans="1:64" ht="45" customHeight="1" x14ac:dyDescent="0.25">
      <c r="A144" s="30">
        <v>129</v>
      </c>
      <c r="B144" s="100" t="s">
        <v>104</v>
      </c>
      <c r="C144" s="31">
        <v>1</v>
      </c>
      <c r="D144" s="32" t="s">
        <v>83</v>
      </c>
      <c r="E144" s="31">
        <f t="shared" si="37"/>
        <v>4</v>
      </c>
      <c r="F144" s="31" t="s">
        <v>226</v>
      </c>
      <c r="G144" s="127">
        <v>24.5</v>
      </c>
      <c r="H144" s="31" t="s">
        <v>226</v>
      </c>
      <c r="I144" s="31" t="s">
        <v>226</v>
      </c>
      <c r="J144" s="31" t="s">
        <v>226</v>
      </c>
      <c r="K144" s="31" t="s">
        <v>226</v>
      </c>
      <c r="L144" s="31" t="s">
        <v>226</v>
      </c>
      <c r="M144" s="31" t="s">
        <v>226</v>
      </c>
      <c r="N144" s="31" t="s">
        <v>226</v>
      </c>
      <c r="O144" s="31" t="s">
        <v>226</v>
      </c>
      <c r="P144" s="127">
        <v>25.7</v>
      </c>
      <c r="Q144" s="31" t="s">
        <v>226</v>
      </c>
      <c r="R144" s="31" t="s">
        <v>226</v>
      </c>
      <c r="S144" s="31" t="s">
        <v>226</v>
      </c>
      <c r="T144" s="31" t="s">
        <v>226</v>
      </c>
      <c r="U144" s="31" t="s">
        <v>226</v>
      </c>
      <c r="V144" s="31" t="s">
        <v>226</v>
      </c>
      <c r="W144" s="31" t="s">
        <v>226</v>
      </c>
      <c r="X144" s="31" t="s">
        <v>226</v>
      </c>
      <c r="Y144" s="31" t="s">
        <v>226</v>
      </c>
      <c r="Z144" s="31" t="s">
        <v>226</v>
      </c>
      <c r="AA144" s="31" t="s">
        <v>226</v>
      </c>
      <c r="AB144" s="31" t="s">
        <v>226</v>
      </c>
      <c r="AC144" s="31" t="s">
        <v>226</v>
      </c>
      <c r="AD144" s="31" t="s">
        <v>226</v>
      </c>
      <c r="AE144" s="31" t="s">
        <v>226</v>
      </c>
      <c r="AF144" s="31" t="s">
        <v>226</v>
      </c>
      <c r="AG144" s="31" t="s">
        <v>226</v>
      </c>
      <c r="AH144" s="31" t="s">
        <v>226</v>
      </c>
      <c r="AI144" s="31" t="s">
        <v>226</v>
      </c>
      <c r="AJ144" s="31" t="s">
        <v>226</v>
      </c>
      <c r="AK144" s="31" t="s">
        <v>226</v>
      </c>
      <c r="AL144" s="31" t="s">
        <v>226</v>
      </c>
      <c r="AM144" s="31"/>
      <c r="AN144" s="31"/>
      <c r="AO144" s="96">
        <v>25.7</v>
      </c>
      <c r="AP144" s="33">
        <f t="shared" si="42"/>
        <v>6.4249999999999998</v>
      </c>
      <c r="AQ144" s="34">
        <f t="shared" si="43"/>
        <v>25.7</v>
      </c>
      <c r="AR144" s="35"/>
      <c r="AS144" s="36">
        <f t="shared" si="26"/>
        <v>6.4249999999999998</v>
      </c>
      <c r="AT144" s="36">
        <f t="shared" si="26"/>
        <v>25.7</v>
      </c>
      <c r="AU144" s="36">
        <f t="shared" si="44"/>
        <v>7.0032500000000004</v>
      </c>
      <c r="AV144" s="36">
        <f t="shared" si="45"/>
        <v>28.013000000000002</v>
      </c>
      <c r="AW144" s="37">
        <v>8.5</v>
      </c>
      <c r="AX144" s="38">
        <f t="shared" si="40"/>
        <v>34</v>
      </c>
      <c r="AY144" s="38">
        <f t="shared" si="38"/>
        <v>1.4967499999999996</v>
      </c>
      <c r="AZ144" s="38">
        <f t="shared" si="41"/>
        <v>5.9869999999999983</v>
      </c>
      <c r="BA144" s="39">
        <f t="shared" si="39"/>
        <v>0.1760882352941176</v>
      </c>
      <c r="BB144" s="41"/>
      <c r="BC144" s="119">
        <f t="shared" si="27"/>
        <v>8.5</v>
      </c>
      <c r="BD144" s="108">
        <v>0.15</v>
      </c>
      <c r="BE144" s="120">
        <f t="shared" si="28"/>
        <v>10.365853658536585</v>
      </c>
      <c r="BF144" s="121">
        <f t="shared" si="29"/>
        <v>1.8658536585365848</v>
      </c>
      <c r="BG144" s="121">
        <f t="shared" si="30"/>
        <v>0.16792682926829264</v>
      </c>
      <c r="BH144" s="122">
        <f t="shared" si="31"/>
        <v>2.0337804878048775</v>
      </c>
      <c r="BI144" s="121">
        <f t="shared" si="32"/>
        <v>8.3320731707317073</v>
      </c>
      <c r="BJ144" s="123">
        <f t="shared" si="33"/>
        <v>0.15948289741375521</v>
      </c>
      <c r="BK144" s="124">
        <f t="shared" si="34"/>
        <v>-1.6605337880362392E-2</v>
      </c>
      <c r="BL144" s="125">
        <v>9.9</v>
      </c>
    </row>
    <row r="145" spans="1:64" ht="45" customHeight="1" x14ac:dyDescent="0.25">
      <c r="A145" s="30">
        <v>130</v>
      </c>
      <c r="B145" s="100" t="s">
        <v>105</v>
      </c>
      <c r="C145" s="31">
        <v>1</v>
      </c>
      <c r="D145" s="32" t="s">
        <v>73</v>
      </c>
      <c r="E145" s="31">
        <f t="shared" si="37"/>
        <v>12</v>
      </c>
      <c r="F145" s="31" t="s">
        <v>226</v>
      </c>
      <c r="G145" s="31" t="s">
        <v>226</v>
      </c>
      <c r="H145" s="31" t="s">
        <v>226</v>
      </c>
      <c r="I145" s="31" t="s">
        <v>226</v>
      </c>
      <c r="J145" s="31" t="s">
        <v>226</v>
      </c>
      <c r="K145" s="31" t="s">
        <v>226</v>
      </c>
      <c r="L145" s="31" t="s">
        <v>226</v>
      </c>
      <c r="M145" s="31" t="s">
        <v>226</v>
      </c>
      <c r="N145" s="31" t="s">
        <v>226</v>
      </c>
      <c r="O145" s="31" t="s">
        <v>226</v>
      </c>
      <c r="P145" s="31" t="s">
        <v>226</v>
      </c>
      <c r="Q145" s="31" t="s">
        <v>226</v>
      </c>
      <c r="R145" s="31" t="s">
        <v>226</v>
      </c>
      <c r="S145" s="31" t="s">
        <v>226</v>
      </c>
      <c r="T145" s="31" t="s">
        <v>226</v>
      </c>
      <c r="U145" s="31" t="s">
        <v>226</v>
      </c>
      <c r="V145" s="31" t="s">
        <v>226</v>
      </c>
      <c r="W145" s="31" t="s">
        <v>226</v>
      </c>
      <c r="X145" s="31" t="s">
        <v>226</v>
      </c>
      <c r="Y145" s="31" t="s">
        <v>226</v>
      </c>
      <c r="Z145" s="31" t="s">
        <v>226</v>
      </c>
      <c r="AA145" s="31" t="s">
        <v>226</v>
      </c>
      <c r="AB145" s="31" t="s">
        <v>226</v>
      </c>
      <c r="AC145" s="31" t="s">
        <v>226</v>
      </c>
      <c r="AD145" s="31" t="s">
        <v>226</v>
      </c>
      <c r="AE145" s="31" t="s">
        <v>226</v>
      </c>
      <c r="AF145" s="31" t="s">
        <v>226</v>
      </c>
      <c r="AG145" s="31" t="s">
        <v>226</v>
      </c>
      <c r="AH145" s="31" t="s">
        <v>226</v>
      </c>
      <c r="AI145" s="31" t="s">
        <v>226</v>
      </c>
      <c r="AJ145" s="31" t="s">
        <v>226</v>
      </c>
      <c r="AK145" s="31" t="s">
        <v>226</v>
      </c>
      <c r="AL145" s="31" t="s">
        <v>226</v>
      </c>
      <c r="AM145" s="31"/>
      <c r="AN145" s="31"/>
      <c r="AO145" s="96">
        <v>25.5</v>
      </c>
      <c r="AP145" s="33">
        <f t="shared" si="42"/>
        <v>2.125</v>
      </c>
      <c r="AQ145" s="34">
        <f t="shared" si="43"/>
        <v>25.5</v>
      </c>
      <c r="AR145" s="35"/>
      <c r="AS145" s="36">
        <f t="shared" si="26"/>
        <v>2.125</v>
      </c>
      <c r="AT145" s="36">
        <f t="shared" si="26"/>
        <v>25.5</v>
      </c>
      <c r="AU145" s="36">
        <f t="shared" si="44"/>
        <v>2.3162500000000001</v>
      </c>
      <c r="AV145" s="36">
        <f t="shared" si="45"/>
        <v>27.795000000000002</v>
      </c>
      <c r="AW145" s="37">
        <v>3.9</v>
      </c>
      <c r="AX145" s="38">
        <f t="shared" si="40"/>
        <v>46.8</v>
      </c>
      <c r="AY145" s="38">
        <f t="shared" si="38"/>
        <v>1.5837499999999998</v>
      </c>
      <c r="AZ145" s="38">
        <f t="shared" si="41"/>
        <v>19.004999999999995</v>
      </c>
      <c r="BA145" s="39">
        <f t="shared" si="39"/>
        <v>0.40608974358974353</v>
      </c>
      <c r="BB145" s="42"/>
      <c r="BC145" s="119">
        <f t="shared" si="27"/>
        <v>3.9</v>
      </c>
      <c r="BD145" s="108">
        <v>0.15</v>
      </c>
      <c r="BE145" s="120">
        <f t="shared" si="28"/>
        <v>4.7560975609756095</v>
      </c>
      <c r="BF145" s="121">
        <f t="shared" si="29"/>
        <v>0.85609756097560963</v>
      </c>
      <c r="BG145" s="121">
        <f t="shared" si="30"/>
        <v>7.7048780487804863E-2</v>
      </c>
      <c r="BH145" s="122">
        <f t="shared" si="31"/>
        <v>0.93314634146341446</v>
      </c>
      <c r="BI145" s="121">
        <f t="shared" si="32"/>
        <v>3.8229512195121949</v>
      </c>
      <c r="BJ145" s="123">
        <f t="shared" si="33"/>
        <v>0.39411991757102471</v>
      </c>
      <c r="BK145" s="124">
        <f t="shared" si="34"/>
        <v>-1.1969826018718821E-2</v>
      </c>
      <c r="BL145" s="125" t="s">
        <v>226</v>
      </c>
    </row>
    <row r="146" spans="1:64" ht="45" customHeight="1" x14ac:dyDescent="0.25">
      <c r="A146" s="30">
        <v>131</v>
      </c>
      <c r="B146" s="100" t="s">
        <v>184</v>
      </c>
      <c r="C146" s="31">
        <v>1</v>
      </c>
      <c r="D146" s="32" t="s">
        <v>24</v>
      </c>
      <c r="E146" s="31">
        <f t="shared" si="37"/>
        <v>24</v>
      </c>
      <c r="F146" s="31" t="s">
        <v>226</v>
      </c>
      <c r="G146" s="31" t="s">
        <v>226</v>
      </c>
      <c r="H146" s="31" t="s">
        <v>226</v>
      </c>
      <c r="I146" s="31" t="s">
        <v>226</v>
      </c>
      <c r="J146" s="31" t="s">
        <v>226</v>
      </c>
      <c r="K146" s="31" t="s">
        <v>226</v>
      </c>
      <c r="L146" s="31" t="s">
        <v>226</v>
      </c>
      <c r="M146" s="31" t="s">
        <v>226</v>
      </c>
      <c r="N146" s="31" t="s">
        <v>226</v>
      </c>
      <c r="O146" s="31" t="s">
        <v>226</v>
      </c>
      <c r="P146" s="31" t="s">
        <v>226</v>
      </c>
      <c r="Q146" s="31" t="s">
        <v>226</v>
      </c>
      <c r="R146" s="31" t="s">
        <v>226</v>
      </c>
      <c r="S146" s="31" t="s">
        <v>226</v>
      </c>
      <c r="T146" s="31" t="s">
        <v>226</v>
      </c>
      <c r="U146" s="31" t="s">
        <v>226</v>
      </c>
      <c r="V146" s="31" t="s">
        <v>226</v>
      </c>
      <c r="W146" s="31" t="s">
        <v>226</v>
      </c>
      <c r="X146" s="31" t="s">
        <v>226</v>
      </c>
      <c r="Y146" s="31" t="s">
        <v>226</v>
      </c>
      <c r="Z146" s="31" t="s">
        <v>226</v>
      </c>
      <c r="AA146" s="31" t="s">
        <v>226</v>
      </c>
      <c r="AB146" s="31" t="s">
        <v>226</v>
      </c>
      <c r="AC146" s="31" t="s">
        <v>226</v>
      </c>
      <c r="AD146" s="31" t="s">
        <v>226</v>
      </c>
      <c r="AE146" s="31" t="s">
        <v>226</v>
      </c>
      <c r="AF146" s="31" t="s">
        <v>226</v>
      </c>
      <c r="AG146" s="31" t="s">
        <v>226</v>
      </c>
      <c r="AH146" s="31" t="s">
        <v>226</v>
      </c>
      <c r="AI146" s="31" t="s">
        <v>226</v>
      </c>
      <c r="AJ146" s="31" t="s">
        <v>226</v>
      </c>
      <c r="AK146" s="31" t="s">
        <v>226</v>
      </c>
      <c r="AL146" s="31" t="s">
        <v>226</v>
      </c>
      <c r="AM146" s="31"/>
      <c r="AN146" s="31"/>
      <c r="AO146" s="96">
        <v>49</v>
      </c>
      <c r="AP146" s="33">
        <f t="shared" si="42"/>
        <v>2.0416666666666665</v>
      </c>
      <c r="AQ146" s="34">
        <f t="shared" si="43"/>
        <v>49</v>
      </c>
      <c r="AR146" s="35"/>
      <c r="AS146" s="36">
        <f t="shared" si="26"/>
        <v>2.0416666666666665</v>
      </c>
      <c r="AT146" s="36">
        <f t="shared" si="26"/>
        <v>49</v>
      </c>
      <c r="AU146" s="36">
        <f t="shared" si="44"/>
        <v>2.2254166666666668</v>
      </c>
      <c r="AV146" s="36">
        <f t="shared" si="45"/>
        <v>53.410000000000004</v>
      </c>
      <c r="AW146" s="37">
        <v>3.9</v>
      </c>
      <c r="AX146" s="38">
        <f t="shared" si="40"/>
        <v>93.6</v>
      </c>
      <c r="AY146" s="38">
        <f t="shared" si="38"/>
        <v>1.6745833333333331</v>
      </c>
      <c r="AZ146" s="38">
        <f t="shared" si="41"/>
        <v>40.19</v>
      </c>
      <c r="BA146" s="39">
        <f t="shared" si="39"/>
        <v>0.42938034188034185</v>
      </c>
      <c r="BB146" s="42"/>
      <c r="BC146" s="119">
        <f t="shared" si="27"/>
        <v>3.9</v>
      </c>
      <c r="BD146" s="108">
        <v>0.15</v>
      </c>
      <c r="BE146" s="120">
        <f t="shared" si="28"/>
        <v>4.7560975609756095</v>
      </c>
      <c r="BF146" s="121">
        <f t="shared" si="29"/>
        <v>0.85609756097560963</v>
      </c>
      <c r="BG146" s="121">
        <f t="shared" si="30"/>
        <v>7.7048780487804863E-2</v>
      </c>
      <c r="BH146" s="122">
        <f t="shared" si="31"/>
        <v>0.93314634146341446</v>
      </c>
      <c r="BI146" s="121">
        <f t="shared" si="32"/>
        <v>3.8229512195121949</v>
      </c>
      <c r="BJ146" s="123">
        <f t="shared" si="33"/>
        <v>0.41787992080353359</v>
      </c>
      <c r="BK146" s="124">
        <f t="shared" si="34"/>
        <v>-1.1500421076808265E-2</v>
      </c>
      <c r="BL146" s="125" t="s">
        <v>226</v>
      </c>
    </row>
    <row r="147" spans="1:64" ht="45" customHeight="1" x14ac:dyDescent="0.25">
      <c r="A147" s="30">
        <v>132</v>
      </c>
      <c r="B147" s="100" t="s">
        <v>185</v>
      </c>
      <c r="C147" s="31">
        <v>1</v>
      </c>
      <c r="D147" s="32" t="s">
        <v>73</v>
      </c>
      <c r="E147" s="31">
        <f t="shared" si="37"/>
        <v>12</v>
      </c>
      <c r="F147" s="31" t="s">
        <v>226</v>
      </c>
      <c r="G147" s="31" t="s">
        <v>226</v>
      </c>
      <c r="H147" s="31" t="s">
        <v>226</v>
      </c>
      <c r="I147" s="31" t="s">
        <v>226</v>
      </c>
      <c r="J147" s="31" t="s">
        <v>226</v>
      </c>
      <c r="K147" s="31" t="s">
        <v>226</v>
      </c>
      <c r="L147" s="31" t="s">
        <v>226</v>
      </c>
      <c r="M147" s="31" t="s">
        <v>226</v>
      </c>
      <c r="N147" s="31" t="s">
        <v>226</v>
      </c>
      <c r="O147" s="31" t="s">
        <v>226</v>
      </c>
      <c r="P147" s="31" t="s">
        <v>226</v>
      </c>
      <c r="Q147" s="31" t="s">
        <v>226</v>
      </c>
      <c r="R147" s="31" t="s">
        <v>226</v>
      </c>
      <c r="S147" s="31" t="s">
        <v>226</v>
      </c>
      <c r="T147" s="31" t="s">
        <v>226</v>
      </c>
      <c r="U147" s="31" t="s">
        <v>226</v>
      </c>
      <c r="V147" s="31" t="s">
        <v>226</v>
      </c>
      <c r="W147" s="31" t="s">
        <v>226</v>
      </c>
      <c r="X147" s="31" t="s">
        <v>226</v>
      </c>
      <c r="Y147" s="31" t="s">
        <v>226</v>
      </c>
      <c r="Z147" s="31" t="s">
        <v>226</v>
      </c>
      <c r="AA147" s="31" t="s">
        <v>226</v>
      </c>
      <c r="AB147" s="31" t="s">
        <v>226</v>
      </c>
      <c r="AC147" s="31" t="s">
        <v>226</v>
      </c>
      <c r="AD147" s="31" t="s">
        <v>226</v>
      </c>
      <c r="AE147" s="31" t="s">
        <v>226</v>
      </c>
      <c r="AF147" s="31" t="s">
        <v>226</v>
      </c>
      <c r="AG147" s="31" t="s">
        <v>226</v>
      </c>
      <c r="AH147" s="31" t="s">
        <v>226</v>
      </c>
      <c r="AI147" s="31" t="s">
        <v>226</v>
      </c>
      <c r="AJ147" s="31" t="s">
        <v>226</v>
      </c>
      <c r="AK147" s="31" t="s">
        <v>226</v>
      </c>
      <c r="AL147" s="31" t="s">
        <v>226</v>
      </c>
      <c r="AM147" s="31"/>
      <c r="AN147" s="31"/>
      <c r="AO147" s="96">
        <v>24</v>
      </c>
      <c r="AP147" s="33">
        <f t="shared" si="42"/>
        <v>2</v>
      </c>
      <c r="AQ147" s="34">
        <f t="shared" si="43"/>
        <v>24</v>
      </c>
      <c r="AR147" s="35"/>
      <c r="AS147" s="36">
        <f t="shared" si="26"/>
        <v>2</v>
      </c>
      <c r="AT147" s="36">
        <f t="shared" si="26"/>
        <v>24</v>
      </c>
      <c r="AU147" s="36">
        <f t="shared" si="44"/>
        <v>2.1800000000000002</v>
      </c>
      <c r="AV147" s="36">
        <f t="shared" si="45"/>
        <v>26.160000000000004</v>
      </c>
      <c r="AW147" s="37"/>
      <c r="AX147" s="38">
        <f t="shared" si="40"/>
        <v>0</v>
      </c>
      <c r="AY147" s="38">
        <f t="shared" si="38"/>
        <v>-2.1800000000000002</v>
      </c>
      <c r="AZ147" s="38">
        <f t="shared" si="41"/>
        <v>-26.160000000000004</v>
      </c>
      <c r="BA147" s="39" t="e">
        <f t="shared" si="39"/>
        <v>#DIV/0!</v>
      </c>
      <c r="BB147" s="42"/>
      <c r="BC147" s="119">
        <f t="shared" si="27"/>
        <v>0</v>
      </c>
      <c r="BD147" s="108">
        <v>0.15</v>
      </c>
      <c r="BE147" s="120">
        <f t="shared" si="28"/>
        <v>0</v>
      </c>
      <c r="BF147" s="121">
        <f t="shared" si="29"/>
        <v>0</v>
      </c>
      <c r="BG147" s="121">
        <f t="shared" si="30"/>
        <v>0</v>
      </c>
      <c r="BH147" s="122">
        <f t="shared" si="31"/>
        <v>0</v>
      </c>
      <c r="BI147" s="121">
        <f t="shared" si="32"/>
        <v>0</v>
      </c>
      <c r="BJ147" s="123" t="e">
        <f t="shared" si="33"/>
        <v>#DIV/0!</v>
      </c>
      <c r="BK147" s="124" t="e">
        <f t="shared" si="34"/>
        <v>#DIV/0!</v>
      </c>
      <c r="BL147" s="125" t="s">
        <v>226</v>
      </c>
    </row>
    <row r="148" spans="1:64" ht="45" customHeight="1" x14ac:dyDescent="0.25">
      <c r="A148" s="30">
        <v>133</v>
      </c>
      <c r="B148" s="100" t="s">
        <v>178</v>
      </c>
      <c r="C148" s="31">
        <v>1</v>
      </c>
      <c r="D148" s="32" t="s">
        <v>24</v>
      </c>
      <c r="E148" s="31">
        <f t="shared" si="37"/>
        <v>24</v>
      </c>
      <c r="F148" s="31" t="s">
        <v>226</v>
      </c>
      <c r="G148" s="31" t="s">
        <v>226</v>
      </c>
      <c r="H148" s="31" t="s">
        <v>226</v>
      </c>
      <c r="I148" s="31" t="s">
        <v>226</v>
      </c>
      <c r="J148" s="31" t="s">
        <v>226</v>
      </c>
      <c r="K148" s="31" t="s">
        <v>226</v>
      </c>
      <c r="L148" s="31" t="s">
        <v>226</v>
      </c>
      <c r="M148" s="31" t="s">
        <v>226</v>
      </c>
      <c r="N148" s="31" t="s">
        <v>226</v>
      </c>
      <c r="O148" s="31" t="s">
        <v>226</v>
      </c>
      <c r="P148" s="31" t="s">
        <v>226</v>
      </c>
      <c r="Q148" s="31" t="s">
        <v>226</v>
      </c>
      <c r="R148" s="31" t="s">
        <v>226</v>
      </c>
      <c r="S148" s="31" t="s">
        <v>226</v>
      </c>
      <c r="T148" s="31" t="s">
        <v>226</v>
      </c>
      <c r="U148" s="31" t="s">
        <v>226</v>
      </c>
      <c r="V148" s="31" t="s">
        <v>226</v>
      </c>
      <c r="W148" s="31" t="s">
        <v>226</v>
      </c>
      <c r="X148" s="31" t="s">
        <v>226</v>
      </c>
      <c r="Y148" s="31" t="s">
        <v>226</v>
      </c>
      <c r="Z148" s="31" t="s">
        <v>226</v>
      </c>
      <c r="AA148" s="31" t="s">
        <v>226</v>
      </c>
      <c r="AB148" s="31" t="s">
        <v>226</v>
      </c>
      <c r="AC148" s="31" t="s">
        <v>226</v>
      </c>
      <c r="AD148" s="31" t="s">
        <v>226</v>
      </c>
      <c r="AE148" s="31" t="s">
        <v>226</v>
      </c>
      <c r="AF148" s="31" t="s">
        <v>226</v>
      </c>
      <c r="AG148" s="31" t="s">
        <v>226</v>
      </c>
      <c r="AH148" s="31" t="s">
        <v>226</v>
      </c>
      <c r="AI148" s="31" t="s">
        <v>226</v>
      </c>
      <c r="AJ148" s="31" t="s">
        <v>226</v>
      </c>
      <c r="AK148" s="31" t="s">
        <v>226</v>
      </c>
      <c r="AL148" s="31" t="s">
        <v>226</v>
      </c>
      <c r="AM148" s="31"/>
      <c r="AN148" s="31"/>
      <c r="AO148" s="96">
        <v>49.8</v>
      </c>
      <c r="AP148" s="33">
        <f t="shared" si="42"/>
        <v>2.0749999999999997</v>
      </c>
      <c r="AQ148" s="34">
        <f t="shared" si="43"/>
        <v>49.8</v>
      </c>
      <c r="AR148" s="35"/>
      <c r="AS148" s="36">
        <f t="shared" si="26"/>
        <v>2.0749999999999997</v>
      </c>
      <c r="AT148" s="36">
        <f t="shared" si="26"/>
        <v>49.8</v>
      </c>
      <c r="AU148" s="36">
        <f t="shared" si="44"/>
        <v>2.2617499999999997</v>
      </c>
      <c r="AV148" s="36">
        <f t="shared" si="45"/>
        <v>54.281999999999996</v>
      </c>
      <c r="AW148" s="37">
        <v>3.9</v>
      </c>
      <c r="AX148" s="38">
        <f t="shared" si="40"/>
        <v>93.6</v>
      </c>
      <c r="AY148" s="38">
        <f t="shared" si="38"/>
        <v>1.6382500000000002</v>
      </c>
      <c r="AZ148" s="38">
        <f t="shared" si="41"/>
        <v>39.318000000000005</v>
      </c>
      <c r="BA148" s="39">
        <f t="shared" si="39"/>
        <v>0.42006410256410265</v>
      </c>
      <c r="BB148" s="42"/>
      <c r="BC148" s="119">
        <f t="shared" si="27"/>
        <v>3.9</v>
      </c>
      <c r="BD148" s="108">
        <v>0.15</v>
      </c>
      <c r="BE148" s="120">
        <f t="shared" si="28"/>
        <v>4.7560975609756095</v>
      </c>
      <c r="BF148" s="121">
        <f t="shared" si="29"/>
        <v>0.85609756097560963</v>
      </c>
      <c r="BG148" s="121">
        <f t="shared" si="30"/>
        <v>7.7048780487804863E-2</v>
      </c>
      <c r="BH148" s="122">
        <f t="shared" si="31"/>
        <v>0.93314634146341446</v>
      </c>
      <c r="BI148" s="121">
        <f t="shared" si="32"/>
        <v>3.8229512195121949</v>
      </c>
      <c r="BJ148" s="123">
        <f t="shared" si="33"/>
        <v>0.40837591951053015</v>
      </c>
      <c r="BK148" s="124">
        <f t="shared" si="34"/>
        <v>-1.1688183053572498E-2</v>
      </c>
      <c r="BL148" s="125" t="s">
        <v>226</v>
      </c>
    </row>
    <row r="149" spans="1:64" ht="45" customHeight="1" x14ac:dyDescent="0.25">
      <c r="A149" s="30">
        <v>134</v>
      </c>
      <c r="B149" s="100" t="s">
        <v>148</v>
      </c>
      <c r="C149" s="31">
        <v>1</v>
      </c>
      <c r="D149" s="32" t="s">
        <v>24</v>
      </c>
      <c r="E149" s="31">
        <f t="shared" si="37"/>
        <v>24</v>
      </c>
      <c r="F149" s="31" t="s">
        <v>226</v>
      </c>
      <c r="G149" s="31" t="s">
        <v>226</v>
      </c>
      <c r="H149" s="31" t="s">
        <v>226</v>
      </c>
      <c r="I149" s="31" t="s">
        <v>226</v>
      </c>
      <c r="J149" s="31" t="s">
        <v>226</v>
      </c>
      <c r="K149" s="31" t="s">
        <v>226</v>
      </c>
      <c r="L149" s="31" t="s">
        <v>226</v>
      </c>
      <c r="M149" s="31" t="s">
        <v>226</v>
      </c>
      <c r="N149" s="31" t="s">
        <v>226</v>
      </c>
      <c r="O149" s="31" t="s">
        <v>226</v>
      </c>
      <c r="P149" s="31" t="s">
        <v>226</v>
      </c>
      <c r="Q149" s="31" t="s">
        <v>226</v>
      </c>
      <c r="R149" s="31" t="s">
        <v>226</v>
      </c>
      <c r="S149" s="31" t="s">
        <v>226</v>
      </c>
      <c r="T149" s="31" t="s">
        <v>226</v>
      </c>
      <c r="U149" s="31" t="s">
        <v>226</v>
      </c>
      <c r="V149" s="31" t="s">
        <v>226</v>
      </c>
      <c r="W149" s="31" t="s">
        <v>226</v>
      </c>
      <c r="X149" s="31" t="s">
        <v>226</v>
      </c>
      <c r="Y149" s="31" t="s">
        <v>226</v>
      </c>
      <c r="Z149" s="31" t="s">
        <v>226</v>
      </c>
      <c r="AA149" s="31" t="s">
        <v>226</v>
      </c>
      <c r="AB149" s="31" t="s">
        <v>226</v>
      </c>
      <c r="AC149" s="31" t="s">
        <v>226</v>
      </c>
      <c r="AD149" s="31" t="s">
        <v>226</v>
      </c>
      <c r="AE149" s="31" t="s">
        <v>226</v>
      </c>
      <c r="AF149" s="31" t="s">
        <v>226</v>
      </c>
      <c r="AG149" s="31" t="s">
        <v>226</v>
      </c>
      <c r="AH149" s="31" t="s">
        <v>226</v>
      </c>
      <c r="AI149" s="31" t="s">
        <v>226</v>
      </c>
      <c r="AJ149" s="31" t="s">
        <v>226</v>
      </c>
      <c r="AK149" s="31" t="s">
        <v>226</v>
      </c>
      <c r="AL149" s="31" t="s">
        <v>226</v>
      </c>
      <c r="AM149" s="31"/>
      <c r="AN149" s="31"/>
      <c r="AO149" s="96">
        <v>58</v>
      </c>
      <c r="AP149" s="33">
        <f t="shared" si="42"/>
        <v>2.4166666666666665</v>
      </c>
      <c r="AQ149" s="34">
        <f t="shared" si="43"/>
        <v>58</v>
      </c>
      <c r="AR149" s="35"/>
      <c r="AS149" s="36">
        <f t="shared" si="26"/>
        <v>2.4166666666666665</v>
      </c>
      <c r="AT149" s="36">
        <f t="shared" si="26"/>
        <v>58</v>
      </c>
      <c r="AU149" s="36">
        <f t="shared" si="44"/>
        <v>2.6341666666666668</v>
      </c>
      <c r="AV149" s="36">
        <f t="shared" si="45"/>
        <v>63.22</v>
      </c>
      <c r="AW149" s="37">
        <v>3.95</v>
      </c>
      <c r="AX149" s="38">
        <f t="shared" si="40"/>
        <v>94.800000000000011</v>
      </c>
      <c r="AY149" s="38">
        <f t="shared" si="38"/>
        <v>1.3158333333333334</v>
      </c>
      <c r="AZ149" s="38">
        <f t="shared" si="41"/>
        <v>31.580000000000002</v>
      </c>
      <c r="BA149" s="39">
        <f t="shared" si="39"/>
        <v>0.33312236286919833</v>
      </c>
      <c r="BB149" s="42"/>
      <c r="BC149" s="119">
        <f t="shared" si="27"/>
        <v>3.95</v>
      </c>
      <c r="BD149" s="108">
        <v>0.15</v>
      </c>
      <c r="BE149" s="120">
        <f t="shared" si="28"/>
        <v>4.8170731707317076</v>
      </c>
      <c r="BF149" s="121">
        <f t="shared" si="29"/>
        <v>0.86707317073170742</v>
      </c>
      <c r="BG149" s="121">
        <f t="shared" si="30"/>
        <v>7.8036585365853658E-2</v>
      </c>
      <c r="BH149" s="122">
        <f t="shared" si="31"/>
        <v>0.94510975609756109</v>
      </c>
      <c r="BI149" s="121">
        <f t="shared" si="32"/>
        <v>3.8719634146341466</v>
      </c>
      <c r="BJ149" s="123">
        <f t="shared" si="33"/>
        <v>0.31968193276031681</v>
      </c>
      <c r="BK149" s="124">
        <f t="shared" si="34"/>
        <v>-1.3440430108881518E-2</v>
      </c>
      <c r="BL149" s="125" t="s">
        <v>226</v>
      </c>
    </row>
    <row r="150" spans="1:64" ht="45" customHeight="1" x14ac:dyDescent="0.25">
      <c r="A150" s="30">
        <v>135</v>
      </c>
      <c r="B150" s="102" t="s">
        <v>106</v>
      </c>
      <c r="C150" s="31">
        <v>1</v>
      </c>
      <c r="D150" s="32" t="s">
        <v>136</v>
      </c>
      <c r="E150" s="31">
        <f t="shared" si="37"/>
        <v>10</v>
      </c>
      <c r="F150" s="31" t="s">
        <v>226</v>
      </c>
      <c r="G150" s="31" t="s">
        <v>226</v>
      </c>
      <c r="H150" s="31" t="s">
        <v>226</v>
      </c>
      <c r="I150" s="31" t="s">
        <v>226</v>
      </c>
      <c r="J150" s="31" t="s">
        <v>226</v>
      </c>
      <c r="K150" s="31" t="s">
        <v>226</v>
      </c>
      <c r="L150" s="31" t="s">
        <v>226</v>
      </c>
      <c r="M150" s="31" t="s">
        <v>226</v>
      </c>
      <c r="N150" s="31" t="s">
        <v>226</v>
      </c>
      <c r="O150" s="31" t="s">
        <v>226</v>
      </c>
      <c r="P150" s="31" t="s">
        <v>226</v>
      </c>
      <c r="Q150" s="31" t="s">
        <v>226</v>
      </c>
      <c r="R150" s="31" t="s">
        <v>226</v>
      </c>
      <c r="S150" s="31" t="s">
        <v>226</v>
      </c>
      <c r="T150" s="31" t="s">
        <v>226</v>
      </c>
      <c r="U150" s="31" t="s">
        <v>226</v>
      </c>
      <c r="V150" s="31" t="s">
        <v>226</v>
      </c>
      <c r="W150" s="31" t="s">
        <v>226</v>
      </c>
      <c r="X150" s="31" t="s">
        <v>226</v>
      </c>
      <c r="Y150" s="31" t="s">
        <v>226</v>
      </c>
      <c r="Z150" s="31" t="s">
        <v>226</v>
      </c>
      <c r="AA150" s="31" t="s">
        <v>226</v>
      </c>
      <c r="AB150" s="31" t="s">
        <v>226</v>
      </c>
      <c r="AC150" s="31" t="s">
        <v>226</v>
      </c>
      <c r="AD150" s="31" t="s">
        <v>226</v>
      </c>
      <c r="AE150" s="31" t="s">
        <v>226</v>
      </c>
      <c r="AF150" s="31" t="s">
        <v>226</v>
      </c>
      <c r="AG150" s="31" t="s">
        <v>226</v>
      </c>
      <c r="AH150" s="31" t="s">
        <v>226</v>
      </c>
      <c r="AI150" s="31" t="s">
        <v>226</v>
      </c>
      <c r="AJ150" s="31" t="s">
        <v>226</v>
      </c>
      <c r="AK150" s="31" t="s">
        <v>226</v>
      </c>
      <c r="AL150" s="31" t="s">
        <v>226</v>
      </c>
      <c r="AM150" s="31"/>
      <c r="AN150" s="31"/>
      <c r="AO150" s="96">
        <v>13.5</v>
      </c>
      <c r="AP150" s="33">
        <f t="shared" si="42"/>
        <v>1.35</v>
      </c>
      <c r="AQ150" s="34">
        <f t="shared" si="43"/>
        <v>13.5</v>
      </c>
      <c r="AR150" s="35"/>
      <c r="AS150" s="36">
        <f t="shared" si="26"/>
        <v>1.35</v>
      </c>
      <c r="AT150" s="36">
        <f t="shared" si="26"/>
        <v>13.5</v>
      </c>
      <c r="AU150" s="36">
        <f t="shared" si="44"/>
        <v>1.4715000000000003</v>
      </c>
      <c r="AV150" s="36">
        <f t="shared" si="45"/>
        <v>14.715000000000003</v>
      </c>
      <c r="AW150" s="37">
        <v>1.95</v>
      </c>
      <c r="AX150" s="38">
        <f t="shared" si="40"/>
        <v>19.5</v>
      </c>
      <c r="AY150" s="38">
        <f t="shared" si="38"/>
        <v>0.4784999999999997</v>
      </c>
      <c r="AZ150" s="38">
        <f t="shared" si="41"/>
        <v>4.7849999999999966</v>
      </c>
      <c r="BA150" s="39">
        <f t="shared" si="39"/>
        <v>0.24538461538461523</v>
      </c>
      <c r="BB150" s="42"/>
      <c r="BC150" s="119">
        <f t="shared" si="27"/>
        <v>1.95</v>
      </c>
      <c r="BD150" s="108">
        <v>0.15</v>
      </c>
      <c r="BE150" s="120">
        <f t="shared" si="28"/>
        <v>2.3780487804878048</v>
      </c>
      <c r="BF150" s="121">
        <f t="shared" si="29"/>
        <v>0.42804878048780481</v>
      </c>
      <c r="BG150" s="121">
        <f t="shared" si="30"/>
        <v>3.8524390243902432E-2</v>
      </c>
      <c r="BH150" s="122">
        <f t="shared" si="31"/>
        <v>0.46657317073170723</v>
      </c>
      <c r="BI150" s="121">
        <f t="shared" si="32"/>
        <v>1.9114756097560974</v>
      </c>
      <c r="BJ150" s="123">
        <f t="shared" si="33"/>
        <v>0.2301758952667137</v>
      </c>
      <c r="BK150" s="124">
        <f t="shared" si="34"/>
        <v>-1.5208720117901531E-2</v>
      </c>
      <c r="BL150" s="125">
        <v>1.5</v>
      </c>
    </row>
    <row r="151" spans="1:64" ht="45" customHeight="1" x14ac:dyDescent="0.25">
      <c r="A151" s="30">
        <v>136</v>
      </c>
      <c r="B151" s="100" t="s">
        <v>218</v>
      </c>
      <c r="C151" s="31">
        <v>1</v>
      </c>
      <c r="D151" s="32" t="s">
        <v>157</v>
      </c>
      <c r="E151" s="31">
        <f t="shared" si="37"/>
        <v>60</v>
      </c>
      <c r="F151" s="31">
        <v>30</v>
      </c>
      <c r="G151" s="31" t="s">
        <v>226</v>
      </c>
      <c r="H151" s="31" t="s">
        <v>226</v>
      </c>
      <c r="I151" s="31" t="s">
        <v>226</v>
      </c>
      <c r="J151" s="31" t="s">
        <v>226</v>
      </c>
      <c r="K151" s="31" t="s">
        <v>226</v>
      </c>
      <c r="L151" s="31" t="s">
        <v>226</v>
      </c>
      <c r="M151" s="31" t="s">
        <v>226</v>
      </c>
      <c r="N151" s="31" t="s">
        <v>226</v>
      </c>
      <c r="O151" s="31" t="s">
        <v>226</v>
      </c>
      <c r="P151" s="31" t="s">
        <v>226</v>
      </c>
      <c r="Q151" s="31" t="s">
        <v>226</v>
      </c>
      <c r="R151" s="31" t="s">
        <v>226</v>
      </c>
      <c r="S151" s="31" t="s">
        <v>226</v>
      </c>
      <c r="T151" s="31" t="s">
        <v>226</v>
      </c>
      <c r="U151" s="31" t="s">
        <v>226</v>
      </c>
      <c r="V151" s="31" t="s">
        <v>226</v>
      </c>
      <c r="W151" s="31" t="s">
        <v>226</v>
      </c>
      <c r="X151" s="31" t="s">
        <v>226</v>
      </c>
      <c r="Y151" s="31" t="s">
        <v>226</v>
      </c>
      <c r="Z151" s="31" t="s">
        <v>226</v>
      </c>
      <c r="AA151" s="31" t="s">
        <v>226</v>
      </c>
      <c r="AB151" s="31" t="s">
        <v>226</v>
      </c>
      <c r="AC151" s="31" t="s">
        <v>226</v>
      </c>
      <c r="AD151" s="31" t="s">
        <v>226</v>
      </c>
      <c r="AE151" s="31" t="s">
        <v>226</v>
      </c>
      <c r="AF151" s="31" t="s">
        <v>226</v>
      </c>
      <c r="AG151" s="31" t="s">
        <v>226</v>
      </c>
      <c r="AH151" s="31" t="s">
        <v>226</v>
      </c>
      <c r="AI151" s="31" t="s">
        <v>226</v>
      </c>
      <c r="AJ151" s="31" t="s">
        <v>226</v>
      </c>
      <c r="AK151" s="31" t="s">
        <v>226</v>
      </c>
      <c r="AL151" s="31" t="s">
        <v>226</v>
      </c>
      <c r="AM151" s="31"/>
      <c r="AN151" s="31"/>
      <c r="AO151" s="96">
        <v>34</v>
      </c>
      <c r="AP151" s="33">
        <f t="shared" si="42"/>
        <v>0.56666666666666665</v>
      </c>
      <c r="AQ151" s="34">
        <f t="shared" si="43"/>
        <v>34</v>
      </c>
      <c r="AR151" s="35"/>
      <c r="AS151" s="36">
        <f t="shared" si="26"/>
        <v>0.56666666666666665</v>
      </c>
      <c r="AT151" s="36">
        <f t="shared" si="26"/>
        <v>34</v>
      </c>
      <c r="AU151" s="36">
        <f t="shared" si="44"/>
        <v>0.6176666666666667</v>
      </c>
      <c r="AV151" s="36">
        <f t="shared" si="45"/>
        <v>37.06</v>
      </c>
      <c r="AW151" s="37">
        <v>0.85</v>
      </c>
      <c r="AX151" s="38">
        <f t="shared" si="40"/>
        <v>51</v>
      </c>
      <c r="AY151" s="38">
        <f t="shared" si="38"/>
        <v>0.23233333333333328</v>
      </c>
      <c r="AZ151" s="38">
        <f t="shared" si="41"/>
        <v>13.939999999999998</v>
      </c>
      <c r="BA151" s="39">
        <f t="shared" si="39"/>
        <v>0.27333333333333326</v>
      </c>
      <c r="BB151" s="42"/>
      <c r="BC151" s="119">
        <f t="shared" ref="BC151:BC185" si="46">AW151</f>
        <v>0.85</v>
      </c>
      <c r="BD151" s="108">
        <v>0.15</v>
      </c>
      <c r="BE151" s="120">
        <f t="shared" ref="BE151:BE185" si="47">BC151/(1-18%)</f>
        <v>1.0365853658536583</v>
      </c>
      <c r="BF151" s="121">
        <f t="shared" ref="BF151:BF185" si="48">BE151-BC151</f>
        <v>0.18658536585365837</v>
      </c>
      <c r="BG151" s="121">
        <f t="shared" ref="BG151:BG185" si="49">BF151*0.09</f>
        <v>1.6792682926829252E-2</v>
      </c>
      <c r="BH151" s="122">
        <f t="shared" ref="BH151:BH185" si="50">BF151+BG151</f>
        <v>0.20337804878048762</v>
      </c>
      <c r="BI151" s="121">
        <f t="shared" ref="BI151:BI185" si="51">BE151-BH151</f>
        <v>0.83320731707317075</v>
      </c>
      <c r="BJ151" s="123">
        <f t="shared" ref="BJ151:BJ185" si="52">(BI151-AU151)/BI151</f>
        <v>0.25868789914572443</v>
      </c>
      <c r="BK151" s="124">
        <f t="shared" ref="BK151:BK185" si="53">BJ151-BA151</f>
        <v>-1.464543418760883E-2</v>
      </c>
      <c r="BL151" s="125" t="s">
        <v>226</v>
      </c>
    </row>
    <row r="152" spans="1:64" ht="45" customHeight="1" x14ac:dyDescent="0.25">
      <c r="A152" s="30">
        <v>137</v>
      </c>
      <c r="B152" s="104" t="s">
        <v>107</v>
      </c>
      <c r="C152" s="31">
        <v>1</v>
      </c>
      <c r="D152" s="32" t="s">
        <v>157</v>
      </c>
      <c r="E152" s="31">
        <f t="shared" si="37"/>
        <v>60</v>
      </c>
      <c r="F152" s="31">
        <v>30</v>
      </c>
      <c r="G152" s="31" t="s">
        <v>226</v>
      </c>
      <c r="H152" s="31" t="s">
        <v>226</v>
      </c>
      <c r="I152" s="31" t="s">
        <v>226</v>
      </c>
      <c r="J152" s="31" t="s">
        <v>226</v>
      </c>
      <c r="K152" s="31" t="s">
        <v>226</v>
      </c>
      <c r="L152" s="31" t="s">
        <v>226</v>
      </c>
      <c r="M152" s="31" t="s">
        <v>226</v>
      </c>
      <c r="N152" s="31" t="s">
        <v>226</v>
      </c>
      <c r="O152" s="31" t="s">
        <v>226</v>
      </c>
      <c r="P152" s="31" t="s">
        <v>226</v>
      </c>
      <c r="Q152" s="31" t="s">
        <v>226</v>
      </c>
      <c r="R152" s="31" t="s">
        <v>226</v>
      </c>
      <c r="S152" s="31" t="s">
        <v>226</v>
      </c>
      <c r="T152" s="31" t="s">
        <v>226</v>
      </c>
      <c r="U152" s="31" t="s">
        <v>226</v>
      </c>
      <c r="V152" s="31" t="s">
        <v>226</v>
      </c>
      <c r="W152" s="31" t="s">
        <v>226</v>
      </c>
      <c r="X152" s="31" t="s">
        <v>226</v>
      </c>
      <c r="Y152" s="31" t="s">
        <v>226</v>
      </c>
      <c r="Z152" s="31" t="s">
        <v>226</v>
      </c>
      <c r="AA152" s="31" t="s">
        <v>226</v>
      </c>
      <c r="AB152" s="31" t="s">
        <v>226</v>
      </c>
      <c r="AC152" s="31" t="s">
        <v>226</v>
      </c>
      <c r="AD152" s="31" t="s">
        <v>226</v>
      </c>
      <c r="AE152" s="31" t="s">
        <v>226</v>
      </c>
      <c r="AF152" s="31" t="s">
        <v>226</v>
      </c>
      <c r="AG152" s="31" t="s">
        <v>226</v>
      </c>
      <c r="AH152" s="31" t="s">
        <v>226</v>
      </c>
      <c r="AI152" s="31" t="s">
        <v>226</v>
      </c>
      <c r="AJ152" s="31" t="s">
        <v>226</v>
      </c>
      <c r="AK152" s="31" t="s">
        <v>226</v>
      </c>
      <c r="AL152" s="31" t="s">
        <v>226</v>
      </c>
      <c r="AM152" s="31"/>
      <c r="AN152" s="31"/>
      <c r="AO152" s="96">
        <v>34</v>
      </c>
      <c r="AP152" s="33">
        <f t="shared" si="42"/>
        <v>0.56666666666666665</v>
      </c>
      <c r="AQ152" s="34">
        <f t="shared" si="43"/>
        <v>34</v>
      </c>
      <c r="AR152" s="35"/>
      <c r="AS152" s="36">
        <f t="shared" si="26"/>
        <v>0.56666666666666665</v>
      </c>
      <c r="AT152" s="36">
        <f t="shared" si="26"/>
        <v>34</v>
      </c>
      <c r="AU152" s="36">
        <f t="shared" si="44"/>
        <v>0.6176666666666667</v>
      </c>
      <c r="AV152" s="36">
        <f t="shared" si="45"/>
        <v>37.06</v>
      </c>
      <c r="AW152" s="37">
        <v>0.85</v>
      </c>
      <c r="AX152" s="38">
        <f t="shared" si="40"/>
        <v>51</v>
      </c>
      <c r="AY152" s="38">
        <f t="shared" si="38"/>
        <v>0.23233333333333328</v>
      </c>
      <c r="AZ152" s="38">
        <f t="shared" si="41"/>
        <v>13.939999999999998</v>
      </c>
      <c r="BA152" s="39">
        <f t="shared" si="39"/>
        <v>0.27333333333333326</v>
      </c>
      <c r="BB152" s="43"/>
      <c r="BC152" s="119">
        <f t="shared" si="46"/>
        <v>0.85</v>
      </c>
      <c r="BD152" s="108">
        <v>0.15</v>
      </c>
      <c r="BE152" s="120">
        <f t="shared" si="47"/>
        <v>1.0365853658536583</v>
      </c>
      <c r="BF152" s="121">
        <f t="shared" si="48"/>
        <v>0.18658536585365837</v>
      </c>
      <c r="BG152" s="121">
        <f t="shared" si="49"/>
        <v>1.6792682926829252E-2</v>
      </c>
      <c r="BH152" s="122">
        <f t="shared" si="50"/>
        <v>0.20337804878048762</v>
      </c>
      <c r="BI152" s="121">
        <f t="shared" si="51"/>
        <v>0.83320731707317075</v>
      </c>
      <c r="BJ152" s="123">
        <f t="shared" si="52"/>
        <v>0.25868789914572443</v>
      </c>
      <c r="BK152" s="124">
        <f t="shared" si="53"/>
        <v>-1.464543418760883E-2</v>
      </c>
      <c r="BL152" s="125" t="s">
        <v>226</v>
      </c>
    </row>
    <row r="153" spans="1:64" ht="45" customHeight="1" x14ac:dyDescent="0.25">
      <c r="A153" s="30">
        <v>138</v>
      </c>
      <c r="B153" s="106" t="s">
        <v>108</v>
      </c>
      <c r="C153" s="31">
        <v>1</v>
      </c>
      <c r="D153" s="32" t="s">
        <v>25</v>
      </c>
      <c r="E153" s="31">
        <f t="shared" si="37"/>
        <v>6</v>
      </c>
      <c r="F153" s="31" t="s">
        <v>226</v>
      </c>
      <c r="G153" s="31" t="s">
        <v>226</v>
      </c>
      <c r="H153" s="31" t="s">
        <v>226</v>
      </c>
      <c r="I153" s="31" t="s">
        <v>226</v>
      </c>
      <c r="J153" s="31" t="s">
        <v>226</v>
      </c>
      <c r="K153" s="31" t="s">
        <v>226</v>
      </c>
      <c r="L153" s="31" t="s">
        <v>226</v>
      </c>
      <c r="M153" s="31" t="s">
        <v>226</v>
      </c>
      <c r="N153" s="31" t="s">
        <v>226</v>
      </c>
      <c r="O153" s="31" t="s">
        <v>226</v>
      </c>
      <c r="P153" s="31" t="s">
        <v>226</v>
      </c>
      <c r="Q153" s="31" t="s">
        <v>226</v>
      </c>
      <c r="R153" s="31" t="s">
        <v>226</v>
      </c>
      <c r="S153" s="31" t="s">
        <v>226</v>
      </c>
      <c r="T153" s="31" t="s">
        <v>226</v>
      </c>
      <c r="U153" s="31" t="s">
        <v>226</v>
      </c>
      <c r="V153" s="31" t="s">
        <v>226</v>
      </c>
      <c r="W153" s="31" t="s">
        <v>226</v>
      </c>
      <c r="X153" s="31" t="s">
        <v>226</v>
      </c>
      <c r="Y153" s="31" t="s">
        <v>226</v>
      </c>
      <c r="Z153" s="31" t="s">
        <v>226</v>
      </c>
      <c r="AA153" s="31" t="s">
        <v>226</v>
      </c>
      <c r="AB153" s="31" t="s">
        <v>226</v>
      </c>
      <c r="AC153" s="31" t="s">
        <v>226</v>
      </c>
      <c r="AD153" s="31" t="s">
        <v>226</v>
      </c>
      <c r="AE153" s="31" t="s">
        <v>226</v>
      </c>
      <c r="AF153" s="31" t="s">
        <v>226</v>
      </c>
      <c r="AG153" s="31" t="s">
        <v>226</v>
      </c>
      <c r="AH153" s="31" t="s">
        <v>226</v>
      </c>
      <c r="AI153" s="31" t="s">
        <v>226</v>
      </c>
      <c r="AJ153" s="31" t="s">
        <v>226</v>
      </c>
      <c r="AK153" s="31" t="s">
        <v>226</v>
      </c>
      <c r="AL153" s="31" t="s">
        <v>226</v>
      </c>
      <c r="AM153" s="31"/>
      <c r="AN153" s="31"/>
      <c r="AO153" s="96">
        <v>21</v>
      </c>
      <c r="AP153" s="33">
        <f t="shared" si="42"/>
        <v>3.5</v>
      </c>
      <c r="AQ153" s="34">
        <f t="shared" si="43"/>
        <v>21</v>
      </c>
      <c r="AR153" s="35"/>
      <c r="AS153" s="36">
        <f t="shared" si="26"/>
        <v>3.5</v>
      </c>
      <c r="AT153" s="36">
        <f t="shared" si="26"/>
        <v>21</v>
      </c>
      <c r="AU153" s="36">
        <f t="shared" si="44"/>
        <v>3.8150000000000004</v>
      </c>
      <c r="AV153" s="36">
        <f t="shared" si="45"/>
        <v>22.89</v>
      </c>
      <c r="AW153" s="37">
        <v>4.95</v>
      </c>
      <c r="AX153" s="38">
        <f t="shared" si="40"/>
        <v>29.700000000000003</v>
      </c>
      <c r="AY153" s="38">
        <f t="shared" si="38"/>
        <v>1.1349999999999998</v>
      </c>
      <c r="AZ153" s="38">
        <f t="shared" si="41"/>
        <v>6.8099999999999987</v>
      </c>
      <c r="BA153" s="39">
        <f t="shared" si="39"/>
        <v>0.22929292929292924</v>
      </c>
      <c r="BB153" s="40"/>
      <c r="BC153" s="119">
        <f t="shared" si="46"/>
        <v>4.95</v>
      </c>
      <c r="BD153" s="108">
        <v>0.15</v>
      </c>
      <c r="BE153" s="120">
        <f t="shared" si="47"/>
        <v>6.0365853658536581</v>
      </c>
      <c r="BF153" s="121">
        <f t="shared" si="48"/>
        <v>1.0865853658536579</v>
      </c>
      <c r="BG153" s="121">
        <f t="shared" si="49"/>
        <v>9.7792682926829216E-2</v>
      </c>
      <c r="BH153" s="122">
        <f t="shared" si="50"/>
        <v>1.1843780487804871</v>
      </c>
      <c r="BI153" s="121">
        <f t="shared" si="51"/>
        <v>4.8522073170731712</v>
      </c>
      <c r="BJ153" s="123">
        <f t="shared" si="52"/>
        <v>0.21375989303334414</v>
      </c>
      <c r="BK153" s="124">
        <f t="shared" si="53"/>
        <v>-1.5533036259585103E-2</v>
      </c>
      <c r="BL153" s="125" t="s">
        <v>226</v>
      </c>
    </row>
    <row r="154" spans="1:64" ht="45" customHeight="1" x14ac:dyDescent="0.25">
      <c r="A154" s="30">
        <v>139</v>
      </c>
      <c r="B154" s="104" t="s">
        <v>109</v>
      </c>
      <c r="C154" s="31">
        <v>1</v>
      </c>
      <c r="D154" s="32" t="s">
        <v>73</v>
      </c>
      <c r="E154" s="31">
        <f t="shared" si="37"/>
        <v>12</v>
      </c>
      <c r="F154" s="31" t="s">
        <v>226</v>
      </c>
      <c r="G154" s="31" t="s">
        <v>226</v>
      </c>
      <c r="H154" s="31" t="s">
        <v>226</v>
      </c>
      <c r="I154" s="31" t="s">
        <v>226</v>
      </c>
      <c r="J154" s="31" t="s">
        <v>226</v>
      </c>
      <c r="K154" s="31" t="s">
        <v>226</v>
      </c>
      <c r="L154" s="31" t="s">
        <v>226</v>
      </c>
      <c r="M154" s="31" t="s">
        <v>226</v>
      </c>
      <c r="N154" s="31" t="s">
        <v>226</v>
      </c>
      <c r="O154" s="31" t="s">
        <v>226</v>
      </c>
      <c r="P154" s="31" t="s">
        <v>226</v>
      </c>
      <c r="Q154" s="31" t="s">
        <v>226</v>
      </c>
      <c r="R154" s="31" t="s">
        <v>226</v>
      </c>
      <c r="S154" s="31" t="s">
        <v>226</v>
      </c>
      <c r="T154" s="31" t="s">
        <v>226</v>
      </c>
      <c r="U154" s="31" t="s">
        <v>226</v>
      </c>
      <c r="V154" s="31" t="s">
        <v>226</v>
      </c>
      <c r="W154" s="31" t="s">
        <v>226</v>
      </c>
      <c r="X154" s="31" t="s">
        <v>226</v>
      </c>
      <c r="Y154" s="31" t="s">
        <v>226</v>
      </c>
      <c r="Z154" s="31" t="s">
        <v>226</v>
      </c>
      <c r="AA154" s="31" t="s">
        <v>226</v>
      </c>
      <c r="AB154" s="31" t="s">
        <v>226</v>
      </c>
      <c r="AC154" s="31" t="s">
        <v>226</v>
      </c>
      <c r="AD154" s="31" t="s">
        <v>226</v>
      </c>
      <c r="AE154" s="31" t="s">
        <v>226</v>
      </c>
      <c r="AF154" s="31" t="s">
        <v>226</v>
      </c>
      <c r="AG154" s="31" t="s">
        <v>226</v>
      </c>
      <c r="AH154" s="31" t="s">
        <v>226</v>
      </c>
      <c r="AI154" s="31" t="s">
        <v>226</v>
      </c>
      <c r="AJ154" s="31" t="s">
        <v>226</v>
      </c>
      <c r="AK154" s="31" t="s">
        <v>226</v>
      </c>
      <c r="AL154" s="31" t="s">
        <v>226</v>
      </c>
      <c r="AM154" s="31"/>
      <c r="AN154" s="31"/>
      <c r="AO154" s="96">
        <v>19</v>
      </c>
      <c r="AP154" s="33">
        <f t="shared" si="42"/>
        <v>1.5833333333333333</v>
      </c>
      <c r="AQ154" s="34">
        <f t="shared" si="43"/>
        <v>19</v>
      </c>
      <c r="AR154" s="35"/>
      <c r="AS154" s="36">
        <f t="shared" si="26"/>
        <v>1.5833333333333333</v>
      </c>
      <c r="AT154" s="36">
        <f t="shared" si="26"/>
        <v>19</v>
      </c>
      <c r="AU154" s="36">
        <f t="shared" si="44"/>
        <v>1.7258333333333333</v>
      </c>
      <c r="AV154" s="36">
        <f t="shared" si="45"/>
        <v>20.71</v>
      </c>
      <c r="AW154" s="37">
        <v>2.5</v>
      </c>
      <c r="AX154" s="38">
        <f t="shared" si="40"/>
        <v>30</v>
      </c>
      <c r="AY154" s="38">
        <f t="shared" si="38"/>
        <v>0.77416666666666667</v>
      </c>
      <c r="AZ154" s="38">
        <f t="shared" si="41"/>
        <v>9.2899999999999991</v>
      </c>
      <c r="BA154" s="39">
        <f t="shared" si="39"/>
        <v>0.30966666666666665</v>
      </c>
      <c r="BB154" s="43"/>
      <c r="BC154" s="119">
        <f t="shared" si="46"/>
        <v>2.5</v>
      </c>
      <c r="BD154" s="108">
        <v>0.15</v>
      </c>
      <c r="BE154" s="120">
        <f t="shared" si="47"/>
        <v>3.0487804878048776</v>
      </c>
      <c r="BF154" s="121">
        <f t="shared" si="48"/>
        <v>0.54878048780487765</v>
      </c>
      <c r="BG154" s="121">
        <f t="shared" si="49"/>
        <v>4.9390243902438985E-2</v>
      </c>
      <c r="BH154" s="122">
        <f t="shared" si="50"/>
        <v>0.59817073170731661</v>
      </c>
      <c r="BI154" s="121">
        <f t="shared" si="51"/>
        <v>2.450609756097561</v>
      </c>
      <c r="BJ154" s="123">
        <f t="shared" si="52"/>
        <v>0.29575350418843827</v>
      </c>
      <c r="BK154" s="124">
        <f t="shared" si="53"/>
        <v>-1.391316247822838E-2</v>
      </c>
      <c r="BL154" s="125" t="s">
        <v>226</v>
      </c>
    </row>
    <row r="155" spans="1:64" ht="45" customHeight="1" x14ac:dyDescent="0.25">
      <c r="A155" s="30">
        <v>140</v>
      </c>
      <c r="B155" s="103" t="s">
        <v>190</v>
      </c>
      <c r="C155" s="31">
        <v>1</v>
      </c>
      <c r="D155" s="32" t="s">
        <v>73</v>
      </c>
      <c r="E155" s="31">
        <f t="shared" si="37"/>
        <v>12</v>
      </c>
      <c r="F155" s="31" t="s">
        <v>226</v>
      </c>
      <c r="G155" s="31" t="s">
        <v>226</v>
      </c>
      <c r="H155" s="31" t="s">
        <v>226</v>
      </c>
      <c r="I155" s="31" t="s">
        <v>226</v>
      </c>
      <c r="J155" s="31" t="s">
        <v>226</v>
      </c>
      <c r="K155" s="31" t="s">
        <v>226</v>
      </c>
      <c r="L155" s="31" t="s">
        <v>226</v>
      </c>
      <c r="M155" s="31" t="s">
        <v>226</v>
      </c>
      <c r="N155" s="31" t="s">
        <v>226</v>
      </c>
      <c r="O155" s="31" t="s">
        <v>226</v>
      </c>
      <c r="P155" s="31" t="s">
        <v>226</v>
      </c>
      <c r="Q155" s="31" t="s">
        <v>226</v>
      </c>
      <c r="R155" s="31" t="s">
        <v>226</v>
      </c>
      <c r="S155" s="31" t="s">
        <v>226</v>
      </c>
      <c r="T155" s="31" t="s">
        <v>226</v>
      </c>
      <c r="U155" s="31" t="s">
        <v>226</v>
      </c>
      <c r="V155" s="31" t="s">
        <v>226</v>
      </c>
      <c r="W155" s="31" t="s">
        <v>226</v>
      </c>
      <c r="X155" s="31" t="s">
        <v>226</v>
      </c>
      <c r="Y155" s="31" t="s">
        <v>226</v>
      </c>
      <c r="Z155" s="31" t="s">
        <v>226</v>
      </c>
      <c r="AA155" s="31" t="s">
        <v>226</v>
      </c>
      <c r="AB155" s="31" t="s">
        <v>226</v>
      </c>
      <c r="AC155" s="31" t="s">
        <v>226</v>
      </c>
      <c r="AD155" s="31" t="s">
        <v>226</v>
      </c>
      <c r="AE155" s="31" t="s">
        <v>226</v>
      </c>
      <c r="AF155" s="31" t="s">
        <v>226</v>
      </c>
      <c r="AG155" s="31" t="s">
        <v>226</v>
      </c>
      <c r="AH155" s="31" t="s">
        <v>226</v>
      </c>
      <c r="AI155" s="31" t="s">
        <v>226</v>
      </c>
      <c r="AJ155" s="31" t="s">
        <v>226</v>
      </c>
      <c r="AK155" s="31" t="s">
        <v>226</v>
      </c>
      <c r="AL155" s="31" t="s">
        <v>226</v>
      </c>
      <c r="AM155" s="31"/>
      <c r="AN155" s="31"/>
      <c r="AO155" s="96">
        <v>19</v>
      </c>
      <c r="AP155" s="33">
        <f t="shared" si="42"/>
        <v>1.5833333333333333</v>
      </c>
      <c r="AQ155" s="34">
        <f t="shared" si="43"/>
        <v>19</v>
      </c>
      <c r="AR155" s="35"/>
      <c r="AS155" s="36">
        <f t="shared" si="26"/>
        <v>1.5833333333333333</v>
      </c>
      <c r="AT155" s="36">
        <f t="shared" si="26"/>
        <v>19</v>
      </c>
      <c r="AU155" s="36">
        <f t="shared" si="44"/>
        <v>1.7258333333333333</v>
      </c>
      <c r="AV155" s="36">
        <f t="shared" si="45"/>
        <v>20.71</v>
      </c>
      <c r="AW155" s="37"/>
      <c r="AX155" s="38">
        <f t="shared" si="40"/>
        <v>0</v>
      </c>
      <c r="AY155" s="38">
        <f t="shared" si="38"/>
        <v>-1.7258333333333333</v>
      </c>
      <c r="AZ155" s="38">
        <f t="shared" si="41"/>
        <v>-20.71</v>
      </c>
      <c r="BA155" s="39" t="e">
        <f t="shared" si="39"/>
        <v>#DIV/0!</v>
      </c>
      <c r="BB155" s="43"/>
      <c r="BC155" s="119">
        <f t="shared" si="46"/>
        <v>0</v>
      </c>
      <c r="BD155" s="108">
        <v>0.15</v>
      </c>
      <c r="BE155" s="120">
        <f t="shared" si="47"/>
        <v>0</v>
      </c>
      <c r="BF155" s="121">
        <f t="shared" si="48"/>
        <v>0</v>
      </c>
      <c r="BG155" s="121">
        <f t="shared" si="49"/>
        <v>0</v>
      </c>
      <c r="BH155" s="122">
        <f t="shared" si="50"/>
        <v>0</v>
      </c>
      <c r="BI155" s="121">
        <f t="shared" si="51"/>
        <v>0</v>
      </c>
      <c r="BJ155" s="123" t="e">
        <f t="shared" si="52"/>
        <v>#DIV/0!</v>
      </c>
      <c r="BK155" s="124" t="e">
        <f t="shared" si="53"/>
        <v>#DIV/0!</v>
      </c>
      <c r="BL155" s="125" t="s">
        <v>226</v>
      </c>
    </row>
    <row r="156" spans="1:64" ht="45" customHeight="1" x14ac:dyDescent="0.25">
      <c r="A156" s="30">
        <v>141</v>
      </c>
      <c r="B156" s="104" t="s">
        <v>191</v>
      </c>
      <c r="C156" s="31">
        <v>1</v>
      </c>
      <c r="D156" s="32" t="s">
        <v>73</v>
      </c>
      <c r="E156" s="31">
        <f t="shared" si="37"/>
        <v>12</v>
      </c>
      <c r="F156" s="31" t="s">
        <v>226</v>
      </c>
      <c r="G156" s="31" t="s">
        <v>226</v>
      </c>
      <c r="H156" s="31" t="s">
        <v>226</v>
      </c>
      <c r="I156" s="31" t="s">
        <v>226</v>
      </c>
      <c r="J156" s="31" t="s">
        <v>226</v>
      </c>
      <c r="K156" s="31" t="s">
        <v>226</v>
      </c>
      <c r="L156" s="31" t="s">
        <v>226</v>
      </c>
      <c r="M156" s="31" t="s">
        <v>226</v>
      </c>
      <c r="N156" s="31" t="s">
        <v>226</v>
      </c>
      <c r="O156" s="31" t="s">
        <v>226</v>
      </c>
      <c r="P156" s="31" t="s">
        <v>226</v>
      </c>
      <c r="Q156" s="31" t="s">
        <v>226</v>
      </c>
      <c r="R156" s="31" t="s">
        <v>226</v>
      </c>
      <c r="S156" s="31" t="s">
        <v>226</v>
      </c>
      <c r="T156" s="31" t="s">
        <v>226</v>
      </c>
      <c r="U156" s="31" t="s">
        <v>226</v>
      </c>
      <c r="V156" s="31" t="s">
        <v>226</v>
      </c>
      <c r="W156" s="31" t="s">
        <v>226</v>
      </c>
      <c r="X156" s="31" t="s">
        <v>226</v>
      </c>
      <c r="Y156" s="31" t="s">
        <v>226</v>
      </c>
      <c r="Z156" s="31" t="s">
        <v>226</v>
      </c>
      <c r="AA156" s="31" t="s">
        <v>226</v>
      </c>
      <c r="AB156" s="31" t="s">
        <v>226</v>
      </c>
      <c r="AC156" s="31" t="s">
        <v>226</v>
      </c>
      <c r="AD156" s="31" t="s">
        <v>226</v>
      </c>
      <c r="AE156" s="96">
        <v>19.5</v>
      </c>
      <c r="AF156" s="31" t="s">
        <v>226</v>
      </c>
      <c r="AG156" s="31" t="s">
        <v>226</v>
      </c>
      <c r="AH156" s="31">
        <v>19</v>
      </c>
      <c r="AI156" s="31" t="s">
        <v>226</v>
      </c>
      <c r="AJ156" s="31" t="s">
        <v>226</v>
      </c>
      <c r="AK156" s="31" t="s">
        <v>226</v>
      </c>
      <c r="AL156" s="31" t="s">
        <v>226</v>
      </c>
      <c r="AM156" s="31"/>
      <c r="AN156" s="31"/>
      <c r="AO156" s="96">
        <v>19.5</v>
      </c>
      <c r="AP156" s="33">
        <f t="shared" si="42"/>
        <v>1.625</v>
      </c>
      <c r="AQ156" s="34">
        <f t="shared" si="43"/>
        <v>19.5</v>
      </c>
      <c r="AR156" s="35"/>
      <c r="AS156" s="36">
        <f t="shared" si="26"/>
        <v>1.625</v>
      </c>
      <c r="AT156" s="36">
        <f t="shared" si="26"/>
        <v>19.5</v>
      </c>
      <c r="AU156" s="36">
        <f t="shared" si="44"/>
        <v>1.7712500000000002</v>
      </c>
      <c r="AV156" s="36">
        <f t="shared" si="45"/>
        <v>21.255000000000003</v>
      </c>
      <c r="AW156" s="37"/>
      <c r="AX156" s="38">
        <f t="shared" si="40"/>
        <v>0</v>
      </c>
      <c r="AY156" s="38">
        <f t="shared" si="38"/>
        <v>-1.7712500000000002</v>
      </c>
      <c r="AZ156" s="38">
        <f t="shared" si="41"/>
        <v>-21.255000000000003</v>
      </c>
      <c r="BA156" s="39" t="e">
        <f t="shared" si="39"/>
        <v>#DIV/0!</v>
      </c>
      <c r="BB156" s="43"/>
      <c r="BC156" s="119">
        <f t="shared" si="46"/>
        <v>0</v>
      </c>
      <c r="BD156" s="108">
        <v>0.15</v>
      </c>
      <c r="BE156" s="120">
        <f t="shared" si="47"/>
        <v>0</v>
      </c>
      <c r="BF156" s="121">
        <f t="shared" si="48"/>
        <v>0</v>
      </c>
      <c r="BG156" s="121">
        <f t="shared" si="49"/>
        <v>0</v>
      </c>
      <c r="BH156" s="122">
        <f t="shared" si="50"/>
        <v>0</v>
      </c>
      <c r="BI156" s="121">
        <f t="shared" si="51"/>
        <v>0</v>
      </c>
      <c r="BJ156" s="123" t="e">
        <f t="shared" si="52"/>
        <v>#DIV/0!</v>
      </c>
      <c r="BK156" s="124" t="e">
        <f t="shared" si="53"/>
        <v>#DIV/0!</v>
      </c>
      <c r="BL156" s="125" t="s">
        <v>226</v>
      </c>
    </row>
    <row r="157" spans="1:64" ht="45" customHeight="1" x14ac:dyDescent="0.25">
      <c r="A157" s="30">
        <v>142</v>
      </c>
      <c r="B157" s="103" t="s">
        <v>110</v>
      </c>
      <c r="C157" s="31">
        <v>1</v>
      </c>
      <c r="D157" s="32" t="s">
        <v>73</v>
      </c>
      <c r="E157" s="31">
        <f t="shared" si="37"/>
        <v>12</v>
      </c>
      <c r="F157" s="31" t="s">
        <v>226</v>
      </c>
      <c r="G157" s="31" t="s">
        <v>226</v>
      </c>
      <c r="H157" s="31" t="s">
        <v>226</v>
      </c>
      <c r="I157" s="31" t="s">
        <v>226</v>
      </c>
      <c r="J157" s="31" t="s">
        <v>226</v>
      </c>
      <c r="K157" s="31" t="s">
        <v>226</v>
      </c>
      <c r="L157" s="31" t="s">
        <v>226</v>
      </c>
      <c r="M157" s="31" t="s">
        <v>226</v>
      </c>
      <c r="N157" s="31" t="s">
        <v>226</v>
      </c>
      <c r="O157" s="31" t="s">
        <v>226</v>
      </c>
      <c r="P157" s="31" t="s">
        <v>226</v>
      </c>
      <c r="Q157" s="31" t="s">
        <v>226</v>
      </c>
      <c r="R157" s="31" t="s">
        <v>226</v>
      </c>
      <c r="S157" s="31" t="s">
        <v>226</v>
      </c>
      <c r="T157" s="31" t="s">
        <v>226</v>
      </c>
      <c r="U157" s="31" t="s">
        <v>226</v>
      </c>
      <c r="V157" s="31" t="s">
        <v>226</v>
      </c>
      <c r="W157" s="31" t="s">
        <v>226</v>
      </c>
      <c r="X157" s="31" t="s">
        <v>226</v>
      </c>
      <c r="Y157" s="31" t="s">
        <v>226</v>
      </c>
      <c r="Z157" s="31" t="s">
        <v>226</v>
      </c>
      <c r="AA157" s="31" t="s">
        <v>226</v>
      </c>
      <c r="AB157" s="31" t="s">
        <v>226</v>
      </c>
      <c r="AC157" s="31" t="s">
        <v>226</v>
      </c>
      <c r="AD157" s="31" t="s">
        <v>226</v>
      </c>
      <c r="AE157" s="31" t="s">
        <v>226</v>
      </c>
      <c r="AF157" s="31" t="s">
        <v>226</v>
      </c>
      <c r="AG157" s="31" t="s">
        <v>226</v>
      </c>
      <c r="AH157" s="31" t="s">
        <v>226</v>
      </c>
      <c r="AI157" s="31" t="s">
        <v>226</v>
      </c>
      <c r="AJ157" s="31" t="s">
        <v>226</v>
      </c>
      <c r="AK157" s="31" t="s">
        <v>226</v>
      </c>
      <c r="AL157" s="31" t="s">
        <v>226</v>
      </c>
      <c r="AM157" s="31"/>
      <c r="AN157" s="31"/>
      <c r="AO157" s="96">
        <v>19</v>
      </c>
      <c r="AP157" s="33">
        <f t="shared" si="42"/>
        <v>1.5833333333333333</v>
      </c>
      <c r="AQ157" s="34">
        <f t="shared" si="43"/>
        <v>19</v>
      </c>
      <c r="AR157" s="35"/>
      <c r="AS157" s="36">
        <f t="shared" si="26"/>
        <v>1.5833333333333333</v>
      </c>
      <c r="AT157" s="36">
        <f t="shared" si="26"/>
        <v>19</v>
      </c>
      <c r="AU157" s="36">
        <f>AS157*(1+$AV$189+9%)</f>
        <v>1.7258333333333333</v>
      </c>
      <c r="AV157" s="36">
        <f t="shared" si="45"/>
        <v>20.71</v>
      </c>
      <c r="AW157" s="37">
        <v>2.5</v>
      </c>
      <c r="AX157" s="38">
        <f t="shared" si="40"/>
        <v>30</v>
      </c>
      <c r="AY157" s="38">
        <f t="shared" si="38"/>
        <v>0.77416666666666667</v>
      </c>
      <c r="AZ157" s="38">
        <f t="shared" si="41"/>
        <v>9.2899999999999991</v>
      </c>
      <c r="BA157" s="39">
        <f t="shared" si="39"/>
        <v>0.30966666666666665</v>
      </c>
      <c r="BB157" s="43"/>
      <c r="BC157" s="119">
        <f t="shared" si="46"/>
        <v>2.5</v>
      </c>
      <c r="BD157" s="108">
        <v>0.15</v>
      </c>
      <c r="BE157" s="120">
        <f t="shared" si="47"/>
        <v>3.0487804878048776</v>
      </c>
      <c r="BF157" s="121">
        <f t="shared" si="48"/>
        <v>0.54878048780487765</v>
      </c>
      <c r="BG157" s="121">
        <f t="shared" si="49"/>
        <v>4.9390243902438985E-2</v>
      </c>
      <c r="BH157" s="122">
        <f t="shared" si="50"/>
        <v>0.59817073170731661</v>
      </c>
      <c r="BI157" s="121">
        <f t="shared" si="51"/>
        <v>2.450609756097561</v>
      </c>
      <c r="BJ157" s="123">
        <f t="shared" si="52"/>
        <v>0.29575350418843827</v>
      </c>
      <c r="BK157" s="124">
        <f t="shared" si="53"/>
        <v>-1.391316247822838E-2</v>
      </c>
      <c r="BL157" s="125" t="s">
        <v>226</v>
      </c>
    </row>
    <row r="158" spans="1:64" ht="45" customHeight="1" x14ac:dyDescent="0.25">
      <c r="A158" s="30">
        <v>143</v>
      </c>
      <c r="B158" s="100" t="s">
        <v>112</v>
      </c>
      <c r="C158" s="31">
        <v>1</v>
      </c>
      <c r="D158" s="32" t="s">
        <v>141</v>
      </c>
      <c r="E158" s="31">
        <f t="shared" si="37"/>
        <v>20</v>
      </c>
      <c r="F158" s="31" t="s">
        <v>226</v>
      </c>
      <c r="G158" s="31" t="s">
        <v>226</v>
      </c>
      <c r="H158" s="31" t="s">
        <v>226</v>
      </c>
      <c r="I158" s="31" t="s">
        <v>226</v>
      </c>
      <c r="J158" s="31" t="s">
        <v>226</v>
      </c>
      <c r="K158" s="31" t="s">
        <v>226</v>
      </c>
      <c r="L158" s="31" t="s">
        <v>226</v>
      </c>
      <c r="M158" s="31" t="s">
        <v>226</v>
      </c>
      <c r="N158" s="31" t="s">
        <v>226</v>
      </c>
      <c r="O158" s="31" t="s">
        <v>226</v>
      </c>
      <c r="P158" s="31" t="s">
        <v>226</v>
      </c>
      <c r="Q158" s="31" t="s">
        <v>226</v>
      </c>
      <c r="R158" s="31" t="s">
        <v>226</v>
      </c>
      <c r="S158" s="31" t="s">
        <v>226</v>
      </c>
      <c r="T158" s="31" t="s">
        <v>226</v>
      </c>
      <c r="U158" s="31" t="s">
        <v>226</v>
      </c>
      <c r="V158" s="31" t="s">
        <v>226</v>
      </c>
      <c r="W158" s="31" t="s">
        <v>226</v>
      </c>
      <c r="X158" s="31" t="s">
        <v>226</v>
      </c>
      <c r="Y158" s="31" t="s">
        <v>226</v>
      </c>
      <c r="Z158" s="31" t="s">
        <v>226</v>
      </c>
      <c r="AA158" s="31" t="s">
        <v>226</v>
      </c>
      <c r="AB158" s="31" t="s">
        <v>226</v>
      </c>
      <c r="AC158" s="31" t="s">
        <v>226</v>
      </c>
      <c r="AD158" s="31" t="s">
        <v>226</v>
      </c>
      <c r="AE158" s="31" t="s">
        <v>226</v>
      </c>
      <c r="AF158" s="31" t="s">
        <v>226</v>
      </c>
      <c r="AG158" s="31" t="s">
        <v>226</v>
      </c>
      <c r="AH158" s="31" t="s">
        <v>226</v>
      </c>
      <c r="AI158" s="31" t="s">
        <v>226</v>
      </c>
      <c r="AJ158" s="31" t="s">
        <v>226</v>
      </c>
      <c r="AK158" s="31" t="s">
        <v>226</v>
      </c>
      <c r="AL158" s="31" t="s">
        <v>226</v>
      </c>
      <c r="AM158" s="31"/>
      <c r="AN158" s="31"/>
      <c r="AO158" s="96">
        <v>12.5</v>
      </c>
      <c r="AP158" s="33">
        <f t="shared" si="42"/>
        <v>0.625</v>
      </c>
      <c r="AQ158" s="34">
        <f t="shared" si="43"/>
        <v>12.5</v>
      </c>
      <c r="AR158" s="35"/>
      <c r="AS158" s="36">
        <f t="shared" si="26"/>
        <v>0.625</v>
      </c>
      <c r="AT158" s="36">
        <f t="shared" si="26"/>
        <v>12.5</v>
      </c>
      <c r="AU158" s="36">
        <f>AS158*(1+$AV$189+9%)</f>
        <v>0.68125000000000002</v>
      </c>
      <c r="AV158" s="36">
        <f t="shared" si="45"/>
        <v>13.625</v>
      </c>
      <c r="AW158" s="37">
        <v>1</v>
      </c>
      <c r="AX158" s="38">
        <f t="shared" si="40"/>
        <v>20</v>
      </c>
      <c r="AY158" s="38">
        <f t="shared" si="38"/>
        <v>0.31874999999999998</v>
      </c>
      <c r="AZ158" s="38">
        <f t="shared" si="41"/>
        <v>6.375</v>
      </c>
      <c r="BA158" s="39">
        <f t="shared" si="39"/>
        <v>0.31874999999999998</v>
      </c>
      <c r="BB158" s="41"/>
      <c r="BC158" s="119">
        <f t="shared" si="46"/>
        <v>1</v>
      </c>
      <c r="BD158" s="108">
        <v>0.15</v>
      </c>
      <c r="BE158" s="120">
        <f t="shared" si="47"/>
        <v>1.2195121951219512</v>
      </c>
      <c r="BF158" s="121">
        <f t="shared" si="48"/>
        <v>0.21951219512195119</v>
      </c>
      <c r="BG158" s="121">
        <f t="shared" si="49"/>
        <v>1.9756097560975606E-2</v>
      </c>
      <c r="BH158" s="122">
        <f t="shared" si="50"/>
        <v>0.23926829268292679</v>
      </c>
      <c r="BI158" s="121">
        <f t="shared" si="51"/>
        <v>0.98024390243902437</v>
      </c>
      <c r="BJ158" s="123">
        <f t="shared" si="52"/>
        <v>0.30501990544911667</v>
      </c>
      <c r="BK158" s="124">
        <f t="shared" si="53"/>
        <v>-1.3730094550883309E-2</v>
      </c>
      <c r="BL158" s="125" t="s">
        <v>226</v>
      </c>
    </row>
    <row r="159" spans="1:64" ht="45" customHeight="1" x14ac:dyDescent="0.25">
      <c r="A159" s="30">
        <v>144</v>
      </c>
      <c r="B159" s="100" t="s">
        <v>192</v>
      </c>
      <c r="C159" s="31">
        <v>1</v>
      </c>
      <c r="D159" s="32" t="s">
        <v>141</v>
      </c>
      <c r="E159" s="31">
        <f t="shared" si="37"/>
        <v>20</v>
      </c>
      <c r="F159" s="31" t="s">
        <v>226</v>
      </c>
      <c r="G159" s="31" t="s">
        <v>226</v>
      </c>
      <c r="H159" s="31" t="s">
        <v>226</v>
      </c>
      <c r="I159" s="31" t="s">
        <v>226</v>
      </c>
      <c r="J159" s="31" t="s">
        <v>226</v>
      </c>
      <c r="K159" s="31" t="s">
        <v>226</v>
      </c>
      <c r="L159" s="31" t="s">
        <v>226</v>
      </c>
      <c r="M159" s="31" t="s">
        <v>226</v>
      </c>
      <c r="N159" s="31" t="s">
        <v>226</v>
      </c>
      <c r="O159" s="31" t="s">
        <v>226</v>
      </c>
      <c r="P159" s="31" t="s">
        <v>226</v>
      </c>
      <c r="Q159" s="31" t="s">
        <v>226</v>
      </c>
      <c r="R159" s="31" t="s">
        <v>226</v>
      </c>
      <c r="S159" s="31" t="s">
        <v>226</v>
      </c>
      <c r="T159" s="31" t="s">
        <v>226</v>
      </c>
      <c r="U159" s="31" t="s">
        <v>226</v>
      </c>
      <c r="V159" s="31" t="s">
        <v>226</v>
      </c>
      <c r="W159" s="31" t="s">
        <v>226</v>
      </c>
      <c r="X159" s="31" t="s">
        <v>226</v>
      </c>
      <c r="Y159" s="31" t="s">
        <v>226</v>
      </c>
      <c r="Z159" s="31" t="s">
        <v>226</v>
      </c>
      <c r="AA159" s="31" t="s">
        <v>226</v>
      </c>
      <c r="AB159" s="31" t="s">
        <v>226</v>
      </c>
      <c r="AC159" s="31" t="s">
        <v>226</v>
      </c>
      <c r="AD159" s="31" t="s">
        <v>226</v>
      </c>
      <c r="AE159" s="31" t="s">
        <v>226</v>
      </c>
      <c r="AF159" s="31" t="s">
        <v>226</v>
      </c>
      <c r="AG159" s="31" t="s">
        <v>226</v>
      </c>
      <c r="AH159" s="31" t="s">
        <v>226</v>
      </c>
      <c r="AI159" s="31" t="s">
        <v>226</v>
      </c>
      <c r="AJ159" s="31" t="s">
        <v>226</v>
      </c>
      <c r="AK159" s="31" t="s">
        <v>226</v>
      </c>
      <c r="AL159" s="31" t="s">
        <v>226</v>
      </c>
      <c r="AM159" s="31"/>
      <c r="AN159" s="31"/>
      <c r="AO159" s="96">
        <v>12.5</v>
      </c>
      <c r="AP159" s="33">
        <f t="shared" si="42"/>
        <v>0.625</v>
      </c>
      <c r="AQ159" s="34">
        <f t="shared" si="43"/>
        <v>12.5</v>
      </c>
      <c r="AR159" s="35"/>
      <c r="AS159" s="36">
        <f t="shared" si="26"/>
        <v>0.625</v>
      </c>
      <c r="AT159" s="36">
        <f t="shared" si="26"/>
        <v>12.5</v>
      </c>
      <c r="AU159" s="36">
        <f t="shared" ref="AU159:AU185" si="54">AS159*(1+$AV$189+9%)</f>
        <v>0.68125000000000002</v>
      </c>
      <c r="AV159" s="36">
        <f t="shared" si="45"/>
        <v>13.625</v>
      </c>
      <c r="AW159" s="37">
        <v>1</v>
      </c>
      <c r="AX159" s="38">
        <f t="shared" si="40"/>
        <v>20</v>
      </c>
      <c r="AY159" s="38">
        <f t="shared" si="38"/>
        <v>0.31874999999999998</v>
      </c>
      <c r="AZ159" s="38">
        <f t="shared" si="41"/>
        <v>6.375</v>
      </c>
      <c r="BA159" s="39">
        <f t="shared" si="39"/>
        <v>0.31874999999999998</v>
      </c>
      <c r="BB159" s="42"/>
      <c r="BC159" s="119">
        <f t="shared" si="46"/>
        <v>1</v>
      </c>
      <c r="BD159" s="108">
        <v>0.15</v>
      </c>
      <c r="BE159" s="120">
        <f t="shared" si="47"/>
        <v>1.2195121951219512</v>
      </c>
      <c r="BF159" s="121">
        <f t="shared" si="48"/>
        <v>0.21951219512195119</v>
      </c>
      <c r="BG159" s="121">
        <f t="shared" si="49"/>
        <v>1.9756097560975606E-2</v>
      </c>
      <c r="BH159" s="122">
        <f t="shared" si="50"/>
        <v>0.23926829268292679</v>
      </c>
      <c r="BI159" s="121">
        <f t="shared" si="51"/>
        <v>0.98024390243902437</v>
      </c>
      <c r="BJ159" s="123">
        <f t="shared" si="52"/>
        <v>0.30501990544911667</v>
      </c>
      <c r="BK159" s="124">
        <f t="shared" si="53"/>
        <v>-1.3730094550883309E-2</v>
      </c>
      <c r="BL159" s="125" t="s">
        <v>226</v>
      </c>
    </row>
    <row r="160" spans="1:64" ht="45" customHeight="1" x14ac:dyDescent="0.25">
      <c r="A160" s="30">
        <v>145</v>
      </c>
      <c r="B160" s="100" t="s">
        <v>111</v>
      </c>
      <c r="C160" s="31">
        <v>1</v>
      </c>
      <c r="D160" s="32" t="s">
        <v>141</v>
      </c>
      <c r="E160" s="31">
        <f t="shared" si="37"/>
        <v>20</v>
      </c>
      <c r="F160" s="31" t="s">
        <v>226</v>
      </c>
      <c r="G160" s="31" t="s">
        <v>226</v>
      </c>
      <c r="H160" s="31" t="s">
        <v>226</v>
      </c>
      <c r="I160" s="31" t="s">
        <v>226</v>
      </c>
      <c r="J160" s="31" t="s">
        <v>226</v>
      </c>
      <c r="K160" s="31" t="s">
        <v>226</v>
      </c>
      <c r="L160" s="31" t="s">
        <v>226</v>
      </c>
      <c r="M160" s="31" t="s">
        <v>226</v>
      </c>
      <c r="N160" s="31" t="s">
        <v>226</v>
      </c>
      <c r="O160" s="31" t="s">
        <v>226</v>
      </c>
      <c r="P160" s="31" t="s">
        <v>226</v>
      </c>
      <c r="Q160" s="31" t="s">
        <v>226</v>
      </c>
      <c r="R160" s="31" t="s">
        <v>226</v>
      </c>
      <c r="S160" s="31" t="s">
        <v>226</v>
      </c>
      <c r="T160" s="31" t="s">
        <v>226</v>
      </c>
      <c r="U160" s="31" t="s">
        <v>226</v>
      </c>
      <c r="V160" s="31" t="s">
        <v>226</v>
      </c>
      <c r="W160" s="31" t="s">
        <v>226</v>
      </c>
      <c r="X160" s="31" t="s">
        <v>226</v>
      </c>
      <c r="Y160" s="31" t="s">
        <v>226</v>
      </c>
      <c r="Z160" s="31" t="s">
        <v>226</v>
      </c>
      <c r="AA160" s="31" t="s">
        <v>226</v>
      </c>
      <c r="AB160" s="31" t="s">
        <v>226</v>
      </c>
      <c r="AC160" s="31" t="s">
        <v>226</v>
      </c>
      <c r="AD160" s="31" t="s">
        <v>226</v>
      </c>
      <c r="AE160" s="31" t="s">
        <v>226</v>
      </c>
      <c r="AF160" s="31" t="s">
        <v>226</v>
      </c>
      <c r="AG160" s="31" t="s">
        <v>226</v>
      </c>
      <c r="AH160" s="31" t="s">
        <v>226</v>
      </c>
      <c r="AI160" s="31" t="s">
        <v>226</v>
      </c>
      <c r="AJ160" s="31" t="s">
        <v>226</v>
      </c>
      <c r="AK160" s="31" t="s">
        <v>226</v>
      </c>
      <c r="AL160" s="31" t="s">
        <v>226</v>
      </c>
      <c r="AM160" s="31"/>
      <c r="AN160" s="31"/>
      <c r="AO160" s="96">
        <v>12.5</v>
      </c>
      <c r="AP160" s="33">
        <f t="shared" si="42"/>
        <v>0.625</v>
      </c>
      <c r="AQ160" s="34">
        <f t="shared" si="43"/>
        <v>12.5</v>
      </c>
      <c r="AR160" s="35"/>
      <c r="AS160" s="36">
        <f t="shared" si="26"/>
        <v>0.625</v>
      </c>
      <c r="AT160" s="36">
        <f t="shared" si="26"/>
        <v>12.5</v>
      </c>
      <c r="AU160" s="36">
        <f t="shared" si="54"/>
        <v>0.68125000000000002</v>
      </c>
      <c r="AV160" s="36">
        <f t="shared" si="45"/>
        <v>13.625</v>
      </c>
      <c r="AW160" s="37">
        <v>1</v>
      </c>
      <c r="AX160" s="38">
        <f t="shared" si="40"/>
        <v>20</v>
      </c>
      <c r="AY160" s="38">
        <f t="shared" si="38"/>
        <v>0.31874999999999998</v>
      </c>
      <c r="AZ160" s="38">
        <f t="shared" si="41"/>
        <v>6.375</v>
      </c>
      <c r="BA160" s="39">
        <f t="shared" si="39"/>
        <v>0.31874999999999998</v>
      </c>
      <c r="BB160" s="42"/>
      <c r="BC160" s="119">
        <f t="shared" si="46"/>
        <v>1</v>
      </c>
      <c r="BD160" s="108">
        <v>0.15</v>
      </c>
      <c r="BE160" s="120">
        <f t="shared" si="47"/>
        <v>1.2195121951219512</v>
      </c>
      <c r="BF160" s="121">
        <f t="shared" si="48"/>
        <v>0.21951219512195119</v>
      </c>
      <c r="BG160" s="121">
        <f t="shared" si="49"/>
        <v>1.9756097560975606E-2</v>
      </c>
      <c r="BH160" s="122">
        <f t="shared" si="50"/>
        <v>0.23926829268292679</v>
      </c>
      <c r="BI160" s="121">
        <f t="shared" si="51"/>
        <v>0.98024390243902437</v>
      </c>
      <c r="BJ160" s="123">
        <f t="shared" si="52"/>
        <v>0.30501990544911667</v>
      </c>
      <c r="BK160" s="124">
        <f t="shared" si="53"/>
        <v>-1.3730094550883309E-2</v>
      </c>
      <c r="BL160" s="125" t="s">
        <v>226</v>
      </c>
    </row>
    <row r="161" spans="1:64" ht="45" customHeight="1" x14ac:dyDescent="0.25">
      <c r="A161" s="30">
        <v>146</v>
      </c>
      <c r="B161" s="102" t="s">
        <v>113</v>
      </c>
      <c r="C161" s="31">
        <v>1</v>
      </c>
      <c r="D161" s="32" t="s">
        <v>24</v>
      </c>
      <c r="E161" s="31">
        <f t="shared" si="37"/>
        <v>24</v>
      </c>
      <c r="F161" s="31" t="s">
        <v>226</v>
      </c>
      <c r="G161" s="31" t="s">
        <v>226</v>
      </c>
      <c r="H161" s="31" t="s">
        <v>226</v>
      </c>
      <c r="I161" s="31" t="s">
        <v>226</v>
      </c>
      <c r="J161" s="31" t="s">
        <v>226</v>
      </c>
      <c r="K161" s="31" t="s">
        <v>226</v>
      </c>
      <c r="L161" s="31" t="s">
        <v>226</v>
      </c>
      <c r="M161" s="31" t="s">
        <v>226</v>
      </c>
      <c r="N161" s="31" t="s">
        <v>226</v>
      </c>
      <c r="O161" s="31" t="s">
        <v>226</v>
      </c>
      <c r="P161" s="31" t="s">
        <v>226</v>
      </c>
      <c r="Q161" s="31" t="s">
        <v>226</v>
      </c>
      <c r="R161" s="31" t="s">
        <v>226</v>
      </c>
      <c r="S161" s="31" t="s">
        <v>226</v>
      </c>
      <c r="T161" s="31" t="s">
        <v>226</v>
      </c>
      <c r="U161" s="31" t="s">
        <v>226</v>
      </c>
      <c r="V161" s="31" t="s">
        <v>226</v>
      </c>
      <c r="W161" s="31" t="s">
        <v>226</v>
      </c>
      <c r="X161" s="31" t="s">
        <v>226</v>
      </c>
      <c r="Y161" s="31" t="s">
        <v>226</v>
      </c>
      <c r="Z161" s="31" t="s">
        <v>226</v>
      </c>
      <c r="AA161" s="31" t="s">
        <v>226</v>
      </c>
      <c r="AB161" s="31" t="s">
        <v>226</v>
      </c>
      <c r="AC161" s="31" t="s">
        <v>226</v>
      </c>
      <c r="AD161" s="31" t="s">
        <v>226</v>
      </c>
      <c r="AE161" s="31" t="s">
        <v>226</v>
      </c>
      <c r="AF161" s="31" t="s">
        <v>226</v>
      </c>
      <c r="AG161" s="31" t="s">
        <v>226</v>
      </c>
      <c r="AH161" s="31" t="s">
        <v>226</v>
      </c>
      <c r="AI161" s="31" t="s">
        <v>226</v>
      </c>
      <c r="AJ161" s="31" t="s">
        <v>226</v>
      </c>
      <c r="AK161" s="31" t="s">
        <v>226</v>
      </c>
      <c r="AL161" s="31" t="s">
        <v>226</v>
      </c>
      <c r="AM161" s="31"/>
      <c r="AN161" s="31"/>
      <c r="AO161" s="96">
        <v>22</v>
      </c>
      <c r="AP161" s="33">
        <f t="shared" si="42"/>
        <v>0.91666666666666663</v>
      </c>
      <c r="AQ161" s="34">
        <f t="shared" si="43"/>
        <v>22</v>
      </c>
      <c r="AR161" s="35"/>
      <c r="AS161" s="36">
        <f t="shared" si="26"/>
        <v>0.91666666666666663</v>
      </c>
      <c r="AT161" s="36">
        <f t="shared" si="26"/>
        <v>22</v>
      </c>
      <c r="AU161" s="36">
        <f t="shared" si="54"/>
        <v>0.99916666666666665</v>
      </c>
      <c r="AV161" s="36">
        <f t="shared" si="45"/>
        <v>23.98</v>
      </c>
      <c r="AW161" s="37">
        <v>1.5</v>
      </c>
      <c r="AX161" s="38">
        <f t="shared" si="40"/>
        <v>36</v>
      </c>
      <c r="AY161" s="38">
        <f t="shared" si="38"/>
        <v>0.50083333333333335</v>
      </c>
      <c r="AZ161" s="38">
        <f t="shared" si="41"/>
        <v>12.02</v>
      </c>
      <c r="BA161" s="39">
        <f t="shared" si="39"/>
        <v>0.3338888888888889</v>
      </c>
      <c r="BB161" s="42"/>
      <c r="BC161" s="119">
        <f t="shared" si="46"/>
        <v>1.5</v>
      </c>
      <c r="BD161" s="108">
        <v>0.15</v>
      </c>
      <c r="BE161" s="120">
        <f t="shared" si="47"/>
        <v>1.8292682926829267</v>
      </c>
      <c r="BF161" s="121">
        <f t="shared" si="48"/>
        <v>0.32926829268292668</v>
      </c>
      <c r="BG161" s="121">
        <f t="shared" si="49"/>
        <v>2.9634146341463399E-2</v>
      </c>
      <c r="BH161" s="122">
        <f t="shared" si="50"/>
        <v>0.35890243902439006</v>
      </c>
      <c r="BI161" s="121">
        <f t="shared" si="51"/>
        <v>1.4703658536585367</v>
      </c>
      <c r="BJ161" s="123">
        <f t="shared" si="52"/>
        <v>0.32046390755024751</v>
      </c>
      <c r="BK161" s="124">
        <f t="shared" si="53"/>
        <v>-1.3424981338641395E-2</v>
      </c>
      <c r="BL161" s="125" t="s">
        <v>226</v>
      </c>
    </row>
    <row r="162" spans="1:64" ht="45" customHeight="1" x14ac:dyDescent="0.25">
      <c r="A162" s="30">
        <v>147</v>
      </c>
      <c r="B162" s="102" t="s">
        <v>151</v>
      </c>
      <c r="C162" s="31">
        <v>1</v>
      </c>
      <c r="D162" s="32" t="s">
        <v>24</v>
      </c>
      <c r="E162" s="31">
        <f t="shared" si="37"/>
        <v>24</v>
      </c>
      <c r="F162" s="31" t="s">
        <v>226</v>
      </c>
      <c r="G162" s="31" t="s">
        <v>226</v>
      </c>
      <c r="H162" s="31" t="s">
        <v>226</v>
      </c>
      <c r="I162" s="31" t="s">
        <v>226</v>
      </c>
      <c r="J162" s="31" t="s">
        <v>226</v>
      </c>
      <c r="K162" s="31" t="s">
        <v>226</v>
      </c>
      <c r="L162" s="31" t="s">
        <v>226</v>
      </c>
      <c r="M162" s="31" t="s">
        <v>226</v>
      </c>
      <c r="N162" s="31" t="s">
        <v>226</v>
      </c>
      <c r="O162" s="31" t="s">
        <v>226</v>
      </c>
      <c r="P162" s="31" t="s">
        <v>226</v>
      </c>
      <c r="Q162" s="31" t="s">
        <v>226</v>
      </c>
      <c r="R162" s="31" t="s">
        <v>226</v>
      </c>
      <c r="S162" s="31" t="s">
        <v>226</v>
      </c>
      <c r="T162" s="31" t="s">
        <v>226</v>
      </c>
      <c r="U162" s="31" t="s">
        <v>226</v>
      </c>
      <c r="V162" s="31" t="s">
        <v>226</v>
      </c>
      <c r="W162" s="31" t="s">
        <v>226</v>
      </c>
      <c r="X162" s="31" t="s">
        <v>226</v>
      </c>
      <c r="Y162" s="31" t="s">
        <v>226</v>
      </c>
      <c r="Z162" s="31" t="s">
        <v>226</v>
      </c>
      <c r="AA162" s="31" t="s">
        <v>226</v>
      </c>
      <c r="AB162" s="31" t="s">
        <v>226</v>
      </c>
      <c r="AC162" s="31" t="s">
        <v>226</v>
      </c>
      <c r="AD162" s="31" t="s">
        <v>226</v>
      </c>
      <c r="AE162" s="31" t="s">
        <v>226</v>
      </c>
      <c r="AF162" s="31" t="s">
        <v>226</v>
      </c>
      <c r="AG162" s="31" t="s">
        <v>226</v>
      </c>
      <c r="AH162" s="31" t="s">
        <v>226</v>
      </c>
      <c r="AI162" s="31" t="s">
        <v>226</v>
      </c>
      <c r="AJ162" s="31" t="s">
        <v>226</v>
      </c>
      <c r="AK162" s="31" t="s">
        <v>226</v>
      </c>
      <c r="AL162" s="31" t="s">
        <v>226</v>
      </c>
      <c r="AM162" s="31"/>
      <c r="AN162" s="31"/>
      <c r="AO162" s="96">
        <v>22</v>
      </c>
      <c r="AP162" s="33">
        <f t="shared" si="42"/>
        <v>0.91666666666666663</v>
      </c>
      <c r="AQ162" s="34">
        <f t="shared" si="43"/>
        <v>22</v>
      </c>
      <c r="AR162" s="35"/>
      <c r="AS162" s="36">
        <f t="shared" si="26"/>
        <v>0.91666666666666663</v>
      </c>
      <c r="AT162" s="36">
        <f t="shared" si="26"/>
        <v>22</v>
      </c>
      <c r="AU162" s="36">
        <f t="shared" si="54"/>
        <v>0.99916666666666665</v>
      </c>
      <c r="AV162" s="36">
        <f t="shared" si="45"/>
        <v>23.98</v>
      </c>
      <c r="AW162" s="37">
        <v>1.5</v>
      </c>
      <c r="AX162" s="38">
        <f t="shared" si="40"/>
        <v>36</v>
      </c>
      <c r="AY162" s="38">
        <f t="shared" si="38"/>
        <v>0.50083333333333335</v>
      </c>
      <c r="AZ162" s="38">
        <f t="shared" si="41"/>
        <v>12.02</v>
      </c>
      <c r="BA162" s="39">
        <f t="shared" si="39"/>
        <v>0.3338888888888889</v>
      </c>
      <c r="BB162" s="42"/>
      <c r="BC162" s="119">
        <f t="shared" si="46"/>
        <v>1.5</v>
      </c>
      <c r="BD162" s="108">
        <v>0.15</v>
      </c>
      <c r="BE162" s="120">
        <f t="shared" si="47"/>
        <v>1.8292682926829267</v>
      </c>
      <c r="BF162" s="121">
        <f t="shared" si="48"/>
        <v>0.32926829268292668</v>
      </c>
      <c r="BG162" s="121">
        <f t="shared" si="49"/>
        <v>2.9634146341463399E-2</v>
      </c>
      <c r="BH162" s="122">
        <f t="shared" si="50"/>
        <v>0.35890243902439006</v>
      </c>
      <c r="BI162" s="121">
        <f t="shared" si="51"/>
        <v>1.4703658536585367</v>
      </c>
      <c r="BJ162" s="123">
        <f t="shared" si="52"/>
        <v>0.32046390755024751</v>
      </c>
      <c r="BK162" s="124">
        <f t="shared" si="53"/>
        <v>-1.3424981338641395E-2</v>
      </c>
      <c r="BL162" s="125" t="s">
        <v>226</v>
      </c>
    </row>
    <row r="163" spans="1:64" ht="45" customHeight="1" x14ac:dyDescent="0.25">
      <c r="A163" s="30">
        <v>148</v>
      </c>
      <c r="B163" s="102" t="s">
        <v>114</v>
      </c>
      <c r="C163" s="31">
        <v>1</v>
      </c>
      <c r="D163" s="32" t="s">
        <v>24</v>
      </c>
      <c r="E163" s="31">
        <f t="shared" si="37"/>
        <v>24</v>
      </c>
      <c r="F163" s="31" t="s">
        <v>226</v>
      </c>
      <c r="G163" s="31" t="s">
        <v>226</v>
      </c>
      <c r="H163" s="31" t="s">
        <v>226</v>
      </c>
      <c r="I163" s="31" t="s">
        <v>226</v>
      </c>
      <c r="J163" s="31" t="s">
        <v>226</v>
      </c>
      <c r="K163" s="31" t="s">
        <v>226</v>
      </c>
      <c r="L163" s="31" t="s">
        <v>226</v>
      </c>
      <c r="M163" s="31" t="s">
        <v>226</v>
      </c>
      <c r="N163" s="31" t="s">
        <v>226</v>
      </c>
      <c r="O163" s="31" t="s">
        <v>226</v>
      </c>
      <c r="P163" s="31" t="s">
        <v>226</v>
      </c>
      <c r="Q163" s="31" t="s">
        <v>226</v>
      </c>
      <c r="R163" s="31" t="s">
        <v>226</v>
      </c>
      <c r="S163" s="31" t="s">
        <v>226</v>
      </c>
      <c r="T163" s="31" t="s">
        <v>226</v>
      </c>
      <c r="U163" s="31" t="s">
        <v>226</v>
      </c>
      <c r="V163" s="31" t="s">
        <v>226</v>
      </c>
      <c r="W163" s="31" t="s">
        <v>226</v>
      </c>
      <c r="X163" s="31" t="s">
        <v>226</v>
      </c>
      <c r="Y163" s="31" t="s">
        <v>226</v>
      </c>
      <c r="Z163" s="31" t="s">
        <v>226</v>
      </c>
      <c r="AA163" s="31" t="s">
        <v>226</v>
      </c>
      <c r="AB163" s="31" t="s">
        <v>226</v>
      </c>
      <c r="AC163" s="31" t="s">
        <v>226</v>
      </c>
      <c r="AD163" s="31" t="s">
        <v>226</v>
      </c>
      <c r="AE163" s="31" t="s">
        <v>226</v>
      </c>
      <c r="AF163" s="31" t="s">
        <v>226</v>
      </c>
      <c r="AG163" s="31" t="s">
        <v>226</v>
      </c>
      <c r="AH163" s="31" t="s">
        <v>226</v>
      </c>
      <c r="AI163" s="31" t="s">
        <v>226</v>
      </c>
      <c r="AJ163" s="31" t="s">
        <v>226</v>
      </c>
      <c r="AK163" s="31" t="s">
        <v>226</v>
      </c>
      <c r="AL163" s="31" t="s">
        <v>226</v>
      </c>
      <c r="AM163" s="31"/>
      <c r="AN163" s="31"/>
      <c r="AO163" s="96">
        <v>22</v>
      </c>
      <c r="AP163" s="33">
        <f t="shared" si="42"/>
        <v>0.91666666666666663</v>
      </c>
      <c r="AQ163" s="34">
        <f t="shared" si="43"/>
        <v>22</v>
      </c>
      <c r="AR163" s="35"/>
      <c r="AS163" s="36">
        <f t="shared" si="26"/>
        <v>0.91666666666666663</v>
      </c>
      <c r="AT163" s="36">
        <f t="shared" si="26"/>
        <v>22</v>
      </c>
      <c r="AU163" s="36">
        <f t="shared" si="54"/>
        <v>0.99916666666666665</v>
      </c>
      <c r="AV163" s="36">
        <f t="shared" si="45"/>
        <v>23.98</v>
      </c>
      <c r="AW163" s="37">
        <v>1.5</v>
      </c>
      <c r="AX163" s="38">
        <f t="shared" si="40"/>
        <v>36</v>
      </c>
      <c r="AY163" s="38">
        <f t="shared" si="38"/>
        <v>0.50083333333333335</v>
      </c>
      <c r="AZ163" s="38">
        <f t="shared" si="41"/>
        <v>12.02</v>
      </c>
      <c r="BA163" s="39">
        <f t="shared" si="39"/>
        <v>0.3338888888888889</v>
      </c>
      <c r="BB163" s="42"/>
      <c r="BC163" s="119">
        <f t="shared" si="46"/>
        <v>1.5</v>
      </c>
      <c r="BD163" s="108">
        <v>0.15</v>
      </c>
      <c r="BE163" s="120">
        <f t="shared" si="47"/>
        <v>1.8292682926829267</v>
      </c>
      <c r="BF163" s="121">
        <f t="shared" si="48"/>
        <v>0.32926829268292668</v>
      </c>
      <c r="BG163" s="121">
        <f t="shared" si="49"/>
        <v>2.9634146341463399E-2</v>
      </c>
      <c r="BH163" s="122">
        <f t="shared" si="50"/>
        <v>0.35890243902439006</v>
      </c>
      <c r="BI163" s="121">
        <f t="shared" si="51"/>
        <v>1.4703658536585367</v>
      </c>
      <c r="BJ163" s="123">
        <f t="shared" si="52"/>
        <v>0.32046390755024751</v>
      </c>
      <c r="BK163" s="124">
        <f t="shared" si="53"/>
        <v>-1.3424981338641395E-2</v>
      </c>
      <c r="BL163" s="125" t="s">
        <v>226</v>
      </c>
    </row>
    <row r="164" spans="1:64" ht="45" customHeight="1" x14ac:dyDescent="0.25">
      <c r="A164" s="30">
        <v>149</v>
      </c>
      <c r="B164" s="103" t="s">
        <v>115</v>
      </c>
      <c r="C164" s="31">
        <v>1</v>
      </c>
      <c r="D164" s="32" t="s">
        <v>136</v>
      </c>
      <c r="E164" s="31">
        <f t="shared" si="37"/>
        <v>10</v>
      </c>
      <c r="F164" s="31" t="s">
        <v>226</v>
      </c>
      <c r="G164" s="31" t="s">
        <v>226</v>
      </c>
      <c r="H164" s="31" t="s">
        <v>226</v>
      </c>
      <c r="I164" s="31" t="s">
        <v>226</v>
      </c>
      <c r="J164" s="31" t="s">
        <v>226</v>
      </c>
      <c r="K164" s="31" t="s">
        <v>226</v>
      </c>
      <c r="L164" s="31" t="s">
        <v>226</v>
      </c>
      <c r="M164" s="31" t="s">
        <v>226</v>
      </c>
      <c r="N164" s="31" t="s">
        <v>226</v>
      </c>
      <c r="O164" s="31" t="s">
        <v>226</v>
      </c>
      <c r="P164" s="31" t="s">
        <v>226</v>
      </c>
      <c r="Q164" s="31" t="s">
        <v>226</v>
      </c>
      <c r="R164" s="31" t="s">
        <v>226</v>
      </c>
      <c r="S164" s="31" t="s">
        <v>226</v>
      </c>
      <c r="T164" s="31" t="s">
        <v>226</v>
      </c>
      <c r="U164" s="31" t="s">
        <v>226</v>
      </c>
      <c r="V164" s="31" t="s">
        <v>226</v>
      </c>
      <c r="W164" s="31" t="s">
        <v>226</v>
      </c>
      <c r="X164" s="31" t="s">
        <v>226</v>
      </c>
      <c r="Y164" s="31" t="s">
        <v>226</v>
      </c>
      <c r="Z164" s="31" t="s">
        <v>226</v>
      </c>
      <c r="AA164" s="31" t="s">
        <v>226</v>
      </c>
      <c r="AB164" s="31" t="s">
        <v>226</v>
      </c>
      <c r="AC164" s="31" t="s">
        <v>226</v>
      </c>
      <c r="AD164" s="31" t="s">
        <v>226</v>
      </c>
      <c r="AE164" s="31" t="s">
        <v>226</v>
      </c>
      <c r="AF164" s="31" t="s">
        <v>226</v>
      </c>
      <c r="AG164" s="31" t="s">
        <v>226</v>
      </c>
      <c r="AH164" s="31" t="s">
        <v>226</v>
      </c>
      <c r="AI164" s="31" t="s">
        <v>226</v>
      </c>
      <c r="AJ164" s="31" t="s">
        <v>226</v>
      </c>
      <c r="AK164" s="31" t="s">
        <v>226</v>
      </c>
      <c r="AL164" s="31" t="s">
        <v>226</v>
      </c>
      <c r="AM164" s="31"/>
      <c r="AN164" s="31"/>
      <c r="AO164" s="96">
        <v>8.5</v>
      </c>
      <c r="AP164" s="33">
        <f t="shared" si="42"/>
        <v>0.85</v>
      </c>
      <c r="AQ164" s="34">
        <f t="shared" si="43"/>
        <v>8.5</v>
      </c>
      <c r="AR164" s="35"/>
      <c r="AS164" s="36">
        <f t="shared" si="26"/>
        <v>0.85</v>
      </c>
      <c r="AT164" s="36">
        <f t="shared" si="26"/>
        <v>8.5</v>
      </c>
      <c r="AU164" s="36">
        <f t="shared" si="54"/>
        <v>0.92649999999999999</v>
      </c>
      <c r="AV164" s="36">
        <f t="shared" si="45"/>
        <v>9.2650000000000006</v>
      </c>
      <c r="AW164" s="37">
        <v>1.5</v>
      </c>
      <c r="AX164" s="38">
        <f t="shared" si="40"/>
        <v>15</v>
      </c>
      <c r="AY164" s="38">
        <f t="shared" si="38"/>
        <v>0.57350000000000001</v>
      </c>
      <c r="AZ164" s="38">
        <f t="shared" si="41"/>
        <v>5.7350000000000003</v>
      </c>
      <c r="BA164" s="39">
        <f t="shared" si="39"/>
        <v>0.38233333333333336</v>
      </c>
      <c r="BB164" s="43"/>
      <c r="BC164" s="119">
        <f t="shared" si="46"/>
        <v>1.5</v>
      </c>
      <c r="BD164" s="108">
        <v>0.15</v>
      </c>
      <c r="BE164" s="120">
        <f t="shared" si="47"/>
        <v>1.8292682926829267</v>
      </c>
      <c r="BF164" s="121">
        <f t="shared" si="48"/>
        <v>0.32926829268292668</v>
      </c>
      <c r="BG164" s="121">
        <f t="shared" si="49"/>
        <v>2.9634146341463399E-2</v>
      </c>
      <c r="BH164" s="122">
        <f t="shared" si="50"/>
        <v>0.35890243902439006</v>
      </c>
      <c r="BI164" s="121">
        <f t="shared" si="51"/>
        <v>1.4703658536585367</v>
      </c>
      <c r="BJ164" s="123">
        <f t="shared" si="52"/>
        <v>0.36988471427386582</v>
      </c>
      <c r="BK164" s="124">
        <f t="shared" si="53"/>
        <v>-1.2448619059467536E-2</v>
      </c>
      <c r="BL164" s="125">
        <v>1.5</v>
      </c>
    </row>
    <row r="165" spans="1:64" ht="45" customHeight="1" x14ac:dyDescent="0.25">
      <c r="A165" s="30">
        <v>150</v>
      </c>
      <c r="B165" s="100" t="s">
        <v>116</v>
      </c>
      <c r="C165" s="31">
        <v>1</v>
      </c>
      <c r="D165" s="32" t="s">
        <v>136</v>
      </c>
      <c r="E165" s="31">
        <f t="shared" si="37"/>
        <v>10</v>
      </c>
      <c r="F165" s="31" t="s">
        <v>226</v>
      </c>
      <c r="G165" s="31" t="s">
        <v>226</v>
      </c>
      <c r="H165" s="31" t="s">
        <v>226</v>
      </c>
      <c r="I165" s="31" t="s">
        <v>226</v>
      </c>
      <c r="J165" s="31" t="s">
        <v>226</v>
      </c>
      <c r="K165" s="31" t="s">
        <v>226</v>
      </c>
      <c r="L165" s="31" t="s">
        <v>226</v>
      </c>
      <c r="M165" s="31" t="s">
        <v>226</v>
      </c>
      <c r="N165" s="31" t="s">
        <v>226</v>
      </c>
      <c r="O165" s="31" t="s">
        <v>226</v>
      </c>
      <c r="P165" s="31" t="s">
        <v>226</v>
      </c>
      <c r="Q165" s="31" t="s">
        <v>226</v>
      </c>
      <c r="R165" s="31" t="s">
        <v>226</v>
      </c>
      <c r="S165" s="31" t="s">
        <v>226</v>
      </c>
      <c r="T165" s="31" t="s">
        <v>226</v>
      </c>
      <c r="U165" s="31" t="s">
        <v>226</v>
      </c>
      <c r="V165" s="31" t="s">
        <v>226</v>
      </c>
      <c r="W165" s="31" t="s">
        <v>226</v>
      </c>
      <c r="X165" s="31" t="s">
        <v>226</v>
      </c>
      <c r="Y165" s="31" t="s">
        <v>226</v>
      </c>
      <c r="Z165" s="31" t="s">
        <v>226</v>
      </c>
      <c r="AA165" s="31" t="s">
        <v>226</v>
      </c>
      <c r="AB165" s="31" t="s">
        <v>226</v>
      </c>
      <c r="AC165" s="31" t="s">
        <v>226</v>
      </c>
      <c r="AD165" s="31" t="s">
        <v>226</v>
      </c>
      <c r="AE165" s="31" t="s">
        <v>226</v>
      </c>
      <c r="AF165" s="31" t="s">
        <v>226</v>
      </c>
      <c r="AG165" s="31" t="s">
        <v>226</v>
      </c>
      <c r="AH165" s="31" t="s">
        <v>226</v>
      </c>
      <c r="AI165" s="31" t="s">
        <v>226</v>
      </c>
      <c r="AJ165" s="31" t="s">
        <v>226</v>
      </c>
      <c r="AK165" s="31" t="s">
        <v>226</v>
      </c>
      <c r="AL165" s="31" t="s">
        <v>226</v>
      </c>
      <c r="AM165" s="31"/>
      <c r="AN165" s="31"/>
      <c r="AO165" s="96">
        <v>8.5</v>
      </c>
      <c r="AP165" s="33">
        <f t="shared" si="42"/>
        <v>0.85</v>
      </c>
      <c r="AQ165" s="34">
        <f t="shared" si="43"/>
        <v>8.5</v>
      </c>
      <c r="AR165" s="35"/>
      <c r="AS165" s="36">
        <f t="shared" si="26"/>
        <v>0.85</v>
      </c>
      <c r="AT165" s="36">
        <f t="shared" si="26"/>
        <v>8.5</v>
      </c>
      <c r="AU165" s="36">
        <f t="shared" si="54"/>
        <v>0.92649999999999999</v>
      </c>
      <c r="AV165" s="36">
        <f t="shared" si="45"/>
        <v>9.2650000000000006</v>
      </c>
      <c r="AW165" s="37">
        <v>1.5</v>
      </c>
      <c r="AX165" s="38">
        <f t="shared" si="40"/>
        <v>15</v>
      </c>
      <c r="AY165" s="38">
        <f t="shared" si="38"/>
        <v>0.57350000000000001</v>
      </c>
      <c r="AZ165" s="38">
        <f t="shared" si="41"/>
        <v>5.7350000000000003</v>
      </c>
      <c r="BA165" s="39">
        <f t="shared" si="39"/>
        <v>0.38233333333333336</v>
      </c>
      <c r="BB165" s="40"/>
      <c r="BC165" s="119">
        <f t="shared" si="46"/>
        <v>1.5</v>
      </c>
      <c r="BD165" s="108">
        <v>0.15</v>
      </c>
      <c r="BE165" s="120">
        <f t="shared" si="47"/>
        <v>1.8292682926829267</v>
      </c>
      <c r="BF165" s="121">
        <f t="shared" si="48"/>
        <v>0.32926829268292668</v>
      </c>
      <c r="BG165" s="121">
        <f t="shared" si="49"/>
        <v>2.9634146341463399E-2</v>
      </c>
      <c r="BH165" s="122">
        <f t="shared" si="50"/>
        <v>0.35890243902439006</v>
      </c>
      <c r="BI165" s="121">
        <f t="shared" si="51"/>
        <v>1.4703658536585367</v>
      </c>
      <c r="BJ165" s="123">
        <f t="shared" si="52"/>
        <v>0.36988471427386582</v>
      </c>
      <c r="BK165" s="124">
        <f t="shared" si="53"/>
        <v>-1.2448619059467536E-2</v>
      </c>
      <c r="BL165" s="125">
        <v>1.5</v>
      </c>
    </row>
    <row r="166" spans="1:64" ht="45" customHeight="1" x14ac:dyDescent="0.25">
      <c r="A166" s="30">
        <v>151</v>
      </c>
      <c r="B166" s="100" t="s">
        <v>189</v>
      </c>
      <c r="C166" s="31">
        <v>1</v>
      </c>
      <c r="D166" s="32" t="s">
        <v>165</v>
      </c>
      <c r="E166" s="31">
        <f t="shared" si="37"/>
        <v>72</v>
      </c>
      <c r="F166" s="31" t="s">
        <v>226</v>
      </c>
      <c r="G166" s="31" t="s">
        <v>226</v>
      </c>
      <c r="H166" s="31" t="s">
        <v>226</v>
      </c>
      <c r="I166" s="31" t="s">
        <v>226</v>
      </c>
      <c r="J166" s="31" t="s">
        <v>226</v>
      </c>
      <c r="K166" s="31" t="s">
        <v>226</v>
      </c>
      <c r="L166" s="31" t="s">
        <v>226</v>
      </c>
      <c r="M166" s="31" t="s">
        <v>226</v>
      </c>
      <c r="N166" s="31" t="s">
        <v>226</v>
      </c>
      <c r="O166" s="31" t="s">
        <v>226</v>
      </c>
      <c r="P166" s="31" t="s">
        <v>226</v>
      </c>
      <c r="Q166" s="31" t="s">
        <v>226</v>
      </c>
      <c r="R166" s="31" t="s">
        <v>226</v>
      </c>
      <c r="S166" s="31" t="s">
        <v>226</v>
      </c>
      <c r="T166" s="126" t="s">
        <v>226</v>
      </c>
      <c r="U166" s="126" t="s">
        <v>226</v>
      </c>
      <c r="V166" s="126" t="s">
        <v>226</v>
      </c>
      <c r="W166" s="126" t="s">
        <v>226</v>
      </c>
      <c r="X166" s="126" t="s">
        <v>226</v>
      </c>
      <c r="Y166" s="126" t="s">
        <v>226</v>
      </c>
      <c r="Z166" s="126" t="s">
        <v>226</v>
      </c>
      <c r="AA166" s="126" t="s">
        <v>226</v>
      </c>
      <c r="AB166" s="126" t="s">
        <v>226</v>
      </c>
      <c r="AC166" s="126" t="s">
        <v>226</v>
      </c>
      <c r="AD166" s="126" t="s">
        <v>226</v>
      </c>
      <c r="AE166" s="126" t="s">
        <v>226</v>
      </c>
      <c r="AF166" s="126" t="s">
        <v>226</v>
      </c>
      <c r="AG166" s="126" t="s">
        <v>226</v>
      </c>
      <c r="AH166" s="126" t="s">
        <v>226</v>
      </c>
      <c r="AI166" s="126" t="s">
        <v>226</v>
      </c>
      <c r="AJ166" s="126" t="s">
        <v>226</v>
      </c>
      <c r="AK166" s="126" t="s">
        <v>226</v>
      </c>
      <c r="AL166" s="126" t="s">
        <v>226</v>
      </c>
      <c r="AM166" s="126"/>
      <c r="AN166" s="126"/>
      <c r="AO166" s="98">
        <v>47.9</v>
      </c>
      <c r="AP166" s="33">
        <f t="shared" si="42"/>
        <v>0.66527777777777775</v>
      </c>
      <c r="AQ166" s="34">
        <f t="shared" si="43"/>
        <v>47.9</v>
      </c>
      <c r="AR166" s="35"/>
      <c r="AS166" s="36">
        <f t="shared" si="26"/>
        <v>0.66527777777777775</v>
      </c>
      <c r="AT166" s="36">
        <f t="shared" si="26"/>
        <v>47.9</v>
      </c>
      <c r="AU166" s="36">
        <f t="shared" si="54"/>
        <v>0.72515277777777776</v>
      </c>
      <c r="AV166" s="36">
        <f t="shared" si="45"/>
        <v>52.210999999999999</v>
      </c>
      <c r="AW166" s="37"/>
      <c r="AX166" s="38">
        <f t="shared" si="40"/>
        <v>0</v>
      </c>
      <c r="AY166" s="38">
        <f t="shared" si="38"/>
        <v>-0.72515277777777776</v>
      </c>
      <c r="AZ166" s="38">
        <f t="shared" si="41"/>
        <v>-52.210999999999999</v>
      </c>
      <c r="BA166" s="39" t="e">
        <f t="shared" si="39"/>
        <v>#DIV/0!</v>
      </c>
      <c r="BB166" s="40"/>
      <c r="BC166" s="119">
        <f t="shared" si="46"/>
        <v>0</v>
      </c>
      <c r="BD166" s="108">
        <v>0.15</v>
      </c>
      <c r="BE166" s="120">
        <f t="shared" si="47"/>
        <v>0</v>
      </c>
      <c r="BF166" s="121">
        <f t="shared" si="48"/>
        <v>0</v>
      </c>
      <c r="BG166" s="121">
        <f t="shared" si="49"/>
        <v>0</v>
      </c>
      <c r="BH166" s="122">
        <f t="shared" si="50"/>
        <v>0</v>
      </c>
      <c r="BI166" s="121">
        <f t="shared" si="51"/>
        <v>0</v>
      </c>
      <c r="BJ166" s="123" t="e">
        <f t="shared" si="52"/>
        <v>#DIV/0!</v>
      </c>
      <c r="BK166" s="124" t="e">
        <f t="shared" si="53"/>
        <v>#DIV/0!</v>
      </c>
      <c r="BL166" s="125" t="s">
        <v>226</v>
      </c>
    </row>
    <row r="167" spans="1:64" ht="45" customHeight="1" x14ac:dyDescent="0.25">
      <c r="A167" s="30">
        <v>152</v>
      </c>
      <c r="B167" s="100" t="s">
        <v>210</v>
      </c>
      <c r="C167" s="31">
        <v>1</v>
      </c>
      <c r="D167" s="32" t="s">
        <v>165</v>
      </c>
      <c r="E167" s="31">
        <f t="shared" si="37"/>
        <v>72</v>
      </c>
      <c r="F167" s="31" t="s">
        <v>226</v>
      </c>
      <c r="G167" s="31" t="s">
        <v>226</v>
      </c>
      <c r="H167" s="31" t="s">
        <v>226</v>
      </c>
      <c r="I167" s="31" t="s">
        <v>226</v>
      </c>
      <c r="J167" s="31" t="s">
        <v>226</v>
      </c>
      <c r="K167" s="31" t="s">
        <v>226</v>
      </c>
      <c r="L167" s="31" t="s">
        <v>226</v>
      </c>
      <c r="M167" s="31" t="s">
        <v>226</v>
      </c>
      <c r="N167" s="31" t="s">
        <v>226</v>
      </c>
      <c r="O167" s="31" t="s">
        <v>226</v>
      </c>
      <c r="P167" s="31" t="s">
        <v>226</v>
      </c>
      <c r="Q167" s="31" t="s">
        <v>226</v>
      </c>
      <c r="R167" s="31" t="s">
        <v>226</v>
      </c>
      <c r="S167" s="31" t="s">
        <v>226</v>
      </c>
      <c r="T167" s="31" t="s">
        <v>226</v>
      </c>
      <c r="U167" s="31" t="s">
        <v>226</v>
      </c>
      <c r="V167" s="31" t="s">
        <v>226</v>
      </c>
      <c r="W167" s="31" t="s">
        <v>226</v>
      </c>
      <c r="X167" s="31" t="s">
        <v>226</v>
      </c>
      <c r="Y167" s="31" t="s">
        <v>226</v>
      </c>
      <c r="Z167" s="31" t="s">
        <v>226</v>
      </c>
      <c r="AA167" s="31" t="s">
        <v>226</v>
      </c>
      <c r="AB167" s="31" t="s">
        <v>226</v>
      </c>
      <c r="AC167" s="31" t="s">
        <v>226</v>
      </c>
      <c r="AD167" s="31" t="s">
        <v>226</v>
      </c>
      <c r="AE167" s="31" t="s">
        <v>226</v>
      </c>
      <c r="AF167" s="31" t="s">
        <v>226</v>
      </c>
      <c r="AG167" s="31" t="s">
        <v>226</v>
      </c>
      <c r="AH167" s="31" t="s">
        <v>226</v>
      </c>
      <c r="AI167" s="31" t="s">
        <v>226</v>
      </c>
      <c r="AJ167" s="31" t="s">
        <v>226</v>
      </c>
      <c r="AK167" s="31" t="s">
        <v>226</v>
      </c>
      <c r="AL167" s="31" t="s">
        <v>226</v>
      </c>
      <c r="AM167" s="31"/>
      <c r="AN167" s="31"/>
      <c r="AO167" s="96">
        <v>47.9</v>
      </c>
      <c r="AP167" s="33">
        <f t="shared" si="42"/>
        <v>0.66527777777777775</v>
      </c>
      <c r="AQ167" s="34">
        <f t="shared" si="43"/>
        <v>47.9</v>
      </c>
      <c r="AR167" s="35"/>
      <c r="AS167" s="36">
        <f t="shared" si="26"/>
        <v>0.66527777777777775</v>
      </c>
      <c r="AT167" s="36">
        <f t="shared" si="26"/>
        <v>47.9</v>
      </c>
      <c r="AU167" s="36">
        <f t="shared" si="54"/>
        <v>0.72515277777777776</v>
      </c>
      <c r="AV167" s="36">
        <f t="shared" si="45"/>
        <v>52.210999999999999</v>
      </c>
      <c r="AW167" s="37"/>
      <c r="AX167" s="38">
        <f t="shared" si="40"/>
        <v>0</v>
      </c>
      <c r="AY167" s="38">
        <f t="shared" si="38"/>
        <v>-0.72515277777777776</v>
      </c>
      <c r="AZ167" s="38">
        <f t="shared" si="41"/>
        <v>-52.210999999999999</v>
      </c>
      <c r="BA167" s="39" t="e">
        <f t="shared" si="39"/>
        <v>#DIV/0!</v>
      </c>
      <c r="BB167" s="41"/>
      <c r="BC167" s="119">
        <f t="shared" si="46"/>
        <v>0</v>
      </c>
      <c r="BD167" s="108">
        <v>0.15</v>
      </c>
      <c r="BE167" s="120">
        <f t="shared" si="47"/>
        <v>0</v>
      </c>
      <c r="BF167" s="121">
        <f t="shared" si="48"/>
        <v>0</v>
      </c>
      <c r="BG167" s="121">
        <f t="shared" si="49"/>
        <v>0</v>
      </c>
      <c r="BH167" s="122">
        <f t="shared" si="50"/>
        <v>0</v>
      </c>
      <c r="BI167" s="121">
        <f t="shared" si="51"/>
        <v>0</v>
      </c>
      <c r="BJ167" s="123" t="e">
        <f t="shared" si="52"/>
        <v>#DIV/0!</v>
      </c>
      <c r="BK167" s="124" t="e">
        <f t="shared" si="53"/>
        <v>#DIV/0!</v>
      </c>
      <c r="BL167" s="125" t="s">
        <v>226</v>
      </c>
    </row>
    <row r="168" spans="1:64" ht="45" customHeight="1" x14ac:dyDescent="0.25">
      <c r="A168" s="30">
        <v>153</v>
      </c>
      <c r="B168" s="100" t="s">
        <v>117</v>
      </c>
      <c r="C168" s="31">
        <v>1</v>
      </c>
      <c r="D168" s="32" t="s">
        <v>165</v>
      </c>
      <c r="E168" s="31">
        <f t="shared" si="37"/>
        <v>72</v>
      </c>
      <c r="F168" s="31" t="s">
        <v>226</v>
      </c>
      <c r="G168" s="31" t="s">
        <v>226</v>
      </c>
      <c r="H168" s="31" t="s">
        <v>226</v>
      </c>
      <c r="I168" s="31" t="s">
        <v>226</v>
      </c>
      <c r="J168" s="31" t="s">
        <v>226</v>
      </c>
      <c r="K168" s="31" t="s">
        <v>226</v>
      </c>
      <c r="L168" s="31" t="s">
        <v>226</v>
      </c>
      <c r="M168" s="31" t="s">
        <v>226</v>
      </c>
      <c r="N168" s="31" t="s">
        <v>226</v>
      </c>
      <c r="O168" s="31" t="s">
        <v>226</v>
      </c>
      <c r="P168" s="31" t="s">
        <v>226</v>
      </c>
      <c r="Q168" s="31" t="s">
        <v>226</v>
      </c>
      <c r="R168" s="31" t="s">
        <v>226</v>
      </c>
      <c r="S168" s="31" t="s">
        <v>226</v>
      </c>
      <c r="T168" s="31" t="s">
        <v>226</v>
      </c>
      <c r="U168" s="31" t="s">
        <v>226</v>
      </c>
      <c r="V168" s="31" t="s">
        <v>226</v>
      </c>
      <c r="W168" s="31" t="s">
        <v>226</v>
      </c>
      <c r="X168" s="31" t="s">
        <v>226</v>
      </c>
      <c r="Y168" s="31" t="s">
        <v>226</v>
      </c>
      <c r="Z168" s="31" t="s">
        <v>226</v>
      </c>
      <c r="AA168" s="31" t="s">
        <v>226</v>
      </c>
      <c r="AB168" s="31" t="s">
        <v>226</v>
      </c>
      <c r="AC168" s="31" t="s">
        <v>226</v>
      </c>
      <c r="AD168" s="31" t="s">
        <v>226</v>
      </c>
      <c r="AE168" s="31" t="s">
        <v>226</v>
      </c>
      <c r="AF168" s="31" t="s">
        <v>226</v>
      </c>
      <c r="AG168" s="31" t="s">
        <v>226</v>
      </c>
      <c r="AH168" s="31" t="s">
        <v>226</v>
      </c>
      <c r="AI168" s="31" t="s">
        <v>226</v>
      </c>
      <c r="AJ168" s="31" t="s">
        <v>226</v>
      </c>
      <c r="AK168" s="31" t="s">
        <v>226</v>
      </c>
      <c r="AL168" s="31" t="s">
        <v>226</v>
      </c>
      <c r="AM168" s="31"/>
      <c r="AN168" s="31"/>
      <c r="AO168" s="96">
        <v>47.9</v>
      </c>
      <c r="AP168" s="33">
        <f t="shared" si="42"/>
        <v>0.66527777777777775</v>
      </c>
      <c r="AQ168" s="34">
        <f t="shared" si="43"/>
        <v>47.9</v>
      </c>
      <c r="AR168" s="35"/>
      <c r="AS168" s="36">
        <f t="shared" si="26"/>
        <v>0.66527777777777775</v>
      </c>
      <c r="AT168" s="36">
        <f t="shared" si="26"/>
        <v>47.9</v>
      </c>
      <c r="AU168" s="36">
        <f t="shared" si="54"/>
        <v>0.72515277777777776</v>
      </c>
      <c r="AV168" s="36">
        <f t="shared" si="45"/>
        <v>52.210999999999999</v>
      </c>
      <c r="AW168" s="37"/>
      <c r="AX168" s="38">
        <f t="shared" si="40"/>
        <v>0</v>
      </c>
      <c r="AY168" s="38">
        <f t="shared" si="38"/>
        <v>-0.72515277777777776</v>
      </c>
      <c r="AZ168" s="38">
        <f t="shared" si="41"/>
        <v>-52.210999999999999</v>
      </c>
      <c r="BA168" s="39" t="e">
        <f t="shared" si="39"/>
        <v>#DIV/0!</v>
      </c>
      <c r="BB168" s="41"/>
      <c r="BC168" s="119">
        <f t="shared" si="46"/>
        <v>0</v>
      </c>
      <c r="BD168" s="108">
        <v>0.15</v>
      </c>
      <c r="BE168" s="120">
        <f t="shared" si="47"/>
        <v>0</v>
      </c>
      <c r="BF168" s="121">
        <f t="shared" si="48"/>
        <v>0</v>
      </c>
      <c r="BG168" s="121">
        <f t="shared" si="49"/>
        <v>0</v>
      </c>
      <c r="BH168" s="122">
        <f t="shared" si="50"/>
        <v>0</v>
      </c>
      <c r="BI168" s="121">
        <f t="shared" si="51"/>
        <v>0</v>
      </c>
      <c r="BJ168" s="123" t="e">
        <f t="shared" si="52"/>
        <v>#DIV/0!</v>
      </c>
      <c r="BK168" s="124" t="e">
        <f t="shared" si="53"/>
        <v>#DIV/0!</v>
      </c>
      <c r="BL168" s="125" t="s">
        <v>226</v>
      </c>
    </row>
    <row r="169" spans="1:64" ht="45" customHeight="1" x14ac:dyDescent="0.25">
      <c r="A169" s="30">
        <v>154</v>
      </c>
      <c r="B169" s="106" t="s">
        <v>118</v>
      </c>
      <c r="C169" s="31">
        <v>1</v>
      </c>
      <c r="D169" s="32" t="s">
        <v>165</v>
      </c>
      <c r="E169" s="31">
        <f t="shared" si="37"/>
        <v>72</v>
      </c>
      <c r="F169" s="31" t="s">
        <v>226</v>
      </c>
      <c r="G169" s="31" t="s">
        <v>226</v>
      </c>
      <c r="H169" s="31" t="s">
        <v>226</v>
      </c>
      <c r="I169" s="31" t="s">
        <v>226</v>
      </c>
      <c r="J169" s="31" t="s">
        <v>226</v>
      </c>
      <c r="K169" s="31" t="s">
        <v>226</v>
      </c>
      <c r="L169" s="31" t="s">
        <v>226</v>
      </c>
      <c r="M169" s="31" t="s">
        <v>226</v>
      </c>
      <c r="N169" s="31" t="s">
        <v>226</v>
      </c>
      <c r="O169" s="31" t="s">
        <v>226</v>
      </c>
      <c r="P169" s="31" t="s">
        <v>226</v>
      </c>
      <c r="Q169" s="31" t="s">
        <v>226</v>
      </c>
      <c r="R169" s="31" t="s">
        <v>226</v>
      </c>
      <c r="S169" s="31" t="s">
        <v>226</v>
      </c>
      <c r="T169" s="31" t="s">
        <v>226</v>
      </c>
      <c r="U169" s="31" t="s">
        <v>226</v>
      </c>
      <c r="V169" s="31" t="s">
        <v>226</v>
      </c>
      <c r="W169" s="31" t="s">
        <v>226</v>
      </c>
      <c r="X169" s="31" t="s">
        <v>226</v>
      </c>
      <c r="Y169" s="31" t="s">
        <v>226</v>
      </c>
      <c r="Z169" s="31" t="s">
        <v>226</v>
      </c>
      <c r="AA169" s="31" t="s">
        <v>226</v>
      </c>
      <c r="AB169" s="31" t="s">
        <v>226</v>
      </c>
      <c r="AC169" s="31" t="s">
        <v>226</v>
      </c>
      <c r="AD169" s="31" t="s">
        <v>226</v>
      </c>
      <c r="AE169" s="31" t="s">
        <v>226</v>
      </c>
      <c r="AF169" s="31" t="s">
        <v>226</v>
      </c>
      <c r="AG169" s="31" t="s">
        <v>226</v>
      </c>
      <c r="AH169" s="31" t="s">
        <v>226</v>
      </c>
      <c r="AI169" s="31" t="s">
        <v>226</v>
      </c>
      <c r="AJ169" s="31" t="s">
        <v>226</v>
      </c>
      <c r="AK169" s="31" t="s">
        <v>226</v>
      </c>
      <c r="AL169" s="31" t="s">
        <v>226</v>
      </c>
      <c r="AM169" s="31"/>
      <c r="AN169" s="31"/>
      <c r="AO169" s="96">
        <v>47.9</v>
      </c>
      <c r="AP169" s="33">
        <f t="shared" si="42"/>
        <v>0.66527777777777775</v>
      </c>
      <c r="AQ169" s="34">
        <f t="shared" si="43"/>
        <v>47.9</v>
      </c>
      <c r="AR169" s="35"/>
      <c r="AS169" s="36">
        <f t="shared" si="26"/>
        <v>0.66527777777777775</v>
      </c>
      <c r="AT169" s="36">
        <f t="shared" si="26"/>
        <v>47.9</v>
      </c>
      <c r="AU169" s="36">
        <f t="shared" si="54"/>
        <v>0.72515277777777776</v>
      </c>
      <c r="AV169" s="36">
        <f t="shared" si="45"/>
        <v>52.210999999999999</v>
      </c>
      <c r="AW169" s="37"/>
      <c r="AX169" s="38">
        <f t="shared" si="40"/>
        <v>0</v>
      </c>
      <c r="AY169" s="38">
        <f t="shared" si="38"/>
        <v>-0.72515277777777776</v>
      </c>
      <c r="AZ169" s="38">
        <f t="shared" si="41"/>
        <v>-52.210999999999999</v>
      </c>
      <c r="BA169" s="39" t="e">
        <f t="shared" si="39"/>
        <v>#DIV/0!</v>
      </c>
      <c r="BB169" s="40"/>
      <c r="BC169" s="119">
        <f t="shared" si="46"/>
        <v>0</v>
      </c>
      <c r="BD169" s="108">
        <v>0.15</v>
      </c>
      <c r="BE169" s="120">
        <f t="shared" si="47"/>
        <v>0</v>
      </c>
      <c r="BF169" s="121">
        <f t="shared" si="48"/>
        <v>0</v>
      </c>
      <c r="BG169" s="121">
        <f t="shared" si="49"/>
        <v>0</v>
      </c>
      <c r="BH169" s="122">
        <f t="shared" si="50"/>
        <v>0</v>
      </c>
      <c r="BI169" s="121">
        <f t="shared" si="51"/>
        <v>0</v>
      </c>
      <c r="BJ169" s="123" t="e">
        <f t="shared" si="52"/>
        <v>#DIV/0!</v>
      </c>
      <c r="BK169" s="124" t="e">
        <f t="shared" si="53"/>
        <v>#DIV/0!</v>
      </c>
      <c r="BL169" s="125" t="s">
        <v>226</v>
      </c>
    </row>
    <row r="170" spans="1:64" ht="45" customHeight="1" x14ac:dyDescent="0.25">
      <c r="A170" s="30">
        <v>155</v>
      </c>
      <c r="B170" s="106" t="s">
        <v>119</v>
      </c>
      <c r="C170" s="31">
        <v>1</v>
      </c>
      <c r="D170" s="32" t="s">
        <v>75</v>
      </c>
      <c r="E170" s="31">
        <f t="shared" si="37"/>
        <v>48</v>
      </c>
      <c r="F170" s="31" t="s">
        <v>226</v>
      </c>
      <c r="G170" s="31" t="s">
        <v>226</v>
      </c>
      <c r="H170" s="31" t="s">
        <v>226</v>
      </c>
      <c r="I170" s="31" t="s">
        <v>226</v>
      </c>
      <c r="J170" s="31" t="s">
        <v>226</v>
      </c>
      <c r="K170" s="31" t="s">
        <v>226</v>
      </c>
      <c r="L170" s="31" t="s">
        <v>226</v>
      </c>
      <c r="M170" s="31" t="s">
        <v>226</v>
      </c>
      <c r="N170" s="31" t="s">
        <v>226</v>
      </c>
      <c r="O170" s="31" t="s">
        <v>226</v>
      </c>
      <c r="P170" s="31" t="s">
        <v>226</v>
      </c>
      <c r="Q170" s="31" t="s">
        <v>226</v>
      </c>
      <c r="R170" s="31" t="s">
        <v>226</v>
      </c>
      <c r="S170" s="31" t="s">
        <v>226</v>
      </c>
      <c r="T170" s="31" t="s">
        <v>226</v>
      </c>
      <c r="U170" s="31" t="s">
        <v>226</v>
      </c>
      <c r="V170" s="31" t="s">
        <v>226</v>
      </c>
      <c r="W170" s="31" t="s">
        <v>226</v>
      </c>
      <c r="X170" s="31" t="s">
        <v>226</v>
      </c>
      <c r="Y170" s="31" t="s">
        <v>226</v>
      </c>
      <c r="Z170" s="31" t="s">
        <v>226</v>
      </c>
      <c r="AA170" s="31" t="s">
        <v>226</v>
      </c>
      <c r="AB170" s="31" t="s">
        <v>226</v>
      </c>
      <c r="AC170" s="31" t="s">
        <v>226</v>
      </c>
      <c r="AD170" s="31" t="s">
        <v>226</v>
      </c>
      <c r="AE170" s="31" t="s">
        <v>226</v>
      </c>
      <c r="AF170" s="31" t="s">
        <v>226</v>
      </c>
      <c r="AG170" s="31" t="s">
        <v>226</v>
      </c>
      <c r="AH170" s="31" t="s">
        <v>226</v>
      </c>
      <c r="AI170" s="31" t="s">
        <v>226</v>
      </c>
      <c r="AJ170" s="31" t="s">
        <v>226</v>
      </c>
      <c r="AK170" s="31" t="s">
        <v>226</v>
      </c>
      <c r="AL170" s="31" t="s">
        <v>226</v>
      </c>
      <c r="AM170" s="31"/>
      <c r="AN170" s="31"/>
      <c r="AO170" s="96">
        <v>33.5</v>
      </c>
      <c r="AP170" s="33">
        <f t="shared" si="42"/>
        <v>0.69791666666666663</v>
      </c>
      <c r="AQ170" s="34">
        <f t="shared" si="43"/>
        <v>33.5</v>
      </c>
      <c r="AR170" s="35"/>
      <c r="AS170" s="36">
        <f t="shared" si="26"/>
        <v>0.69791666666666663</v>
      </c>
      <c r="AT170" s="36">
        <f t="shared" si="26"/>
        <v>33.5</v>
      </c>
      <c r="AU170" s="36">
        <f t="shared" si="54"/>
        <v>0.76072916666666668</v>
      </c>
      <c r="AV170" s="36">
        <f t="shared" si="45"/>
        <v>36.515000000000001</v>
      </c>
      <c r="AW170" s="37">
        <v>1.25</v>
      </c>
      <c r="AX170" s="38">
        <f t="shared" si="40"/>
        <v>60</v>
      </c>
      <c r="AY170" s="38">
        <f t="shared" si="38"/>
        <v>0.48927083333333332</v>
      </c>
      <c r="AZ170" s="38">
        <f t="shared" si="41"/>
        <v>23.484999999999999</v>
      </c>
      <c r="BA170" s="39">
        <f t="shared" si="39"/>
        <v>0.39141666666666663</v>
      </c>
      <c r="BB170" s="41"/>
      <c r="BC170" s="119">
        <f t="shared" si="46"/>
        <v>1.25</v>
      </c>
      <c r="BD170" s="108">
        <v>0.15</v>
      </c>
      <c r="BE170" s="120">
        <f t="shared" si="47"/>
        <v>1.5243902439024388</v>
      </c>
      <c r="BF170" s="121">
        <f t="shared" si="48"/>
        <v>0.27439024390243882</v>
      </c>
      <c r="BG170" s="121">
        <f t="shared" si="49"/>
        <v>2.4695121951219492E-2</v>
      </c>
      <c r="BH170" s="122">
        <f t="shared" si="50"/>
        <v>0.2990853658536583</v>
      </c>
      <c r="BI170" s="121">
        <f t="shared" si="51"/>
        <v>1.2253048780487805</v>
      </c>
      <c r="BJ170" s="123">
        <f t="shared" si="52"/>
        <v>0.37915111553454428</v>
      </c>
      <c r="BK170" s="124">
        <f t="shared" si="53"/>
        <v>-1.2265551132122354E-2</v>
      </c>
      <c r="BL170" s="125">
        <v>1.05</v>
      </c>
    </row>
    <row r="171" spans="1:64" ht="45" customHeight="1" x14ac:dyDescent="0.25">
      <c r="A171" s="30">
        <v>156</v>
      </c>
      <c r="B171" s="100" t="s">
        <v>120</v>
      </c>
      <c r="C171" s="31">
        <v>1</v>
      </c>
      <c r="D171" s="32" t="s">
        <v>144</v>
      </c>
      <c r="E171" s="31">
        <f t="shared" si="37"/>
        <v>30</v>
      </c>
      <c r="F171" s="31" t="s">
        <v>226</v>
      </c>
      <c r="G171" s="31" t="s">
        <v>226</v>
      </c>
      <c r="H171" s="31" t="s">
        <v>226</v>
      </c>
      <c r="I171" s="31" t="s">
        <v>226</v>
      </c>
      <c r="J171" s="31" t="s">
        <v>226</v>
      </c>
      <c r="K171" s="31" t="s">
        <v>226</v>
      </c>
      <c r="L171" s="31" t="s">
        <v>226</v>
      </c>
      <c r="M171" s="31" t="s">
        <v>226</v>
      </c>
      <c r="N171" s="31" t="s">
        <v>226</v>
      </c>
      <c r="O171" s="31" t="s">
        <v>226</v>
      </c>
      <c r="P171" s="31" t="s">
        <v>226</v>
      </c>
      <c r="Q171" s="31" t="s">
        <v>226</v>
      </c>
      <c r="R171" s="31" t="s">
        <v>226</v>
      </c>
      <c r="S171" s="31" t="s">
        <v>226</v>
      </c>
      <c r="T171" s="31" t="s">
        <v>226</v>
      </c>
      <c r="U171" s="31" t="s">
        <v>226</v>
      </c>
      <c r="V171" s="31" t="s">
        <v>226</v>
      </c>
      <c r="W171" s="31" t="s">
        <v>226</v>
      </c>
      <c r="X171" s="31" t="s">
        <v>226</v>
      </c>
      <c r="Y171" s="31" t="s">
        <v>226</v>
      </c>
      <c r="Z171" s="31" t="s">
        <v>226</v>
      </c>
      <c r="AA171" s="31" t="s">
        <v>226</v>
      </c>
      <c r="AB171" s="31" t="s">
        <v>226</v>
      </c>
      <c r="AC171" s="31" t="s">
        <v>226</v>
      </c>
      <c r="AD171" s="31" t="s">
        <v>226</v>
      </c>
      <c r="AE171" s="31" t="s">
        <v>226</v>
      </c>
      <c r="AF171" s="31" t="s">
        <v>226</v>
      </c>
      <c r="AG171" s="31" t="s">
        <v>226</v>
      </c>
      <c r="AH171" s="31" t="s">
        <v>226</v>
      </c>
      <c r="AI171" s="31" t="s">
        <v>226</v>
      </c>
      <c r="AJ171" s="31" t="s">
        <v>226</v>
      </c>
      <c r="AK171" s="31" t="s">
        <v>226</v>
      </c>
      <c r="AL171" s="31" t="s">
        <v>226</v>
      </c>
      <c r="AM171" s="31"/>
      <c r="AN171" s="31"/>
      <c r="AO171" s="96">
        <v>20.8</v>
      </c>
      <c r="AP171" s="33">
        <f t="shared" si="42"/>
        <v>0.69333333333333336</v>
      </c>
      <c r="AQ171" s="34">
        <f t="shared" si="43"/>
        <v>20.8</v>
      </c>
      <c r="AR171" s="35"/>
      <c r="AS171" s="36">
        <f t="shared" si="26"/>
        <v>0.69333333333333336</v>
      </c>
      <c r="AT171" s="36">
        <f t="shared" si="26"/>
        <v>20.8</v>
      </c>
      <c r="AU171" s="36">
        <f t="shared" si="54"/>
        <v>0.75573333333333337</v>
      </c>
      <c r="AV171" s="36">
        <f t="shared" si="45"/>
        <v>22.672000000000001</v>
      </c>
      <c r="AW171" s="37">
        <v>1</v>
      </c>
      <c r="AX171" s="38">
        <f t="shared" si="40"/>
        <v>30</v>
      </c>
      <c r="AY171" s="38">
        <f t="shared" si="38"/>
        <v>0.24426666666666663</v>
      </c>
      <c r="AZ171" s="38">
        <f t="shared" si="41"/>
        <v>7.3279999999999994</v>
      </c>
      <c r="BA171" s="39">
        <f t="shared" si="39"/>
        <v>0.24426666666666663</v>
      </c>
      <c r="BB171" s="42"/>
      <c r="BC171" s="119">
        <f t="shared" si="46"/>
        <v>1</v>
      </c>
      <c r="BD171" s="108">
        <v>0.15</v>
      </c>
      <c r="BE171" s="120">
        <f t="shared" si="47"/>
        <v>1.2195121951219512</v>
      </c>
      <c r="BF171" s="121">
        <f t="shared" si="48"/>
        <v>0.21951219512195119</v>
      </c>
      <c r="BG171" s="121">
        <f t="shared" si="49"/>
        <v>1.9756097560975606E-2</v>
      </c>
      <c r="BH171" s="122">
        <f t="shared" si="50"/>
        <v>0.23926829268292679</v>
      </c>
      <c r="BI171" s="121">
        <f t="shared" si="51"/>
        <v>0.98024390243902437</v>
      </c>
      <c r="BJ171" s="123">
        <f t="shared" si="52"/>
        <v>0.2290354151115534</v>
      </c>
      <c r="BK171" s="124">
        <f t="shared" si="53"/>
        <v>-1.5231251555113234E-2</v>
      </c>
      <c r="BL171" s="125" t="s">
        <v>226</v>
      </c>
    </row>
    <row r="172" spans="1:64" ht="45" customHeight="1" x14ac:dyDescent="0.25">
      <c r="A172" s="30">
        <v>157</v>
      </c>
      <c r="B172" s="101" t="s">
        <v>121</v>
      </c>
      <c r="C172" s="31">
        <v>1</v>
      </c>
      <c r="D172" s="32" t="s">
        <v>73</v>
      </c>
      <c r="E172" s="31">
        <f t="shared" si="37"/>
        <v>12</v>
      </c>
      <c r="F172" s="31" t="s">
        <v>226</v>
      </c>
      <c r="G172" s="31" t="s">
        <v>226</v>
      </c>
      <c r="H172" s="31" t="s">
        <v>226</v>
      </c>
      <c r="I172" s="31" t="s">
        <v>226</v>
      </c>
      <c r="J172" s="31" t="s">
        <v>226</v>
      </c>
      <c r="K172" s="31" t="s">
        <v>226</v>
      </c>
      <c r="L172" s="31" t="s">
        <v>226</v>
      </c>
      <c r="M172" s="31" t="s">
        <v>226</v>
      </c>
      <c r="N172" s="31" t="s">
        <v>226</v>
      </c>
      <c r="O172" s="31" t="s">
        <v>226</v>
      </c>
      <c r="P172" s="31" t="s">
        <v>226</v>
      </c>
      <c r="Q172" s="31" t="s">
        <v>226</v>
      </c>
      <c r="R172" s="31" t="s">
        <v>226</v>
      </c>
      <c r="S172" s="31" t="s">
        <v>226</v>
      </c>
      <c r="T172" s="31" t="s">
        <v>226</v>
      </c>
      <c r="U172" s="31" t="s">
        <v>226</v>
      </c>
      <c r="V172" s="31" t="s">
        <v>226</v>
      </c>
      <c r="W172" s="31" t="s">
        <v>226</v>
      </c>
      <c r="X172" s="31" t="s">
        <v>226</v>
      </c>
      <c r="Y172" s="31" t="s">
        <v>226</v>
      </c>
      <c r="Z172" s="31" t="s">
        <v>226</v>
      </c>
      <c r="AA172" s="31" t="s">
        <v>226</v>
      </c>
      <c r="AB172" s="31" t="s">
        <v>226</v>
      </c>
      <c r="AC172" s="31" t="s">
        <v>226</v>
      </c>
      <c r="AD172" s="31" t="s">
        <v>226</v>
      </c>
      <c r="AE172" s="31" t="s">
        <v>226</v>
      </c>
      <c r="AF172" s="31" t="s">
        <v>226</v>
      </c>
      <c r="AG172" s="31" t="s">
        <v>226</v>
      </c>
      <c r="AH172" s="31" t="s">
        <v>226</v>
      </c>
      <c r="AI172" s="31" t="s">
        <v>226</v>
      </c>
      <c r="AJ172" s="31" t="s">
        <v>226</v>
      </c>
      <c r="AK172" s="31" t="s">
        <v>226</v>
      </c>
      <c r="AL172" s="31" t="s">
        <v>226</v>
      </c>
      <c r="AM172" s="31"/>
      <c r="AN172" s="31"/>
      <c r="AO172" s="96">
        <v>8.4</v>
      </c>
      <c r="AP172" s="33">
        <f t="shared" si="42"/>
        <v>0.70000000000000007</v>
      </c>
      <c r="AQ172" s="34">
        <f t="shared" si="43"/>
        <v>8.4</v>
      </c>
      <c r="AR172" s="35"/>
      <c r="AS172" s="36">
        <f t="shared" si="26"/>
        <v>0.70000000000000007</v>
      </c>
      <c r="AT172" s="36">
        <f t="shared" si="26"/>
        <v>8.4</v>
      </c>
      <c r="AU172" s="36">
        <f t="shared" si="54"/>
        <v>0.76300000000000012</v>
      </c>
      <c r="AV172" s="36">
        <f t="shared" si="45"/>
        <v>9.1560000000000024</v>
      </c>
      <c r="AW172" s="37">
        <v>1</v>
      </c>
      <c r="AX172" s="38">
        <f t="shared" si="40"/>
        <v>12</v>
      </c>
      <c r="AY172" s="38">
        <f t="shared" si="38"/>
        <v>0.23699999999999988</v>
      </c>
      <c r="AZ172" s="38">
        <f t="shared" si="41"/>
        <v>2.8439999999999985</v>
      </c>
      <c r="BA172" s="39">
        <f t="shared" si="39"/>
        <v>0.23699999999999988</v>
      </c>
      <c r="BB172" s="42"/>
      <c r="BC172" s="119">
        <f t="shared" si="46"/>
        <v>1</v>
      </c>
      <c r="BD172" s="108">
        <v>0.15</v>
      </c>
      <c r="BE172" s="120">
        <f t="shared" si="47"/>
        <v>1.2195121951219512</v>
      </c>
      <c r="BF172" s="121">
        <f t="shared" si="48"/>
        <v>0.21951219512195119</v>
      </c>
      <c r="BG172" s="121">
        <f t="shared" si="49"/>
        <v>1.9756097560975606E-2</v>
      </c>
      <c r="BH172" s="122">
        <f t="shared" si="50"/>
        <v>0.23926829268292679</v>
      </c>
      <c r="BI172" s="121">
        <f t="shared" si="51"/>
        <v>0.98024390243902437</v>
      </c>
      <c r="BJ172" s="123">
        <f t="shared" si="52"/>
        <v>0.22162229410301057</v>
      </c>
      <c r="BK172" s="124">
        <f t="shared" si="53"/>
        <v>-1.5377705896989308E-2</v>
      </c>
      <c r="BL172" s="125" t="s">
        <v>226</v>
      </c>
    </row>
    <row r="173" spans="1:64" ht="45" customHeight="1" x14ac:dyDescent="0.25">
      <c r="A173" s="30">
        <v>158</v>
      </c>
      <c r="B173" s="101" t="s">
        <v>122</v>
      </c>
      <c r="C173" s="31">
        <v>1</v>
      </c>
      <c r="D173" s="32" t="s">
        <v>73</v>
      </c>
      <c r="E173" s="31">
        <f t="shared" si="37"/>
        <v>12</v>
      </c>
      <c r="F173" s="31" t="s">
        <v>226</v>
      </c>
      <c r="G173" s="31" t="s">
        <v>226</v>
      </c>
      <c r="H173" s="31" t="s">
        <v>226</v>
      </c>
      <c r="I173" s="31" t="s">
        <v>226</v>
      </c>
      <c r="J173" s="31" t="s">
        <v>226</v>
      </c>
      <c r="K173" s="31" t="s">
        <v>226</v>
      </c>
      <c r="L173" s="31" t="s">
        <v>226</v>
      </c>
      <c r="M173" s="31" t="s">
        <v>226</v>
      </c>
      <c r="N173" s="31" t="s">
        <v>226</v>
      </c>
      <c r="O173" s="31" t="s">
        <v>226</v>
      </c>
      <c r="P173" s="31" t="s">
        <v>226</v>
      </c>
      <c r="Q173" s="31" t="s">
        <v>226</v>
      </c>
      <c r="R173" s="31" t="s">
        <v>226</v>
      </c>
      <c r="S173" s="31" t="s">
        <v>226</v>
      </c>
      <c r="T173" s="31" t="s">
        <v>226</v>
      </c>
      <c r="U173" s="31" t="s">
        <v>226</v>
      </c>
      <c r="V173" s="31" t="s">
        <v>226</v>
      </c>
      <c r="W173" s="31" t="s">
        <v>226</v>
      </c>
      <c r="X173" s="31" t="s">
        <v>226</v>
      </c>
      <c r="Y173" s="31" t="s">
        <v>226</v>
      </c>
      <c r="Z173" s="31" t="s">
        <v>226</v>
      </c>
      <c r="AA173" s="31" t="s">
        <v>226</v>
      </c>
      <c r="AB173" s="31" t="s">
        <v>226</v>
      </c>
      <c r="AC173" s="31" t="s">
        <v>226</v>
      </c>
      <c r="AD173" s="31" t="s">
        <v>226</v>
      </c>
      <c r="AE173" s="31" t="s">
        <v>226</v>
      </c>
      <c r="AF173" s="31" t="s">
        <v>226</v>
      </c>
      <c r="AG173" s="31" t="s">
        <v>226</v>
      </c>
      <c r="AH173" s="31" t="s">
        <v>226</v>
      </c>
      <c r="AI173" s="31" t="s">
        <v>226</v>
      </c>
      <c r="AJ173" s="31" t="s">
        <v>226</v>
      </c>
      <c r="AK173" s="31" t="s">
        <v>226</v>
      </c>
      <c r="AL173" s="31" t="s">
        <v>226</v>
      </c>
      <c r="AM173" s="31"/>
      <c r="AN173" s="31"/>
      <c r="AO173" s="96">
        <v>8.4</v>
      </c>
      <c r="AP173" s="33">
        <f t="shared" si="42"/>
        <v>0.70000000000000007</v>
      </c>
      <c r="AQ173" s="34">
        <f t="shared" si="43"/>
        <v>8.4</v>
      </c>
      <c r="AR173" s="35"/>
      <c r="AS173" s="36">
        <f t="shared" si="26"/>
        <v>0.70000000000000007</v>
      </c>
      <c r="AT173" s="36">
        <f t="shared" si="26"/>
        <v>8.4</v>
      </c>
      <c r="AU173" s="36">
        <f t="shared" si="54"/>
        <v>0.76300000000000012</v>
      </c>
      <c r="AV173" s="36">
        <f t="shared" si="45"/>
        <v>9.1560000000000024</v>
      </c>
      <c r="AW173" s="37">
        <v>1</v>
      </c>
      <c r="AX173" s="38">
        <f t="shared" si="40"/>
        <v>12</v>
      </c>
      <c r="AY173" s="38">
        <f t="shared" si="38"/>
        <v>0.23699999999999988</v>
      </c>
      <c r="AZ173" s="38">
        <f t="shared" si="41"/>
        <v>2.8439999999999985</v>
      </c>
      <c r="BA173" s="39">
        <f t="shared" si="39"/>
        <v>0.23699999999999988</v>
      </c>
      <c r="BB173" s="42"/>
      <c r="BC173" s="119">
        <f t="shared" si="46"/>
        <v>1</v>
      </c>
      <c r="BD173" s="108">
        <v>0.15</v>
      </c>
      <c r="BE173" s="120">
        <f t="shared" si="47"/>
        <v>1.2195121951219512</v>
      </c>
      <c r="BF173" s="121">
        <f t="shared" si="48"/>
        <v>0.21951219512195119</v>
      </c>
      <c r="BG173" s="121">
        <f t="shared" si="49"/>
        <v>1.9756097560975606E-2</v>
      </c>
      <c r="BH173" s="122">
        <f t="shared" si="50"/>
        <v>0.23926829268292679</v>
      </c>
      <c r="BI173" s="121">
        <f t="shared" si="51"/>
        <v>0.98024390243902437</v>
      </c>
      <c r="BJ173" s="123">
        <f t="shared" si="52"/>
        <v>0.22162229410301057</v>
      </c>
      <c r="BK173" s="124">
        <f t="shared" si="53"/>
        <v>-1.5377705896989308E-2</v>
      </c>
      <c r="BL173" s="125" t="s">
        <v>226</v>
      </c>
    </row>
    <row r="174" spans="1:64" ht="45" customHeight="1" x14ac:dyDescent="0.25">
      <c r="A174" s="30">
        <v>159</v>
      </c>
      <c r="B174" s="104" t="s">
        <v>123</v>
      </c>
      <c r="C174" s="31">
        <v>1</v>
      </c>
      <c r="D174" s="32" t="s">
        <v>73</v>
      </c>
      <c r="E174" s="31">
        <f t="shared" si="37"/>
        <v>12</v>
      </c>
      <c r="F174" s="31" t="s">
        <v>226</v>
      </c>
      <c r="G174" s="31" t="s">
        <v>226</v>
      </c>
      <c r="H174" s="31" t="s">
        <v>226</v>
      </c>
      <c r="I174" s="31" t="s">
        <v>226</v>
      </c>
      <c r="J174" s="31" t="s">
        <v>226</v>
      </c>
      <c r="K174" s="31" t="s">
        <v>226</v>
      </c>
      <c r="L174" s="31" t="s">
        <v>226</v>
      </c>
      <c r="M174" s="31" t="s">
        <v>226</v>
      </c>
      <c r="N174" s="31" t="s">
        <v>226</v>
      </c>
      <c r="O174" s="31" t="s">
        <v>226</v>
      </c>
      <c r="P174" s="31" t="s">
        <v>226</v>
      </c>
      <c r="Q174" s="31" t="s">
        <v>226</v>
      </c>
      <c r="R174" s="31" t="s">
        <v>226</v>
      </c>
      <c r="S174" s="31" t="s">
        <v>226</v>
      </c>
      <c r="T174" s="31" t="s">
        <v>226</v>
      </c>
      <c r="U174" s="31" t="s">
        <v>226</v>
      </c>
      <c r="V174" s="31" t="s">
        <v>226</v>
      </c>
      <c r="W174" s="31" t="s">
        <v>226</v>
      </c>
      <c r="X174" s="31" t="s">
        <v>226</v>
      </c>
      <c r="Y174" s="31" t="s">
        <v>226</v>
      </c>
      <c r="Z174" s="31" t="s">
        <v>226</v>
      </c>
      <c r="AA174" s="31" t="s">
        <v>226</v>
      </c>
      <c r="AB174" s="31" t="s">
        <v>226</v>
      </c>
      <c r="AC174" s="31" t="s">
        <v>226</v>
      </c>
      <c r="AD174" s="31" t="s">
        <v>226</v>
      </c>
      <c r="AE174" s="31" t="s">
        <v>226</v>
      </c>
      <c r="AF174" s="31" t="s">
        <v>226</v>
      </c>
      <c r="AG174" s="31" t="s">
        <v>226</v>
      </c>
      <c r="AH174" s="31" t="s">
        <v>226</v>
      </c>
      <c r="AI174" s="31" t="s">
        <v>226</v>
      </c>
      <c r="AJ174" s="31" t="s">
        <v>226</v>
      </c>
      <c r="AK174" s="31" t="s">
        <v>226</v>
      </c>
      <c r="AL174" s="31" t="s">
        <v>226</v>
      </c>
      <c r="AM174" s="31"/>
      <c r="AN174" s="31"/>
      <c r="AO174" s="96">
        <v>8.4</v>
      </c>
      <c r="AP174" s="33">
        <f t="shared" si="42"/>
        <v>0.70000000000000007</v>
      </c>
      <c r="AQ174" s="34">
        <f t="shared" si="43"/>
        <v>8.4</v>
      </c>
      <c r="AR174" s="35"/>
      <c r="AS174" s="36">
        <f t="shared" si="26"/>
        <v>0.70000000000000007</v>
      </c>
      <c r="AT174" s="36">
        <f t="shared" si="26"/>
        <v>8.4</v>
      </c>
      <c r="AU174" s="36">
        <f t="shared" si="54"/>
        <v>0.76300000000000012</v>
      </c>
      <c r="AV174" s="36">
        <f t="shared" si="45"/>
        <v>9.1560000000000024</v>
      </c>
      <c r="AW174" s="37">
        <v>1</v>
      </c>
      <c r="AX174" s="38">
        <f t="shared" si="40"/>
        <v>12</v>
      </c>
      <c r="AY174" s="38">
        <f t="shared" si="38"/>
        <v>0.23699999999999988</v>
      </c>
      <c r="AZ174" s="38">
        <f t="shared" si="41"/>
        <v>2.8439999999999985</v>
      </c>
      <c r="BA174" s="39">
        <f t="shared" si="39"/>
        <v>0.23699999999999988</v>
      </c>
      <c r="BB174" s="43"/>
      <c r="BC174" s="119">
        <f t="shared" si="46"/>
        <v>1</v>
      </c>
      <c r="BD174" s="108">
        <v>0.15</v>
      </c>
      <c r="BE174" s="120">
        <f t="shared" si="47"/>
        <v>1.2195121951219512</v>
      </c>
      <c r="BF174" s="121">
        <f t="shared" si="48"/>
        <v>0.21951219512195119</v>
      </c>
      <c r="BG174" s="121">
        <f t="shared" si="49"/>
        <v>1.9756097560975606E-2</v>
      </c>
      <c r="BH174" s="122">
        <f t="shared" si="50"/>
        <v>0.23926829268292679</v>
      </c>
      <c r="BI174" s="121">
        <f t="shared" si="51"/>
        <v>0.98024390243902437</v>
      </c>
      <c r="BJ174" s="123">
        <f t="shared" si="52"/>
        <v>0.22162229410301057</v>
      </c>
      <c r="BK174" s="124">
        <f t="shared" si="53"/>
        <v>-1.5377705896989308E-2</v>
      </c>
      <c r="BL174" s="125" t="s">
        <v>226</v>
      </c>
    </row>
    <row r="175" spans="1:64" ht="45" customHeight="1" x14ac:dyDescent="0.25">
      <c r="A175" s="30">
        <v>160</v>
      </c>
      <c r="B175" s="106" t="s">
        <v>124</v>
      </c>
      <c r="C175" s="31">
        <v>1</v>
      </c>
      <c r="D175" s="32" t="s">
        <v>73</v>
      </c>
      <c r="E175" s="31">
        <f t="shared" si="37"/>
        <v>12</v>
      </c>
      <c r="F175" s="31" t="s">
        <v>226</v>
      </c>
      <c r="G175" s="31" t="s">
        <v>226</v>
      </c>
      <c r="H175" s="31" t="s">
        <v>226</v>
      </c>
      <c r="I175" s="31" t="s">
        <v>226</v>
      </c>
      <c r="J175" s="31" t="s">
        <v>226</v>
      </c>
      <c r="K175" s="31" t="s">
        <v>226</v>
      </c>
      <c r="L175" s="31" t="s">
        <v>226</v>
      </c>
      <c r="M175" s="31" t="s">
        <v>226</v>
      </c>
      <c r="N175" s="31" t="s">
        <v>226</v>
      </c>
      <c r="O175" s="31" t="s">
        <v>226</v>
      </c>
      <c r="P175" s="31" t="s">
        <v>226</v>
      </c>
      <c r="Q175" s="31" t="s">
        <v>226</v>
      </c>
      <c r="R175" s="31" t="s">
        <v>226</v>
      </c>
      <c r="S175" s="31" t="s">
        <v>226</v>
      </c>
      <c r="T175" s="31" t="s">
        <v>226</v>
      </c>
      <c r="U175" s="31" t="s">
        <v>226</v>
      </c>
      <c r="V175" s="31" t="s">
        <v>226</v>
      </c>
      <c r="W175" s="31" t="s">
        <v>226</v>
      </c>
      <c r="X175" s="31" t="s">
        <v>226</v>
      </c>
      <c r="Y175" s="31" t="s">
        <v>226</v>
      </c>
      <c r="Z175" s="31" t="s">
        <v>226</v>
      </c>
      <c r="AA175" s="31" t="s">
        <v>226</v>
      </c>
      <c r="AB175" s="31" t="s">
        <v>226</v>
      </c>
      <c r="AC175" s="31" t="s">
        <v>226</v>
      </c>
      <c r="AD175" s="31" t="s">
        <v>226</v>
      </c>
      <c r="AE175" s="31" t="s">
        <v>226</v>
      </c>
      <c r="AF175" s="31" t="s">
        <v>226</v>
      </c>
      <c r="AG175" s="31" t="s">
        <v>226</v>
      </c>
      <c r="AH175" s="31" t="s">
        <v>226</v>
      </c>
      <c r="AI175" s="31" t="s">
        <v>226</v>
      </c>
      <c r="AJ175" s="31" t="s">
        <v>226</v>
      </c>
      <c r="AK175" s="31" t="s">
        <v>226</v>
      </c>
      <c r="AL175" s="31" t="s">
        <v>226</v>
      </c>
      <c r="AM175" s="31"/>
      <c r="AN175" s="31"/>
      <c r="AO175" s="96">
        <v>8.4</v>
      </c>
      <c r="AP175" s="33">
        <f t="shared" si="42"/>
        <v>0.70000000000000007</v>
      </c>
      <c r="AQ175" s="34">
        <f t="shared" si="43"/>
        <v>8.4</v>
      </c>
      <c r="AR175" s="35"/>
      <c r="AS175" s="36">
        <f t="shared" si="26"/>
        <v>0.70000000000000007</v>
      </c>
      <c r="AT175" s="36">
        <f t="shared" si="26"/>
        <v>8.4</v>
      </c>
      <c r="AU175" s="36">
        <f t="shared" si="54"/>
        <v>0.76300000000000012</v>
      </c>
      <c r="AV175" s="36">
        <f t="shared" si="45"/>
        <v>9.1560000000000024</v>
      </c>
      <c r="AW175" s="37">
        <v>1</v>
      </c>
      <c r="AX175" s="38">
        <f t="shared" si="40"/>
        <v>12</v>
      </c>
      <c r="AY175" s="38">
        <f t="shared" si="38"/>
        <v>0.23699999999999988</v>
      </c>
      <c r="AZ175" s="38">
        <f t="shared" si="41"/>
        <v>2.8439999999999985</v>
      </c>
      <c r="BA175" s="39">
        <f t="shared" si="39"/>
        <v>0.23699999999999988</v>
      </c>
      <c r="BB175" s="40"/>
      <c r="BC175" s="119">
        <f t="shared" si="46"/>
        <v>1</v>
      </c>
      <c r="BD175" s="108">
        <v>0.15</v>
      </c>
      <c r="BE175" s="120">
        <f t="shared" si="47"/>
        <v>1.2195121951219512</v>
      </c>
      <c r="BF175" s="121">
        <f t="shared" si="48"/>
        <v>0.21951219512195119</v>
      </c>
      <c r="BG175" s="121">
        <f t="shared" si="49"/>
        <v>1.9756097560975606E-2</v>
      </c>
      <c r="BH175" s="122">
        <f t="shared" si="50"/>
        <v>0.23926829268292679</v>
      </c>
      <c r="BI175" s="121">
        <f t="shared" si="51"/>
        <v>0.98024390243902437</v>
      </c>
      <c r="BJ175" s="123">
        <f t="shared" si="52"/>
        <v>0.22162229410301057</v>
      </c>
      <c r="BK175" s="124">
        <f t="shared" si="53"/>
        <v>-1.5377705896989308E-2</v>
      </c>
      <c r="BL175" s="125" t="s">
        <v>226</v>
      </c>
    </row>
    <row r="176" spans="1:64" ht="56.1" customHeight="1" x14ac:dyDescent="0.25">
      <c r="A176" s="30">
        <v>161</v>
      </c>
      <c r="B176" s="106" t="s">
        <v>125</v>
      </c>
      <c r="C176" s="31">
        <v>1</v>
      </c>
      <c r="D176" s="32" t="s">
        <v>73</v>
      </c>
      <c r="E176" s="31">
        <f t="shared" si="37"/>
        <v>12</v>
      </c>
      <c r="F176" s="31" t="s">
        <v>226</v>
      </c>
      <c r="G176" s="31" t="s">
        <v>226</v>
      </c>
      <c r="H176" s="31" t="s">
        <v>226</v>
      </c>
      <c r="I176" s="31" t="s">
        <v>226</v>
      </c>
      <c r="J176" s="31" t="s">
        <v>226</v>
      </c>
      <c r="K176" s="31" t="s">
        <v>226</v>
      </c>
      <c r="L176" s="31" t="s">
        <v>226</v>
      </c>
      <c r="M176" s="31" t="s">
        <v>226</v>
      </c>
      <c r="N176" s="31" t="s">
        <v>226</v>
      </c>
      <c r="O176" s="31" t="s">
        <v>226</v>
      </c>
      <c r="P176" s="31" t="s">
        <v>226</v>
      </c>
      <c r="Q176" s="31" t="s">
        <v>226</v>
      </c>
      <c r="R176" s="31" t="s">
        <v>226</v>
      </c>
      <c r="S176" s="31" t="s">
        <v>226</v>
      </c>
      <c r="T176" s="31" t="s">
        <v>226</v>
      </c>
      <c r="U176" s="31" t="s">
        <v>226</v>
      </c>
      <c r="V176" s="31" t="s">
        <v>226</v>
      </c>
      <c r="W176" s="31" t="s">
        <v>226</v>
      </c>
      <c r="X176" s="31" t="s">
        <v>226</v>
      </c>
      <c r="Y176" s="31" t="s">
        <v>226</v>
      </c>
      <c r="Z176" s="31" t="s">
        <v>226</v>
      </c>
      <c r="AA176" s="31" t="s">
        <v>226</v>
      </c>
      <c r="AB176" s="31" t="s">
        <v>226</v>
      </c>
      <c r="AC176" s="31" t="s">
        <v>226</v>
      </c>
      <c r="AD176" s="31" t="s">
        <v>226</v>
      </c>
      <c r="AE176" s="31" t="s">
        <v>226</v>
      </c>
      <c r="AF176" s="31" t="s">
        <v>226</v>
      </c>
      <c r="AG176" s="31" t="s">
        <v>226</v>
      </c>
      <c r="AH176" s="31" t="s">
        <v>226</v>
      </c>
      <c r="AI176" s="31" t="s">
        <v>226</v>
      </c>
      <c r="AJ176" s="31" t="s">
        <v>226</v>
      </c>
      <c r="AK176" s="31" t="s">
        <v>226</v>
      </c>
      <c r="AL176" s="31" t="s">
        <v>226</v>
      </c>
      <c r="AM176" s="31"/>
      <c r="AN176" s="31"/>
      <c r="AO176" s="96">
        <v>8.4</v>
      </c>
      <c r="AP176" s="33">
        <f t="shared" si="42"/>
        <v>0.70000000000000007</v>
      </c>
      <c r="AQ176" s="34">
        <f t="shared" si="43"/>
        <v>8.4</v>
      </c>
      <c r="AR176" s="35"/>
      <c r="AS176" s="36">
        <f t="shared" si="26"/>
        <v>0.70000000000000007</v>
      </c>
      <c r="AT176" s="36">
        <f t="shared" si="26"/>
        <v>8.4</v>
      </c>
      <c r="AU176" s="36">
        <f t="shared" si="54"/>
        <v>0.76300000000000012</v>
      </c>
      <c r="AV176" s="36">
        <f t="shared" si="45"/>
        <v>9.1560000000000024</v>
      </c>
      <c r="AW176" s="37">
        <v>1</v>
      </c>
      <c r="AX176" s="38">
        <f t="shared" si="40"/>
        <v>12</v>
      </c>
      <c r="AY176" s="38">
        <f t="shared" si="38"/>
        <v>0.23699999999999988</v>
      </c>
      <c r="AZ176" s="38">
        <f t="shared" si="41"/>
        <v>2.8439999999999985</v>
      </c>
      <c r="BA176" s="39">
        <f t="shared" si="39"/>
        <v>0.23699999999999988</v>
      </c>
      <c r="BB176" s="41"/>
      <c r="BC176" s="119">
        <f t="shared" si="46"/>
        <v>1</v>
      </c>
      <c r="BD176" s="108">
        <v>0.15</v>
      </c>
      <c r="BE176" s="120">
        <f t="shared" si="47"/>
        <v>1.2195121951219512</v>
      </c>
      <c r="BF176" s="121">
        <f t="shared" si="48"/>
        <v>0.21951219512195119</v>
      </c>
      <c r="BG176" s="121">
        <f t="shared" si="49"/>
        <v>1.9756097560975606E-2</v>
      </c>
      <c r="BH176" s="122">
        <f t="shared" si="50"/>
        <v>0.23926829268292679</v>
      </c>
      <c r="BI176" s="121">
        <f t="shared" si="51"/>
        <v>0.98024390243902437</v>
      </c>
      <c r="BJ176" s="123">
        <f t="shared" si="52"/>
        <v>0.22162229410301057</v>
      </c>
      <c r="BK176" s="124">
        <f t="shared" si="53"/>
        <v>-1.5377705896989308E-2</v>
      </c>
      <c r="BL176" s="125" t="s">
        <v>226</v>
      </c>
    </row>
    <row r="177" spans="1:64" ht="39.950000000000003" customHeight="1" x14ac:dyDescent="0.25">
      <c r="A177" s="30">
        <v>162</v>
      </c>
      <c r="B177" s="100" t="s">
        <v>126</v>
      </c>
      <c r="C177" s="31">
        <v>1</v>
      </c>
      <c r="D177" s="32" t="s">
        <v>136</v>
      </c>
      <c r="E177" s="31">
        <f t="shared" si="37"/>
        <v>10</v>
      </c>
      <c r="F177" s="31" t="s">
        <v>226</v>
      </c>
      <c r="G177" s="31" t="s">
        <v>226</v>
      </c>
      <c r="H177" s="31" t="s">
        <v>226</v>
      </c>
      <c r="I177" s="31" t="s">
        <v>226</v>
      </c>
      <c r="J177" s="31" t="s">
        <v>226</v>
      </c>
      <c r="K177" s="31" t="s">
        <v>226</v>
      </c>
      <c r="L177" s="31" t="s">
        <v>226</v>
      </c>
      <c r="M177" s="31" t="s">
        <v>226</v>
      </c>
      <c r="N177" s="31" t="s">
        <v>226</v>
      </c>
      <c r="O177" s="31" t="s">
        <v>226</v>
      </c>
      <c r="P177" s="31" t="s">
        <v>226</v>
      </c>
      <c r="Q177" s="31" t="s">
        <v>226</v>
      </c>
      <c r="R177" s="31" t="s">
        <v>226</v>
      </c>
      <c r="S177" s="31" t="s">
        <v>226</v>
      </c>
      <c r="T177" s="31" t="s">
        <v>226</v>
      </c>
      <c r="U177" s="31" t="s">
        <v>226</v>
      </c>
      <c r="V177" s="31" t="s">
        <v>226</v>
      </c>
      <c r="W177" s="31" t="s">
        <v>226</v>
      </c>
      <c r="X177" s="31" t="s">
        <v>226</v>
      </c>
      <c r="Y177" s="31" t="s">
        <v>226</v>
      </c>
      <c r="Z177" s="31" t="s">
        <v>226</v>
      </c>
      <c r="AA177" s="31" t="s">
        <v>226</v>
      </c>
      <c r="AB177" s="31" t="s">
        <v>226</v>
      </c>
      <c r="AC177" s="31" t="s">
        <v>226</v>
      </c>
      <c r="AD177" s="31" t="s">
        <v>226</v>
      </c>
      <c r="AE177" s="31" t="s">
        <v>226</v>
      </c>
      <c r="AF177" s="31" t="s">
        <v>226</v>
      </c>
      <c r="AG177" s="31" t="s">
        <v>226</v>
      </c>
      <c r="AH177" s="31" t="s">
        <v>226</v>
      </c>
      <c r="AI177" s="31" t="s">
        <v>226</v>
      </c>
      <c r="AJ177" s="31" t="s">
        <v>226</v>
      </c>
      <c r="AK177" s="31" t="s">
        <v>226</v>
      </c>
      <c r="AL177" s="31" t="s">
        <v>226</v>
      </c>
      <c r="AM177" s="31"/>
      <c r="AN177" s="31"/>
      <c r="AO177" s="96">
        <v>17.899999999999999</v>
      </c>
      <c r="AP177" s="33">
        <f t="shared" si="42"/>
        <v>1.7899999999999998</v>
      </c>
      <c r="AQ177" s="34">
        <f t="shared" si="43"/>
        <v>17.899999999999999</v>
      </c>
      <c r="AR177" s="35"/>
      <c r="AS177" s="36">
        <f t="shared" si="26"/>
        <v>1.7899999999999998</v>
      </c>
      <c r="AT177" s="36">
        <f t="shared" si="26"/>
        <v>17.899999999999999</v>
      </c>
      <c r="AU177" s="36">
        <f t="shared" si="54"/>
        <v>1.9510999999999998</v>
      </c>
      <c r="AV177" s="36">
        <f t="shared" si="45"/>
        <v>19.510999999999999</v>
      </c>
      <c r="AW177" s="37">
        <v>2.75</v>
      </c>
      <c r="AX177" s="38">
        <f t="shared" si="40"/>
        <v>27.5</v>
      </c>
      <c r="AY177" s="38">
        <f t="shared" si="38"/>
        <v>0.79890000000000017</v>
      </c>
      <c r="AZ177" s="38">
        <f t="shared" si="41"/>
        <v>7.9890000000000017</v>
      </c>
      <c r="BA177" s="39">
        <f t="shared" si="39"/>
        <v>0.29050909090909099</v>
      </c>
      <c r="BB177" s="42"/>
      <c r="BC177" s="119">
        <f t="shared" si="46"/>
        <v>2.75</v>
      </c>
      <c r="BD177" s="108">
        <v>0.15</v>
      </c>
      <c r="BE177" s="120">
        <f t="shared" si="47"/>
        <v>3.3536585365853657</v>
      </c>
      <c r="BF177" s="121">
        <f t="shared" si="48"/>
        <v>0.60365853658536572</v>
      </c>
      <c r="BG177" s="121">
        <f t="shared" si="49"/>
        <v>5.4329268292682913E-2</v>
      </c>
      <c r="BH177" s="122">
        <f t="shared" si="50"/>
        <v>0.65798780487804864</v>
      </c>
      <c r="BI177" s="121">
        <f t="shared" si="51"/>
        <v>2.6956707317073172</v>
      </c>
      <c r="BJ177" s="123">
        <f t="shared" si="52"/>
        <v>0.27620982152955292</v>
      </c>
      <c r="BK177" s="124">
        <f t="shared" si="53"/>
        <v>-1.4299269379538071E-2</v>
      </c>
      <c r="BL177" s="125" t="s">
        <v>226</v>
      </c>
    </row>
    <row r="178" spans="1:64" ht="39.950000000000003" customHeight="1" x14ac:dyDescent="0.25">
      <c r="A178" s="30">
        <v>163</v>
      </c>
      <c r="B178" s="101" t="s">
        <v>138</v>
      </c>
      <c r="C178" s="31">
        <v>1</v>
      </c>
      <c r="D178" s="32" t="s">
        <v>73</v>
      </c>
      <c r="E178" s="31">
        <f t="shared" si="37"/>
        <v>12</v>
      </c>
      <c r="F178" s="31" t="s">
        <v>226</v>
      </c>
      <c r="G178" s="31" t="s">
        <v>226</v>
      </c>
      <c r="H178" s="31" t="s">
        <v>226</v>
      </c>
      <c r="I178" s="31" t="s">
        <v>226</v>
      </c>
      <c r="J178" s="31" t="s">
        <v>226</v>
      </c>
      <c r="K178" s="31" t="s">
        <v>226</v>
      </c>
      <c r="L178" s="31" t="s">
        <v>226</v>
      </c>
      <c r="M178" s="31" t="s">
        <v>226</v>
      </c>
      <c r="N178" s="31" t="s">
        <v>226</v>
      </c>
      <c r="O178" s="31" t="s">
        <v>226</v>
      </c>
      <c r="P178" s="31" t="s">
        <v>226</v>
      </c>
      <c r="Q178" s="31" t="s">
        <v>226</v>
      </c>
      <c r="R178" s="31" t="s">
        <v>226</v>
      </c>
      <c r="S178" s="31" t="s">
        <v>226</v>
      </c>
      <c r="T178" s="31" t="s">
        <v>226</v>
      </c>
      <c r="U178" s="31" t="s">
        <v>226</v>
      </c>
      <c r="V178" s="31" t="s">
        <v>226</v>
      </c>
      <c r="W178" s="31" t="s">
        <v>226</v>
      </c>
      <c r="X178" s="31" t="s">
        <v>226</v>
      </c>
      <c r="Y178" s="31" t="s">
        <v>226</v>
      </c>
      <c r="Z178" s="31" t="s">
        <v>226</v>
      </c>
      <c r="AA178" s="31" t="s">
        <v>226</v>
      </c>
      <c r="AB178" s="31" t="s">
        <v>226</v>
      </c>
      <c r="AC178" s="31" t="s">
        <v>226</v>
      </c>
      <c r="AD178" s="31" t="s">
        <v>226</v>
      </c>
      <c r="AE178" s="31" t="s">
        <v>226</v>
      </c>
      <c r="AF178" s="31" t="s">
        <v>226</v>
      </c>
      <c r="AG178" s="31" t="s">
        <v>226</v>
      </c>
      <c r="AH178" s="31" t="s">
        <v>226</v>
      </c>
      <c r="AI178" s="31" t="s">
        <v>226</v>
      </c>
      <c r="AJ178" s="31" t="s">
        <v>226</v>
      </c>
      <c r="AK178" s="31" t="s">
        <v>226</v>
      </c>
      <c r="AL178" s="31" t="s">
        <v>226</v>
      </c>
      <c r="AM178" s="31"/>
      <c r="AN178" s="31"/>
      <c r="AO178" s="96">
        <v>8.4</v>
      </c>
      <c r="AP178" s="33">
        <f t="shared" si="42"/>
        <v>0.70000000000000007</v>
      </c>
      <c r="AQ178" s="34">
        <f t="shared" si="43"/>
        <v>8.4</v>
      </c>
      <c r="AR178" s="35"/>
      <c r="AS178" s="36">
        <f t="shared" si="26"/>
        <v>0.70000000000000007</v>
      </c>
      <c r="AT178" s="36">
        <f t="shared" si="26"/>
        <v>8.4</v>
      </c>
      <c r="AU178" s="36">
        <f t="shared" si="54"/>
        <v>0.76300000000000012</v>
      </c>
      <c r="AV178" s="36">
        <f t="shared" si="45"/>
        <v>9.1560000000000024</v>
      </c>
      <c r="AW178" s="37">
        <v>1</v>
      </c>
      <c r="AX178" s="38">
        <f t="shared" si="40"/>
        <v>12</v>
      </c>
      <c r="AY178" s="38">
        <f t="shared" si="38"/>
        <v>0.23699999999999988</v>
      </c>
      <c r="AZ178" s="38">
        <f t="shared" si="41"/>
        <v>2.8439999999999985</v>
      </c>
      <c r="BA178" s="39">
        <f t="shared" si="39"/>
        <v>0.23699999999999988</v>
      </c>
      <c r="BB178" s="42"/>
      <c r="BC178" s="119">
        <f t="shared" si="46"/>
        <v>1</v>
      </c>
      <c r="BD178" s="108">
        <v>0.15</v>
      </c>
      <c r="BE178" s="120">
        <f t="shared" si="47"/>
        <v>1.2195121951219512</v>
      </c>
      <c r="BF178" s="121">
        <f t="shared" si="48"/>
        <v>0.21951219512195119</v>
      </c>
      <c r="BG178" s="121">
        <f t="shared" si="49"/>
        <v>1.9756097560975606E-2</v>
      </c>
      <c r="BH178" s="122">
        <f t="shared" si="50"/>
        <v>0.23926829268292679</v>
      </c>
      <c r="BI178" s="121">
        <f t="shared" si="51"/>
        <v>0.98024390243902437</v>
      </c>
      <c r="BJ178" s="123">
        <f t="shared" si="52"/>
        <v>0.22162229410301057</v>
      </c>
      <c r="BK178" s="124">
        <f t="shared" si="53"/>
        <v>-1.5377705896989308E-2</v>
      </c>
      <c r="BL178" s="125" t="s">
        <v>226</v>
      </c>
    </row>
    <row r="179" spans="1:64" ht="39.950000000000003" customHeight="1" x14ac:dyDescent="0.25">
      <c r="A179" s="30">
        <v>164</v>
      </c>
      <c r="B179" s="101" t="s">
        <v>263</v>
      </c>
      <c r="C179" s="31">
        <v>1</v>
      </c>
      <c r="D179" s="32" t="s">
        <v>144</v>
      </c>
      <c r="E179" s="31">
        <f t="shared" si="37"/>
        <v>30</v>
      </c>
      <c r="F179" s="31" t="s">
        <v>226</v>
      </c>
      <c r="G179" s="31" t="s">
        <v>226</v>
      </c>
      <c r="H179" s="31" t="s">
        <v>226</v>
      </c>
      <c r="I179" s="31" t="s">
        <v>226</v>
      </c>
      <c r="J179" s="31" t="s">
        <v>226</v>
      </c>
      <c r="K179" s="31" t="s">
        <v>226</v>
      </c>
      <c r="L179" s="31" t="s">
        <v>226</v>
      </c>
      <c r="M179" s="31" t="s">
        <v>226</v>
      </c>
      <c r="N179" s="31" t="s">
        <v>226</v>
      </c>
      <c r="O179" s="31" t="s">
        <v>226</v>
      </c>
      <c r="P179" s="31" t="s">
        <v>226</v>
      </c>
      <c r="Q179" s="31" t="s">
        <v>226</v>
      </c>
      <c r="R179" s="31" t="s">
        <v>226</v>
      </c>
      <c r="S179" s="31" t="s">
        <v>226</v>
      </c>
      <c r="T179" s="31" t="s">
        <v>226</v>
      </c>
      <c r="U179" s="31" t="s">
        <v>226</v>
      </c>
      <c r="V179" s="31" t="s">
        <v>226</v>
      </c>
      <c r="W179" s="31" t="s">
        <v>226</v>
      </c>
      <c r="X179" s="31" t="s">
        <v>226</v>
      </c>
      <c r="Y179" s="31" t="s">
        <v>226</v>
      </c>
      <c r="Z179" s="31" t="s">
        <v>226</v>
      </c>
      <c r="AA179" s="31" t="s">
        <v>226</v>
      </c>
      <c r="AB179" s="31" t="s">
        <v>226</v>
      </c>
      <c r="AC179" s="31" t="s">
        <v>226</v>
      </c>
      <c r="AD179" s="31" t="s">
        <v>226</v>
      </c>
      <c r="AE179" s="31" t="s">
        <v>226</v>
      </c>
      <c r="AF179" s="31" t="s">
        <v>226</v>
      </c>
      <c r="AG179" s="31" t="s">
        <v>226</v>
      </c>
      <c r="AH179" s="31" t="s">
        <v>226</v>
      </c>
      <c r="AI179" s="31" t="s">
        <v>226</v>
      </c>
      <c r="AJ179" s="31" t="s">
        <v>226</v>
      </c>
      <c r="AK179" s="31" t="s">
        <v>226</v>
      </c>
      <c r="AL179" s="31" t="s">
        <v>226</v>
      </c>
      <c r="AM179" s="31"/>
      <c r="AN179" s="31"/>
      <c r="AO179" s="96">
        <v>22.5</v>
      </c>
      <c r="AP179" s="33">
        <f t="shared" si="42"/>
        <v>0.75</v>
      </c>
      <c r="AQ179" s="34">
        <f t="shared" si="43"/>
        <v>22.5</v>
      </c>
      <c r="AR179" s="35"/>
      <c r="AS179" s="36">
        <f t="shared" si="26"/>
        <v>0.75</v>
      </c>
      <c r="AT179" s="36">
        <f t="shared" si="26"/>
        <v>22.5</v>
      </c>
      <c r="AU179" s="36">
        <f t="shared" si="54"/>
        <v>0.81750000000000012</v>
      </c>
      <c r="AV179" s="36">
        <f t="shared" si="45"/>
        <v>24.525000000000002</v>
      </c>
      <c r="AW179" s="37">
        <v>1.25</v>
      </c>
      <c r="AX179" s="38">
        <f t="shared" si="40"/>
        <v>37.5</v>
      </c>
      <c r="AY179" s="38">
        <f t="shared" si="38"/>
        <v>0.43249999999999988</v>
      </c>
      <c r="AZ179" s="38">
        <f t="shared" si="41"/>
        <v>12.974999999999996</v>
      </c>
      <c r="BA179" s="39">
        <f t="shared" si="39"/>
        <v>0.34599999999999992</v>
      </c>
      <c r="BB179" s="42"/>
      <c r="BC179" s="119">
        <f t="shared" si="46"/>
        <v>1.25</v>
      </c>
      <c r="BD179" s="108">
        <v>0.15</v>
      </c>
      <c r="BE179" s="120">
        <f t="shared" si="47"/>
        <v>1.5243902439024388</v>
      </c>
      <c r="BF179" s="121">
        <f t="shared" si="48"/>
        <v>0.27439024390243882</v>
      </c>
      <c r="BG179" s="121">
        <f t="shared" si="49"/>
        <v>2.4695121951219492E-2</v>
      </c>
      <c r="BH179" s="122">
        <f t="shared" si="50"/>
        <v>0.2990853658536583</v>
      </c>
      <c r="BI179" s="121">
        <f t="shared" si="51"/>
        <v>1.2253048780487805</v>
      </c>
      <c r="BJ179" s="123">
        <f t="shared" si="52"/>
        <v>0.33281910923115193</v>
      </c>
      <c r="BK179" s="124">
        <f t="shared" si="53"/>
        <v>-1.3180890768847986E-2</v>
      </c>
      <c r="BL179" s="125">
        <v>1.05</v>
      </c>
    </row>
    <row r="180" spans="1:64" ht="39.950000000000003" customHeight="1" x14ac:dyDescent="0.25">
      <c r="A180" s="30">
        <v>164</v>
      </c>
      <c r="B180" s="101" t="s">
        <v>149</v>
      </c>
      <c r="C180" s="31">
        <v>1</v>
      </c>
      <c r="D180" s="32" t="s">
        <v>144</v>
      </c>
      <c r="E180" s="31">
        <f t="shared" si="37"/>
        <v>30</v>
      </c>
      <c r="F180" s="31" t="s">
        <v>226</v>
      </c>
      <c r="G180" s="31" t="s">
        <v>226</v>
      </c>
      <c r="H180" s="31" t="s">
        <v>226</v>
      </c>
      <c r="I180" s="31" t="s">
        <v>226</v>
      </c>
      <c r="J180" s="31" t="s">
        <v>226</v>
      </c>
      <c r="K180" s="31" t="s">
        <v>226</v>
      </c>
      <c r="L180" s="31" t="s">
        <v>226</v>
      </c>
      <c r="M180" s="31" t="s">
        <v>226</v>
      </c>
      <c r="N180" s="31" t="s">
        <v>226</v>
      </c>
      <c r="O180" s="31" t="s">
        <v>226</v>
      </c>
      <c r="P180" s="31" t="s">
        <v>226</v>
      </c>
      <c r="Q180" s="31" t="s">
        <v>226</v>
      </c>
      <c r="R180" s="31" t="s">
        <v>226</v>
      </c>
      <c r="S180" s="31" t="s">
        <v>226</v>
      </c>
      <c r="T180" s="31" t="s">
        <v>226</v>
      </c>
      <c r="U180" s="31" t="s">
        <v>226</v>
      </c>
      <c r="V180" s="31" t="s">
        <v>226</v>
      </c>
      <c r="W180" s="31" t="s">
        <v>226</v>
      </c>
      <c r="X180" s="31" t="s">
        <v>226</v>
      </c>
      <c r="Y180" s="31" t="s">
        <v>226</v>
      </c>
      <c r="Z180" s="31" t="s">
        <v>226</v>
      </c>
      <c r="AA180" s="31" t="s">
        <v>226</v>
      </c>
      <c r="AB180" s="31" t="s">
        <v>226</v>
      </c>
      <c r="AC180" s="31" t="s">
        <v>226</v>
      </c>
      <c r="AD180" s="31" t="s">
        <v>226</v>
      </c>
      <c r="AE180" s="31" t="s">
        <v>226</v>
      </c>
      <c r="AF180" s="31" t="s">
        <v>226</v>
      </c>
      <c r="AG180" s="31" t="s">
        <v>226</v>
      </c>
      <c r="AH180" s="31" t="s">
        <v>226</v>
      </c>
      <c r="AI180" s="31" t="s">
        <v>226</v>
      </c>
      <c r="AJ180" s="31" t="s">
        <v>226</v>
      </c>
      <c r="AK180" s="31" t="s">
        <v>226</v>
      </c>
      <c r="AL180" s="31" t="s">
        <v>226</v>
      </c>
      <c r="AM180" s="31"/>
      <c r="AN180" s="31"/>
      <c r="AO180" s="96">
        <v>22.5</v>
      </c>
      <c r="AP180" s="33">
        <f t="shared" si="42"/>
        <v>0.75</v>
      </c>
      <c r="AQ180" s="34">
        <f t="shared" si="43"/>
        <v>22.5</v>
      </c>
      <c r="AR180" s="35"/>
      <c r="AS180" s="36">
        <f t="shared" si="26"/>
        <v>0.75</v>
      </c>
      <c r="AT180" s="36">
        <f t="shared" si="26"/>
        <v>22.5</v>
      </c>
      <c r="AU180" s="36">
        <f t="shared" si="54"/>
        <v>0.81750000000000012</v>
      </c>
      <c r="AV180" s="36">
        <f t="shared" si="45"/>
        <v>24.525000000000002</v>
      </c>
      <c r="AW180" s="37">
        <v>1.25</v>
      </c>
      <c r="AX180" s="38">
        <f t="shared" si="40"/>
        <v>37.5</v>
      </c>
      <c r="AY180" s="38">
        <f t="shared" si="38"/>
        <v>0.43249999999999988</v>
      </c>
      <c r="AZ180" s="38">
        <f t="shared" si="41"/>
        <v>12.974999999999996</v>
      </c>
      <c r="BA180" s="39">
        <f t="shared" si="39"/>
        <v>0.34599999999999992</v>
      </c>
      <c r="BB180" s="42"/>
      <c r="BC180" s="119">
        <f t="shared" si="46"/>
        <v>1.25</v>
      </c>
      <c r="BD180" s="108">
        <v>0.15</v>
      </c>
      <c r="BE180" s="120">
        <f t="shared" si="47"/>
        <v>1.5243902439024388</v>
      </c>
      <c r="BF180" s="121">
        <f t="shared" si="48"/>
        <v>0.27439024390243882</v>
      </c>
      <c r="BG180" s="121">
        <f t="shared" si="49"/>
        <v>2.4695121951219492E-2</v>
      </c>
      <c r="BH180" s="122">
        <f t="shared" si="50"/>
        <v>0.2990853658536583</v>
      </c>
      <c r="BI180" s="121">
        <f t="shared" si="51"/>
        <v>1.2253048780487805</v>
      </c>
      <c r="BJ180" s="123">
        <f t="shared" si="52"/>
        <v>0.33281910923115193</v>
      </c>
      <c r="BK180" s="124">
        <f t="shared" si="53"/>
        <v>-1.3180890768847986E-2</v>
      </c>
      <c r="BL180" s="125">
        <v>1.05</v>
      </c>
    </row>
    <row r="181" spans="1:64" ht="45" customHeight="1" x14ac:dyDescent="0.25">
      <c r="A181" s="30">
        <v>165</v>
      </c>
      <c r="B181" s="101" t="s">
        <v>127</v>
      </c>
      <c r="C181" s="31">
        <v>1</v>
      </c>
      <c r="D181" s="32" t="s">
        <v>73</v>
      </c>
      <c r="E181" s="31">
        <f t="shared" si="37"/>
        <v>12</v>
      </c>
      <c r="F181" s="31" t="s">
        <v>226</v>
      </c>
      <c r="G181" s="31" t="s">
        <v>226</v>
      </c>
      <c r="H181" s="31" t="s">
        <v>226</v>
      </c>
      <c r="I181" s="31" t="s">
        <v>226</v>
      </c>
      <c r="J181" s="31" t="s">
        <v>226</v>
      </c>
      <c r="K181" s="31" t="s">
        <v>226</v>
      </c>
      <c r="L181" s="31" t="s">
        <v>226</v>
      </c>
      <c r="M181" s="31" t="s">
        <v>226</v>
      </c>
      <c r="N181" s="31" t="s">
        <v>226</v>
      </c>
      <c r="O181" s="31" t="s">
        <v>226</v>
      </c>
      <c r="P181" s="31" t="s">
        <v>226</v>
      </c>
      <c r="Q181" s="31" t="s">
        <v>226</v>
      </c>
      <c r="R181" s="31" t="s">
        <v>226</v>
      </c>
      <c r="S181" s="31" t="s">
        <v>226</v>
      </c>
      <c r="T181" s="31" t="s">
        <v>226</v>
      </c>
      <c r="U181" s="31" t="s">
        <v>226</v>
      </c>
      <c r="V181" s="31" t="s">
        <v>226</v>
      </c>
      <c r="W181" s="31" t="s">
        <v>226</v>
      </c>
      <c r="X181" s="31" t="s">
        <v>226</v>
      </c>
      <c r="Y181" s="31" t="s">
        <v>226</v>
      </c>
      <c r="Z181" s="31" t="s">
        <v>226</v>
      </c>
      <c r="AA181" s="31" t="s">
        <v>226</v>
      </c>
      <c r="AB181" s="31" t="s">
        <v>226</v>
      </c>
      <c r="AC181" s="31" t="s">
        <v>226</v>
      </c>
      <c r="AD181" s="31" t="s">
        <v>226</v>
      </c>
      <c r="AE181" s="31" t="s">
        <v>226</v>
      </c>
      <c r="AF181" s="31" t="s">
        <v>226</v>
      </c>
      <c r="AG181" s="31" t="s">
        <v>226</v>
      </c>
      <c r="AH181" s="31" t="s">
        <v>226</v>
      </c>
      <c r="AI181" s="31" t="s">
        <v>226</v>
      </c>
      <c r="AJ181" s="31" t="s">
        <v>226</v>
      </c>
      <c r="AK181" s="31" t="s">
        <v>226</v>
      </c>
      <c r="AL181" s="31" t="s">
        <v>226</v>
      </c>
      <c r="AM181" s="31"/>
      <c r="AN181" s="31"/>
      <c r="AO181" s="96">
        <v>8.4</v>
      </c>
      <c r="AP181" s="33">
        <f t="shared" si="42"/>
        <v>0.70000000000000007</v>
      </c>
      <c r="AQ181" s="34">
        <f t="shared" si="43"/>
        <v>8.4</v>
      </c>
      <c r="AR181" s="35"/>
      <c r="AS181" s="36">
        <f t="shared" si="26"/>
        <v>0.70000000000000007</v>
      </c>
      <c r="AT181" s="36">
        <f t="shared" si="26"/>
        <v>8.4</v>
      </c>
      <c r="AU181" s="36">
        <f t="shared" si="54"/>
        <v>0.76300000000000012</v>
      </c>
      <c r="AV181" s="36">
        <f t="shared" si="45"/>
        <v>9.1560000000000024</v>
      </c>
      <c r="AW181" s="37">
        <v>1</v>
      </c>
      <c r="AX181" s="38">
        <f t="shared" si="40"/>
        <v>12</v>
      </c>
      <c r="AY181" s="38">
        <f t="shared" si="38"/>
        <v>0.23699999999999988</v>
      </c>
      <c r="AZ181" s="38">
        <f t="shared" si="41"/>
        <v>2.8439999999999985</v>
      </c>
      <c r="BA181" s="39">
        <f t="shared" si="39"/>
        <v>0.23699999999999988</v>
      </c>
      <c r="BB181" s="42"/>
      <c r="BC181" s="119">
        <f t="shared" si="46"/>
        <v>1</v>
      </c>
      <c r="BD181" s="108">
        <v>0.15</v>
      </c>
      <c r="BE181" s="120">
        <f t="shared" si="47"/>
        <v>1.2195121951219512</v>
      </c>
      <c r="BF181" s="121">
        <f t="shared" si="48"/>
        <v>0.21951219512195119</v>
      </c>
      <c r="BG181" s="121">
        <f t="shared" si="49"/>
        <v>1.9756097560975606E-2</v>
      </c>
      <c r="BH181" s="122">
        <f t="shared" si="50"/>
        <v>0.23926829268292679</v>
      </c>
      <c r="BI181" s="121">
        <f t="shared" si="51"/>
        <v>0.98024390243902437</v>
      </c>
      <c r="BJ181" s="123">
        <f t="shared" si="52"/>
        <v>0.22162229410301057</v>
      </c>
      <c r="BK181" s="124">
        <f t="shared" si="53"/>
        <v>-1.5377705896989308E-2</v>
      </c>
      <c r="BL181" s="125" t="s">
        <v>226</v>
      </c>
    </row>
    <row r="182" spans="1:64" ht="45" customHeight="1" x14ac:dyDescent="0.25">
      <c r="A182" s="30">
        <v>166</v>
      </c>
      <c r="B182" s="101" t="s">
        <v>150</v>
      </c>
      <c r="C182" s="31">
        <v>1</v>
      </c>
      <c r="D182" s="32" t="s">
        <v>73</v>
      </c>
      <c r="E182" s="31">
        <f t="shared" si="37"/>
        <v>12</v>
      </c>
      <c r="F182" s="31" t="s">
        <v>226</v>
      </c>
      <c r="G182" s="31" t="s">
        <v>226</v>
      </c>
      <c r="H182" s="31" t="s">
        <v>226</v>
      </c>
      <c r="I182" s="31" t="s">
        <v>226</v>
      </c>
      <c r="J182" s="31" t="s">
        <v>226</v>
      </c>
      <c r="K182" s="31" t="s">
        <v>226</v>
      </c>
      <c r="L182" s="31" t="s">
        <v>226</v>
      </c>
      <c r="M182" s="31" t="s">
        <v>226</v>
      </c>
      <c r="N182" s="31" t="s">
        <v>226</v>
      </c>
      <c r="O182" s="31" t="s">
        <v>226</v>
      </c>
      <c r="P182" s="31" t="s">
        <v>226</v>
      </c>
      <c r="Q182" s="31" t="s">
        <v>226</v>
      </c>
      <c r="R182" s="31" t="s">
        <v>226</v>
      </c>
      <c r="S182" s="31" t="s">
        <v>226</v>
      </c>
      <c r="T182" s="31" t="s">
        <v>226</v>
      </c>
      <c r="U182" s="31" t="s">
        <v>226</v>
      </c>
      <c r="V182" s="31" t="s">
        <v>226</v>
      </c>
      <c r="W182" s="31" t="s">
        <v>226</v>
      </c>
      <c r="X182" s="31" t="s">
        <v>226</v>
      </c>
      <c r="Y182" s="31" t="s">
        <v>226</v>
      </c>
      <c r="Z182" s="31" t="s">
        <v>226</v>
      </c>
      <c r="AA182" s="31" t="s">
        <v>226</v>
      </c>
      <c r="AB182" s="31" t="s">
        <v>226</v>
      </c>
      <c r="AC182" s="31" t="s">
        <v>226</v>
      </c>
      <c r="AD182" s="31" t="s">
        <v>226</v>
      </c>
      <c r="AE182" s="31" t="s">
        <v>226</v>
      </c>
      <c r="AF182" s="31" t="s">
        <v>226</v>
      </c>
      <c r="AG182" s="31" t="s">
        <v>226</v>
      </c>
      <c r="AH182" s="31" t="s">
        <v>226</v>
      </c>
      <c r="AI182" s="31" t="s">
        <v>226</v>
      </c>
      <c r="AJ182" s="31" t="s">
        <v>226</v>
      </c>
      <c r="AK182" s="31" t="s">
        <v>226</v>
      </c>
      <c r="AL182" s="31" t="s">
        <v>226</v>
      </c>
      <c r="AM182" s="31"/>
      <c r="AN182" s="31"/>
      <c r="AO182" s="96">
        <v>12.85</v>
      </c>
      <c r="AP182" s="33">
        <f t="shared" si="42"/>
        <v>1.0708333333333333</v>
      </c>
      <c r="AQ182" s="34">
        <f t="shared" si="43"/>
        <v>12.85</v>
      </c>
      <c r="AR182" s="35"/>
      <c r="AS182" s="36">
        <f t="shared" si="26"/>
        <v>1.0708333333333333</v>
      </c>
      <c r="AT182" s="36">
        <f t="shared" si="26"/>
        <v>12.85</v>
      </c>
      <c r="AU182" s="36">
        <f t="shared" si="54"/>
        <v>1.1672083333333334</v>
      </c>
      <c r="AV182" s="36">
        <f t="shared" si="45"/>
        <v>14.006500000000001</v>
      </c>
      <c r="AW182" s="37">
        <v>1.75</v>
      </c>
      <c r="AX182" s="38">
        <f t="shared" si="40"/>
        <v>21</v>
      </c>
      <c r="AY182" s="38">
        <f t="shared" si="38"/>
        <v>0.5827916666666666</v>
      </c>
      <c r="AZ182" s="38">
        <f t="shared" si="41"/>
        <v>6.9934999999999992</v>
      </c>
      <c r="BA182" s="39">
        <f t="shared" si="39"/>
        <v>0.3330238095238095</v>
      </c>
      <c r="BB182" s="42"/>
      <c r="BC182" s="119">
        <f t="shared" si="46"/>
        <v>1.75</v>
      </c>
      <c r="BD182" s="108">
        <v>0.15</v>
      </c>
      <c r="BE182" s="120">
        <f t="shared" si="47"/>
        <v>2.1341463414634143</v>
      </c>
      <c r="BF182" s="121">
        <f t="shared" si="48"/>
        <v>0.38414634146341431</v>
      </c>
      <c r="BG182" s="121">
        <f t="shared" si="49"/>
        <v>3.4573170731707285E-2</v>
      </c>
      <c r="BH182" s="122">
        <f t="shared" si="50"/>
        <v>0.4187195121951216</v>
      </c>
      <c r="BI182" s="121">
        <f t="shared" si="51"/>
        <v>1.7154268292682926</v>
      </c>
      <c r="BJ182" s="123">
        <f t="shared" si="52"/>
        <v>0.31958139314446848</v>
      </c>
      <c r="BK182" s="124">
        <f t="shared" si="53"/>
        <v>-1.3442416379341016E-2</v>
      </c>
      <c r="BL182" s="125" t="s">
        <v>226</v>
      </c>
    </row>
    <row r="183" spans="1:64" ht="45" customHeight="1" x14ac:dyDescent="0.25">
      <c r="A183" s="30">
        <v>167</v>
      </c>
      <c r="B183" s="102" t="s">
        <v>131</v>
      </c>
      <c r="C183" s="31">
        <v>1</v>
      </c>
      <c r="D183" s="32" t="s">
        <v>136</v>
      </c>
      <c r="E183" s="31">
        <f t="shared" si="37"/>
        <v>10</v>
      </c>
      <c r="F183" s="31" t="s">
        <v>226</v>
      </c>
      <c r="G183" s="31" t="s">
        <v>226</v>
      </c>
      <c r="H183" s="31" t="s">
        <v>226</v>
      </c>
      <c r="I183" s="31" t="s">
        <v>226</v>
      </c>
      <c r="J183" s="31" t="s">
        <v>226</v>
      </c>
      <c r="K183" s="31" t="s">
        <v>226</v>
      </c>
      <c r="L183" s="31" t="s">
        <v>226</v>
      </c>
      <c r="M183" s="31" t="s">
        <v>226</v>
      </c>
      <c r="N183" s="31" t="s">
        <v>226</v>
      </c>
      <c r="O183" s="31" t="s">
        <v>226</v>
      </c>
      <c r="P183" s="31" t="s">
        <v>226</v>
      </c>
      <c r="Q183" s="31" t="s">
        <v>226</v>
      </c>
      <c r="R183" s="31" t="s">
        <v>226</v>
      </c>
      <c r="S183" s="31" t="s">
        <v>226</v>
      </c>
      <c r="T183" s="31" t="s">
        <v>226</v>
      </c>
      <c r="U183" s="31" t="s">
        <v>226</v>
      </c>
      <c r="V183" s="31" t="s">
        <v>226</v>
      </c>
      <c r="W183" s="31" t="s">
        <v>226</v>
      </c>
      <c r="X183" s="31" t="s">
        <v>226</v>
      </c>
      <c r="Y183" s="31" t="s">
        <v>226</v>
      </c>
      <c r="Z183" s="31" t="s">
        <v>226</v>
      </c>
      <c r="AA183" s="31" t="s">
        <v>226</v>
      </c>
      <c r="AB183" s="31" t="s">
        <v>226</v>
      </c>
      <c r="AC183" s="31" t="s">
        <v>226</v>
      </c>
      <c r="AD183" s="31" t="s">
        <v>226</v>
      </c>
      <c r="AE183" s="31" t="s">
        <v>226</v>
      </c>
      <c r="AF183" s="31" t="s">
        <v>226</v>
      </c>
      <c r="AG183" s="31" t="s">
        <v>226</v>
      </c>
      <c r="AH183" s="31" t="s">
        <v>226</v>
      </c>
      <c r="AI183" s="31" t="s">
        <v>226</v>
      </c>
      <c r="AJ183" s="31" t="s">
        <v>226</v>
      </c>
      <c r="AK183" s="31" t="s">
        <v>226</v>
      </c>
      <c r="AL183" s="31" t="s">
        <v>226</v>
      </c>
      <c r="AM183" s="31"/>
      <c r="AN183" s="31"/>
      <c r="AO183" s="96">
        <v>7.9</v>
      </c>
      <c r="AP183" s="33">
        <f t="shared" si="42"/>
        <v>0.79</v>
      </c>
      <c r="AQ183" s="34">
        <f t="shared" si="43"/>
        <v>7.9</v>
      </c>
      <c r="AR183" s="35"/>
      <c r="AS183" s="36">
        <f t="shared" si="26"/>
        <v>0.79</v>
      </c>
      <c r="AT183" s="36">
        <f t="shared" si="26"/>
        <v>7.9</v>
      </c>
      <c r="AU183" s="36">
        <f t="shared" si="54"/>
        <v>0.86110000000000009</v>
      </c>
      <c r="AV183" s="36">
        <f t="shared" si="45"/>
        <v>8.6110000000000007</v>
      </c>
      <c r="AW183" s="37">
        <v>1.25</v>
      </c>
      <c r="AX183" s="38">
        <f t="shared" si="40"/>
        <v>12.5</v>
      </c>
      <c r="AY183" s="38">
        <f t="shared" si="38"/>
        <v>0.38889999999999991</v>
      </c>
      <c r="AZ183" s="38">
        <f t="shared" si="41"/>
        <v>3.8889999999999993</v>
      </c>
      <c r="BA183" s="39">
        <f t="shared" si="39"/>
        <v>0.31111999999999995</v>
      </c>
      <c r="BB183" s="42"/>
      <c r="BC183" s="119">
        <f t="shared" si="46"/>
        <v>1.25</v>
      </c>
      <c r="BD183" s="108">
        <v>0.15</v>
      </c>
      <c r="BE183" s="120">
        <f t="shared" si="47"/>
        <v>1.5243902439024388</v>
      </c>
      <c r="BF183" s="121">
        <f t="shared" si="48"/>
        <v>0.27439024390243882</v>
      </c>
      <c r="BG183" s="121">
        <f t="shared" si="49"/>
        <v>2.4695121951219492E-2</v>
      </c>
      <c r="BH183" s="122">
        <f t="shared" si="50"/>
        <v>0.2990853658536583</v>
      </c>
      <c r="BI183" s="121">
        <f t="shared" si="51"/>
        <v>1.2253048780487805</v>
      </c>
      <c r="BJ183" s="123">
        <f t="shared" si="52"/>
        <v>0.29723612839014674</v>
      </c>
      <c r="BK183" s="124">
        <f t="shared" si="53"/>
        <v>-1.3883871609853216E-2</v>
      </c>
      <c r="BL183" s="125" t="s">
        <v>226</v>
      </c>
    </row>
    <row r="184" spans="1:64" ht="45" customHeight="1" x14ac:dyDescent="0.25">
      <c r="A184" s="30">
        <v>168</v>
      </c>
      <c r="B184" s="100" t="s">
        <v>132</v>
      </c>
      <c r="C184" s="31">
        <v>1</v>
      </c>
      <c r="D184" s="32" t="s">
        <v>73</v>
      </c>
      <c r="E184" s="31">
        <f t="shared" si="37"/>
        <v>12</v>
      </c>
      <c r="F184" s="31" t="s">
        <v>226</v>
      </c>
      <c r="G184" s="31" t="s">
        <v>226</v>
      </c>
      <c r="H184" s="31" t="s">
        <v>226</v>
      </c>
      <c r="I184" s="31" t="s">
        <v>226</v>
      </c>
      <c r="J184" s="31" t="s">
        <v>226</v>
      </c>
      <c r="K184" s="31" t="s">
        <v>226</v>
      </c>
      <c r="L184" s="31" t="s">
        <v>226</v>
      </c>
      <c r="M184" s="31" t="s">
        <v>226</v>
      </c>
      <c r="N184" s="31" t="s">
        <v>226</v>
      </c>
      <c r="O184" s="31" t="s">
        <v>226</v>
      </c>
      <c r="P184" s="31" t="s">
        <v>226</v>
      </c>
      <c r="Q184" s="31" t="s">
        <v>226</v>
      </c>
      <c r="R184" s="31" t="s">
        <v>226</v>
      </c>
      <c r="S184" s="31" t="s">
        <v>226</v>
      </c>
      <c r="T184" s="31" t="s">
        <v>226</v>
      </c>
      <c r="U184" s="31" t="s">
        <v>226</v>
      </c>
      <c r="V184" s="31" t="s">
        <v>226</v>
      </c>
      <c r="W184" s="31" t="s">
        <v>226</v>
      </c>
      <c r="X184" s="31" t="s">
        <v>226</v>
      </c>
      <c r="Y184" s="31" t="s">
        <v>226</v>
      </c>
      <c r="Z184" s="31" t="s">
        <v>226</v>
      </c>
      <c r="AA184" s="31" t="s">
        <v>226</v>
      </c>
      <c r="AB184" s="31" t="s">
        <v>226</v>
      </c>
      <c r="AC184" s="31" t="s">
        <v>226</v>
      </c>
      <c r="AD184" s="31" t="s">
        <v>226</v>
      </c>
      <c r="AE184" s="31" t="s">
        <v>226</v>
      </c>
      <c r="AF184" s="31" t="s">
        <v>226</v>
      </c>
      <c r="AG184" s="31" t="s">
        <v>226</v>
      </c>
      <c r="AH184" s="31" t="s">
        <v>226</v>
      </c>
      <c r="AI184" s="31" t="s">
        <v>226</v>
      </c>
      <c r="AJ184" s="31" t="s">
        <v>226</v>
      </c>
      <c r="AK184" s="31" t="s">
        <v>226</v>
      </c>
      <c r="AL184" s="31" t="s">
        <v>226</v>
      </c>
      <c r="AM184" s="31"/>
      <c r="AN184" s="31"/>
      <c r="AO184" s="96">
        <v>18.850000000000001</v>
      </c>
      <c r="AP184" s="33">
        <f t="shared" si="42"/>
        <v>1.5708333333333335</v>
      </c>
      <c r="AQ184" s="34">
        <f t="shared" si="43"/>
        <v>18.850000000000001</v>
      </c>
      <c r="AR184" s="35"/>
      <c r="AS184" s="36">
        <f t="shared" si="26"/>
        <v>1.5708333333333335</v>
      </c>
      <c r="AT184" s="36">
        <f t="shared" si="26"/>
        <v>18.850000000000001</v>
      </c>
      <c r="AU184" s="36">
        <f t="shared" si="54"/>
        <v>1.7122083333333338</v>
      </c>
      <c r="AV184" s="36">
        <f t="shared" si="45"/>
        <v>20.546500000000005</v>
      </c>
      <c r="AW184" s="37">
        <v>2.5</v>
      </c>
      <c r="AX184" s="38">
        <f t="shared" si="40"/>
        <v>30</v>
      </c>
      <c r="AY184" s="38">
        <f t="shared" si="38"/>
        <v>0.78779166666666622</v>
      </c>
      <c r="AZ184" s="38">
        <f t="shared" si="41"/>
        <v>9.4534999999999947</v>
      </c>
      <c r="BA184" s="39">
        <f t="shared" si="39"/>
        <v>0.31511666666666649</v>
      </c>
      <c r="BB184" s="40"/>
      <c r="BC184" s="119">
        <f t="shared" si="46"/>
        <v>2.5</v>
      </c>
      <c r="BD184" s="108">
        <v>0.15</v>
      </c>
      <c r="BE184" s="120">
        <f t="shared" si="47"/>
        <v>3.0487804878048776</v>
      </c>
      <c r="BF184" s="121">
        <f t="shared" si="48"/>
        <v>0.54878048780487765</v>
      </c>
      <c r="BG184" s="121">
        <f t="shared" si="49"/>
        <v>4.9390243902438985E-2</v>
      </c>
      <c r="BH184" s="122">
        <f t="shared" si="50"/>
        <v>0.59817073170731661</v>
      </c>
      <c r="BI184" s="121">
        <f t="shared" si="51"/>
        <v>2.450609756097561</v>
      </c>
      <c r="BJ184" s="123">
        <f t="shared" si="52"/>
        <v>0.30131334494484513</v>
      </c>
      <c r="BK184" s="124">
        <f t="shared" si="53"/>
        <v>-1.380332172182136E-2</v>
      </c>
      <c r="BL184" s="125" t="s">
        <v>226</v>
      </c>
    </row>
    <row r="185" spans="1:64" ht="45" customHeight="1" x14ac:dyDescent="0.25">
      <c r="A185" s="30">
        <v>169</v>
      </c>
      <c r="B185" s="100" t="s">
        <v>133</v>
      </c>
      <c r="C185" s="31">
        <v>1</v>
      </c>
      <c r="D185" s="32" t="s">
        <v>73</v>
      </c>
      <c r="E185" s="31">
        <f t="shared" si="37"/>
        <v>12</v>
      </c>
      <c r="F185" s="31" t="s">
        <v>226</v>
      </c>
      <c r="G185" s="31" t="s">
        <v>226</v>
      </c>
      <c r="H185" s="31" t="s">
        <v>226</v>
      </c>
      <c r="I185" s="31" t="s">
        <v>226</v>
      </c>
      <c r="J185" s="31" t="s">
        <v>226</v>
      </c>
      <c r="K185" s="31" t="s">
        <v>226</v>
      </c>
      <c r="L185" s="31" t="s">
        <v>226</v>
      </c>
      <c r="M185" s="31" t="s">
        <v>226</v>
      </c>
      <c r="N185" s="31" t="s">
        <v>226</v>
      </c>
      <c r="O185" s="31" t="s">
        <v>226</v>
      </c>
      <c r="P185" s="31" t="s">
        <v>226</v>
      </c>
      <c r="Q185" s="31" t="s">
        <v>226</v>
      </c>
      <c r="R185" s="31" t="s">
        <v>226</v>
      </c>
      <c r="S185" s="31" t="s">
        <v>226</v>
      </c>
      <c r="T185" s="31" t="s">
        <v>226</v>
      </c>
      <c r="U185" s="31" t="s">
        <v>226</v>
      </c>
      <c r="V185" s="31" t="s">
        <v>226</v>
      </c>
      <c r="W185" s="31" t="s">
        <v>226</v>
      </c>
      <c r="X185" s="31" t="s">
        <v>226</v>
      </c>
      <c r="Y185" s="31" t="s">
        <v>226</v>
      </c>
      <c r="Z185" s="31" t="s">
        <v>226</v>
      </c>
      <c r="AA185" s="31" t="s">
        <v>226</v>
      </c>
      <c r="AB185" s="31" t="s">
        <v>226</v>
      </c>
      <c r="AC185" s="31" t="s">
        <v>226</v>
      </c>
      <c r="AD185" s="31" t="s">
        <v>226</v>
      </c>
      <c r="AE185" s="31" t="s">
        <v>226</v>
      </c>
      <c r="AF185" s="31" t="s">
        <v>226</v>
      </c>
      <c r="AG185" s="31" t="s">
        <v>226</v>
      </c>
      <c r="AH185" s="31" t="s">
        <v>226</v>
      </c>
      <c r="AI185" s="31" t="s">
        <v>226</v>
      </c>
      <c r="AJ185" s="31" t="s">
        <v>226</v>
      </c>
      <c r="AK185" s="31" t="s">
        <v>226</v>
      </c>
      <c r="AL185" s="31" t="s">
        <v>226</v>
      </c>
      <c r="AM185" s="31"/>
      <c r="AN185" s="31"/>
      <c r="AO185" s="96">
        <v>19</v>
      </c>
      <c r="AP185" s="33">
        <f t="shared" si="42"/>
        <v>1.5833333333333333</v>
      </c>
      <c r="AQ185" s="34">
        <f t="shared" si="43"/>
        <v>19</v>
      </c>
      <c r="AR185" s="35"/>
      <c r="AS185" s="36">
        <f t="shared" si="26"/>
        <v>1.5833333333333333</v>
      </c>
      <c r="AT185" s="36">
        <f t="shared" si="26"/>
        <v>19</v>
      </c>
      <c r="AU185" s="36">
        <f t="shared" si="54"/>
        <v>1.7258333333333333</v>
      </c>
      <c r="AV185" s="36">
        <f t="shared" si="45"/>
        <v>20.71</v>
      </c>
      <c r="AW185" s="37">
        <v>2.5</v>
      </c>
      <c r="AX185" s="38">
        <f t="shared" si="40"/>
        <v>30</v>
      </c>
      <c r="AY185" s="38">
        <f t="shared" si="38"/>
        <v>0.77416666666666667</v>
      </c>
      <c r="AZ185" s="38">
        <f t="shared" si="41"/>
        <v>9.2899999999999991</v>
      </c>
      <c r="BA185" s="39">
        <f t="shared" si="39"/>
        <v>0.30966666666666665</v>
      </c>
      <c r="BB185" s="40"/>
      <c r="BC185" s="119">
        <f t="shared" si="46"/>
        <v>2.5</v>
      </c>
      <c r="BD185" s="108">
        <v>0.15</v>
      </c>
      <c r="BE185" s="120">
        <f t="shared" si="47"/>
        <v>3.0487804878048776</v>
      </c>
      <c r="BF185" s="121">
        <f t="shared" si="48"/>
        <v>0.54878048780487765</v>
      </c>
      <c r="BG185" s="121">
        <f t="shared" si="49"/>
        <v>4.9390243902438985E-2</v>
      </c>
      <c r="BH185" s="122">
        <f t="shared" si="50"/>
        <v>0.59817073170731661</v>
      </c>
      <c r="BI185" s="121">
        <f t="shared" si="51"/>
        <v>2.450609756097561</v>
      </c>
      <c r="BJ185" s="123">
        <f t="shared" si="52"/>
        <v>0.29575350418843827</v>
      </c>
      <c r="BK185" s="124">
        <f t="shared" si="53"/>
        <v>-1.391316247822838E-2</v>
      </c>
      <c r="BL185" s="125" t="s">
        <v>226</v>
      </c>
    </row>
    <row r="186" spans="1:64" ht="30.75" thickBot="1" x14ac:dyDescent="0.3">
      <c r="A186" s="148" t="s">
        <v>39</v>
      </c>
      <c r="B186" s="149"/>
      <c r="C186" s="149"/>
      <c r="D186" s="150"/>
      <c r="E186" s="44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  <c r="AA186" s="45"/>
      <c r="AB186" s="45"/>
      <c r="AC186" s="45"/>
      <c r="AD186" s="45"/>
      <c r="AE186" s="45"/>
      <c r="AF186" s="45"/>
      <c r="AG186" s="45"/>
      <c r="AH186" s="45"/>
      <c r="AI186" s="45"/>
      <c r="AJ186" s="45"/>
      <c r="AK186" s="45"/>
      <c r="AL186" s="45"/>
      <c r="AM186" s="45"/>
      <c r="AN186" s="45"/>
      <c r="AO186" s="45"/>
      <c r="AP186" s="154" t="s">
        <v>26</v>
      </c>
      <c r="AQ186" s="156">
        <f>SUM(AQ7:AQ185)</f>
        <v>4908.7999999999929</v>
      </c>
      <c r="AR186" s="46"/>
      <c r="AS186" s="47" t="s">
        <v>27</v>
      </c>
      <c r="AT186" s="48">
        <f>SUM(AT7:AT185)</f>
        <v>4908.7999999999929</v>
      </c>
      <c r="AU186" s="158" t="s">
        <v>28</v>
      </c>
      <c r="AV186" s="159"/>
      <c r="AW186" s="160">
        <f>SUM(AX7:AX185)</f>
        <v>5831.9000000000005</v>
      </c>
      <c r="AX186" s="161"/>
      <c r="AY186" s="162" t="s">
        <v>29</v>
      </c>
      <c r="AZ186" s="163"/>
      <c r="BA186" s="166">
        <f>AW186-AT189</f>
        <v>481.30800000000818</v>
      </c>
      <c r="BB186" s="49"/>
    </row>
    <row r="187" spans="1:64" ht="16.5" thickBot="1" x14ac:dyDescent="0.3">
      <c r="A187" s="148"/>
      <c r="B187" s="149"/>
      <c r="C187" s="149"/>
      <c r="D187" s="150"/>
      <c r="E187" s="44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155"/>
      <c r="AQ187" s="157"/>
      <c r="AR187" s="51"/>
      <c r="AS187" s="52" t="s">
        <v>30</v>
      </c>
      <c r="AT187" s="53">
        <f>AT186*0.09</f>
        <v>441.79199999999935</v>
      </c>
      <c r="AU187" s="168"/>
      <c r="AV187" s="169"/>
      <c r="AW187" s="169"/>
      <c r="AX187" s="170"/>
      <c r="AY187" s="164"/>
      <c r="AZ187" s="165"/>
      <c r="BA187" s="167"/>
      <c r="BB187" s="54"/>
    </row>
    <row r="188" spans="1:64" ht="32.25" thickBot="1" x14ac:dyDescent="0.3">
      <c r="A188" s="148"/>
      <c r="B188" s="149"/>
      <c r="C188" s="149"/>
      <c r="D188" s="150"/>
      <c r="E188" s="55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7" t="s">
        <v>31</v>
      </c>
      <c r="AQ188" s="58" t="s">
        <v>32</v>
      </c>
      <c r="AR188" s="51"/>
      <c r="AS188" s="59" t="s">
        <v>76</v>
      </c>
      <c r="AT188" s="60"/>
      <c r="AU188" s="171"/>
      <c r="AV188" s="172"/>
      <c r="AW188" s="172"/>
      <c r="AX188" s="173"/>
      <c r="AY188" s="174" t="s">
        <v>33</v>
      </c>
      <c r="AZ188" s="175"/>
      <c r="BA188" s="61">
        <f>BA186/AW186</f>
        <v>8.2530221711621971E-2</v>
      </c>
      <c r="BB188" s="62"/>
    </row>
    <row r="189" spans="1:64" ht="48" thickBot="1" x14ac:dyDescent="0.3">
      <c r="A189" s="151"/>
      <c r="B189" s="152"/>
      <c r="C189" s="152"/>
      <c r="D189" s="153"/>
      <c r="E189" s="63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  <c r="AA189" s="64"/>
      <c r="AB189" s="64"/>
      <c r="AC189" s="64"/>
      <c r="AD189" s="64"/>
      <c r="AE189" s="64"/>
      <c r="AF189" s="64"/>
      <c r="AG189" s="64"/>
      <c r="AH189" s="64"/>
      <c r="AI189" s="64"/>
      <c r="AJ189" s="64"/>
      <c r="AK189" s="64"/>
      <c r="AL189" s="64"/>
      <c r="AM189" s="64"/>
      <c r="AN189" s="64"/>
      <c r="AO189" s="64"/>
      <c r="AP189" s="65" t="s">
        <v>34</v>
      </c>
      <c r="AQ189" s="66">
        <f>SUM(AQ186:AQ188)</f>
        <v>4908.7999999999929</v>
      </c>
      <c r="AR189" s="51"/>
      <c r="AS189" s="67" t="s">
        <v>34</v>
      </c>
      <c r="AT189" s="68">
        <f>SUM(AT186:AT188)</f>
        <v>5350.5919999999924</v>
      </c>
      <c r="AU189" s="69" t="s">
        <v>35</v>
      </c>
      <c r="AV189" s="176">
        <f>AT188/AT186</f>
        <v>0</v>
      </c>
      <c r="AW189" s="177"/>
      <c r="AX189" s="70"/>
      <c r="AY189" s="11"/>
      <c r="AZ189" s="11"/>
      <c r="BA189" s="11"/>
      <c r="BB189" s="71"/>
    </row>
    <row r="190" spans="1:64" x14ac:dyDescent="0.25">
      <c r="A190" s="72"/>
      <c r="B190" s="11"/>
      <c r="C190" s="11"/>
      <c r="D190" s="11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73"/>
      <c r="Q190" s="73"/>
      <c r="R190" s="73"/>
      <c r="S190" s="73"/>
      <c r="T190" s="73"/>
      <c r="U190" s="73"/>
      <c r="V190" s="73"/>
      <c r="W190" s="73"/>
      <c r="X190" s="73"/>
      <c r="Y190" s="73"/>
      <c r="Z190" s="73"/>
      <c r="AA190" s="73"/>
      <c r="AB190" s="73"/>
      <c r="AC190" s="73"/>
      <c r="AD190" s="73"/>
      <c r="AE190" s="73"/>
      <c r="AF190" s="73"/>
      <c r="AG190" s="73"/>
      <c r="AH190" s="73"/>
      <c r="AI190" s="73"/>
      <c r="AJ190" s="73"/>
      <c r="AK190" s="73"/>
      <c r="AL190" s="73"/>
      <c r="AM190" s="73"/>
      <c r="AN190" s="73"/>
      <c r="AO190" s="73"/>
      <c r="AP190" s="73"/>
      <c r="AQ190" s="74"/>
      <c r="AR190" s="75"/>
      <c r="AS190" s="11"/>
      <c r="AT190" s="11"/>
      <c r="AU190" s="76"/>
      <c r="AV190" s="76"/>
      <c r="AW190" s="77"/>
      <c r="AX190" s="78"/>
      <c r="AY190" s="78"/>
      <c r="AZ190" s="79"/>
      <c r="BA190" s="78"/>
      <c r="BB190" s="71"/>
    </row>
    <row r="191" spans="1:64" x14ac:dyDescent="0.25">
      <c r="A191" s="75"/>
      <c r="B191" s="78"/>
      <c r="C191" s="78"/>
      <c r="D191" s="78"/>
      <c r="E191" s="80"/>
      <c r="F191" s="80"/>
      <c r="G191" s="80"/>
      <c r="H191" s="80"/>
      <c r="I191" s="80"/>
      <c r="J191" s="80"/>
      <c r="K191" s="80"/>
      <c r="L191" s="80"/>
      <c r="M191" s="80"/>
      <c r="N191" s="80"/>
      <c r="O191" s="80"/>
      <c r="P191" s="80"/>
      <c r="Q191" s="80"/>
      <c r="R191" s="80"/>
      <c r="S191" s="80"/>
      <c r="T191" s="80"/>
      <c r="U191" s="80"/>
      <c r="V191" s="80"/>
      <c r="W191" s="80"/>
      <c r="X191" s="80"/>
      <c r="Y191" s="80"/>
      <c r="Z191" s="80"/>
      <c r="AA191" s="80"/>
      <c r="AB191" s="80"/>
      <c r="AC191" s="80"/>
      <c r="AD191" s="80"/>
      <c r="AE191" s="80"/>
      <c r="AF191" s="80"/>
      <c r="AG191" s="80"/>
      <c r="AH191" s="80"/>
      <c r="AI191" s="80"/>
      <c r="AJ191" s="80"/>
      <c r="AK191" s="80"/>
      <c r="AL191" s="80"/>
      <c r="AM191" s="80"/>
      <c r="AN191" s="80"/>
      <c r="AO191" s="80"/>
      <c r="AP191" s="80"/>
      <c r="AQ191" s="81"/>
      <c r="AR191" s="75"/>
      <c r="AS191" s="132"/>
      <c r="AT191" s="133"/>
      <c r="AU191" s="133"/>
      <c r="AV191" s="133"/>
      <c r="AW191" s="134"/>
      <c r="AX191" s="78"/>
      <c r="AY191" s="78"/>
      <c r="AZ191" s="78"/>
      <c r="BA191" s="78"/>
      <c r="BB191" s="71"/>
    </row>
    <row r="192" spans="1:64" x14ac:dyDescent="0.25">
      <c r="A192" s="75"/>
      <c r="B192" s="78"/>
      <c r="C192" s="78"/>
      <c r="D192" s="78"/>
      <c r="E192" s="80"/>
      <c r="F192" s="80"/>
      <c r="G192" s="80"/>
      <c r="H192" s="80"/>
      <c r="I192" s="80"/>
      <c r="J192" s="80"/>
      <c r="K192" s="80"/>
      <c r="L192" s="80"/>
      <c r="M192" s="80"/>
      <c r="N192" s="80"/>
      <c r="O192" s="80"/>
      <c r="P192" s="80"/>
      <c r="Q192" s="80"/>
      <c r="R192" s="80"/>
      <c r="S192" s="80"/>
      <c r="T192" s="80"/>
      <c r="U192" s="80"/>
      <c r="V192" s="80"/>
      <c r="W192" s="80"/>
      <c r="X192" s="80"/>
      <c r="Y192" s="80"/>
      <c r="Z192" s="80"/>
      <c r="AA192" s="80"/>
      <c r="AB192" s="80"/>
      <c r="AC192" s="80"/>
      <c r="AD192" s="80"/>
      <c r="AE192" s="80"/>
      <c r="AF192" s="80"/>
      <c r="AG192" s="80"/>
      <c r="AH192" s="80"/>
      <c r="AI192" s="80"/>
      <c r="AJ192" s="80"/>
      <c r="AK192" s="80"/>
      <c r="AL192" s="80"/>
      <c r="AM192" s="80"/>
      <c r="AN192" s="80"/>
      <c r="AO192" s="80"/>
      <c r="AP192" s="80"/>
      <c r="AQ192" s="81"/>
      <c r="AR192" s="75"/>
      <c r="AS192" s="82"/>
      <c r="AT192" s="83"/>
      <c r="AU192" s="84"/>
      <c r="AV192" s="84"/>
      <c r="AW192" s="85"/>
      <c r="AX192" s="78"/>
      <c r="AY192" s="78"/>
      <c r="AZ192" s="78"/>
      <c r="BA192" s="78"/>
      <c r="BB192" s="71"/>
    </row>
    <row r="193" spans="1:54" x14ac:dyDescent="0.25">
      <c r="A193" s="86" t="s">
        <v>36</v>
      </c>
      <c r="B193" s="78"/>
      <c r="C193" s="78"/>
      <c r="D193" s="78"/>
      <c r="E193" s="80"/>
      <c r="F193" s="80"/>
      <c r="G193" s="80"/>
      <c r="H193" s="80"/>
      <c r="I193" s="80"/>
      <c r="J193" s="80"/>
      <c r="K193" s="80"/>
      <c r="L193" s="80"/>
      <c r="M193" s="80"/>
      <c r="N193" s="80"/>
      <c r="O193" s="80"/>
      <c r="P193" s="80"/>
      <c r="Q193" s="80"/>
      <c r="R193" s="80"/>
      <c r="S193" s="80"/>
      <c r="T193" s="80"/>
      <c r="U193" s="80"/>
      <c r="V193" s="80"/>
      <c r="W193" s="80"/>
      <c r="X193" s="80"/>
      <c r="Y193" s="80"/>
      <c r="Z193" s="80"/>
      <c r="AA193" s="80"/>
      <c r="AB193" s="80"/>
      <c r="AC193" s="80"/>
      <c r="AD193" s="80"/>
      <c r="AE193" s="80"/>
      <c r="AF193" s="80"/>
      <c r="AG193" s="80"/>
      <c r="AH193" s="80"/>
      <c r="AI193" s="80"/>
      <c r="AJ193" s="80"/>
      <c r="AK193" s="80"/>
      <c r="AL193" s="80"/>
      <c r="AM193" s="80"/>
      <c r="AN193" s="80"/>
      <c r="AO193" s="80"/>
      <c r="AP193" s="80"/>
      <c r="AQ193" s="81"/>
      <c r="AR193" s="75"/>
      <c r="AS193" s="87"/>
      <c r="AT193" s="87"/>
      <c r="AU193" s="87"/>
      <c r="AV193" s="87"/>
      <c r="AW193" s="85"/>
      <c r="AX193" s="78"/>
      <c r="AY193" s="78"/>
      <c r="AZ193" s="78"/>
      <c r="BA193" s="78"/>
      <c r="BB193" s="71"/>
    </row>
    <row r="194" spans="1:54" x14ac:dyDescent="0.25">
      <c r="A194" s="86" t="s">
        <v>37</v>
      </c>
      <c r="B194" s="78"/>
      <c r="C194" s="78"/>
      <c r="D194" s="78"/>
      <c r="E194" s="80"/>
      <c r="F194" s="80"/>
      <c r="G194" s="80"/>
      <c r="H194" s="80"/>
      <c r="I194" s="80"/>
      <c r="J194" s="80"/>
      <c r="K194" s="80"/>
      <c r="L194" s="80"/>
      <c r="M194" s="80"/>
      <c r="N194" s="80"/>
      <c r="O194" s="80"/>
      <c r="P194" s="80"/>
      <c r="Q194" s="80"/>
      <c r="R194" s="80"/>
      <c r="S194" s="80"/>
      <c r="T194" s="80"/>
      <c r="U194" s="80"/>
      <c r="V194" s="80"/>
      <c r="W194" s="80"/>
      <c r="X194" s="80"/>
      <c r="Y194" s="80"/>
      <c r="Z194" s="80"/>
      <c r="AA194" s="80"/>
      <c r="AB194" s="80"/>
      <c r="AC194" s="80"/>
      <c r="AD194" s="80"/>
      <c r="AE194" s="80"/>
      <c r="AF194" s="80"/>
      <c r="AG194" s="80"/>
      <c r="AH194" s="80"/>
      <c r="AI194" s="80"/>
      <c r="AJ194" s="80"/>
      <c r="AK194" s="80"/>
      <c r="AL194" s="80"/>
      <c r="AM194" s="80"/>
      <c r="AN194" s="80"/>
      <c r="AO194" s="80"/>
      <c r="AP194" s="80"/>
      <c r="AQ194" s="81"/>
      <c r="AR194" s="75"/>
      <c r="AS194" s="87"/>
      <c r="AT194" s="87"/>
      <c r="AU194" s="82"/>
      <c r="AV194" s="82"/>
      <c r="AW194" s="88"/>
      <c r="AX194" s="78"/>
      <c r="AY194" s="89"/>
      <c r="AZ194" s="78"/>
      <c r="BA194" s="78"/>
      <c r="BB194" s="71"/>
    </row>
    <row r="195" spans="1:54" ht="16.5" thickBot="1" x14ac:dyDescent="0.3">
      <c r="A195" s="90"/>
      <c r="B195" s="91"/>
      <c r="C195" s="91"/>
      <c r="D195" s="91"/>
      <c r="E195" s="92"/>
      <c r="F195" s="92"/>
      <c r="G195" s="92"/>
      <c r="H195" s="92"/>
      <c r="I195" s="92"/>
      <c r="J195" s="92"/>
      <c r="K195" s="92"/>
      <c r="L195" s="92"/>
      <c r="M195" s="92"/>
      <c r="N195" s="92"/>
      <c r="O195" s="92"/>
      <c r="P195" s="92"/>
      <c r="Q195" s="92"/>
      <c r="R195" s="92"/>
      <c r="S195" s="92"/>
      <c r="T195" s="92"/>
      <c r="U195" s="92"/>
      <c r="V195" s="92"/>
      <c r="W195" s="92"/>
      <c r="X195" s="92"/>
      <c r="Y195" s="92"/>
      <c r="Z195" s="92"/>
      <c r="AA195" s="92"/>
      <c r="AB195" s="92"/>
      <c r="AC195" s="92"/>
      <c r="AD195" s="92"/>
      <c r="AE195" s="92"/>
      <c r="AF195" s="92"/>
      <c r="AG195" s="92"/>
      <c r="AH195" s="92"/>
      <c r="AI195" s="92"/>
      <c r="AJ195" s="92"/>
      <c r="AK195" s="92"/>
      <c r="AL195" s="92"/>
      <c r="AM195" s="92"/>
      <c r="AN195" s="92"/>
      <c r="AO195" s="92"/>
      <c r="AP195" s="92"/>
      <c r="AQ195" s="93"/>
      <c r="AR195" s="75"/>
      <c r="AS195" s="94"/>
      <c r="AT195" s="94"/>
      <c r="AU195" s="94"/>
      <c r="AV195" s="94"/>
      <c r="AW195" s="95"/>
      <c r="AX195" s="78"/>
      <c r="AY195" s="78"/>
      <c r="AZ195" s="78"/>
      <c r="BA195" s="78"/>
      <c r="BB195" s="71"/>
    </row>
    <row r="209" spans="2:2" x14ac:dyDescent="0.25">
      <c r="B209" s="97"/>
    </row>
  </sheetData>
  <mergeCells count="16">
    <mergeCell ref="AS191:AW191"/>
    <mergeCell ref="A1:AX1"/>
    <mergeCell ref="AZ1:BA1"/>
    <mergeCell ref="A2:AX2"/>
    <mergeCell ref="A4:AQ4"/>
    <mergeCell ref="AS4:BB4"/>
    <mergeCell ref="A186:D189"/>
    <mergeCell ref="AP186:AP187"/>
    <mergeCell ref="AQ186:AQ187"/>
    <mergeCell ref="AU186:AV186"/>
    <mergeCell ref="AW186:AX186"/>
    <mergeCell ref="AY186:AZ187"/>
    <mergeCell ref="BA186:BA187"/>
    <mergeCell ref="AU187:AX188"/>
    <mergeCell ref="AY188:AZ188"/>
    <mergeCell ref="AV189:AW1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MASTERFILE</vt:lpstr>
      <vt:lpstr>GRAB PANDAMART CAL</vt:lpstr>
      <vt:lpstr>PRICE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Rajvir ARORA</dc:creator>
  <cp:lastModifiedBy>banpreet.saluja@gmail.com</cp:lastModifiedBy>
  <dcterms:created xsi:type="dcterms:W3CDTF">2026-01-23T01:46:06Z</dcterms:created>
  <dcterms:modified xsi:type="dcterms:W3CDTF">2026-05-08T07:49:53Z</dcterms:modified>
</cp:coreProperties>
</file>