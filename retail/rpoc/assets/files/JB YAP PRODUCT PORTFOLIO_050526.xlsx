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arw/Downloads/"/>
    </mc:Choice>
  </mc:AlternateContent>
  <xr:revisionPtr revIDLastSave="0" documentId="8_{3B0A138F-4977-814B-BE9E-3B6616EFDE31}" xr6:coauthVersionLast="47" xr6:coauthVersionMax="47" xr10:uidLastSave="{00000000-0000-0000-0000-000000000000}"/>
  <bookViews>
    <workbookView xWindow="0" yWindow="740" windowWidth="29400" windowHeight="17140" activeTab="2" xr2:uid="{00000000-000D-0000-FFFF-FFFF00000000}"/>
  </bookViews>
  <sheets>
    <sheet name="Consolidated_SKUs" sheetId="3" r:id="rId1"/>
    <sheet name="PRICE CHANGE" sheetId="4" r:id="rId2"/>
    <sheet name="GRAB PANDAMART CAL" sheetId="5" r:id="rId3"/>
    <sheet name="26-02453" sheetId="2" r:id="rId4"/>
    <sheet name="25-15580" sheetId="1" r:id="rId5"/>
  </sheets>
  <definedNames>
    <definedName name="_xlnm._FilterDatabase" localSheetId="4" hidden="1">'25-15580'!$A$6:$S$64</definedName>
    <definedName name="_xlnm._FilterDatabase" localSheetId="3" hidden="1">'26-02453'!$A$6:$S$70</definedName>
    <definedName name="_xlnm._FilterDatabase" localSheetId="0" hidden="1">Consolidated_SKUs!$A$5:$U$188</definedName>
    <definedName name="_xlnm.Print_Area" localSheetId="4">'25-15580'!$A$1:$S$76</definedName>
    <definedName name="_xlnm.Print_Area" localSheetId="0">Consolidated_SKUs!$A:$U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84" i="5" l="1"/>
  <c r="X184" i="5" s="1"/>
  <c r="M184" i="5"/>
  <c r="I184" i="5"/>
  <c r="E184" i="5"/>
  <c r="Q184" i="5" s="1"/>
  <c r="V183" i="5"/>
  <c r="X183" i="5" s="1"/>
  <c r="M183" i="5"/>
  <c r="I183" i="5"/>
  <c r="E183" i="5"/>
  <c r="Q183" i="5" s="1"/>
  <c r="V182" i="5"/>
  <c r="X182" i="5" s="1"/>
  <c r="M182" i="5"/>
  <c r="I182" i="5"/>
  <c r="E182" i="5"/>
  <c r="Q182" i="5" s="1"/>
  <c r="V181" i="5"/>
  <c r="X181" i="5" s="1"/>
  <c r="M181" i="5"/>
  <c r="I181" i="5"/>
  <c r="E181" i="5"/>
  <c r="Q181" i="5" s="1"/>
  <c r="V180" i="5"/>
  <c r="X180" i="5" s="1"/>
  <c r="M180" i="5"/>
  <c r="I180" i="5"/>
  <c r="E180" i="5"/>
  <c r="Q180" i="5" s="1"/>
  <c r="V179" i="5"/>
  <c r="X179" i="5" s="1"/>
  <c r="M179" i="5"/>
  <c r="I179" i="5"/>
  <c r="E179" i="5"/>
  <c r="Q179" i="5" s="1"/>
  <c r="V178" i="5"/>
  <c r="X178" i="5" s="1"/>
  <c r="M178" i="5"/>
  <c r="I178" i="5"/>
  <c r="E178" i="5"/>
  <c r="Q178" i="5" s="1"/>
  <c r="V177" i="5"/>
  <c r="X177" i="5" s="1"/>
  <c r="M177" i="5"/>
  <c r="I177" i="5"/>
  <c r="E177" i="5"/>
  <c r="Q177" i="5" s="1"/>
  <c r="V176" i="5"/>
  <c r="X176" i="5" s="1"/>
  <c r="M176" i="5"/>
  <c r="I176" i="5"/>
  <c r="E176" i="5"/>
  <c r="Q176" i="5" s="1"/>
  <c r="V175" i="5"/>
  <c r="X175" i="5" s="1"/>
  <c r="M175" i="5"/>
  <c r="I175" i="5"/>
  <c r="E175" i="5"/>
  <c r="Q175" i="5" s="1"/>
  <c r="V174" i="5"/>
  <c r="X174" i="5" s="1"/>
  <c r="M174" i="5"/>
  <c r="I174" i="5"/>
  <c r="E174" i="5"/>
  <c r="Q174" i="5" s="1"/>
  <c r="V173" i="5"/>
  <c r="X173" i="5" s="1"/>
  <c r="M173" i="5"/>
  <c r="I173" i="5"/>
  <c r="E173" i="5"/>
  <c r="Q173" i="5" s="1"/>
  <c r="V172" i="5"/>
  <c r="X172" i="5" s="1"/>
  <c r="M172" i="5"/>
  <c r="I172" i="5"/>
  <c r="E172" i="5"/>
  <c r="Q172" i="5" s="1"/>
  <c r="V171" i="5"/>
  <c r="X171" i="5" s="1"/>
  <c r="M171" i="5"/>
  <c r="I171" i="5"/>
  <c r="E171" i="5"/>
  <c r="Q171" i="5" s="1"/>
  <c r="V170" i="5"/>
  <c r="X170" i="5" s="1"/>
  <c r="M170" i="5"/>
  <c r="I170" i="5"/>
  <c r="E170" i="5"/>
  <c r="Q170" i="5" s="1"/>
  <c r="V169" i="5"/>
  <c r="X169" i="5" s="1"/>
  <c r="M169" i="5"/>
  <c r="I169" i="5"/>
  <c r="E169" i="5"/>
  <c r="Q169" i="5" s="1"/>
  <c r="V168" i="5"/>
  <c r="X168" i="5" s="1"/>
  <c r="H168" i="5"/>
  <c r="E168" i="5"/>
  <c r="Q168" i="5" s="1"/>
  <c r="V167" i="5"/>
  <c r="X167" i="5" s="1"/>
  <c r="H167" i="5"/>
  <c r="E167" i="5"/>
  <c r="Q167" i="5" s="1"/>
  <c r="V166" i="5"/>
  <c r="X166" i="5" s="1"/>
  <c r="H166" i="5"/>
  <c r="E166" i="5"/>
  <c r="Q166" i="5" s="1"/>
  <c r="V165" i="5"/>
  <c r="X165" i="5" s="1"/>
  <c r="H165" i="5"/>
  <c r="E165" i="5"/>
  <c r="Q165" i="5" s="1"/>
  <c r="V164" i="5"/>
  <c r="X164" i="5" s="1"/>
  <c r="H164" i="5"/>
  <c r="E164" i="5"/>
  <c r="Q164" i="5" s="1"/>
  <c r="V163" i="5"/>
  <c r="X163" i="5" s="1"/>
  <c r="H163" i="5"/>
  <c r="E163" i="5"/>
  <c r="Q163" i="5" s="1"/>
  <c r="V162" i="5"/>
  <c r="X162" i="5" s="1"/>
  <c r="H162" i="5"/>
  <c r="E162" i="5"/>
  <c r="Q162" i="5" s="1"/>
  <c r="V161" i="5"/>
  <c r="X161" i="5" s="1"/>
  <c r="M161" i="5"/>
  <c r="I161" i="5"/>
  <c r="E161" i="5"/>
  <c r="Q161" i="5" s="1"/>
  <c r="V160" i="5"/>
  <c r="X160" i="5" s="1"/>
  <c r="M160" i="5"/>
  <c r="I160" i="5"/>
  <c r="E160" i="5"/>
  <c r="Q160" i="5" s="1"/>
  <c r="V159" i="5"/>
  <c r="X159" i="5" s="1"/>
  <c r="M159" i="5"/>
  <c r="I159" i="5"/>
  <c r="E159" i="5"/>
  <c r="Q159" i="5" s="1"/>
  <c r="V158" i="5"/>
  <c r="X158" i="5" s="1"/>
  <c r="M158" i="5"/>
  <c r="I158" i="5"/>
  <c r="E158" i="5"/>
  <c r="Q158" i="5" s="1"/>
  <c r="V157" i="5"/>
  <c r="X157" i="5" s="1"/>
  <c r="M157" i="5"/>
  <c r="I157" i="5"/>
  <c r="E157" i="5"/>
  <c r="Q157" i="5" s="1"/>
  <c r="V156" i="5"/>
  <c r="X156" i="5" s="1"/>
  <c r="M156" i="5"/>
  <c r="I156" i="5"/>
  <c r="E156" i="5"/>
  <c r="Q156" i="5" s="1"/>
  <c r="V155" i="5"/>
  <c r="X155" i="5" s="1"/>
  <c r="M155" i="5"/>
  <c r="I155" i="5"/>
  <c r="E155" i="5"/>
  <c r="Q155" i="5" s="1"/>
  <c r="V154" i="5"/>
  <c r="X154" i="5" s="1"/>
  <c r="M154" i="5"/>
  <c r="I154" i="5"/>
  <c r="E154" i="5"/>
  <c r="Q154" i="5" s="1"/>
  <c r="V153" i="5"/>
  <c r="X153" i="5" s="1"/>
  <c r="M153" i="5"/>
  <c r="I153" i="5"/>
  <c r="E153" i="5"/>
  <c r="Q153" i="5" s="1"/>
  <c r="V152" i="5"/>
  <c r="X152" i="5" s="1"/>
  <c r="Q152" i="5"/>
  <c r="M152" i="5"/>
  <c r="H152" i="5"/>
  <c r="I152" i="5" s="1"/>
  <c r="E152" i="5"/>
  <c r="V151" i="5"/>
  <c r="X151" i="5" s="1"/>
  <c r="M151" i="5"/>
  <c r="I151" i="5"/>
  <c r="E151" i="5"/>
  <c r="Q151" i="5" s="1"/>
  <c r="V150" i="5"/>
  <c r="X150" i="5" s="1"/>
  <c r="M150" i="5"/>
  <c r="I150" i="5"/>
  <c r="E150" i="5"/>
  <c r="Q150" i="5" s="1"/>
  <c r="V149" i="5"/>
  <c r="X149" i="5" s="1"/>
  <c r="M149" i="5"/>
  <c r="I149" i="5"/>
  <c r="E149" i="5"/>
  <c r="Q149" i="5" s="1"/>
  <c r="V148" i="5"/>
  <c r="X148" i="5" s="1"/>
  <c r="M148" i="5"/>
  <c r="I148" i="5"/>
  <c r="E148" i="5"/>
  <c r="Q148" i="5" s="1"/>
  <c r="V147" i="5"/>
  <c r="X147" i="5" s="1"/>
  <c r="M147" i="5"/>
  <c r="I147" i="5"/>
  <c r="E147" i="5"/>
  <c r="Q147" i="5" s="1"/>
  <c r="V146" i="5"/>
  <c r="X146" i="5" s="1"/>
  <c r="M146" i="5"/>
  <c r="I146" i="5"/>
  <c r="E146" i="5"/>
  <c r="Q146" i="5" s="1"/>
  <c r="V145" i="5"/>
  <c r="X145" i="5" s="1"/>
  <c r="H145" i="5"/>
  <c r="E145" i="5"/>
  <c r="Q145" i="5" s="1"/>
  <c r="V144" i="5"/>
  <c r="X144" i="5" s="1"/>
  <c r="H144" i="5"/>
  <c r="E144" i="5"/>
  <c r="Q144" i="5" s="1"/>
  <c r="V143" i="5"/>
  <c r="X143" i="5" s="1"/>
  <c r="H143" i="5"/>
  <c r="E143" i="5"/>
  <c r="Q143" i="5" s="1"/>
  <c r="V142" i="5"/>
  <c r="X142" i="5" s="1"/>
  <c r="H142" i="5"/>
  <c r="E142" i="5"/>
  <c r="Q142" i="5" s="1"/>
  <c r="V141" i="5"/>
  <c r="X141" i="5" s="1"/>
  <c r="H141" i="5"/>
  <c r="E141" i="5"/>
  <c r="Q141" i="5" s="1"/>
  <c r="V140" i="5"/>
  <c r="X140" i="5" s="1"/>
  <c r="H140" i="5"/>
  <c r="E140" i="5"/>
  <c r="Q140" i="5" s="1"/>
  <c r="V139" i="5"/>
  <c r="X139" i="5" s="1"/>
  <c r="M139" i="5"/>
  <c r="I139" i="5"/>
  <c r="E139" i="5"/>
  <c r="Q139" i="5" s="1"/>
  <c r="V138" i="5"/>
  <c r="X138" i="5" s="1"/>
  <c r="M138" i="5"/>
  <c r="I138" i="5"/>
  <c r="E138" i="5"/>
  <c r="Q138" i="5" s="1"/>
  <c r="V137" i="5"/>
  <c r="X137" i="5" s="1"/>
  <c r="M137" i="5"/>
  <c r="I137" i="5"/>
  <c r="E137" i="5"/>
  <c r="Q137" i="5" s="1"/>
  <c r="V136" i="5"/>
  <c r="X136" i="5" s="1"/>
  <c r="M136" i="5"/>
  <c r="I136" i="5"/>
  <c r="E136" i="5"/>
  <c r="Q136" i="5" s="1"/>
  <c r="V135" i="5"/>
  <c r="X135" i="5" s="1"/>
  <c r="M135" i="5"/>
  <c r="I135" i="5"/>
  <c r="E135" i="5"/>
  <c r="Q135" i="5" s="1"/>
  <c r="V134" i="5"/>
  <c r="X134" i="5" s="1"/>
  <c r="M134" i="5"/>
  <c r="I134" i="5"/>
  <c r="E134" i="5"/>
  <c r="Q134" i="5" s="1"/>
  <c r="V133" i="5"/>
  <c r="X133" i="5" s="1"/>
  <c r="M133" i="5"/>
  <c r="I133" i="5"/>
  <c r="E133" i="5"/>
  <c r="Q133" i="5" s="1"/>
  <c r="V132" i="5"/>
  <c r="X132" i="5" s="1"/>
  <c r="M132" i="5"/>
  <c r="I132" i="5"/>
  <c r="E132" i="5"/>
  <c r="Q132" i="5" s="1"/>
  <c r="V131" i="5"/>
  <c r="X131" i="5" s="1"/>
  <c r="M131" i="5"/>
  <c r="I131" i="5"/>
  <c r="E131" i="5"/>
  <c r="Q131" i="5" s="1"/>
  <c r="V130" i="5"/>
  <c r="X130" i="5" s="1"/>
  <c r="M130" i="5"/>
  <c r="I130" i="5"/>
  <c r="E130" i="5"/>
  <c r="Q130" i="5" s="1"/>
  <c r="V129" i="5"/>
  <c r="X129" i="5" s="1"/>
  <c r="M129" i="5"/>
  <c r="I129" i="5"/>
  <c r="E129" i="5"/>
  <c r="Q129" i="5" s="1"/>
  <c r="V128" i="5"/>
  <c r="X128" i="5" s="1"/>
  <c r="H128" i="5"/>
  <c r="E128" i="5"/>
  <c r="Q128" i="5" s="1"/>
  <c r="V127" i="5"/>
  <c r="X127" i="5" s="1"/>
  <c r="H127" i="5"/>
  <c r="E127" i="5"/>
  <c r="Q127" i="5" s="1"/>
  <c r="V126" i="5"/>
  <c r="X126" i="5" s="1"/>
  <c r="H126" i="5"/>
  <c r="E126" i="5"/>
  <c r="Q126" i="5" s="1"/>
  <c r="V125" i="5"/>
  <c r="X125" i="5" s="1"/>
  <c r="H125" i="5"/>
  <c r="E125" i="5"/>
  <c r="Q125" i="5" s="1"/>
  <c r="V124" i="5"/>
  <c r="X124" i="5" s="1"/>
  <c r="H124" i="5"/>
  <c r="E124" i="5"/>
  <c r="Q124" i="5" s="1"/>
  <c r="V123" i="5"/>
  <c r="X123" i="5" s="1"/>
  <c r="H123" i="5"/>
  <c r="E123" i="5"/>
  <c r="Q123" i="5" s="1"/>
  <c r="V122" i="5"/>
  <c r="X122" i="5" s="1"/>
  <c r="M122" i="5"/>
  <c r="I122" i="5"/>
  <c r="E122" i="5"/>
  <c r="Q122" i="5" s="1"/>
  <c r="V121" i="5"/>
  <c r="X121" i="5" s="1"/>
  <c r="M121" i="5"/>
  <c r="I121" i="5"/>
  <c r="E121" i="5"/>
  <c r="Q121" i="5" s="1"/>
  <c r="V120" i="5"/>
  <c r="X120" i="5" s="1"/>
  <c r="M120" i="5"/>
  <c r="I120" i="5"/>
  <c r="E120" i="5"/>
  <c r="Q120" i="5" s="1"/>
  <c r="V119" i="5"/>
  <c r="X119" i="5" s="1"/>
  <c r="Q119" i="5"/>
  <c r="M119" i="5"/>
  <c r="L119" i="5"/>
  <c r="I119" i="5"/>
  <c r="J119" i="5" s="1"/>
  <c r="E119" i="5"/>
  <c r="V118" i="5"/>
  <c r="X118" i="5" s="1"/>
  <c r="M118" i="5"/>
  <c r="I118" i="5"/>
  <c r="E118" i="5"/>
  <c r="Q118" i="5" s="1"/>
  <c r="V117" i="5"/>
  <c r="X117" i="5" s="1"/>
  <c r="M117" i="5"/>
  <c r="I117" i="5"/>
  <c r="E117" i="5"/>
  <c r="Q117" i="5" s="1"/>
  <c r="V116" i="5"/>
  <c r="X116" i="5" s="1"/>
  <c r="M116" i="5"/>
  <c r="I116" i="5"/>
  <c r="E116" i="5"/>
  <c r="Q116" i="5" s="1"/>
  <c r="V115" i="5"/>
  <c r="X115" i="5" s="1"/>
  <c r="M115" i="5"/>
  <c r="I115" i="5"/>
  <c r="E115" i="5"/>
  <c r="Q115" i="5" s="1"/>
  <c r="V114" i="5"/>
  <c r="X114" i="5" s="1"/>
  <c r="M114" i="5"/>
  <c r="I114" i="5"/>
  <c r="E114" i="5"/>
  <c r="Q114" i="5" s="1"/>
  <c r="V113" i="5"/>
  <c r="X113" i="5" s="1"/>
  <c r="M113" i="5"/>
  <c r="I113" i="5"/>
  <c r="E113" i="5"/>
  <c r="Q113" i="5" s="1"/>
  <c r="V112" i="5"/>
  <c r="X112" i="5" s="1"/>
  <c r="M112" i="5"/>
  <c r="I112" i="5"/>
  <c r="E112" i="5"/>
  <c r="Q112" i="5" s="1"/>
  <c r="V111" i="5"/>
  <c r="X111" i="5" s="1"/>
  <c r="M111" i="5"/>
  <c r="I111" i="5"/>
  <c r="E111" i="5"/>
  <c r="Q111" i="5" s="1"/>
  <c r="V110" i="5"/>
  <c r="X110" i="5" s="1"/>
  <c r="M110" i="5"/>
  <c r="I110" i="5"/>
  <c r="E110" i="5"/>
  <c r="Q110" i="5" s="1"/>
  <c r="V109" i="5"/>
  <c r="X109" i="5" s="1"/>
  <c r="M109" i="5"/>
  <c r="I109" i="5"/>
  <c r="E109" i="5"/>
  <c r="Q109" i="5" s="1"/>
  <c r="V108" i="5"/>
  <c r="X108" i="5" s="1"/>
  <c r="M108" i="5"/>
  <c r="I108" i="5"/>
  <c r="E108" i="5"/>
  <c r="Q108" i="5" s="1"/>
  <c r="V107" i="5"/>
  <c r="X107" i="5" s="1"/>
  <c r="M107" i="5"/>
  <c r="I107" i="5"/>
  <c r="E107" i="5"/>
  <c r="Q107" i="5" s="1"/>
  <c r="V106" i="5"/>
  <c r="X106" i="5" s="1"/>
  <c r="M106" i="5"/>
  <c r="I106" i="5"/>
  <c r="E106" i="5"/>
  <c r="Q106" i="5" s="1"/>
  <c r="V105" i="5"/>
  <c r="X105" i="5" s="1"/>
  <c r="M105" i="5"/>
  <c r="I105" i="5"/>
  <c r="E105" i="5"/>
  <c r="Q105" i="5" s="1"/>
  <c r="V104" i="5"/>
  <c r="X104" i="5" s="1"/>
  <c r="M104" i="5"/>
  <c r="I104" i="5"/>
  <c r="E104" i="5"/>
  <c r="Q104" i="5" s="1"/>
  <c r="V103" i="5"/>
  <c r="X103" i="5" s="1"/>
  <c r="M103" i="5"/>
  <c r="I103" i="5"/>
  <c r="E103" i="5"/>
  <c r="Q103" i="5" s="1"/>
  <c r="V102" i="5"/>
  <c r="X102" i="5" s="1"/>
  <c r="M102" i="5"/>
  <c r="I102" i="5"/>
  <c r="E102" i="5"/>
  <c r="Q102" i="5" s="1"/>
  <c r="V101" i="5"/>
  <c r="X101" i="5" s="1"/>
  <c r="M101" i="5"/>
  <c r="I101" i="5"/>
  <c r="E101" i="5"/>
  <c r="Q101" i="5" s="1"/>
  <c r="V100" i="5"/>
  <c r="X100" i="5" s="1"/>
  <c r="M100" i="5"/>
  <c r="I100" i="5"/>
  <c r="E100" i="5"/>
  <c r="Q100" i="5" s="1"/>
  <c r="V99" i="5"/>
  <c r="X99" i="5" s="1"/>
  <c r="M99" i="5"/>
  <c r="I99" i="5"/>
  <c r="E99" i="5"/>
  <c r="Q99" i="5" s="1"/>
  <c r="V98" i="5"/>
  <c r="X98" i="5" s="1"/>
  <c r="M98" i="5"/>
  <c r="I98" i="5"/>
  <c r="E98" i="5"/>
  <c r="Q98" i="5" s="1"/>
  <c r="V97" i="5"/>
  <c r="X97" i="5" s="1"/>
  <c r="M97" i="5"/>
  <c r="I97" i="5"/>
  <c r="E97" i="5"/>
  <c r="Q97" i="5" s="1"/>
  <c r="V96" i="5"/>
  <c r="X96" i="5" s="1"/>
  <c r="M96" i="5"/>
  <c r="I96" i="5"/>
  <c r="E96" i="5"/>
  <c r="Q96" i="5" s="1"/>
  <c r="V95" i="5"/>
  <c r="X95" i="5" s="1"/>
  <c r="M95" i="5"/>
  <c r="I95" i="5"/>
  <c r="E95" i="5"/>
  <c r="Q95" i="5" s="1"/>
  <c r="V94" i="5"/>
  <c r="X94" i="5" s="1"/>
  <c r="M94" i="5"/>
  <c r="I94" i="5"/>
  <c r="E94" i="5"/>
  <c r="Q94" i="5" s="1"/>
  <c r="V93" i="5"/>
  <c r="X93" i="5" s="1"/>
  <c r="M93" i="5"/>
  <c r="I93" i="5"/>
  <c r="E93" i="5"/>
  <c r="Q93" i="5" s="1"/>
  <c r="V92" i="5"/>
  <c r="X92" i="5" s="1"/>
  <c r="M92" i="5"/>
  <c r="I92" i="5"/>
  <c r="E92" i="5"/>
  <c r="Q92" i="5" s="1"/>
  <c r="V91" i="5"/>
  <c r="X91" i="5" s="1"/>
  <c r="M91" i="5"/>
  <c r="I91" i="5"/>
  <c r="E91" i="5"/>
  <c r="Q91" i="5" s="1"/>
  <c r="V90" i="5"/>
  <c r="X90" i="5" s="1"/>
  <c r="M90" i="5"/>
  <c r="I90" i="5"/>
  <c r="E90" i="5"/>
  <c r="Q90" i="5" s="1"/>
  <c r="V89" i="5"/>
  <c r="X89" i="5" s="1"/>
  <c r="M89" i="5"/>
  <c r="I89" i="5"/>
  <c r="E89" i="5"/>
  <c r="Q89" i="5" s="1"/>
  <c r="V88" i="5"/>
  <c r="X88" i="5" s="1"/>
  <c r="M88" i="5"/>
  <c r="I88" i="5"/>
  <c r="E88" i="5"/>
  <c r="Q88" i="5" s="1"/>
  <c r="V87" i="5"/>
  <c r="X87" i="5" s="1"/>
  <c r="M87" i="5"/>
  <c r="I87" i="5"/>
  <c r="E87" i="5"/>
  <c r="Q87" i="5" s="1"/>
  <c r="V86" i="5"/>
  <c r="X86" i="5" s="1"/>
  <c r="M86" i="5"/>
  <c r="I86" i="5"/>
  <c r="E86" i="5"/>
  <c r="Q86" i="5" s="1"/>
  <c r="V85" i="5"/>
  <c r="X85" i="5" s="1"/>
  <c r="M85" i="5"/>
  <c r="I85" i="5"/>
  <c r="E85" i="5"/>
  <c r="Q85" i="5" s="1"/>
  <c r="V84" i="5"/>
  <c r="X84" i="5" s="1"/>
  <c r="M84" i="5"/>
  <c r="L84" i="5"/>
  <c r="I84" i="5"/>
  <c r="J84" i="5" s="1"/>
  <c r="E84" i="5"/>
  <c r="Q84" i="5" s="1"/>
  <c r="V83" i="5"/>
  <c r="X83" i="5" s="1"/>
  <c r="M83" i="5"/>
  <c r="I83" i="5"/>
  <c r="E83" i="5"/>
  <c r="Q83" i="5" s="1"/>
  <c r="V82" i="5"/>
  <c r="X82" i="5" s="1"/>
  <c r="M82" i="5"/>
  <c r="I82" i="5"/>
  <c r="E82" i="5"/>
  <c r="Q82" i="5" s="1"/>
  <c r="V81" i="5"/>
  <c r="X81" i="5" s="1"/>
  <c r="M81" i="5"/>
  <c r="I81" i="5"/>
  <c r="E81" i="5"/>
  <c r="Q81" i="5" s="1"/>
  <c r="V80" i="5"/>
  <c r="X80" i="5" s="1"/>
  <c r="M80" i="5"/>
  <c r="I80" i="5"/>
  <c r="E80" i="5"/>
  <c r="Q80" i="5" s="1"/>
  <c r="V79" i="5"/>
  <c r="X79" i="5" s="1"/>
  <c r="M79" i="5"/>
  <c r="I79" i="5"/>
  <c r="E79" i="5"/>
  <c r="Q79" i="5" s="1"/>
  <c r="V78" i="5"/>
  <c r="X78" i="5" s="1"/>
  <c r="M78" i="5"/>
  <c r="I78" i="5"/>
  <c r="E78" i="5"/>
  <c r="Q78" i="5" s="1"/>
  <c r="V77" i="5"/>
  <c r="X77" i="5" s="1"/>
  <c r="M77" i="5"/>
  <c r="I77" i="5"/>
  <c r="E77" i="5"/>
  <c r="Q77" i="5" s="1"/>
  <c r="V76" i="5"/>
  <c r="X76" i="5" s="1"/>
  <c r="M76" i="5"/>
  <c r="I76" i="5"/>
  <c r="E76" i="5"/>
  <c r="Q76" i="5" s="1"/>
  <c r="V75" i="5"/>
  <c r="X75" i="5" s="1"/>
  <c r="M75" i="5"/>
  <c r="I75" i="5"/>
  <c r="E75" i="5"/>
  <c r="Q75" i="5" s="1"/>
  <c r="V74" i="5"/>
  <c r="X74" i="5" s="1"/>
  <c r="M74" i="5"/>
  <c r="I74" i="5"/>
  <c r="E74" i="5"/>
  <c r="Q74" i="5" s="1"/>
  <c r="V73" i="5"/>
  <c r="X73" i="5" s="1"/>
  <c r="M73" i="5"/>
  <c r="I73" i="5"/>
  <c r="E73" i="5"/>
  <c r="Q73" i="5" s="1"/>
  <c r="V72" i="5"/>
  <c r="X72" i="5" s="1"/>
  <c r="M72" i="5"/>
  <c r="I72" i="5"/>
  <c r="E72" i="5"/>
  <c r="Q72" i="5" s="1"/>
  <c r="V71" i="5"/>
  <c r="X71" i="5" s="1"/>
  <c r="M71" i="5"/>
  <c r="I71" i="5"/>
  <c r="E71" i="5"/>
  <c r="Q71" i="5" s="1"/>
  <c r="V70" i="5"/>
  <c r="X70" i="5" s="1"/>
  <c r="M70" i="5"/>
  <c r="L70" i="5"/>
  <c r="I70" i="5"/>
  <c r="J70" i="5" s="1"/>
  <c r="E70" i="5"/>
  <c r="Q70" i="5" s="1"/>
  <c r="V69" i="5"/>
  <c r="X69" i="5" s="1"/>
  <c r="M69" i="5"/>
  <c r="I69" i="5"/>
  <c r="E69" i="5"/>
  <c r="Q69" i="5" s="1"/>
  <c r="V68" i="5"/>
  <c r="X68" i="5" s="1"/>
  <c r="M68" i="5"/>
  <c r="I68" i="5"/>
  <c r="E68" i="5"/>
  <c r="Q68" i="5" s="1"/>
  <c r="V67" i="5"/>
  <c r="X67" i="5" s="1"/>
  <c r="M67" i="5"/>
  <c r="I67" i="5"/>
  <c r="E67" i="5"/>
  <c r="Q67" i="5" s="1"/>
  <c r="V66" i="5"/>
  <c r="X66" i="5" s="1"/>
  <c r="M66" i="5"/>
  <c r="I66" i="5"/>
  <c r="E66" i="5"/>
  <c r="Q66" i="5" s="1"/>
  <c r="X65" i="5"/>
  <c r="V65" i="5"/>
  <c r="M65" i="5"/>
  <c r="I65" i="5"/>
  <c r="E65" i="5"/>
  <c r="Q65" i="5" s="1"/>
  <c r="V64" i="5"/>
  <c r="X64" i="5" s="1"/>
  <c r="M64" i="5"/>
  <c r="I64" i="5"/>
  <c r="E64" i="5"/>
  <c r="Q64" i="5" s="1"/>
  <c r="V63" i="5"/>
  <c r="X63" i="5" s="1"/>
  <c r="M63" i="5"/>
  <c r="I63" i="5"/>
  <c r="E63" i="5"/>
  <c r="Q63" i="5" s="1"/>
  <c r="V62" i="5"/>
  <c r="X62" i="5" s="1"/>
  <c r="M62" i="5"/>
  <c r="I62" i="5"/>
  <c r="E62" i="5"/>
  <c r="Q62" i="5" s="1"/>
  <c r="V61" i="5"/>
  <c r="X61" i="5" s="1"/>
  <c r="M61" i="5"/>
  <c r="I61" i="5"/>
  <c r="L61" i="5" s="1"/>
  <c r="E61" i="5"/>
  <c r="V60" i="5"/>
  <c r="X60" i="5" s="1"/>
  <c r="M60" i="5"/>
  <c r="I60" i="5"/>
  <c r="E60" i="5"/>
  <c r="Q60" i="5" s="1"/>
  <c r="V59" i="5"/>
  <c r="X59" i="5" s="1"/>
  <c r="M59" i="5"/>
  <c r="I59" i="5"/>
  <c r="E59" i="5"/>
  <c r="Q59" i="5" s="1"/>
  <c r="V58" i="5"/>
  <c r="X58" i="5" s="1"/>
  <c r="M58" i="5"/>
  <c r="I58" i="5"/>
  <c r="E58" i="5"/>
  <c r="Q58" i="5" s="1"/>
  <c r="V57" i="5"/>
  <c r="X57" i="5" s="1"/>
  <c r="M57" i="5"/>
  <c r="I57" i="5"/>
  <c r="E57" i="5"/>
  <c r="Q57" i="5" s="1"/>
  <c r="V56" i="5"/>
  <c r="X56" i="5" s="1"/>
  <c r="M56" i="5"/>
  <c r="I56" i="5"/>
  <c r="E56" i="5"/>
  <c r="Q56" i="5" s="1"/>
  <c r="V55" i="5"/>
  <c r="X55" i="5" s="1"/>
  <c r="M55" i="5"/>
  <c r="I55" i="5"/>
  <c r="E55" i="5"/>
  <c r="Q55" i="5" s="1"/>
  <c r="V54" i="5"/>
  <c r="X54" i="5" s="1"/>
  <c r="M54" i="5"/>
  <c r="I54" i="5"/>
  <c r="E54" i="5"/>
  <c r="Q54" i="5" s="1"/>
  <c r="V53" i="5"/>
  <c r="X53" i="5" s="1"/>
  <c r="M53" i="5"/>
  <c r="I53" i="5"/>
  <c r="E53" i="5"/>
  <c r="Q53" i="5" s="1"/>
  <c r="V52" i="5"/>
  <c r="X52" i="5" s="1"/>
  <c r="M52" i="5"/>
  <c r="I52" i="5"/>
  <c r="E52" i="5"/>
  <c r="Q52" i="5" s="1"/>
  <c r="V51" i="5"/>
  <c r="X51" i="5" s="1"/>
  <c r="M51" i="5"/>
  <c r="I51" i="5"/>
  <c r="E51" i="5"/>
  <c r="Q51" i="5" s="1"/>
  <c r="V50" i="5"/>
  <c r="X50" i="5" s="1"/>
  <c r="M50" i="5"/>
  <c r="I50" i="5"/>
  <c r="E50" i="5"/>
  <c r="Q50" i="5" s="1"/>
  <c r="V49" i="5"/>
  <c r="X49" i="5" s="1"/>
  <c r="M49" i="5"/>
  <c r="I49" i="5"/>
  <c r="E49" i="5"/>
  <c r="Q49" i="5" s="1"/>
  <c r="V48" i="5"/>
  <c r="X48" i="5" s="1"/>
  <c r="M48" i="5"/>
  <c r="I48" i="5"/>
  <c r="E48" i="5"/>
  <c r="Q48" i="5" s="1"/>
  <c r="V47" i="5"/>
  <c r="X47" i="5" s="1"/>
  <c r="M47" i="5"/>
  <c r="I47" i="5"/>
  <c r="E47" i="5"/>
  <c r="Q47" i="5" s="1"/>
  <c r="V46" i="5"/>
  <c r="X46" i="5" s="1"/>
  <c r="M46" i="5"/>
  <c r="I46" i="5"/>
  <c r="E46" i="5"/>
  <c r="Q46" i="5" s="1"/>
  <c r="V45" i="5"/>
  <c r="X45" i="5" s="1"/>
  <c r="M45" i="5"/>
  <c r="I45" i="5"/>
  <c r="E45" i="5"/>
  <c r="Q45" i="5" s="1"/>
  <c r="V44" i="5"/>
  <c r="X44" i="5" s="1"/>
  <c r="Q44" i="5"/>
  <c r="J44" i="5"/>
  <c r="I44" i="5"/>
  <c r="L44" i="5" s="1"/>
  <c r="V43" i="5"/>
  <c r="X43" i="5" s="1"/>
  <c r="M43" i="5"/>
  <c r="I43" i="5"/>
  <c r="E43" i="5"/>
  <c r="Q43" i="5" s="1"/>
  <c r="V42" i="5"/>
  <c r="X42" i="5" s="1"/>
  <c r="M42" i="5"/>
  <c r="I42" i="5"/>
  <c r="E42" i="5"/>
  <c r="Q42" i="5" s="1"/>
  <c r="V41" i="5"/>
  <c r="X41" i="5" s="1"/>
  <c r="H41" i="5"/>
  <c r="E41" i="5"/>
  <c r="Q41" i="5" s="1"/>
  <c r="V40" i="5"/>
  <c r="X40" i="5" s="1"/>
  <c r="H40" i="5"/>
  <c r="E40" i="5"/>
  <c r="Q40" i="5" s="1"/>
  <c r="V39" i="5"/>
  <c r="X39" i="5" s="1"/>
  <c r="H39" i="5"/>
  <c r="E39" i="5"/>
  <c r="Q39" i="5" s="1"/>
  <c r="V38" i="5"/>
  <c r="X38" i="5" s="1"/>
  <c r="H38" i="5"/>
  <c r="E38" i="5"/>
  <c r="Q38" i="5" s="1"/>
  <c r="V37" i="5"/>
  <c r="X37" i="5" s="1"/>
  <c r="H37" i="5"/>
  <c r="E37" i="5"/>
  <c r="Q37" i="5" s="1"/>
  <c r="V36" i="5"/>
  <c r="X36" i="5" s="1"/>
  <c r="H36" i="5"/>
  <c r="E36" i="5"/>
  <c r="Q36" i="5" s="1"/>
  <c r="V35" i="5"/>
  <c r="X35" i="5" s="1"/>
  <c r="H35" i="5"/>
  <c r="E35" i="5"/>
  <c r="Q35" i="5" s="1"/>
  <c r="V34" i="5"/>
  <c r="X34" i="5" s="1"/>
  <c r="H34" i="5"/>
  <c r="E34" i="5"/>
  <c r="Q34" i="5" s="1"/>
  <c r="V33" i="5"/>
  <c r="X33" i="5" s="1"/>
  <c r="H33" i="5"/>
  <c r="E33" i="5"/>
  <c r="Q33" i="5" s="1"/>
  <c r="V32" i="5"/>
  <c r="X32" i="5" s="1"/>
  <c r="M32" i="5"/>
  <c r="I32" i="5"/>
  <c r="E32" i="5"/>
  <c r="Q32" i="5" s="1"/>
  <c r="V31" i="5"/>
  <c r="X31" i="5" s="1"/>
  <c r="M31" i="5"/>
  <c r="I31" i="5"/>
  <c r="E31" i="5"/>
  <c r="Q31" i="5" s="1"/>
  <c r="V30" i="5"/>
  <c r="X30" i="5" s="1"/>
  <c r="M30" i="5"/>
  <c r="I30" i="5"/>
  <c r="E30" i="5"/>
  <c r="Q30" i="5" s="1"/>
  <c r="V29" i="5"/>
  <c r="X29" i="5" s="1"/>
  <c r="M29" i="5"/>
  <c r="I29" i="5"/>
  <c r="E29" i="5"/>
  <c r="Q29" i="5" s="1"/>
  <c r="V28" i="5"/>
  <c r="X28" i="5" s="1"/>
  <c r="H28" i="5"/>
  <c r="E28" i="5"/>
  <c r="Q28" i="5" s="1"/>
  <c r="V27" i="5"/>
  <c r="X27" i="5" s="1"/>
  <c r="H27" i="5"/>
  <c r="E27" i="5"/>
  <c r="Q27" i="5" s="1"/>
  <c r="V26" i="5"/>
  <c r="X26" i="5" s="1"/>
  <c r="H26" i="5"/>
  <c r="E26" i="5"/>
  <c r="Q26" i="5" s="1"/>
  <c r="V25" i="5"/>
  <c r="X25" i="5" s="1"/>
  <c r="H25" i="5"/>
  <c r="E25" i="5"/>
  <c r="Q25" i="5" s="1"/>
  <c r="V24" i="5"/>
  <c r="X24" i="5" s="1"/>
  <c r="M24" i="5"/>
  <c r="I24" i="5"/>
  <c r="E24" i="5"/>
  <c r="Q24" i="5" s="1"/>
  <c r="V23" i="5"/>
  <c r="X23" i="5" s="1"/>
  <c r="M23" i="5"/>
  <c r="I23" i="5"/>
  <c r="E23" i="5"/>
  <c r="Q23" i="5" s="1"/>
  <c r="V22" i="5"/>
  <c r="X22" i="5" s="1"/>
  <c r="M22" i="5"/>
  <c r="I22" i="5"/>
  <c r="E22" i="5"/>
  <c r="Q22" i="5" s="1"/>
  <c r="V21" i="5"/>
  <c r="X21" i="5" s="1"/>
  <c r="M21" i="5"/>
  <c r="I21" i="5"/>
  <c r="E21" i="5"/>
  <c r="Q21" i="5" s="1"/>
  <c r="V20" i="5"/>
  <c r="X20" i="5" s="1"/>
  <c r="M20" i="5"/>
  <c r="I20" i="5"/>
  <c r="E20" i="5"/>
  <c r="Q20" i="5" s="1"/>
  <c r="X19" i="5"/>
  <c r="V19" i="5"/>
  <c r="H19" i="5"/>
  <c r="E19" i="5"/>
  <c r="Q19" i="5" s="1"/>
  <c r="V18" i="5"/>
  <c r="X18" i="5" s="1"/>
  <c r="H18" i="5"/>
  <c r="E18" i="5"/>
  <c r="Q18" i="5" s="1"/>
  <c r="V17" i="5"/>
  <c r="X17" i="5" s="1"/>
  <c r="H17" i="5"/>
  <c r="E17" i="5"/>
  <c r="Q17" i="5" s="1"/>
  <c r="V16" i="5"/>
  <c r="X16" i="5" s="1"/>
  <c r="H16" i="5"/>
  <c r="E16" i="5"/>
  <c r="Q16" i="5" s="1"/>
  <c r="V15" i="5"/>
  <c r="X15" i="5" s="1"/>
  <c r="H15" i="5"/>
  <c r="E15" i="5"/>
  <c r="Q15" i="5" s="1"/>
  <c r="V14" i="5"/>
  <c r="X14" i="5" s="1"/>
  <c r="M14" i="5"/>
  <c r="I14" i="5"/>
  <c r="E14" i="5"/>
  <c r="Q14" i="5" s="1"/>
  <c r="V13" i="5"/>
  <c r="X13" i="5" s="1"/>
  <c r="M13" i="5"/>
  <c r="I13" i="5"/>
  <c r="E13" i="5"/>
  <c r="Q13" i="5" s="1"/>
  <c r="V12" i="5"/>
  <c r="X12" i="5" s="1"/>
  <c r="M12" i="5"/>
  <c r="I12" i="5"/>
  <c r="E12" i="5"/>
  <c r="Q12" i="5" s="1"/>
  <c r="V11" i="5"/>
  <c r="X11" i="5" s="1"/>
  <c r="M11" i="5"/>
  <c r="I11" i="5"/>
  <c r="E11" i="5"/>
  <c r="Q11" i="5" s="1"/>
  <c r="V10" i="5"/>
  <c r="X10" i="5" s="1"/>
  <c r="M10" i="5"/>
  <c r="I10" i="5"/>
  <c r="E10" i="5"/>
  <c r="Q10" i="5" s="1"/>
  <c r="V9" i="5"/>
  <c r="X9" i="5" s="1"/>
  <c r="M9" i="5"/>
  <c r="I9" i="5"/>
  <c r="E9" i="5"/>
  <c r="Q9" i="5" s="1"/>
  <c r="V8" i="5"/>
  <c r="X8" i="5" s="1"/>
  <c r="M8" i="5"/>
  <c r="I8" i="5"/>
  <c r="E8" i="5"/>
  <c r="Q8" i="5" s="1"/>
  <c r="V7" i="5"/>
  <c r="X7" i="5" s="1"/>
  <c r="M7" i="5"/>
  <c r="I7" i="5"/>
  <c r="E7" i="5"/>
  <c r="Q7" i="5" s="1"/>
  <c r="V6" i="5"/>
  <c r="X6" i="5" s="1"/>
  <c r="M6" i="5"/>
  <c r="I6" i="5"/>
  <c r="E6" i="5"/>
  <c r="Q6" i="5" s="1"/>
  <c r="V184" i="4"/>
  <c r="X184" i="4" s="1"/>
  <c r="M184" i="4"/>
  <c r="I184" i="4"/>
  <c r="E184" i="4"/>
  <c r="Q184" i="4" s="1"/>
  <c r="V183" i="4"/>
  <c r="X183" i="4" s="1"/>
  <c r="M183" i="4"/>
  <c r="I183" i="4"/>
  <c r="E183" i="4"/>
  <c r="Q183" i="4" s="1"/>
  <c r="V182" i="4"/>
  <c r="X182" i="4" s="1"/>
  <c r="M182" i="4"/>
  <c r="I182" i="4"/>
  <c r="E182" i="4"/>
  <c r="Q182" i="4" s="1"/>
  <c r="V181" i="4"/>
  <c r="X181" i="4" s="1"/>
  <c r="M181" i="4"/>
  <c r="I181" i="4"/>
  <c r="E181" i="4"/>
  <c r="Q181" i="4" s="1"/>
  <c r="V180" i="4"/>
  <c r="X180" i="4" s="1"/>
  <c r="M180" i="4"/>
  <c r="I180" i="4"/>
  <c r="E180" i="4"/>
  <c r="Q180" i="4" s="1"/>
  <c r="V179" i="4"/>
  <c r="X179" i="4" s="1"/>
  <c r="M179" i="4"/>
  <c r="I179" i="4"/>
  <c r="E179" i="4"/>
  <c r="Q179" i="4" s="1"/>
  <c r="V178" i="4"/>
  <c r="X178" i="4" s="1"/>
  <c r="M178" i="4"/>
  <c r="I178" i="4"/>
  <c r="E178" i="4"/>
  <c r="Q178" i="4" s="1"/>
  <c r="V177" i="4"/>
  <c r="X177" i="4" s="1"/>
  <c r="M177" i="4"/>
  <c r="I177" i="4"/>
  <c r="E177" i="4"/>
  <c r="Q177" i="4" s="1"/>
  <c r="V176" i="4"/>
  <c r="X176" i="4" s="1"/>
  <c r="M176" i="4"/>
  <c r="I176" i="4"/>
  <c r="E176" i="4"/>
  <c r="Q176" i="4" s="1"/>
  <c r="V175" i="4"/>
  <c r="X175" i="4" s="1"/>
  <c r="M175" i="4"/>
  <c r="I175" i="4"/>
  <c r="E175" i="4"/>
  <c r="Q175" i="4" s="1"/>
  <c r="V174" i="4"/>
  <c r="X174" i="4" s="1"/>
  <c r="M174" i="4"/>
  <c r="I174" i="4"/>
  <c r="E174" i="4"/>
  <c r="Q174" i="4" s="1"/>
  <c r="V173" i="4"/>
  <c r="X173" i="4" s="1"/>
  <c r="M173" i="4"/>
  <c r="I173" i="4"/>
  <c r="E173" i="4"/>
  <c r="Q173" i="4" s="1"/>
  <c r="V172" i="4"/>
  <c r="X172" i="4" s="1"/>
  <c r="M172" i="4"/>
  <c r="I172" i="4"/>
  <c r="E172" i="4"/>
  <c r="Q172" i="4" s="1"/>
  <c r="V171" i="4"/>
  <c r="X171" i="4" s="1"/>
  <c r="M171" i="4"/>
  <c r="I171" i="4"/>
  <c r="E171" i="4"/>
  <c r="Q171" i="4" s="1"/>
  <c r="V170" i="4"/>
  <c r="X170" i="4" s="1"/>
  <c r="M170" i="4"/>
  <c r="I170" i="4"/>
  <c r="E170" i="4"/>
  <c r="Q170" i="4" s="1"/>
  <c r="V169" i="4"/>
  <c r="X169" i="4" s="1"/>
  <c r="M169" i="4"/>
  <c r="I169" i="4"/>
  <c r="E169" i="4"/>
  <c r="Q169" i="4" s="1"/>
  <c r="V168" i="4"/>
  <c r="X168" i="4" s="1"/>
  <c r="H168" i="4"/>
  <c r="E168" i="4"/>
  <c r="Q168" i="4" s="1"/>
  <c r="V167" i="4"/>
  <c r="X167" i="4" s="1"/>
  <c r="H167" i="4"/>
  <c r="E167" i="4"/>
  <c r="Q167" i="4" s="1"/>
  <c r="V166" i="4"/>
  <c r="X166" i="4" s="1"/>
  <c r="H166" i="4"/>
  <c r="E166" i="4"/>
  <c r="Q166" i="4" s="1"/>
  <c r="V165" i="4"/>
  <c r="X165" i="4" s="1"/>
  <c r="H165" i="4"/>
  <c r="E165" i="4"/>
  <c r="Q165" i="4" s="1"/>
  <c r="V164" i="4"/>
  <c r="X164" i="4" s="1"/>
  <c r="H164" i="4"/>
  <c r="E164" i="4"/>
  <c r="Q164" i="4" s="1"/>
  <c r="V163" i="4"/>
  <c r="X163" i="4" s="1"/>
  <c r="H163" i="4"/>
  <c r="E163" i="4"/>
  <c r="Q163" i="4" s="1"/>
  <c r="V162" i="4"/>
  <c r="X162" i="4" s="1"/>
  <c r="H162" i="4"/>
  <c r="E162" i="4"/>
  <c r="Q162" i="4" s="1"/>
  <c r="V161" i="4"/>
  <c r="X161" i="4" s="1"/>
  <c r="M161" i="4"/>
  <c r="I161" i="4"/>
  <c r="E161" i="4"/>
  <c r="Q161" i="4" s="1"/>
  <c r="V160" i="4"/>
  <c r="X160" i="4" s="1"/>
  <c r="M160" i="4"/>
  <c r="I160" i="4"/>
  <c r="E160" i="4"/>
  <c r="Q160" i="4" s="1"/>
  <c r="V159" i="4"/>
  <c r="X159" i="4" s="1"/>
  <c r="M159" i="4"/>
  <c r="I159" i="4"/>
  <c r="E159" i="4"/>
  <c r="Q159" i="4" s="1"/>
  <c r="V158" i="4"/>
  <c r="X158" i="4" s="1"/>
  <c r="M158" i="4"/>
  <c r="I158" i="4"/>
  <c r="E158" i="4"/>
  <c r="Q158" i="4" s="1"/>
  <c r="V157" i="4"/>
  <c r="X157" i="4" s="1"/>
  <c r="M157" i="4"/>
  <c r="I157" i="4"/>
  <c r="E157" i="4"/>
  <c r="Q157" i="4" s="1"/>
  <c r="V156" i="4"/>
  <c r="X156" i="4" s="1"/>
  <c r="M156" i="4"/>
  <c r="I156" i="4"/>
  <c r="E156" i="4"/>
  <c r="Q156" i="4" s="1"/>
  <c r="V155" i="4"/>
  <c r="X155" i="4" s="1"/>
  <c r="M155" i="4"/>
  <c r="I155" i="4"/>
  <c r="E155" i="4"/>
  <c r="Q155" i="4" s="1"/>
  <c r="V154" i="4"/>
  <c r="X154" i="4" s="1"/>
  <c r="M154" i="4"/>
  <c r="I154" i="4"/>
  <c r="E154" i="4"/>
  <c r="Q154" i="4" s="1"/>
  <c r="V153" i="4"/>
  <c r="X153" i="4" s="1"/>
  <c r="M153" i="4"/>
  <c r="I153" i="4"/>
  <c r="E153" i="4"/>
  <c r="Q153" i="4" s="1"/>
  <c r="V152" i="4"/>
  <c r="X152" i="4" s="1"/>
  <c r="H152" i="4"/>
  <c r="E152" i="4"/>
  <c r="Q152" i="4" s="1"/>
  <c r="V151" i="4"/>
  <c r="X151" i="4" s="1"/>
  <c r="M151" i="4"/>
  <c r="I151" i="4"/>
  <c r="E151" i="4"/>
  <c r="Q151" i="4" s="1"/>
  <c r="V150" i="4"/>
  <c r="X150" i="4" s="1"/>
  <c r="M150" i="4"/>
  <c r="I150" i="4"/>
  <c r="E150" i="4"/>
  <c r="Q150" i="4" s="1"/>
  <c r="V149" i="4"/>
  <c r="X149" i="4" s="1"/>
  <c r="M149" i="4"/>
  <c r="I149" i="4"/>
  <c r="E149" i="4"/>
  <c r="Q149" i="4" s="1"/>
  <c r="V148" i="4"/>
  <c r="X148" i="4" s="1"/>
  <c r="M148" i="4"/>
  <c r="I148" i="4"/>
  <c r="E148" i="4"/>
  <c r="Q148" i="4" s="1"/>
  <c r="V147" i="4"/>
  <c r="X147" i="4" s="1"/>
  <c r="M147" i="4"/>
  <c r="I147" i="4"/>
  <c r="E147" i="4"/>
  <c r="Q147" i="4" s="1"/>
  <c r="V146" i="4"/>
  <c r="X146" i="4" s="1"/>
  <c r="M146" i="4"/>
  <c r="I146" i="4"/>
  <c r="E146" i="4"/>
  <c r="Q146" i="4" s="1"/>
  <c r="V145" i="4"/>
  <c r="X145" i="4" s="1"/>
  <c r="H145" i="4"/>
  <c r="E145" i="4"/>
  <c r="Q145" i="4" s="1"/>
  <c r="V144" i="4"/>
  <c r="X144" i="4" s="1"/>
  <c r="H144" i="4"/>
  <c r="E144" i="4"/>
  <c r="Q144" i="4" s="1"/>
  <c r="V143" i="4"/>
  <c r="X143" i="4" s="1"/>
  <c r="H143" i="4"/>
  <c r="E143" i="4"/>
  <c r="Q143" i="4" s="1"/>
  <c r="V142" i="4"/>
  <c r="X142" i="4" s="1"/>
  <c r="H142" i="4"/>
  <c r="E142" i="4"/>
  <c r="Q142" i="4" s="1"/>
  <c r="V141" i="4"/>
  <c r="X141" i="4" s="1"/>
  <c r="H141" i="4"/>
  <c r="E141" i="4"/>
  <c r="Q141" i="4" s="1"/>
  <c r="V140" i="4"/>
  <c r="X140" i="4" s="1"/>
  <c r="H140" i="4"/>
  <c r="E140" i="4"/>
  <c r="Q140" i="4" s="1"/>
  <c r="V139" i="4"/>
  <c r="X139" i="4" s="1"/>
  <c r="M139" i="4"/>
  <c r="I139" i="4"/>
  <c r="E139" i="4"/>
  <c r="Q139" i="4" s="1"/>
  <c r="V138" i="4"/>
  <c r="X138" i="4" s="1"/>
  <c r="M138" i="4"/>
  <c r="I138" i="4"/>
  <c r="E138" i="4"/>
  <c r="Q138" i="4" s="1"/>
  <c r="V137" i="4"/>
  <c r="X137" i="4" s="1"/>
  <c r="M137" i="4"/>
  <c r="I137" i="4"/>
  <c r="E137" i="4"/>
  <c r="Q137" i="4" s="1"/>
  <c r="V136" i="4"/>
  <c r="X136" i="4" s="1"/>
  <c r="M136" i="4"/>
  <c r="I136" i="4"/>
  <c r="E136" i="4"/>
  <c r="Q136" i="4" s="1"/>
  <c r="V135" i="4"/>
  <c r="X135" i="4" s="1"/>
  <c r="M135" i="4"/>
  <c r="I135" i="4"/>
  <c r="E135" i="4"/>
  <c r="Q135" i="4" s="1"/>
  <c r="V134" i="4"/>
  <c r="X134" i="4" s="1"/>
  <c r="M134" i="4"/>
  <c r="I134" i="4"/>
  <c r="E134" i="4"/>
  <c r="Q134" i="4" s="1"/>
  <c r="V133" i="4"/>
  <c r="X133" i="4" s="1"/>
  <c r="M133" i="4"/>
  <c r="I133" i="4"/>
  <c r="E133" i="4"/>
  <c r="Q133" i="4" s="1"/>
  <c r="V132" i="4"/>
  <c r="X132" i="4" s="1"/>
  <c r="M132" i="4"/>
  <c r="I132" i="4"/>
  <c r="E132" i="4"/>
  <c r="Q132" i="4" s="1"/>
  <c r="V131" i="4"/>
  <c r="X131" i="4" s="1"/>
  <c r="M131" i="4"/>
  <c r="I131" i="4"/>
  <c r="E131" i="4"/>
  <c r="Q131" i="4" s="1"/>
  <c r="V130" i="4"/>
  <c r="X130" i="4" s="1"/>
  <c r="M130" i="4"/>
  <c r="I130" i="4"/>
  <c r="E130" i="4"/>
  <c r="Q130" i="4" s="1"/>
  <c r="V129" i="4"/>
  <c r="X129" i="4" s="1"/>
  <c r="M129" i="4"/>
  <c r="I129" i="4"/>
  <c r="E129" i="4"/>
  <c r="Q129" i="4" s="1"/>
  <c r="V128" i="4"/>
  <c r="X128" i="4" s="1"/>
  <c r="H128" i="4"/>
  <c r="E128" i="4"/>
  <c r="Q128" i="4" s="1"/>
  <c r="V127" i="4"/>
  <c r="X127" i="4" s="1"/>
  <c r="H127" i="4"/>
  <c r="E127" i="4"/>
  <c r="Q127" i="4" s="1"/>
  <c r="V126" i="4"/>
  <c r="X126" i="4" s="1"/>
  <c r="H126" i="4"/>
  <c r="E126" i="4"/>
  <c r="Q126" i="4" s="1"/>
  <c r="V125" i="4"/>
  <c r="X125" i="4" s="1"/>
  <c r="H125" i="4"/>
  <c r="E125" i="4"/>
  <c r="Q125" i="4" s="1"/>
  <c r="V124" i="4"/>
  <c r="X124" i="4" s="1"/>
  <c r="H124" i="4"/>
  <c r="E124" i="4"/>
  <c r="Q124" i="4" s="1"/>
  <c r="V123" i="4"/>
  <c r="X123" i="4" s="1"/>
  <c r="H123" i="4"/>
  <c r="E123" i="4"/>
  <c r="Q123" i="4" s="1"/>
  <c r="V122" i="4"/>
  <c r="X122" i="4" s="1"/>
  <c r="M122" i="4"/>
  <c r="I122" i="4"/>
  <c r="E122" i="4"/>
  <c r="Q122" i="4" s="1"/>
  <c r="V121" i="4"/>
  <c r="X121" i="4" s="1"/>
  <c r="M121" i="4"/>
  <c r="I121" i="4"/>
  <c r="E121" i="4"/>
  <c r="Q121" i="4" s="1"/>
  <c r="V120" i="4"/>
  <c r="X120" i="4" s="1"/>
  <c r="M120" i="4"/>
  <c r="I120" i="4"/>
  <c r="E120" i="4"/>
  <c r="Q120" i="4" s="1"/>
  <c r="V119" i="4"/>
  <c r="X119" i="4" s="1"/>
  <c r="M119" i="4"/>
  <c r="I119" i="4"/>
  <c r="E119" i="4"/>
  <c r="Q119" i="4" s="1"/>
  <c r="V118" i="4"/>
  <c r="X118" i="4" s="1"/>
  <c r="M118" i="4"/>
  <c r="I118" i="4"/>
  <c r="E118" i="4"/>
  <c r="Q118" i="4" s="1"/>
  <c r="V117" i="4"/>
  <c r="X117" i="4" s="1"/>
  <c r="M117" i="4"/>
  <c r="I117" i="4"/>
  <c r="E117" i="4"/>
  <c r="Q117" i="4" s="1"/>
  <c r="V116" i="4"/>
  <c r="X116" i="4" s="1"/>
  <c r="M116" i="4"/>
  <c r="I116" i="4"/>
  <c r="E116" i="4"/>
  <c r="Q116" i="4" s="1"/>
  <c r="V115" i="4"/>
  <c r="X115" i="4" s="1"/>
  <c r="M115" i="4"/>
  <c r="I115" i="4"/>
  <c r="E115" i="4"/>
  <c r="Q115" i="4" s="1"/>
  <c r="V114" i="4"/>
  <c r="X114" i="4" s="1"/>
  <c r="M114" i="4"/>
  <c r="I114" i="4"/>
  <c r="E114" i="4"/>
  <c r="Q114" i="4" s="1"/>
  <c r="V113" i="4"/>
  <c r="X113" i="4" s="1"/>
  <c r="M113" i="4"/>
  <c r="I113" i="4"/>
  <c r="E113" i="4"/>
  <c r="Q113" i="4" s="1"/>
  <c r="V112" i="4"/>
  <c r="X112" i="4" s="1"/>
  <c r="M112" i="4"/>
  <c r="I112" i="4"/>
  <c r="E112" i="4"/>
  <c r="Q112" i="4" s="1"/>
  <c r="V111" i="4"/>
  <c r="X111" i="4" s="1"/>
  <c r="M111" i="4"/>
  <c r="I111" i="4"/>
  <c r="E111" i="4"/>
  <c r="Q111" i="4" s="1"/>
  <c r="V110" i="4"/>
  <c r="X110" i="4" s="1"/>
  <c r="M110" i="4"/>
  <c r="I110" i="4"/>
  <c r="E110" i="4"/>
  <c r="Q110" i="4" s="1"/>
  <c r="V109" i="4"/>
  <c r="X109" i="4" s="1"/>
  <c r="M109" i="4"/>
  <c r="I109" i="4"/>
  <c r="E109" i="4"/>
  <c r="Q109" i="4" s="1"/>
  <c r="V108" i="4"/>
  <c r="X108" i="4" s="1"/>
  <c r="M108" i="4"/>
  <c r="I108" i="4"/>
  <c r="E108" i="4"/>
  <c r="Q108" i="4" s="1"/>
  <c r="V107" i="4"/>
  <c r="X107" i="4" s="1"/>
  <c r="M107" i="4"/>
  <c r="I107" i="4"/>
  <c r="E107" i="4"/>
  <c r="Q107" i="4" s="1"/>
  <c r="V106" i="4"/>
  <c r="X106" i="4" s="1"/>
  <c r="M106" i="4"/>
  <c r="I106" i="4"/>
  <c r="E106" i="4"/>
  <c r="Q106" i="4" s="1"/>
  <c r="V105" i="4"/>
  <c r="X105" i="4" s="1"/>
  <c r="M105" i="4"/>
  <c r="I105" i="4"/>
  <c r="E105" i="4"/>
  <c r="Q105" i="4" s="1"/>
  <c r="V104" i="4"/>
  <c r="X104" i="4" s="1"/>
  <c r="M104" i="4"/>
  <c r="I104" i="4"/>
  <c r="E104" i="4"/>
  <c r="Q104" i="4" s="1"/>
  <c r="V103" i="4"/>
  <c r="X103" i="4" s="1"/>
  <c r="Q103" i="4"/>
  <c r="M103" i="4"/>
  <c r="I103" i="4"/>
  <c r="E103" i="4"/>
  <c r="V102" i="4"/>
  <c r="X102" i="4" s="1"/>
  <c r="M102" i="4"/>
  <c r="I102" i="4"/>
  <c r="E102" i="4"/>
  <c r="Q102" i="4" s="1"/>
  <c r="V101" i="4"/>
  <c r="X101" i="4" s="1"/>
  <c r="M101" i="4"/>
  <c r="J101" i="4"/>
  <c r="I101" i="4"/>
  <c r="L101" i="4" s="1"/>
  <c r="E101" i="4"/>
  <c r="Q101" i="4" s="1"/>
  <c r="V100" i="4"/>
  <c r="X100" i="4" s="1"/>
  <c r="M100" i="4"/>
  <c r="I100" i="4"/>
  <c r="E100" i="4"/>
  <c r="Q100" i="4" s="1"/>
  <c r="V99" i="4"/>
  <c r="X99" i="4" s="1"/>
  <c r="M99" i="4"/>
  <c r="I99" i="4"/>
  <c r="E99" i="4"/>
  <c r="Q99" i="4" s="1"/>
  <c r="V98" i="4"/>
  <c r="X98" i="4" s="1"/>
  <c r="M98" i="4"/>
  <c r="I98" i="4"/>
  <c r="E98" i="4"/>
  <c r="Q98" i="4" s="1"/>
  <c r="V97" i="4"/>
  <c r="X97" i="4" s="1"/>
  <c r="M97" i="4"/>
  <c r="I97" i="4"/>
  <c r="E97" i="4"/>
  <c r="Q97" i="4" s="1"/>
  <c r="V96" i="4"/>
  <c r="X96" i="4" s="1"/>
  <c r="M96" i="4"/>
  <c r="I96" i="4"/>
  <c r="E96" i="4"/>
  <c r="Q96" i="4" s="1"/>
  <c r="V95" i="4"/>
  <c r="X95" i="4" s="1"/>
  <c r="M95" i="4"/>
  <c r="I95" i="4"/>
  <c r="E95" i="4"/>
  <c r="Q95" i="4" s="1"/>
  <c r="X94" i="4"/>
  <c r="V94" i="4"/>
  <c r="M94" i="4"/>
  <c r="I94" i="4"/>
  <c r="E94" i="4"/>
  <c r="Q94" i="4" s="1"/>
  <c r="V93" i="4"/>
  <c r="X93" i="4" s="1"/>
  <c r="M93" i="4"/>
  <c r="I93" i="4"/>
  <c r="E93" i="4"/>
  <c r="Q93" i="4" s="1"/>
  <c r="V92" i="4"/>
  <c r="X92" i="4" s="1"/>
  <c r="M92" i="4"/>
  <c r="I92" i="4"/>
  <c r="E92" i="4"/>
  <c r="Q92" i="4" s="1"/>
  <c r="V91" i="4"/>
  <c r="X91" i="4" s="1"/>
  <c r="M91" i="4"/>
  <c r="I91" i="4"/>
  <c r="E91" i="4"/>
  <c r="Q91" i="4" s="1"/>
  <c r="V90" i="4"/>
  <c r="X90" i="4" s="1"/>
  <c r="M90" i="4"/>
  <c r="I90" i="4"/>
  <c r="E90" i="4"/>
  <c r="Q90" i="4" s="1"/>
  <c r="V89" i="4"/>
  <c r="X89" i="4" s="1"/>
  <c r="M89" i="4"/>
  <c r="I89" i="4"/>
  <c r="E89" i="4"/>
  <c r="Q89" i="4" s="1"/>
  <c r="V88" i="4"/>
  <c r="X88" i="4" s="1"/>
  <c r="M88" i="4"/>
  <c r="I88" i="4"/>
  <c r="E88" i="4"/>
  <c r="Q88" i="4" s="1"/>
  <c r="V87" i="4"/>
  <c r="X87" i="4" s="1"/>
  <c r="M87" i="4"/>
  <c r="I87" i="4"/>
  <c r="E87" i="4"/>
  <c r="Q87" i="4" s="1"/>
  <c r="V86" i="4"/>
  <c r="X86" i="4" s="1"/>
  <c r="M86" i="4"/>
  <c r="I86" i="4"/>
  <c r="E86" i="4"/>
  <c r="Q86" i="4" s="1"/>
  <c r="V85" i="4"/>
  <c r="X85" i="4" s="1"/>
  <c r="M85" i="4"/>
  <c r="I85" i="4"/>
  <c r="E85" i="4"/>
  <c r="Q85" i="4" s="1"/>
  <c r="V84" i="4"/>
  <c r="X84" i="4" s="1"/>
  <c r="M84" i="4"/>
  <c r="I84" i="4"/>
  <c r="E84" i="4"/>
  <c r="Q84" i="4" s="1"/>
  <c r="V83" i="4"/>
  <c r="X83" i="4" s="1"/>
  <c r="M83" i="4"/>
  <c r="I83" i="4"/>
  <c r="E83" i="4"/>
  <c r="Q83" i="4" s="1"/>
  <c r="V82" i="4"/>
  <c r="X82" i="4" s="1"/>
  <c r="M82" i="4"/>
  <c r="I82" i="4"/>
  <c r="E82" i="4"/>
  <c r="Q82" i="4" s="1"/>
  <c r="V81" i="4"/>
  <c r="X81" i="4" s="1"/>
  <c r="M81" i="4"/>
  <c r="I81" i="4"/>
  <c r="E81" i="4"/>
  <c r="Q81" i="4" s="1"/>
  <c r="V80" i="4"/>
  <c r="X80" i="4" s="1"/>
  <c r="M80" i="4"/>
  <c r="I80" i="4"/>
  <c r="E80" i="4"/>
  <c r="Q80" i="4" s="1"/>
  <c r="V79" i="4"/>
  <c r="X79" i="4" s="1"/>
  <c r="Q79" i="4"/>
  <c r="M79" i="4"/>
  <c r="L79" i="4"/>
  <c r="I79" i="4"/>
  <c r="J79" i="4" s="1"/>
  <c r="E79" i="4"/>
  <c r="V78" i="4"/>
  <c r="X78" i="4" s="1"/>
  <c r="M78" i="4"/>
  <c r="I78" i="4"/>
  <c r="E78" i="4"/>
  <c r="Q78" i="4" s="1"/>
  <c r="V77" i="4"/>
  <c r="X77" i="4" s="1"/>
  <c r="M77" i="4"/>
  <c r="I77" i="4"/>
  <c r="E77" i="4"/>
  <c r="Q77" i="4" s="1"/>
  <c r="V76" i="4"/>
  <c r="X76" i="4" s="1"/>
  <c r="M76" i="4"/>
  <c r="I76" i="4"/>
  <c r="E76" i="4"/>
  <c r="Q76" i="4" s="1"/>
  <c r="V75" i="4"/>
  <c r="X75" i="4" s="1"/>
  <c r="M75" i="4"/>
  <c r="I75" i="4"/>
  <c r="E75" i="4"/>
  <c r="Q75" i="4" s="1"/>
  <c r="V74" i="4"/>
  <c r="X74" i="4" s="1"/>
  <c r="M74" i="4"/>
  <c r="I74" i="4"/>
  <c r="E74" i="4"/>
  <c r="Q74" i="4" s="1"/>
  <c r="V73" i="4"/>
  <c r="X73" i="4" s="1"/>
  <c r="M73" i="4"/>
  <c r="I73" i="4"/>
  <c r="E73" i="4"/>
  <c r="Q73" i="4" s="1"/>
  <c r="V72" i="4"/>
  <c r="X72" i="4" s="1"/>
  <c r="M72" i="4"/>
  <c r="I72" i="4"/>
  <c r="E72" i="4"/>
  <c r="Q72" i="4" s="1"/>
  <c r="V71" i="4"/>
  <c r="X71" i="4" s="1"/>
  <c r="M71" i="4"/>
  <c r="I71" i="4"/>
  <c r="E71" i="4"/>
  <c r="Q71" i="4" s="1"/>
  <c r="V70" i="4"/>
  <c r="X70" i="4" s="1"/>
  <c r="M70" i="4"/>
  <c r="I70" i="4"/>
  <c r="E70" i="4"/>
  <c r="Q70" i="4" s="1"/>
  <c r="V69" i="4"/>
  <c r="X69" i="4" s="1"/>
  <c r="M69" i="4"/>
  <c r="I69" i="4"/>
  <c r="E69" i="4"/>
  <c r="Q69" i="4" s="1"/>
  <c r="V68" i="4"/>
  <c r="X68" i="4" s="1"/>
  <c r="M68" i="4"/>
  <c r="I68" i="4"/>
  <c r="E68" i="4"/>
  <c r="Q68" i="4" s="1"/>
  <c r="V67" i="4"/>
  <c r="X67" i="4" s="1"/>
  <c r="M67" i="4"/>
  <c r="I67" i="4"/>
  <c r="E67" i="4"/>
  <c r="Q67" i="4" s="1"/>
  <c r="V66" i="4"/>
  <c r="X66" i="4" s="1"/>
  <c r="M66" i="4"/>
  <c r="I66" i="4"/>
  <c r="E66" i="4"/>
  <c r="Q66" i="4" s="1"/>
  <c r="V65" i="4"/>
  <c r="X65" i="4" s="1"/>
  <c r="M65" i="4"/>
  <c r="I65" i="4"/>
  <c r="E65" i="4"/>
  <c r="Q65" i="4" s="1"/>
  <c r="V64" i="4"/>
  <c r="X64" i="4" s="1"/>
  <c r="M64" i="4"/>
  <c r="I64" i="4"/>
  <c r="E64" i="4"/>
  <c r="Q64" i="4" s="1"/>
  <c r="V63" i="4"/>
  <c r="X63" i="4" s="1"/>
  <c r="M63" i="4"/>
  <c r="I63" i="4"/>
  <c r="E63" i="4"/>
  <c r="Q63" i="4" s="1"/>
  <c r="V62" i="4"/>
  <c r="X62" i="4" s="1"/>
  <c r="M62" i="4"/>
  <c r="I62" i="4"/>
  <c r="E62" i="4"/>
  <c r="Q62" i="4" s="1"/>
  <c r="V61" i="4"/>
  <c r="X61" i="4" s="1"/>
  <c r="M61" i="4"/>
  <c r="I61" i="4"/>
  <c r="E61" i="4"/>
  <c r="Q61" i="4" s="1"/>
  <c r="V60" i="4"/>
  <c r="X60" i="4" s="1"/>
  <c r="M60" i="4"/>
  <c r="I60" i="4"/>
  <c r="E60" i="4"/>
  <c r="Q60" i="4" s="1"/>
  <c r="V59" i="4"/>
  <c r="X59" i="4" s="1"/>
  <c r="M59" i="4"/>
  <c r="I59" i="4"/>
  <c r="E59" i="4"/>
  <c r="Q59" i="4" s="1"/>
  <c r="V58" i="4"/>
  <c r="X58" i="4" s="1"/>
  <c r="M58" i="4"/>
  <c r="I58" i="4"/>
  <c r="E58" i="4"/>
  <c r="Q58" i="4" s="1"/>
  <c r="V57" i="4"/>
  <c r="X57" i="4" s="1"/>
  <c r="M57" i="4"/>
  <c r="I57" i="4"/>
  <c r="E57" i="4"/>
  <c r="Q57" i="4" s="1"/>
  <c r="V56" i="4"/>
  <c r="X56" i="4" s="1"/>
  <c r="M56" i="4"/>
  <c r="I56" i="4"/>
  <c r="E56" i="4"/>
  <c r="Q56" i="4" s="1"/>
  <c r="V55" i="4"/>
  <c r="X55" i="4" s="1"/>
  <c r="M55" i="4"/>
  <c r="I55" i="4"/>
  <c r="E55" i="4"/>
  <c r="Q55" i="4" s="1"/>
  <c r="V54" i="4"/>
  <c r="X54" i="4" s="1"/>
  <c r="M54" i="4"/>
  <c r="I54" i="4"/>
  <c r="E54" i="4"/>
  <c r="Q54" i="4" s="1"/>
  <c r="V53" i="4"/>
  <c r="X53" i="4" s="1"/>
  <c r="M53" i="4"/>
  <c r="I53" i="4"/>
  <c r="E53" i="4"/>
  <c r="Q53" i="4" s="1"/>
  <c r="V52" i="4"/>
  <c r="X52" i="4" s="1"/>
  <c r="Q52" i="4"/>
  <c r="M52" i="4"/>
  <c r="I52" i="4"/>
  <c r="E52" i="4"/>
  <c r="V51" i="4"/>
  <c r="X51" i="4" s="1"/>
  <c r="M51" i="4"/>
  <c r="I51" i="4"/>
  <c r="E51" i="4"/>
  <c r="Q51" i="4" s="1"/>
  <c r="V50" i="4"/>
  <c r="X50" i="4" s="1"/>
  <c r="M50" i="4"/>
  <c r="I50" i="4"/>
  <c r="E50" i="4"/>
  <c r="Q50" i="4" s="1"/>
  <c r="V49" i="4"/>
  <c r="X49" i="4" s="1"/>
  <c r="M49" i="4"/>
  <c r="I49" i="4"/>
  <c r="E49" i="4"/>
  <c r="Q49" i="4" s="1"/>
  <c r="V48" i="4"/>
  <c r="X48" i="4" s="1"/>
  <c r="M48" i="4"/>
  <c r="I48" i="4"/>
  <c r="E48" i="4"/>
  <c r="Q48" i="4" s="1"/>
  <c r="V47" i="4"/>
  <c r="X47" i="4" s="1"/>
  <c r="M47" i="4"/>
  <c r="I47" i="4"/>
  <c r="E47" i="4"/>
  <c r="Q47" i="4" s="1"/>
  <c r="V46" i="4"/>
  <c r="X46" i="4" s="1"/>
  <c r="M46" i="4"/>
  <c r="I46" i="4"/>
  <c r="E46" i="4"/>
  <c r="Q46" i="4" s="1"/>
  <c r="V45" i="4"/>
  <c r="X45" i="4" s="1"/>
  <c r="M45" i="4"/>
  <c r="I45" i="4"/>
  <c r="E45" i="4"/>
  <c r="Q45" i="4" s="1"/>
  <c r="V44" i="4"/>
  <c r="X44" i="4" s="1"/>
  <c r="Q44" i="4"/>
  <c r="J44" i="4"/>
  <c r="I44" i="4"/>
  <c r="L44" i="4" s="1"/>
  <c r="V43" i="4"/>
  <c r="X43" i="4" s="1"/>
  <c r="M43" i="4"/>
  <c r="I43" i="4"/>
  <c r="E43" i="4"/>
  <c r="Q43" i="4" s="1"/>
  <c r="V42" i="4"/>
  <c r="X42" i="4" s="1"/>
  <c r="M42" i="4"/>
  <c r="I42" i="4"/>
  <c r="E42" i="4"/>
  <c r="Q42" i="4" s="1"/>
  <c r="V41" i="4"/>
  <c r="X41" i="4" s="1"/>
  <c r="H41" i="4"/>
  <c r="E41" i="4"/>
  <c r="Q41" i="4" s="1"/>
  <c r="V40" i="4"/>
  <c r="X40" i="4" s="1"/>
  <c r="H40" i="4"/>
  <c r="E40" i="4"/>
  <c r="Q40" i="4" s="1"/>
  <c r="V39" i="4"/>
  <c r="X39" i="4" s="1"/>
  <c r="H39" i="4"/>
  <c r="E39" i="4"/>
  <c r="Q39" i="4" s="1"/>
  <c r="V38" i="4"/>
  <c r="X38" i="4" s="1"/>
  <c r="H38" i="4"/>
  <c r="E38" i="4"/>
  <c r="Q38" i="4" s="1"/>
  <c r="V37" i="4"/>
  <c r="X37" i="4" s="1"/>
  <c r="H37" i="4"/>
  <c r="E37" i="4"/>
  <c r="Q37" i="4" s="1"/>
  <c r="V36" i="4"/>
  <c r="X36" i="4" s="1"/>
  <c r="H36" i="4"/>
  <c r="E36" i="4"/>
  <c r="Q36" i="4" s="1"/>
  <c r="V35" i="4"/>
  <c r="X35" i="4" s="1"/>
  <c r="H35" i="4"/>
  <c r="E35" i="4"/>
  <c r="Q35" i="4" s="1"/>
  <c r="V34" i="4"/>
  <c r="X34" i="4" s="1"/>
  <c r="H34" i="4"/>
  <c r="E34" i="4"/>
  <c r="Q34" i="4" s="1"/>
  <c r="V33" i="4"/>
  <c r="X33" i="4" s="1"/>
  <c r="H33" i="4"/>
  <c r="E33" i="4"/>
  <c r="Q33" i="4" s="1"/>
  <c r="V32" i="4"/>
  <c r="X32" i="4" s="1"/>
  <c r="M32" i="4"/>
  <c r="I32" i="4"/>
  <c r="E32" i="4"/>
  <c r="Q32" i="4" s="1"/>
  <c r="V31" i="4"/>
  <c r="X31" i="4" s="1"/>
  <c r="M31" i="4"/>
  <c r="I31" i="4"/>
  <c r="E31" i="4"/>
  <c r="Q31" i="4" s="1"/>
  <c r="V30" i="4"/>
  <c r="X30" i="4" s="1"/>
  <c r="M30" i="4"/>
  <c r="I30" i="4"/>
  <c r="E30" i="4"/>
  <c r="Q30" i="4" s="1"/>
  <c r="V29" i="4"/>
  <c r="X29" i="4" s="1"/>
  <c r="M29" i="4"/>
  <c r="I29" i="4"/>
  <c r="E29" i="4"/>
  <c r="Q29" i="4" s="1"/>
  <c r="V28" i="4"/>
  <c r="X28" i="4" s="1"/>
  <c r="H28" i="4"/>
  <c r="E28" i="4"/>
  <c r="Q28" i="4" s="1"/>
  <c r="V27" i="4"/>
  <c r="X27" i="4" s="1"/>
  <c r="H27" i="4"/>
  <c r="E27" i="4"/>
  <c r="Q27" i="4" s="1"/>
  <c r="V26" i="4"/>
  <c r="X26" i="4" s="1"/>
  <c r="Q26" i="4"/>
  <c r="H26" i="4"/>
  <c r="E26" i="4"/>
  <c r="V25" i="4"/>
  <c r="X25" i="4" s="1"/>
  <c r="H25" i="4"/>
  <c r="E25" i="4"/>
  <c r="Q25" i="4" s="1"/>
  <c r="V24" i="4"/>
  <c r="X24" i="4" s="1"/>
  <c r="M24" i="4"/>
  <c r="I24" i="4"/>
  <c r="E24" i="4"/>
  <c r="Q24" i="4" s="1"/>
  <c r="V23" i="4"/>
  <c r="X23" i="4" s="1"/>
  <c r="M23" i="4"/>
  <c r="I23" i="4"/>
  <c r="E23" i="4"/>
  <c r="Q23" i="4" s="1"/>
  <c r="V22" i="4"/>
  <c r="X22" i="4" s="1"/>
  <c r="M22" i="4"/>
  <c r="I22" i="4"/>
  <c r="E22" i="4"/>
  <c r="Q22" i="4" s="1"/>
  <c r="V21" i="4"/>
  <c r="X21" i="4" s="1"/>
  <c r="M21" i="4"/>
  <c r="I21" i="4"/>
  <c r="E21" i="4"/>
  <c r="Q21" i="4" s="1"/>
  <c r="V20" i="4"/>
  <c r="X20" i="4" s="1"/>
  <c r="M20" i="4"/>
  <c r="I20" i="4"/>
  <c r="E20" i="4"/>
  <c r="Q20" i="4" s="1"/>
  <c r="V19" i="4"/>
  <c r="X19" i="4" s="1"/>
  <c r="H19" i="4"/>
  <c r="E19" i="4"/>
  <c r="Q19" i="4" s="1"/>
  <c r="V18" i="4"/>
  <c r="X18" i="4" s="1"/>
  <c r="H18" i="4"/>
  <c r="E18" i="4"/>
  <c r="Q18" i="4" s="1"/>
  <c r="V17" i="4"/>
  <c r="X17" i="4" s="1"/>
  <c r="H17" i="4"/>
  <c r="E17" i="4"/>
  <c r="Q17" i="4" s="1"/>
  <c r="V16" i="4"/>
  <c r="X16" i="4" s="1"/>
  <c r="H16" i="4"/>
  <c r="E16" i="4"/>
  <c r="Q16" i="4" s="1"/>
  <c r="V15" i="4"/>
  <c r="X15" i="4" s="1"/>
  <c r="I15" i="4"/>
  <c r="H15" i="4"/>
  <c r="M15" i="4" s="1"/>
  <c r="E15" i="4"/>
  <c r="Q15" i="4" s="1"/>
  <c r="V14" i="4"/>
  <c r="X14" i="4" s="1"/>
  <c r="M14" i="4"/>
  <c r="I14" i="4"/>
  <c r="E14" i="4"/>
  <c r="Q14" i="4" s="1"/>
  <c r="V13" i="4"/>
  <c r="X13" i="4" s="1"/>
  <c r="M13" i="4"/>
  <c r="I13" i="4"/>
  <c r="E13" i="4"/>
  <c r="Q13" i="4" s="1"/>
  <c r="V12" i="4"/>
  <c r="X12" i="4" s="1"/>
  <c r="M12" i="4"/>
  <c r="I12" i="4"/>
  <c r="E12" i="4"/>
  <c r="Q12" i="4" s="1"/>
  <c r="V11" i="4"/>
  <c r="X11" i="4" s="1"/>
  <c r="M11" i="4"/>
  <c r="I11" i="4"/>
  <c r="E11" i="4"/>
  <c r="Q11" i="4" s="1"/>
  <c r="V10" i="4"/>
  <c r="X10" i="4" s="1"/>
  <c r="M10" i="4"/>
  <c r="I10" i="4"/>
  <c r="E10" i="4"/>
  <c r="Q10" i="4" s="1"/>
  <c r="V9" i="4"/>
  <c r="X9" i="4" s="1"/>
  <c r="M9" i="4"/>
  <c r="I9" i="4"/>
  <c r="E9" i="4"/>
  <c r="Q9" i="4" s="1"/>
  <c r="V8" i="4"/>
  <c r="X8" i="4" s="1"/>
  <c r="M8" i="4"/>
  <c r="I8" i="4"/>
  <c r="E8" i="4"/>
  <c r="Q8" i="4" s="1"/>
  <c r="V7" i="4"/>
  <c r="X7" i="4" s="1"/>
  <c r="M7" i="4"/>
  <c r="I7" i="4"/>
  <c r="E7" i="4"/>
  <c r="Q7" i="4" s="1"/>
  <c r="V6" i="4"/>
  <c r="X6" i="4" s="1"/>
  <c r="M6" i="4"/>
  <c r="I6" i="4"/>
  <c r="E6" i="4"/>
  <c r="Q6" i="4" s="1"/>
  <c r="V7" i="3"/>
  <c r="X7" i="3" s="1"/>
  <c r="Y7" i="3" s="1"/>
  <c r="Z7" i="3" s="1"/>
  <c r="V8" i="3"/>
  <c r="X8" i="3" s="1"/>
  <c r="Y8" i="3" s="1"/>
  <c r="Z8" i="3" s="1"/>
  <c r="V9" i="3"/>
  <c r="X9" i="3" s="1"/>
  <c r="Y9" i="3" s="1"/>
  <c r="V10" i="3"/>
  <c r="X10" i="3" s="1"/>
  <c r="Y10" i="3" s="1"/>
  <c r="Z10" i="3" s="1"/>
  <c r="AA10" i="3" s="1"/>
  <c r="AB10" i="3" s="1"/>
  <c r="V11" i="3"/>
  <c r="X11" i="3" s="1"/>
  <c r="Y11" i="3" s="1"/>
  <c r="Z11" i="3" s="1"/>
  <c r="V12" i="3"/>
  <c r="X12" i="3" s="1"/>
  <c r="Y12" i="3" s="1"/>
  <c r="Z12" i="3" s="1"/>
  <c r="V13" i="3"/>
  <c r="X13" i="3" s="1"/>
  <c r="Y13" i="3" s="1"/>
  <c r="V14" i="3"/>
  <c r="X14" i="3" s="1"/>
  <c r="V15" i="3"/>
  <c r="X15" i="3" s="1"/>
  <c r="Y15" i="3" s="1"/>
  <c r="Z15" i="3" s="1"/>
  <c r="V16" i="3"/>
  <c r="X16" i="3" s="1"/>
  <c r="Y16" i="3" s="1"/>
  <c r="Z16" i="3" s="1"/>
  <c r="V17" i="3"/>
  <c r="X17" i="3" s="1"/>
  <c r="Y17" i="3" s="1"/>
  <c r="V18" i="3"/>
  <c r="X18" i="3" s="1"/>
  <c r="Y18" i="3" s="1"/>
  <c r="V19" i="3"/>
  <c r="X19" i="3" s="1"/>
  <c r="Y19" i="3" s="1"/>
  <c r="Z19" i="3" s="1"/>
  <c r="V20" i="3"/>
  <c r="X20" i="3" s="1"/>
  <c r="Y20" i="3" s="1"/>
  <c r="Z20" i="3" s="1"/>
  <c r="V21" i="3"/>
  <c r="X21" i="3" s="1"/>
  <c r="Y21" i="3" s="1"/>
  <c r="V22" i="3"/>
  <c r="X22" i="3" s="1"/>
  <c r="Y22" i="3" s="1"/>
  <c r="V23" i="3"/>
  <c r="X23" i="3" s="1"/>
  <c r="Y23" i="3" s="1"/>
  <c r="Z23" i="3" s="1"/>
  <c r="V24" i="3"/>
  <c r="X24" i="3" s="1"/>
  <c r="Y24" i="3" s="1"/>
  <c r="V25" i="3"/>
  <c r="X25" i="3" s="1"/>
  <c r="Y25" i="3" s="1"/>
  <c r="Z25" i="3" s="1"/>
  <c r="AA25" i="3" s="1"/>
  <c r="AB25" i="3" s="1"/>
  <c r="V26" i="3"/>
  <c r="X26" i="3" s="1"/>
  <c r="Y26" i="3" s="1"/>
  <c r="Z26" i="3" s="1"/>
  <c r="AA26" i="3" s="1"/>
  <c r="AB26" i="3" s="1"/>
  <c r="V27" i="3"/>
  <c r="X27" i="3" s="1"/>
  <c r="Y27" i="3" s="1"/>
  <c r="Z27" i="3" s="1"/>
  <c r="V28" i="3"/>
  <c r="X28" i="3" s="1"/>
  <c r="Y28" i="3" s="1"/>
  <c r="Z28" i="3" s="1"/>
  <c r="V29" i="3"/>
  <c r="X29" i="3" s="1"/>
  <c r="V30" i="3"/>
  <c r="X30" i="3" s="1"/>
  <c r="Y30" i="3" s="1"/>
  <c r="V31" i="3"/>
  <c r="X31" i="3" s="1"/>
  <c r="Y31" i="3" s="1"/>
  <c r="Z31" i="3" s="1"/>
  <c r="V32" i="3"/>
  <c r="X32" i="3" s="1"/>
  <c r="Y32" i="3" s="1"/>
  <c r="Z32" i="3" s="1"/>
  <c r="V33" i="3"/>
  <c r="X33" i="3" s="1"/>
  <c r="Y33" i="3" s="1"/>
  <c r="Z33" i="3" s="1"/>
  <c r="AA33" i="3" s="1"/>
  <c r="AB33" i="3" s="1"/>
  <c r="V34" i="3"/>
  <c r="X34" i="3" s="1"/>
  <c r="Y34" i="3" s="1"/>
  <c r="Z34" i="3" s="1"/>
  <c r="AA34" i="3" s="1"/>
  <c r="V35" i="3"/>
  <c r="X35" i="3" s="1"/>
  <c r="Y35" i="3" s="1"/>
  <c r="Z35" i="3" s="1"/>
  <c r="V36" i="3"/>
  <c r="X36" i="3" s="1"/>
  <c r="Y36" i="3" s="1"/>
  <c r="Z36" i="3" s="1"/>
  <c r="V37" i="3"/>
  <c r="X37" i="3" s="1"/>
  <c r="Y37" i="3" s="1"/>
  <c r="V38" i="3"/>
  <c r="X38" i="3" s="1"/>
  <c r="Y38" i="3" s="1"/>
  <c r="V39" i="3"/>
  <c r="X39" i="3" s="1"/>
  <c r="Y39" i="3" s="1"/>
  <c r="Z39" i="3" s="1"/>
  <c r="V40" i="3"/>
  <c r="X40" i="3" s="1"/>
  <c r="Y40" i="3" s="1"/>
  <c r="V41" i="3"/>
  <c r="X41" i="3" s="1"/>
  <c r="Y41" i="3" s="1"/>
  <c r="Z41" i="3" s="1"/>
  <c r="V42" i="3"/>
  <c r="X42" i="3" s="1"/>
  <c r="Y42" i="3" s="1"/>
  <c r="Z42" i="3" s="1"/>
  <c r="AA42" i="3" s="1"/>
  <c r="V43" i="3"/>
  <c r="X43" i="3" s="1"/>
  <c r="V44" i="3"/>
  <c r="X44" i="3" s="1"/>
  <c r="Y44" i="3" s="1"/>
  <c r="Z44" i="3" s="1"/>
  <c r="V45" i="3"/>
  <c r="X45" i="3" s="1"/>
  <c r="Y45" i="3" s="1"/>
  <c r="V46" i="3"/>
  <c r="X46" i="3" s="1"/>
  <c r="V47" i="3"/>
  <c r="X47" i="3" s="1"/>
  <c r="Y47" i="3" s="1"/>
  <c r="Z47" i="3" s="1"/>
  <c r="AA47" i="3" s="1"/>
  <c r="AB47" i="3" s="1"/>
  <c r="V48" i="3"/>
  <c r="X48" i="3" s="1"/>
  <c r="Y48" i="3" s="1"/>
  <c r="Z48" i="3" s="1"/>
  <c r="V49" i="3"/>
  <c r="X49" i="3" s="1"/>
  <c r="Y49" i="3" s="1"/>
  <c r="V50" i="3"/>
  <c r="X50" i="3" s="1"/>
  <c r="Y50" i="3" s="1"/>
  <c r="Z50" i="3" s="1"/>
  <c r="AA50" i="3" s="1"/>
  <c r="AB50" i="3" s="1"/>
  <c r="V51" i="3"/>
  <c r="X51" i="3" s="1"/>
  <c r="Y51" i="3" s="1"/>
  <c r="Z51" i="3" s="1"/>
  <c r="V52" i="3"/>
  <c r="X52" i="3" s="1"/>
  <c r="Y52" i="3" s="1"/>
  <c r="Z52" i="3" s="1"/>
  <c r="V53" i="3"/>
  <c r="X53" i="3" s="1"/>
  <c r="Y53" i="3" s="1"/>
  <c r="Z53" i="3" s="1"/>
  <c r="AA53" i="3" s="1"/>
  <c r="AB53" i="3" s="1"/>
  <c r="V54" i="3"/>
  <c r="X54" i="3" s="1"/>
  <c r="Y54" i="3" s="1"/>
  <c r="V55" i="3"/>
  <c r="X55" i="3" s="1"/>
  <c r="Y55" i="3" s="1"/>
  <c r="Z55" i="3" s="1"/>
  <c r="AA55" i="3" s="1"/>
  <c r="AB55" i="3" s="1"/>
  <c r="V56" i="3"/>
  <c r="X56" i="3" s="1"/>
  <c r="Y56" i="3" s="1"/>
  <c r="V57" i="3"/>
  <c r="X57" i="3" s="1"/>
  <c r="V58" i="3"/>
  <c r="X58" i="3" s="1"/>
  <c r="Y58" i="3" s="1"/>
  <c r="Z58" i="3" s="1"/>
  <c r="AA58" i="3" s="1"/>
  <c r="AB58" i="3" s="1"/>
  <c r="V59" i="3"/>
  <c r="X59" i="3" s="1"/>
  <c r="Y59" i="3" s="1"/>
  <c r="Z59" i="3" s="1"/>
  <c r="AA59" i="3" s="1"/>
  <c r="V60" i="3"/>
  <c r="X60" i="3" s="1"/>
  <c r="Y60" i="3" s="1"/>
  <c r="Z60" i="3" s="1"/>
  <c r="V61" i="3"/>
  <c r="X61" i="3" s="1"/>
  <c r="Y61" i="3" s="1"/>
  <c r="V62" i="3"/>
  <c r="X62" i="3" s="1"/>
  <c r="Y62" i="3" s="1"/>
  <c r="V63" i="3"/>
  <c r="X63" i="3" s="1"/>
  <c r="V64" i="3"/>
  <c r="X64" i="3" s="1"/>
  <c r="Y64" i="3" s="1"/>
  <c r="Z64" i="3" s="1"/>
  <c r="V65" i="3"/>
  <c r="X65" i="3" s="1"/>
  <c r="Y65" i="3" s="1"/>
  <c r="V66" i="3"/>
  <c r="X66" i="3" s="1"/>
  <c r="Y66" i="3" s="1"/>
  <c r="Z66" i="3" s="1"/>
  <c r="AA66" i="3" s="1"/>
  <c r="AB66" i="3" s="1"/>
  <c r="V67" i="3"/>
  <c r="X67" i="3" s="1"/>
  <c r="V68" i="3"/>
  <c r="X68" i="3" s="1"/>
  <c r="Y68" i="3" s="1"/>
  <c r="Z68" i="3" s="1"/>
  <c r="V69" i="3"/>
  <c r="X69" i="3" s="1"/>
  <c r="Y69" i="3" s="1"/>
  <c r="V70" i="3"/>
  <c r="X70" i="3" s="1"/>
  <c r="Y70" i="3" s="1"/>
  <c r="V71" i="3"/>
  <c r="X71" i="3" s="1"/>
  <c r="Y71" i="3" s="1"/>
  <c r="Z71" i="3" s="1"/>
  <c r="AA71" i="3" s="1"/>
  <c r="AB71" i="3" s="1"/>
  <c r="V72" i="3"/>
  <c r="X72" i="3" s="1"/>
  <c r="Y72" i="3" s="1"/>
  <c r="V73" i="3"/>
  <c r="X73" i="3" s="1"/>
  <c r="Y73" i="3" s="1"/>
  <c r="V74" i="3"/>
  <c r="X74" i="3" s="1"/>
  <c r="V75" i="3"/>
  <c r="X75" i="3" s="1"/>
  <c r="V76" i="3"/>
  <c r="X76" i="3" s="1"/>
  <c r="Y76" i="3" s="1"/>
  <c r="Z76" i="3" s="1"/>
  <c r="V77" i="3"/>
  <c r="X77" i="3" s="1"/>
  <c r="Y77" i="3" s="1"/>
  <c r="V78" i="3"/>
  <c r="X78" i="3" s="1"/>
  <c r="Y78" i="3" s="1"/>
  <c r="V79" i="3"/>
  <c r="X79" i="3" s="1"/>
  <c r="Y79" i="3" s="1"/>
  <c r="Z79" i="3" s="1"/>
  <c r="AA79" i="3" s="1"/>
  <c r="AB79" i="3" s="1"/>
  <c r="V80" i="3"/>
  <c r="X80" i="3" s="1"/>
  <c r="Y80" i="3" s="1"/>
  <c r="Z80" i="3" s="1"/>
  <c r="V81" i="3"/>
  <c r="X81" i="3" s="1"/>
  <c r="Y81" i="3" s="1"/>
  <c r="V82" i="3"/>
  <c r="X82" i="3" s="1"/>
  <c r="V83" i="3"/>
  <c r="X83" i="3" s="1"/>
  <c r="Y83" i="3" s="1"/>
  <c r="V84" i="3"/>
  <c r="X84" i="3" s="1"/>
  <c r="Y84" i="3" s="1"/>
  <c r="V85" i="3"/>
  <c r="X85" i="3" s="1"/>
  <c r="V86" i="3"/>
  <c r="X86" i="3" s="1"/>
  <c r="Y86" i="3" s="1"/>
  <c r="V87" i="3"/>
  <c r="X87" i="3" s="1"/>
  <c r="Y87" i="3" s="1"/>
  <c r="Z87" i="3" s="1"/>
  <c r="V88" i="3"/>
  <c r="X88" i="3" s="1"/>
  <c r="Y88" i="3" s="1"/>
  <c r="Z88" i="3" s="1"/>
  <c r="V89" i="3"/>
  <c r="X89" i="3" s="1"/>
  <c r="Y89" i="3" s="1"/>
  <c r="Z89" i="3" s="1"/>
  <c r="V90" i="3"/>
  <c r="X90" i="3" s="1"/>
  <c r="V91" i="3"/>
  <c r="X91" i="3" s="1"/>
  <c r="Y91" i="3" s="1"/>
  <c r="V92" i="3"/>
  <c r="X92" i="3" s="1"/>
  <c r="Y92" i="3" s="1"/>
  <c r="Z92" i="3" s="1"/>
  <c r="V93" i="3"/>
  <c r="X93" i="3" s="1"/>
  <c r="V94" i="3"/>
  <c r="X94" i="3" s="1"/>
  <c r="Y94" i="3" s="1"/>
  <c r="V95" i="3"/>
  <c r="X95" i="3" s="1"/>
  <c r="V96" i="3"/>
  <c r="X96" i="3" s="1"/>
  <c r="Y96" i="3" s="1"/>
  <c r="Z96" i="3" s="1"/>
  <c r="AA96" i="3" s="1"/>
  <c r="AB96" i="3" s="1"/>
  <c r="V97" i="3"/>
  <c r="X97" i="3" s="1"/>
  <c r="Y97" i="3" s="1"/>
  <c r="V98" i="3"/>
  <c r="X98" i="3" s="1"/>
  <c r="V99" i="3"/>
  <c r="X99" i="3" s="1"/>
  <c r="Y99" i="3" s="1"/>
  <c r="Z99" i="3" s="1"/>
  <c r="V100" i="3"/>
  <c r="X100" i="3" s="1"/>
  <c r="Y100" i="3" s="1"/>
  <c r="V101" i="3"/>
  <c r="X101" i="3" s="1"/>
  <c r="Y101" i="3" s="1"/>
  <c r="Z101" i="3" s="1"/>
  <c r="AA101" i="3" s="1"/>
  <c r="AB101" i="3" s="1"/>
  <c r="V102" i="3"/>
  <c r="X102" i="3" s="1"/>
  <c r="Y102" i="3" s="1"/>
  <c r="V103" i="3"/>
  <c r="X103" i="3" s="1"/>
  <c r="Y103" i="3" s="1"/>
  <c r="V104" i="3"/>
  <c r="X104" i="3" s="1"/>
  <c r="Y104" i="3" s="1"/>
  <c r="Z104" i="3" s="1"/>
  <c r="AA104" i="3" s="1"/>
  <c r="AB104" i="3" s="1"/>
  <c r="V105" i="3"/>
  <c r="X105" i="3" s="1"/>
  <c r="Y105" i="3" s="1"/>
  <c r="V106" i="3"/>
  <c r="X106" i="3" s="1"/>
  <c r="Y106" i="3" s="1"/>
  <c r="Z106" i="3" s="1"/>
  <c r="V107" i="3"/>
  <c r="X107" i="3" s="1"/>
  <c r="Y107" i="3" s="1"/>
  <c r="Z107" i="3" s="1"/>
  <c r="V108" i="3"/>
  <c r="X108" i="3" s="1"/>
  <c r="Y108" i="3" s="1"/>
  <c r="V109" i="3"/>
  <c r="X109" i="3" s="1"/>
  <c r="Y109" i="3" s="1"/>
  <c r="V110" i="3"/>
  <c r="X110" i="3" s="1"/>
  <c r="Y110" i="3" s="1"/>
  <c r="Z110" i="3" s="1"/>
  <c r="V111" i="3"/>
  <c r="X111" i="3" s="1"/>
  <c r="Y111" i="3" s="1"/>
  <c r="Z111" i="3" s="1"/>
  <c r="V112" i="3"/>
  <c r="X112" i="3" s="1"/>
  <c r="Y112" i="3" s="1"/>
  <c r="Z112" i="3" s="1"/>
  <c r="V113" i="3"/>
  <c r="X113" i="3" s="1"/>
  <c r="Y113" i="3" s="1"/>
  <c r="V114" i="3"/>
  <c r="X114" i="3" s="1"/>
  <c r="Y114" i="3" s="1"/>
  <c r="V115" i="3"/>
  <c r="X115" i="3" s="1"/>
  <c r="Y115" i="3" s="1"/>
  <c r="V116" i="3"/>
  <c r="X116" i="3" s="1"/>
  <c r="Y116" i="3" s="1"/>
  <c r="V117" i="3"/>
  <c r="X117" i="3" s="1"/>
  <c r="V118" i="3"/>
  <c r="X118" i="3" s="1"/>
  <c r="Y118" i="3" s="1"/>
  <c r="V119" i="3"/>
  <c r="X119" i="3" s="1"/>
  <c r="Y119" i="3" s="1"/>
  <c r="V120" i="3"/>
  <c r="X120" i="3" s="1"/>
  <c r="Y120" i="3" s="1"/>
  <c r="Z120" i="3" s="1"/>
  <c r="V121" i="3"/>
  <c r="X121" i="3" s="1"/>
  <c r="Y121" i="3" s="1"/>
  <c r="Z121" i="3" s="1"/>
  <c r="V122" i="3"/>
  <c r="X122" i="3" s="1"/>
  <c r="Y122" i="3" s="1"/>
  <c r="V123" i="3"/>
  <c r="X123" i="3" s="1"/>
  <c r="V124" i="3"/>
  <c r="X124" i="3" s="1"/>
  <c r="V125" i="3"/>
  <c r="X125" i="3" s="1"/>
  <c r="Y125" i="3" s="1"/>
  <c r="Z125" i="3" s="1"/>
  <c r="V126" i="3"/>
  <c r="X126" i="3" s="1"/>
  <c r="V127" i="3"/>
  <c r="X127" i="3" s="1"/>
  <c r="Y127" i="3" s="1"/>
  <c r="Z127" i="3" s="1"/>
  <c r="AA127" i="3" s="1"/>
  <c r="V128" i="3"/>
  <c r="X128" i="3" s="1"/>
  <c r="Y128" i="3" s="1"/>
  <c r="Z128" i="3" s="1"/>
  <c r="V129" i="3"/>
  <c r="X129" i="3" s="1"/>
  <c r="Y129" i="3" s="1"/>
  <c r="Z129" i="3" s="1"/>
  <c r="V130" i="3"/>
  <c r="X130" i="3" s="1"/>
  <c r="Y130" i="3" s="1"/>
  <c r="Z130" i="3" s="1"/>
  <c r="AA130" i="3" s="1"/>
  <c r="V131" i="3"/>
  <c r="X131" i="3" s="1"/>
  <c r="V132" i="3"/>
  <c r="X132" i="3" s="1"/>
  <c r="Y132" i="3" s="1"/>
  <c r="V133" i="3"/>
  <c r="X133" i="3" s="1"/>
  <c r="Y133" i="3" s="1"/>
  <c r="Z133" i="3" s="1"/>
  <c r="V134" i="3"/>
  <c r="X134" i="3" s="1"/>
  <c r="V135" i="3"/>
  <c r="X135" i="3" s="1"/>
  <c r="V136" i="3"/>
  <c r="X136" i="3" s="1"/>
  <c r="Y136" i="3" s="1"/>
  <c r="V137" i="3"/>
  <c r="X137" i="3" s="1"/>
  <c r="Y137" i="3" s="1"/>
  <c r="Z137" i="3" s="1"/>
  <c r="V138" i="3"/>
  <c r="X138" i="3" s="1"/>
  <c r="Y138" i="3" s="1"/>
  <c r="V139" i="3"/>
  <c r="X139" i="3" s="1"/>
  <c r="V140" i="3"/>
  <c r="X140" i="3" s="1"/>
  <c r="Y140" i="3" s="1"/>
  <c r="V141" i="3"/>
  <c r="X141" i="3" s="1"/>
  <c r="Y141" i="3" s="1"/>
  <c r="Z141" i="3" s="1"/>
  <c r="V142" i="3"/>
  <c r="X142" i="3" s="1"/>
  <c r="Y142" i="3" s="1"/>
  <c r="Z142" i="3" s="1"/>
  <c r="V143" i="3"/>
  <c r="X143" i="3" s="1"/>
  <c r="Y143" i="3" s="1"/>
  <c r="Z143" i="3" s="1"/>
  <c r="AA143" i="3" s="1"/>
  <c r="V144" i="3"/>
  <c r="X144" i="3" s="1"/>
  <c r="V145" i="3"/>
  <c r="X145" i="3" s="1"/>
  <c r="Y145" i="3" s="1"/>
  <c r="Z145" i="3" s="1"/>
  <c r="V146" i="3"/>
  <c r="X146" i="3" s="1"/>
  <c r="V147" i="3"/>
  <c r="X147" i="3" s="1"/>
  <c r="Y147" i="3" s="1"/>
  <c r="Z147" i="3" s="1"/>
  <c r="AA147" i="3" s="1"/>
  <c r="AB147" i="3" s="1"/>
  <c r="V148" i="3"/>
  <c r="X148" i="3" s="1"/>
  <c r="Y148" i="3" s="1"/>
  <c r="Z148" i="3" s="1"/>
  <c r="V149" i="3"/>
  <c r="X149" i="3" s="1"/>
  <c r="Y149" i="3" s="1"/>
  <c r="Z149" i="3" s="1"/>
  <c r="V150" i="3"/>
  <c r="X150" i="3" s="1"/>
  <c r="Y150" i="3" s="1"/>
  <c r="Z150" i="3" s="1"/>
  <c r="V151" i="3"/>
  <c r="X151" i="3" s="1"/>
  <c r="V152" i="3"/>
  <c r="X152" i="3" s="1"/>
  <c r="Y152" i="3" s="1"/>
  <c r="Z152" i="3" s="1"/>
  <c r="V153" i="3"/>
  <c r="X153" i="3" s="1"/>
  <c r="Y153" i="3" s="1"/>
  <c r="Z153" i="3" s="1"/>
  <c r="V154" i="3"/>
  <c r="X154" i="3" s="1"/>
  <c r="Y154" i="3" s="1"/>
  <c r="V155" i="3"/>
  <c r="X155" i="3" s="1"/>
  <c r="Y155" i="3" s="1"/>
  <c r="Z155" i="3" s="1"/>
  <c r="AA155" i="3" s="1"/>
  <c r="V156" i="3"/>
  <c r="X156" i="3" s="1"/>
  <c r="V157" i="3"/>
  <c r="X157" i="3" s="1"/>
  <c r="Y157" i="3" s="1"/>
  <c r="Z157" i="3" s="1"/>
  <c r="V158" i="3"/>
  <c r="X158" i="3" s="1"/>
  <c r="V159" i="3"/>
  <c r="X159" i="3" s="1"/>
  <c r="V160" i="3"/>
  <c r="X160" i="3" s="1"/>
  <c r="Y160" i="3" s="1"/>
  <c r="V161" i="3"/>
  <c r="X161" i="3" s="1"/>
  <c r="Y161" i="3" s="1"/>
  <c r="Z161" i="3" s="1"/>
  <c r="V162" i="3"/>
  <c r="X162" i="3" s="1"/>
  <c r="Y162" i="3" s="1"/>
  <c r="Z162" i="3" s="1"/>
  <c r="AA162" i="3" s="1"/>
  <c r="AB162" i="3" s="1"/>
  <c r="V163" i="3"/>
  <c r="X163" i="3" s="1"/>
  <c r="Y163" i="3" s="1"/>
  <c r="Z163" i="3" s="1"/>
  <c r="AA163" i="3" s="1"/>
  <c r="V164" i="3"/>
  <c r="X164" i="3" s="1"/>
  <c r="Y164" i="3" s="1"/>
  <c r="V165" i="3"/>
  <c r="X165" i="3" s="1"/>
  <c r="Y165" i="3" s="1"/>
  <c r="Z165" i="3" s="1"/>
  <c r="V166" i="3"/>
  <c r="X166" i="3" s="1"/>
  <c r="V167" i="3"/>
  <c r="X167" i="3" s="1"/>
  <c r="Y167" i="3" s="1"/>
  <c r="Z167" i="3" s="1"/>
  <c r="AA167" i="3" s="1"/>
  <c r="AB167" i="3" s="1"/>
  <c r="V168" i="3"/>
  <c r="X168" i="3" s="1"/>
  <c r="Y168" i="3" s="1"/>
  <c r="V169" i="3"/>
  <c r="X169" i="3" s="1"/>
  <c r="Y169" i="3" s="1"/>
  <c r="Z169" i="3" s="1"/>
  <c r="V170" i="3"/>
  <c r="X170" i="3" s="1"/>
  <c r="V171" i="3"/>
  <c r="X171" i="3" s="1"/>
  <c r="V172" i="3"/>
  <c r="X172" i="3" s="1"/>
  <c r="Y172" i="3" s="1"/>
  <c r="V173" i="3"/>
  <c r="X173" i="3" s="1"/>
  <c r="Y173" i="3" s="1"/>
  <c r="Z173" i="3" s="1"/>
  <c r="V174" i="3"/>
  <c r="X174" i="3" s="1"/>
  <c r="Y174" i="3" s="1"/>
  <c r="Z174" i="3" s="1"/>
  <c r="V175" i="3"/>
  <c r="X175" i="3" s="1"/>
  <c r="Y175" i="3" s="1"/>
  <c r="Z175" i="3" s="1"/>
  <c r="AA175" i="3" s="1"/>
  <c r="V176" i="3"/>
  <c r="X176" i="3" s="1"/>
  <c r="V177" i="3"/>
  <c r="X177" i="3" s="1"/>
  <c r="Y177" i="3" s="1"/>
  <c r="Z177" i="3" s="1"/>
  <c r="V178" i="3"/>
  <c r="X178" i="3" s="1"/>
  <c r="Y178" i="3" s="1"/>
  <c r="V179" i="3"/>
  <c r="X179" i="3" s="1"/>
  <c r="Y179" i="3" s="1"/>
  <c r="Z179" i="3" s="1"/>
  <c r="AA179" i="3" s="1"/>
  <c r="V180" i="3"/>
  <c r="X180" i="3" s="1"/>
  <c r="V181" i="3"/>
  <c r="X181" i="3" s="1"/>
  <c r="Y181" i="3" s="1"/>
  <c r="Z181" i="3" s="1"/>
  <c r="V182" i="3"/>
  <c r="X182" i="3" s="1"/>
  <c r="Y182" i="3" s="1"/>
  <c r="V183" i="3"/>
  <c r="X183" i="3" s="1"/>
  <c r="V184" i="3"/>
  <c r="X184" i="3" s="1"/>
  <c r="Y184" i="3" s="1"/>
  <c r="Z184" i="3" s="1"/>
  <c r="V6" i="3"/>
  <c r="Y184" i="5" l="1"/>
  <c r="J184" i="5"/>
  <c r="L184" i="5"/>
  <c r="Y183" i="5"/>
  <c r="L183" i="5"/>
  <c r="J183" i="5"/>
  <c r="Y182" i="5"/>
  <c r="L182" i="5"/>
  <c r="J182" i="5"/>
  <c r="Y181" i="5"/>
  <c r="J181" i="5"/>
  <c r="L181" i="5"/>
  <c r="Y180" i="5"/>
  <c r="L180" i="5"/>
  <c r="J180" i="5"/>
  <c r="Y179" i="5"/>
  <c r="J179" i="5"/>
  <c r="L179" i="5"/>
  <c r="Y178" i="5"/>
  <c r="J178" i="5"/>
  <c r="L178" i="5"/>
  <c r="Y177" i="5"/>
  <c r="L177" i="5"/>
  <c r="J177" i="5"/>
  <c r="Y176" i="5"/>
  <c r="L176" i="5"/>
  <c r="J176" i="5"/>
  <c r="Y175" i="5"/>
  <c r="L175" i="5"/>
  <c r="J175" i="5"/>
  <c r="Y174" i="5"/>
  <c r="L174" i="5"/>
  <c r="J174" i="5"/>
  <c r="Y173" i="5"/>
  <c r="L173" i="5"/>
  <c r="J173" i="5"/>
  <c r="Y172" i="5"/>
  <c r="L172" i="5"/>
  <c r="J172" i="5"/>
  <c r="Y171" i="5"/>
  <c r="J171" i="5"/>
  <c r="L171" i="5"/>
  <c r="Y170" i="5"/>
  <c r="L170" i="5"/>
  <c r="J170" i="5"/>
  <c r="Y169" i="5"/>
  <c r="J169" i="5"/>
  <c r="L169" i="5"/>
  <c r="Y168" i="5"/>
  <c r="M168" i="5"/>
  <c r="I168" i="5"/>
  <c r="Y167" i="5"/>
  <c r="I167" i="5"/>
  <c r="M167" i="5"/>
  <c r="Y166" i="5"/>
  <c r="M166" i="5"/>
  <c r="I166" i="5"/>
  <c r="Y165" i="5"/>
  <c r="M165" i="5"/>
  <c r="I165" i="5"/>
  <c r="Y164" i="5"/>
  <c r="M164" i="5"/>
  <c r="I164" i="5"/>
  <c r="Y163" i="5"/>
  <c r="M163" i="5"/>
  <c r="I163" i="5"/>
  <c r="Y162" i="5"/>
  <c r="I162" i="5"/>
  <c r="M162" i="5"/>
  <c r="Y161" i="5"/>
  <c r="J161" i="5"/>
  <c r="L161" i="5"/>
  <c r="Y160" i="5"/>
  <c r="L160" i="5"/>
  <c r="J160" i="5"/>
  <c r="Y159" i="5"/>
  <c r="J159" i="5"/>
  <c r="L159" i="5"/>
  <c r="Y158" i="5"/>
  <c r="L158" i="5"/>
  <c r="J158" i="5"/>
  <c r="Y157" i="5"/>
  <c r="J157" i="5"/>
  <c r="L157" i="5"/>
  <c r="Y156" i="5"/>
  <c r="L156" i="5"/>
  <c r="J156" i="5"/>
  <c r="Y155" i="5"/>
  <c r="L155" i="5"/>
  <c r="J155" i="5"/>
  <c r="Y154" i="5"/>
  <c r="L154" i="5"/>
  <c r="J154" i="5"/>
  <c r="Y153" i="5"/>
  <c r="L153" i="5"/>
  <c r="J153" i="5"/>
  <c r="Y152" i="5"/>
  <c r="J152" i="5"/>
  <c r="L152" i="5"/>
  <c r="Y151" i="5"/>
  <c r="J151" i="5"/>
  <c r="L151" i="5"/>
  <c r="Y150" i="5"/>
  <c r="J150" i="5"/>
  <c r="L150" i="5"/>
  <c r="Y149" i="5"/>
  <c r="L149" i="5"/>
  <c r="J149" i="5"/>
  <c r="Y148" i="5"/>
  <c r="L148" i="5"/>
  <c r="J148" i="5"/>
  <c r="Y147" i="5"/>
  <c r="J147" i="5"/>
  <c r="L147" i="5"/>
  <c r="Y146" i="5"/>
  <c r="J146" i="5"/>
  <c r="L146" i="5"/>
  <c r="Y145" i="5"/>
  <c r="I145" i="5"/>
  <c r="M145" i="5"/>
  <c r="Y144" i="5"/>
  <c r="M144" i="5"/>
  <c r="I144" i="5"/>
  <c r="Y143" i="5"/>
  <c r="M143" i="5"/>
  <c r="I143" i="5"/>
  <c r="Y142" i="5"/>
  <c r="M142" i="5"/>
  <c r="I142" i="5"/>
  <c r="Y141" i="5"/>
  <c r="M141" i="5"/>
  <c r="I141" i="5"/>
  <c r="Y140" i="5"/>
  <c r="M140" i="5"/>
  <c r="I140" i="5"/>
  <c r="Y139" i="5"/>
  <c r="J139" i="5"/>
  <c r="L139" i="5"/>
  <c r="Y138" i="5"/>
  <c r="L138" i="5"/>
  <c r="J138" i="5"/>
  <c r="Y137" i="5"/>
  <c r="J137" i="5"/>
  <c r="L137" i="5"/>
  <c r="Y136" i="5"/>
  <c r="J136" i="5"/>
  <c r="L136" i="5"/>
  <c r="Y135" i="5"/>
  <c r="J135" i="5"/>
  <c r="L135" i="5"/>
  <c r="Y134" i="5"/>
  <c r="J134" i="5"/>
  <c r="L134" i="5"/>
  <c r="Y133" i="5"/>
  <c r="L133" i="5"/>
  <c r="J133" i="5"/>
  <c r="Y132" i="5"/>
  <c r="L132" i="5"/>
  <c r="J132" i="5"/>
  <c r="Y131" i="5"/>
  <c r="J131" i="5"/>
  <c r="L131" i="5"/>
  <c r="Y130" i="5"/>
  <c r="L130" i="5"/>
  <c r="J130" i="5"/>
  <c r="Y129" i="5"/>
  <c r="L129" i="5"/>
  <c r="J129" i="5"/>
  <c r="Y128" i="5"/>
  <c r="M128" i="5"/>
  <c r="I128" i="5"/>
  <c r="Y127" i="5"/>
  <c r="I127" i="5"/>
  <c r="M127" i="5"/>
  <c r="Y126" i="5"/>
  <c r="I126" i="5"/>
  <c r="M126" i="5"/>
  <c r="Y125" i="5"/>
  <c r="I125" i="5"/>
  <c r="M125" i="5"/>
  <c r="Y124" i="5"/>
  <c r="I124" i="5"/>
  <c r="M124" i="5"/>
  <c r="Y123" i="5"/>
  <c r="I123" i="5"/>
  <c r="M123" i="5"/>
  <c r="Y122" i="5"/>
  <c r="J122" i="5"/>
  <c r="L122" i="5"/>
  <c r="Y121" i="5"/>
  <c r="J121" i="5"/>
  <c r="L121" i="5"/>
  <c r="Y120" i="5"/>
  <c r="J120" i="5"/>
  <c r="L120" i="5"/>
  <c r="Y119" i="5"/>
  <c r="Y118" i="5"/>
  <c r="J118" i="5"/>
  <c r="L118" i="5"/>
  <c r="Y117" i="5"/>
  <c r="L117" i="5"/>
  <c r="J117" i="5"/>
  <c r="Y116" i="5"/>
  <c r="L116" i="5"/>
  <c r="J116" i="5"/>
  <c r="Y115" i="5"/>
  <c r="J115" i="5"/>
  <c r="L115" i="5"/>
  <c r="Y114" i="5"/>
  <c r="J114" i="5"/>
  <c r="L114" i="5"/>
  <c r="Y113" i="5"/>
  <c r="J113" i="5"/>
  <c r="L113" i="5"/>
  <c r="Y112" i="5"/>
  <c r="L112" i="5"/>
  <c r="J112" i="5"/>
  <c r="Y111" i="5"/>
  <c r="L111" i="5"/>
  <c r="J111" i="5"/>
  <c r="Y110" i="5"/>
  <c r="J110" i="5"/>
  <c r="L110" i="5"/>
  <c r="Y109" i="5"/>
  <c r="L109" i="5"/>
  <c r="J109" i="5"/>
  <c r="Y108" i="5"/>
  <c r="L108" i="5"/>
  <c r="J108" i="5"/>
  <c r="Y107" i="5"/>
  <c r="L107" i="5"/>
  <c r="J107" i="5"/>
  <c r="Y106" i="5"/>
  <c r="L106" i="5"/>
  <c r="J106" i="5"/>
  <c r="Y105" i="5"/>
  <c r="L105" i="5"/>
  <c r="J105" i="5"/>
  <c r="Y104" i="5"/>
  <c r="L104" i="5"/>
  <c r="J104" i="5"/>
  <c r="Y103" i="5"/>
  <c r="L103" i="5"/>
  <c r="J103" i="5"/>
  <c r="Y102" i="5"/>
  <c r="L102" i="5"/>
  <c r="J102" i="5"/>
  <c r="Y101" i="5"/>
  <c r="L101" i="5"/>
  <c r="J101" i="5"/>
  <c r="Y100" i="5"/>
  <c r="L100" i="5"/>
  <c r="J100" i="5"/>
  <c r="Y99" i="5"/>
  <c r="J99" i="5"/>
  <c r="L99" i="5"/>
  <c r="Y98" i="5"/>
  <c r="L98" i="5"/>
  <c r="J98" i="5"/>
  <c r="Y97" i="5"/>
  <c r="J97" i="5"/>
  <c r="L97" i="5"/>
  <c r="Y96" i="5"/>
  <c r="L96" i="5"/>
  <c r="J96" i="5"/>
  <c r="Y95" i="5"/>
  <c r="L95" i="5"/>
  <c r="J95" i="5"/>
  <c r="Y94" i="5"/>
  <c r="L94" i="5"/>
  <c r="J94" i="5"/>
  <c r="Y93" i="5"/>
  <c r="L93" i="5"/>
  <c r="J93" i="5"/>
  <c r="Y92" i="5"/>
  <c r="J92" i="5"/>
  <c r="L92" i="5"/>
  <c r="Y91" i="5"/>
  <c r="J91" i="5"/>
  <c r="L91" i="5"/>
  <c r="Y90" i="5"/>
  <c r="J90" i="5"/>
  <c r="L90" i="5"/>
  <c r="Y89" i="5"/>
  <c r="L89" i="5"/>
  <c r="J89" i="5"/>
  <c r="Y88" i="5"/>
  <c r="J88" i="5"/>
  <c r="L88" i="5"/>
  <c r="Y87" i="5"/>
  <c r="L87" i="5"/>
  <c r="J87" i="5"/>
  <c r="Y86" i="5"/>
  <c r="J86" i="5"/>
  <c r="L86" i="5"/>
  <c r="Y85" i="5"/>
  <c r="L85" i="5"/>
  <c r="J85" i="5"/>
  <c r="Y84" i="5"/>
  <c r="Y83" i="5"/>
  <c r="L83" i="5"/>
  <c r="J83" i="5"/>
  <c r="Y82" i="5"/>
  <c r="L82" i="5"/>
  <c r="J82" i="5"/>
  <c r="Y81" i="5"/>
  <c r="J81" i="5"/>
  <c r="L81" i="5"/>
  <c r="Y80" i="5"/>
  <c r="J80" i="5"/>
  <c r="L80" i="5"/>
  <c r="Y79" i="5"/>
  <c r="J79" i="5"/>
  <c r="L79" i="5"/>
  <c r="Y78" i="5"/>
  <c r="J78" i="5"/>
  <c r="L78" i="5"/>
  <c r="Y77" i="5"/>
  <c r="L77" i="5"/>
  <c r="J77" i="5"/>
  <c r="Y76" i="5"/>
  <c r="L76" i="5"/>
  <c r="J76" i="5"/>
  <c r="Y75" i="5"/>
  <c r="L75" i="5"/>
  <c r="J75" i="5"/>
  <c r="Y74" i="5"/>
  <c r="J74" i="5"/>
  <c r="L74" i="5"/>
  <c r="Y73" i="5"/>
  <c r="L73" i="5"/>
  <c r="J73" i="5"/>
  <c r="Y72" i="5"/>
  <c r="J72" i="5"/>
  <c r="L72" i="5"/>
  <c r="Y71" i="5"/>
  <c r="L71" i="5"/>
  <c r="J71" i="5"/>
  <c r="Y70" i="5"/>
  <c r="Y69" i="5"/>
  <c r="J69" i="5"/>
  <c r="L69" i="5"/>
  <c r="Y68" i="5"/>
  <c r="L68" i="5"/>
  <c r="J68" i="5"/>
  <c r="Y67" i="5"/>
  <c r="L67" i="5"/>
  <c r="J67" i="5"/>
  <c r="Y66" i="5"/>
  <c r="L66" i="5"/>
  <c r="J66" i="5"/>
  <c r="Y65" i="5"/>
  <c r="J65" i="5"/>
  <c r="L65" i="5"/>
  <c r="Y64" i="5"/>
  <c r="L64" i="5"/>
  <c r="J64" i="5"/>
  <c r="Y63" i="5"/>
  <c r="L63" i="5"/>
  <c r="J63" i="5"/>
  <c r="Y62" i="5"/>
  <c r="L62" i="5"/>
  <c r="J62" i="5"/>
  <c r="Y61" i="5"/>
  <c r="Q61" i="5"/>
  <c r="J61" i="5"/>
  <c r="Y60" i="5"/>
  <c r="J60" i="5"/>
  <c r="L60" i="5"/>
  <c r="Y59" i="5"/>
  <c r="J59" i="5"/>
  <c r="L59" i="5"/>
  <c r="Y58" i="5"/>
  <c r="J58" i="5"/>
  <c r="L58" i="5"/>
  <c r="Y57" i="5"/>
  <c r="J57" i="5"/>
  <c r="L57" i="5"/>
  <c r="Y56" i="5"/>
  <c r="J56" i="5"/>
  <c r="L56" i="5"/>
  <c r="Y55" i="5"/>
  <c r="L55" i="5"/>
  <c r="J55" i="5"/>
  <c r="A55" i="5" s="1"/>
  <c r="Y54" i="5"/>
  <c r="J54" i="5"/>
  <c r="L54" i="5"/>
  <c r="Y53" i="5"/>
  <c r="L53" i="5"/>
  <c r="J53" i="5"/>
  <c r="Y52" i="5"/>
  <c r="L52" i="5"/>
  <c r="J52" i="5"/>
  <c r="Y51" i="5"/>
  <c r="L51" i="5"/>
  <c r="J51" i="5"/>
  <c r="Y50" i="5"/>
  <c r="L50" i="5"/>
  <c r="J50" i="5"/>
  <c r="Y49" i="5"/>
  <c r="L49" i="5"/>
  <c r="J49" i="5"/>
  <c r="Y48" i="5"/>
  <c r="L48" i="5"/>
  <c r="J48" i="5"/>
  <c r="Y47" i="5"/>
  <c r="J47" i="5"/>
  <c r="L47" i="5"/>
  <c r="Y46" i="5"/>
  <c r="L46" i="5"/>
  <c r="J46" i="5"/>
  <c r="Y45" i="5"/>
  <c r="L45" i="5"/>
  <c r="J45" i="5"/>
  <c r="Y44" i="5"/>
  <c r="Y43" i="5"/>
  <c r="L43" i="5"/>
  <c r="J43" i="5"/>
  <c r="Y42" i="5"/>
  <c r="J42" i="5"/>
  <c r="L42" i="5"/>
  <c r="Y41" i="5"/>
  <c r="I41" i="5"/>
  <c r="M41" i="5"/>
  <c r="Y40" i="5"/>
  <c r="M40" i="5"/>
  <c r="I40" i="5"/>
  <c r="Y39" i="5"/>
  <c r="M39" i="5"/>
  <c r="I39" i="5"/>
  <c r="Y38" i="5"/>
  <c r="M38" i="5"/>
  <c r="I38" i="5"/>
  <c r="Y37" i="5"/>
  <c r="M37" i="5"/>
  <c r="I37" i="5"/>
  <c r="Y36" i="5"/>
  <c r="I36" i="5"/>
  <c r="M36" i="5"/>
  <c r="Y35" i="5"/>
  <c r="M35" i="5"/>
  <c r="I35" i="5"/>
  <c r="Y34" i="5"/>
  <c r="I34" i="5"/>
  <c r="M34" i="5"/>
  <c r="Y33" i="5"/>
  <c r="M33" i="5"/>
  <c r="I33" i="5"/>
  <c r="Y32" i="5"/>
  <c r="L32" i="5"/>
  <c r="J32" i="5"/>
  <c r="Y31" i="5"/>
  <c r="J31" i="5"/>
  <c r="L31" i="5"/>
  <c r="Y30" i="5"/>
  <c r="L30" i="5"/>
  <c r="J30" i="5"/>
  <c r="Y29" i="5"/>
  <c r="L29" i="5"/>
  <c r="J29" i="5"/>
  <c r="Y28" i="5"/>
  <c r="I28" i="5"/>
  <c r="M28" i="5"/>
  <c r="Y27" i="5"/>
  <c r="M27" i="5"/>
  <c r="I27" i="5"/>
  <c r="Y26" i="5"/>
  <c r="M26" i="5"/>
  <c r="I26" i="5"/>
  <c r="Y25" i="5"/>
  <c r="I25" i="5"/>
  <c r="M25" i="5"/>
  <c r="Y24" i="5"/>
  <c r="L24" i="5"/>
  <c r="J24" i="5"/>
  <c r="Y23" i="5"/>
  <c r="L23" i="5"/>
  <c r="J23" i="5"/>
  <c r="Y22" i="5"/>
  <c r="L22" i="5"/>
  <c r="J22" i="5"/>
  <c r="Y21" i="5"/>
  <c r="L21" i="5"/>
  <c r="J21" i="5"/>
  <c r="Y20" i="5"/>
  <c r="L20" i="5"/>
  <c r="J20" i="5"/>
  <c r="Y19" i="5"/>
  <c r="I19" i="5"/>
  <c r="M19" i="5"/>
  <c r="Y18" i="5"/>
  <c r="I18" i="5"/>
  <c r="M18" i="5"/>
  <c r="Y17" i="5"/>
  <c r="M17" i="5"/>
  <c r="I17" i="5"/>
  <c r="Y16" i="5"/>
  <c r="M16" i="5"/>
  <c r="I16" i="5"/>
  <c r="Y15" i="5"/>
  <c r="M15" i="5"/>
  <c r="I15" i="5"/>
  <c r="Y14" i="5"/>
  <c r="J14" i="5"/>
  <c r="L14" i="5"/>
  <c r="Y13" i="5"/>
  <c r="L13" i="5"/>
  <c r="J13" i="5"/>
  <c r="Y12" i="5"/>
  <c r="L12" i="5"/>
  <c r="J12" i="5"/>
  <c r="Y11" i="5"/>
  <c r="L11" i="5"/>
  <c r="J11" i="5"/>
  <c r="Y10" i="5"/>
  <c r="L10" i="5"/>
  <c r="J10" i="5"/>
  <c r="Y9" i="5"/>
  <c r="J9" i="5"/>
  <c r="L9" i="5"/>
  <c r="Y8" i="5"/>
  <c r="L8" i="5"/>
  <c r="J8" i="5"/>
  <c r="Y7" i="5"/>
  <c r="L7" i="5"/>
  <c r="J7" i="5"/>
  <c r="Y6" i="5"/>
  <c r="L6" i="5"/>
  <c r="J6" i="5"/>
  <c r="P185" i="5"/>
  <c r="Y184" i="4"/>
  <c r="L184" i="4"/>
  <c r="J184" i="4"/>
  <c r="Y183" i="4"/>
  <c r="L183" i="4"/>
  <c r="J183" i="4"/>
  <c r="Y182" i="4"/>
  <c r="L182" i="4"/>
  <c r="J182" i="4"/>
  <c r="Y181" i="4"/>
  <c r="L181" i="4"/>
  <c r="J181" i="4"/>
  <c r="Y180" i="4"/>
  <c r="L180" i="4"/>
  <c r="J180" i="4"/>
  <c r="Y179" i="4"/>
  <c r="L179" i="4"/>
  <c r="J179" i="4"/>
  <c r="Y178" i="4"/>
  <c r="L178" i="4"/>
  <c r="J178" i="4"/>
  <c r="Y177" i="4"/>
  <c r="L177" i="4"/>
  <c r="J177" i="4"/>
  <c r="Y176" i="4"/>
  <c r="L176" i="4"/>
  <c r="J176" i="4"/>
  <c r="Y175" i="4"/>
  <c r="L175" i="4"/>
  <c r="J175" i="4"/>
  <c r="Y174" i="4"/>
  <c r="L174" i="4"/>
  <c r="J174" i="4"/>
  <c r="Y173" i="4"/>
  <c r="J173" i="4"/>
  <c r="L173" i="4"/>
  <c r="Y172" i="4"/>
  <c r="J172" i="4"/>
  <c r="L172" i="4"/>
  <c r="Y171" i="4"/>
  <c r="L171" i="4"/>
  <c r="J171" i="4"/>
  <c r="Y170" i="4"/>
  <c r="L170" i="4"/>
  <c r="J170" i="4"/>
  <c r="Y169" i="4"/>
  <c r="L169" i="4"/>
  <c r="J169" i="4"/>
  <c r="Y168" i="4"/>
  <c r="M168" i="4"/>
  <c r="I168" i="4"/>
  <c r="Y167" i="4"/>
  <c r="M167" i="4"/>
  <c r="I167" i="4"/>
  <c r="Y166" i="4"/>
  <c r="I166" i="4"/>
  <c r="M166" i="4"/>
  <c r="Y165" i="4"/>
  <c r="I165" i="4"/>
  <c r="M165" i="4"/>
  <c r="Y164" i="4"/>
  <c r="M164" i="4"/>
  <c r="I164" i="4"/>
  <c r="Y163" i="4"/>
  <c r="I163" i="4"/>
  <c r="M163" i="4"/>
  <c r="Y162" i="4"/>
  <c r="M162" i="4"/>
  <c r="M185" i="4" s="1"/>
  <c r="I162" i="4"/>
  <c r="Y161" i="4"/>
  <c r="L161" i="4"/>
  <c r="J161" i="4"/>
  <c r="Y160" i="4"/>
  <c r="L160" i="4"/>
  <c r="J160" i="4"/>
  <c r="Y159" i="4"/>
  <c r="J159" i="4"/>
  <c r="L159" i="4"/>
  <c r="Y158" i="4"/>
  <c r="J158" i="4"/>
  <c r="L158" i="4"/>
  <c r="Y157" i="4"/>
  <c r="J157" i="4"/>
  <c r="L157" i="4"/>
  <c r="Y156" i="4"/>
  <c r="J156" i="4"/>
  <c r="L156" i="4"/>
  <c r="Y155" i="4"/>
  <c r="L155" i="4"/>
  <c r="J155" i="4"/>
  <c r="Y154" i="4"/>
  <c r="L154" i="4"/>
  <c r="J154" i="4"/>
  <c r="Y153" i="4"/>
  <c r="L153" i="4"/>
  <c r="J153" i="4"/>
  <c r="Y152" i="4"/>
  <c r="M152" i="4"/>
  <c r="I152" i="4"/>
  <c r="Y151" i="4"/>
  <c r="J151" i="4"/>
  <c r="L151" i="4"/>
  <c r="Y150" i="4"/>
  <c r="L150" i="4"/>
  <c r="J150" i="4"/>
  <c r="Y149" i="4"/>
  <c r="L149" i="4"/>
  <c r="J149" i="4"/>
  <c r="Y148" i="4"/>
  <c r="L148" i="4"/>
  <c r="J148" i="4"/>
  <c r="Y147" i="4"/>
  <c r="L147" i="4"/>
  <c r="J147" i="4"/>
  <c r="Y146" i="4"/>
  <c r="L146" i="4"/>
  <c r="J146" i="4"/>
  <c r="Y145" i="4"/>
  <c r="M145" i="4"/>
  <c r="I145" i="4"/>
  <c r="Y144" i="4"/>
  <c r="M144" i="4"/>
  <c r="I144" i="4"/>
  <c r="Y143" i="4"/>
  <c r="I143" i="4"/>
  <c r="M143" i="4"/>
  <c r="Y142" i="4"/>
  <c r="M142" i="4"/>
  <c r="I142" i="4"/>
  <c r="Y141" i="4"/>
  <c r="M141" i="4"/>
  <c r="I141" i="4"/>
  <c r="Y140" i="4"/>
  <c r="M140" i="4"/>
  <c r="I140" i="4"/>
  <c r="Y139" i="4"/>
  <c r="L139" i="4"/>
  <c r="J139" i="4"/>
  <c r="Y138" i="4"/>
  <c r="L138" i="4"/>
  <c r="J138" i="4"/>
  <c r="Y137" i="4"/>
  <c r="L137" i="4"/>
  <c r="J137" i="4"/>
  <c r="Y136" i="4"/>
  <c r="L136" i="4"/>
  <c r="J136" i="4"/>
  <c r="Y135" i="4"/>
  <c r="J135" i="4"/>
  <c r="L135" i="4"/>
  <c r="Y134" i="4"/>
  <c r="L134" i="4"/>
  <c r="J134" i="4"/>
  <c r="Y133" i="4"/>
  <c r="L133" i="4"/>
  <c r="J133" i="4"/>
  <c r="Y132" i="4"/>
  <c r="L132" i="4"/>
  <c r="J132" i="4"/>
  <c r="Y131" i="4"/>
  <c r="L131" i="4"/>
  <c r="J131" i="4"/>
  <c r="Y130" i="4"/>
  <c r="L130" i="4"/>
  <c r="J130" i="4"/>
  <c r="Y129" i="4"/>
  <c r="L129" i="4"/>
  <c r="J129" i="4"/>
  <c r="Y128" i="4"/>
  <c r="M128" i="4"/>
  <c r="I128" i="4"/>
  <c r="Y127" i="4"/>
  <c r="I127" i="4"/>
  <c r="M127" i="4"/>
  <c r="Y126" i="4"/>
  <c r="M126" i="4"/>
  <c r="I126" i="4"/>
  <c r="Y125" i="4"/>
  <c r="M125" i="4"/>
  <c r="I125" i="4"/>
  <c r="Y124" i="4"/>
  <c r="M124" i="4"/>
  <c r="I124" i="4"/>
  <c r="Y123" i="4"/>
  <c r="M123" i="4"/>
  <c r="I123" i="4"/>
  <c r="Y122" i="4"/>
  <c r="L122" i="4"/>
  <c r="J122" i="4"/>
  <c r="Y121" i="4"/>
  <c r="L121" i="4"/>
  <c r="J121" i="4"/>
  <c r="Y120" i="4"/>
  <c r="L120" i="4"/>
  <c r="J120" i="4"/>
  <c r="Y119" i="4"/>
  <c r="J119" i="4"/>
  <c r="L119" i="4"/>
  <c r="Y118" i="4"/>
  <c r="L118" i="4"/>
  <c r="J118" i="4"/>
  <c r="Y117" i="4"/>
  <c r="J117" i="4"/>
  <c r="L117" i="4"/>
  <c r="Y116" i="4"/>
  <c r="J116" i="4"/>
  <c r="L116" i="4"/>
  <c r="Y115" i="4"/>
  <c r="J115" i="4"/>
  <c r="L115" i="4"/>
  <c r="Y114" i="4"/>
  <c r="L114" i="4"/>
  <c r="J114" i="4"/>
  <c r="Y113" i="4"/>
  <c r="J113" i="4"/>
  <c r="L113" i="4"/>
  <c r="Y112" i="4"/>
  <c r="J112" i="4"/>
  <c r="L112" i="4"/>
  <c r="Y111" i="4"/>
  <c r="J111" i="4"/>
  <c r="L111" i="4"/>
  <c r="Y110" i="4"/>
  <c r="J110" i="4"/>
  <c r="L110" i="4"/>
  <c r="Y109" i="4"/>
  <c r="J109" i="4"/>
  <c r="L109" i="4"/>
  <c r="Y108" i="4"/>
  <c r="J108" i="4"/>
  <c r="L108" i="4"/>
  <c r="Y107" i="4"/>
  <c r="J107" i="4"/>
  <c r="L107" i="4"/>
  <c r="Y106" i="4"/>
  <c r="L106" i="4"/>
  <c r="J106" i="4"/>
  <c r="Y105" i="4"/>
  <c r="J105" i="4"/>
  <c r="L105" i="4"/>
  <c r="Y104" i="4"/>
  <c r="L104" i="4"/>
  <c r="J104" i="4"/>
  <c r="Y103" i="4"/>
  <c r="L103" i="4"/>
  <c r="J103" i="4"/>
  <c r="Y102" i="4"/>
  <c r="L102" i="4"/>
  <c r="J102" i="4"/>
  <c r="Y101" i="4"/>
  <c r="Y100" i="4"/>
  <c r="J100" i="4"/>
  <c r="L100" i="4"/>
  <c r="Y99" i="4"/>
  <c r="L99" i="4"/>
  <c r="J99" i="4"/>
  <c r="Y98" i="4"/>
  <c r="J98" i="4"/>
  <c r="L98" i="4"/>
  <c r="Y97" i="4"/>
  <c r="L97" i="4"/>
  <c r="J97" i="4"/>
  <c r="Y96" i="4"/>
  <c r="J96" i="4"/>
  <c r="L96" i="4"/>
  <c r="Y95" i="4"/>
  <c r="L95" i="4"/>
  <c r="J95" i="4"/>
  <c r="Y94" i="4"/>
  <c r="L94" i="4"/>
  <c r="J94" i="4"/>
  <c r="Y93" i="4"/>
  <c r="J93" i="4"/>
  <c r="L93" i="4"/>
  <c r="Y92" i="4"/>
  <c r="L92" i="4"/>
  <c r="J92" i="4"/>
  <c r="Y91" i="4"/>
  <c r="J91" i="4"/>
  <c r="L91" i="4"/>
  <c r="Y90" i="4"/>
  <c r="J90" i="4"/>
  <c r="L90" i="4"/>
  <c r="Y89" i="4"/>
  <c r="J89" i="4"/>
  <c r="L89" i="4"/>
  <c r="Y88" i="4"/>
  <c r="J88" i="4"/>
  <c r="L88" i="4"/>
  <c r="Y87" i="4"/>
  <c r="J87" i="4"/>
  <c r="L87" i="4"/>
  <c r="Y86" i="4"/>
  <c r="J86" i="4"/>
  <c r="L86" i="4"/>
  <c r="Y85" i="4"/>
  <c r="L85" i="4"/>
  <c r="J85" i="4"/>
  <c r="Y84" i="4"/>
  <c r="J84" i="4"/>
  <c r="L84" i="4"/>
  <c r="Y83" i="4"/>
  <c r="J83" i="4"/>
  <c r="L83" i="4"/>
  <c r="Y82" i="4"/>
  <c r="J82" i="4"/>
  <c r="L82" i="4"/>
  <c r="Y81" i="4"/>
  <c r="J81" i="4"/>
  <c r="L81" i="4"/>
  <c r="Y80" i="4"/>
  <c r="J80" i="4"/>
  <c r="L80" i="4"/>
  <c r="Y79" i="4"/>
  <c r="Y78" i="4"/>
  <c r="J78" i="4"/>
  <c r="L78" i="4"/>
  <c r="Y77" i="4"/>
  <c r="L77" i="4"/>
  <c r="J77" i="4"/>
  <c r="Y76" i="4"/>
  <c r="J76" i="4"/>
  <c r="L76" i="4"/>
  <c r="Y75" i="4"/>
  <c r="J75" i="4"/>
  <c r="L75" i="4"/>
  <c r="Y74" i="4"/>
  <c r="L74" i="4"/>
  <c r="J74" i="4"/>
  <c r="Y73" i="4"/>
  <c r="L73" i="4"/>
  <c r="J73" i="4"/>
  <c r="Y72" i="4"/>
  <c r="L72" i="4"/>
  <c r="J72" i="4"/>
  <c r="Y71" i="4"/>
  <c r="L71" i="4"/>
  <c r="J71" i="4"/>
  <c r="Y70" i="4"/>
  <c r="L70" i="4"/>
  <c r="J70" i="4"/>
  <c r="Y69" i="4"/>
  <c r="L69" i="4"/>
  <c r="J69" i="4"/>
  <c r="Y68" i="4"/>
  <c r="L68" i="4"/>
  <c r="J68" i="4"/>
  <c r="Y67" i="4"/>
  <c r="L67" i="4"/>
  <c r="J67" i="4"/>
  <c r="Y66" i="4"/>
  <c r="L66" i="4"/>
  <c r="J66" i="4"/>
  <c r="Y65" i="4"/>
  <c r="J65" i="4"/>
  <c r="L65" i="4"/>
  <c r="Y64" i="4"/>
  <c r="L64" i="4"/>
  <c r="J64" i="4"/>
  <c r="Y63" i="4"/>
  <c r="J63" i="4"/>
  <c r="L63" i="4"/>
  <c r="Y62" i="4"/>
  <c r="J62" i="4"/>
  <c r="L62" i="4"/>
  <c r="Y61" i="4"/>
  <c r="L61" i="4"/>
  <c r="J61" i="4"/>
  <c r="Y60" i="4"/>
  <c r="L60" i="4"/>
  <c r="J60" i="4"/>
  <c r="Y59" i="4"/>
  <c r="L59" i="4"/>
  <c r="J59" i="4"/>
  <c r="Y58" i="4"/>
  <c r="L58" i="4"/>
  <c r="J58" i="4"/>
  <c r="Y57" i="4"/>
  <c r="J57" i="4"/>
  <c r="L57" i="4"/>
  <c r="Y56" i="4"/>
  <c r="J56" i="4"/>
  <c r="L56" i="4"/>
  <c r="Y55" i="4"/>
  <c r="J55" i="4"/>
  <c r="A55" i="4" s="1"/>
  <c r="L55" i="4"/>
  <c r="Y54" i="4"/>
  <c r="J54" i="4"/>
  <c r="L54" i="4"/>
  <c r="Y53" i="4"/>
  <c r="L53" i="4"/>
  <c r="J53" i="4"/>
  <c r="Y52" i="4"/>
  <c r="L52" i="4"/>
  <c r="J52" i="4"/>
  <c r="Y51" i="4"/>
  <c r="J51" i="4"/>
  <c r="L51" i="4"/>
  <c r="Y50" i="4"/>
  <c r="L50" i="4"/>
  <c r="J50" i="4"/>
  <c r="Y49" i="4"/>
  <c r="L49" i="4"/>
  <c r="J49" i="4"/>
  <c r="Y48" i="4"/>
  <c r="L48" i="4"/>
  <c r="J48" i="4"/>
  <c r="Y47" i="4"/>
  <c r="J47" i="4"/>
  <c r="L47" i="4"/>
  <c r="Y46" i="4"/>
  <c r="L46" i="4"/>
  <c r="J46" i="4"/>
  <c r="Y45" i="4"/>
  <c r="J45" i="4"/>
  <c r="L45" i="4"/>
  <c r="Y44" i="4"/>
  <c r="Y43" i="4"/>
  <c r="L43" i="4"/>
  <c r="J43" i="4"/>
  <c r="Y42" i="4"/>
  <c r="L42" i="4"/>
  <c r="J42" i="4"/>
  <c r="Y41" i="4"/>
  <c r="I41" i="4"/>
  <c r="M41" i="4"/>
  <c r="Y40" i="4"/>
  <c r="M40" i="4"/>
  <c r="I40" i="4"/>
  <c r="Y39" i="4"/>
  <c r="M39" i="4"/>
  <c r="I39" i="4"/>
  <c r="Y38" i="4"/>
  <c r="I38" i="4"/>
  <c r="M38" i="4"/>
  <c r="Y37" i="4"/>
  <c r="M37" i="4"/>
  <c r="I37" i="4"/>
  <c r="Y36" i="4"/>
  <c r="I36" i="4"/>
  <c r="M36" i="4"/>
  <c r="Y35" i="4"/>
  <c r="M35" i="4"/>
  <c r="I35" i="4"/>
  <c r="Y34" i="4"/>
  <c r="M34" i="4"/>
  <c r="I34" i="4"/>
  <c r="Y33" i="4"/>
  <c r="I33" i="4"/>
  <c r="M33" i="4"/>
  <c r="Y32" i="4"/>
  <c r="L32" i="4"/>
  <c r="J32" i="4"/>
  <c r="Y31" i="4"/>
  <c r="L31" i="4"/>
  <c r="J31" i="4"/>
  <c r="Y30" i="4"/>
  <c r="J30" i="4"/>
  <c r="L30" i="4"/>
  <c r="Y29" i="4"/>
  <c r="L29" i="4"/>
  <c r="J29" i="4"/>
  <c r="Y28" i="4"/>
  <c r="M28" i="4"/>
  <c r="I28" i="4"/>
  <c r="Y27" i="4"/>
  <c r="M27" i="4"/>
  <c r="I27" i="4"/>
  <c r="Y26" i="4"/>
  <c r="I26" i="4"/>
  <c r="M26" i="4"/>
  <c r="Y25" i="4"/>
  <c r="I25" i="4"/>
  <c r="M25" i="4"/>
  <c r="Y24" i="4"/>
  <c r="L24" i="4"/>
  <c r="J24" i="4"/>
  <c r="Y23" i="4"/>
  <c r="L23" i="4"/>
  <c r="J23" i="4"/>
  <c r="Y22" i="4"/>
  <c r="L22" i="4"/>
  <c r="J22" i="4"/>
  <c r="Y21" i="4"/>
  <c r="L21" i="4"/>
  <c r="J21" i="4"/>
  <c r="Y20" i="4"/>
  <c r="J20" i="4"/>
  <c r="L20" i="4"/>
  <c r="Y19" i="4"/>
  <c r="M19" i="4"/>
  <c r="I19" i="4"/>
  <c r="Y18" i="4"/>
  <c r="I18" i="4"/>
  <c r="M18" i="4"/>
  <c r="Y17" i="4"/>
  <c r="I17" i="4"/>
  <c r="M17" i="4"/>
  <c r="Y16" i="4"/>
  <c r="I16" i="4"/>
  <c r="M16" i="4"/>
  <c r="Y15" i="4"/>
  <c r="J15" i="4"/>
  <c r="L15" i="4"/>
  <c r="Y14" i="4"/>
  <c r="J14" i="4"/>
  <c r="L14" i="4"/>
  <c r="Y13" i="4"/>
  <c r="J13" i="4"/>
  <c r="L13" i="4"/>
  <c r="Y12" i="4"/>
  <c r="L12" i="4"/>
  <c r="J12" i="4"/>
  <c r="Y11" i="4"/>
  <c r="J11" i="4"/>
  <c r="L11" i="4"/>
  <c r="Y10" i="4"/>
  <c r="J10" i="4"/>
  <c r="L10" i="4"/>
  <c r="Y9" i="4"/>
  <c r="L9" i="4"/>
  <c r="J9" i="4"/>
  <c r="Y8" i="4"/>
  <c r="J8" i="4"/>
  <c r="L8" i="4"/>
  <c r="Y7" i="4"/>
  <c r="L7" i="4"/>
  <c r="J7" i="4"/>
  <c r="Y6" i="4"/>
  <c r="L6" i="4"/>
  <c r="J6" i="4"/>
  <c r="P185" i="4"/>
  <c r="Y57" i="3"/>
  <c r="Z57" i="3" s="1"/>
  <c r="AA57" i="3" s="1"/>
  <c r="AB57" i="3"/>
  <c r="Y63" i="3"/>
  <c r="Z63" i="3" s="1"/>
  <c r="AA63" i="3" s="1"/>
  <c r="AB63" i="3"/>
  <c r="Y90" i="3"/>
  <c r="Z90" i="3" s="1"/>
  <c r="AA90" i="3" s="1"/>
  <c r="AB90" i="3"/>
  <c r="Y123" i="3"/>
  <c r="Z123" i="3" s="1"/>
  <c r="AA123" i="3" s="1"/>
  <c r="AB123" i="3" s="1"/>
  <c r="Z138" i="3"/>
  <c r="AA138" i="3" s="1"/>
  <c r="AB138" i="3" s="1"/>
  <c r="Y159" i="3"/>
  <c r="Z159" i="3" s="1"/>
  <c r="AA159" i="3" s="1"/>
  <c r="AB159" i="3" s="1"/>
  <c r="Z182" i="3"/>
  <c r="AA182" i="3" s="1"/>
  <c r="AB182" i="3" s="1"/>
  <c r="Z114" i="3"/>
  <c r="AA114" i="3" s="1"/>
  <c r="AB114" i="3" s="1"/>
  <c r="Z18" i="3"/>
  <c r="AA18" i="3"/>
  <c r="AB18" i="3" s="1"/>
  <c r="Z172" i="3"/>
  <c r="AA172" i="3" s="1"/>
  <c r="AB172" i="3" s="1"/>
  <c r="Z136" i="3"/>
  <c r="AA136" i="3" s="1"/>
  <c r="AB136" i="3" s="1"/>
  <c r="Z160" i="3"/>
  <c r="AA160" i="3" s="1"/>
  <c r="AB160" i="3" s="1"/>
  <c r="Z30" i="3"/>
  <c r="AA30" i="3"/>
  <c r="AB30" i="3" s="1"/>
  <c r="Z70" i="3"/>
  <c r="AA70" i="3" s="1"/>
  <c r="AB70" i="3" s="1"/>
  <c r="Z83" i="3"/>
  <c r="AA83" i="3"/>
  <c r="AB83" i="3" s="1"/>
  <c r="Y117" i="3"/>
  <c r="Y93" i="3"/>
  <c r="Z93" i="3" s="1"/>
  <c r="AA93" i="3" s="1"/>
  <c r="AB93" i="3" s="1"/>
  <c r="Z69" i="3"/>
  <c r="AA69" i="3" s="1"/>
  <c r="AB69" i="3" s="1"/>
  <c r="Z61" i="3"/>
  <c r="AA61" i="3"/>
  <c r="AB61" i="3" s="1"/>
  <c r="Z37" i="3"/>
  <c r="AA37" i="3" s="1"/>
  <c r="AB37" i="3" s="1"/>
  <c r="Y29" i="3"/>
  <c r="Z21" i="3"/>
  <c r="AA21" i="3"/>
  <c r="AB21" i="3" s="1"/>
  <c r="Z22" i="3"/>
  <c r="AA22" i="3" s="1"/>
  <c r="AB22" i="3" s="1"/>
  <c r="AA174" i="3"/>
  <c r="AB174" i="3" s="1"/>
  <c r="Y135" i="3"/>
  <c r="Z135" i="3" s="1"/>
  <c r="AA135" i="3" s="1"/>
  <c r="AB135" i="3" s="1"/>
  <c r="Y134" i="3"/>
  <c r="Y95" i="3"/>
  <c r="Z178" i="3"/>
  <c r="AA178" i="3"/>
  <c r="AB178" i="3" s="1"/>
  <c r="AA128" i="3"/>
  <c r="AB128" i="3" s="1"/>
  <c r="Y14" i="3"/>
  <c r="Y75" i="3"/>
  <c r="Z75" i="3" s="1"/>
  <c r="AA75" i="3" s="1"/>
  <c r="AB75" i="3" s="1"/>
  <c r="Y43" i="3"/>
  <c r="Z43" i="3" s="1"/>
  <c r="AA43" i="3" s="1"/>
  <c r="AB43" i="3" s="1"/>
  <c r="Z78" i="3"/>
  <c r="AA78" i="3" s="1"/>
  <c r="AB78" i="3" s="1"/>
  <c r="AA142" i="3"/>
  <c r="AB142" i="3" s="1"/>
  <c r="AB127" i="3"/>
  <c r="AA110" i="3"/>
  <c r="AB110" i="3" s="1"/>
  <c r="AA87" i="3"/>
  <c r="AB87" i="3" s="1"/>
  <c r="AB59" i="3"/>
  <c r="Y85" i="3"/>
  <c r="AA120" i="3"/>
  <c r="AB120" i="3" s="1"/>
  <c r="Z168" i="3"/>
  <c r="AA168" i="3" s="1"/>
  <c r="AB168" i="3" s="1"/>
  <c r="Y144" i="3"/>
  <c r="Y156" i="3"/>
  <c r="Z132" i="3"/>
  <c r="AA132" i="3" s="1"/>
  <c r="AB132" i="3" s="1"/>
  <c r="Z108" i="3"/>
  <c r="AA108" i="3"/>
  <c r="AB108" i="3" s="1"/>
  <c r="Z54" i="3"/>
  <c r="AA54" i="3" s="1"/>
  <c r="AB54" i="3" s="1"/>
  <c r="AB163" i="3"/>
  <c r="Z91" i="3"/>
  <c r="AA91" i="3" s="1"/>
  <c r="AB91" i="3" s="1"/>
  <c r="Y67" i="3"/>
  <c r="Z67" i="3" s="1"/>
  <c r="AA67" i="3" s="1"/>
  <c r="AB67" i="3" s="1"/>
  <c r="AB34" i="3"/>
  <c r="Y166" i="3"/>
  <c r="Z113" i="3"/>
  <c r="AA113" i="3"/>
  <c r="AB113" i="3" s="1"/>
  <c r="Z49" i="3"/>
  <c r="AA49" i="3" s="1"/>
  <c r="AB49" i="3" s="1"/>
  <c r="AB155" i="3"/>
  <c r="Y146" i="3"/>
  <c r="Y131" i="3"/>
  <c r="Z131" i="3" s="1"/>
  <c r="AA131" i="3" s="1"/>
  <c r="AB131" i="3" s="1"/>
  <c r="Y46" i="3"/>
  <c r="Z81" i="3"/>
  <c r="AA81" i="3" s="1"/>
  <c r="AB81" i="3" s="1"/>
  <c r="AA184" i="3"/>
  <c r="AB184" i="3" s="1"/>
  <c r="Z118" i="3"/>
  <c r="AA118" i="3"/>
  <c r="AB118" i="3" s="1"/>
  <c r="Y183" i="3"/>
  <c r="Z183" i="3" s="1"/>
  <c r="AA183" i="3" s="1"/>
  <c r="AB183" i="3" s="1"/>
  <c r="AA148" i="3"/>
  <c r="AB148" i="3" s="1"/>
  <c r="Y124" i="3"/>
  <c r="Y171" i="3"/>
  <c r="Z171" i="3" s="1"/>
  <c r="AA171" i="3" s="1"/>
  <c r="AB171" i="3" s="1"/>
  <c r="Y139" i="3"/>
  <c r="Z139" i="3" s="1"/>
  <c r="AA139" i="3" s="1"/>
  <c r="AB139" i="3" s="1"/>
  <c r="Z154" i="3"/>
  <c r="AA154" i="3" s="1"/>
  <c r="AB154" i="3" s="1"/>
  <c r="Y98" i="3"/>
  <c r="Y82" i="3"/>
  <c r="AA152" i="3"/>
  <c r="AB152" i="3" s="1"/>
  <c r="Z102" i="3"/>
  <c r="AA102" i="3"/>
  <c r="AB102" i="3" s="1"/>
  <c r="Y176" i="3"/>
  <c r="Y151" i="3"/>
  <c r="Z151" i="3" s="1"/>
  <c r="AA151" i="3" s="1"/>
  <c r="AB151" i="3" s="1"/>
  <c r="Z62" i="3"/>
  <c r="AA62" i="3" s="1"/>
  <c r="AB62" i="3" s="1"/>
  <c r="Z38" i="3"/>
  <c r="AA38" i="3"/>
  <c r="AB38" i="3" s="1"/>
  <c r="Y180" i="3"/>
  <c r="AA150" i="3"/>
  <c r="AB150" i="3" s="1"/>
  <c r="AB130" i="3"/>
  <c r="Y126" i="3"/>
  <c r="AA92" i="3"/>
  <c r="AB92" i="3" s="1"/>
  <c r="Z105" i="3"/>
  <c r="AA105" i="3" s="1"/>
  <c r="AB105" i="3" s="1"/>
  <c r="Y158" i="3"/>
  <c r="Z164" i="3"/>
  <c r="AA164" i="3" s="1"/>
  <c r="AB164" i="3" s="1"/>
  <c r="Z116" i="3"/>
  <c r="AA116" i="3"/>
  <c r="AB116" i="3" s="1"/>
  <c r="AB143" i="3"/>
  <c r="Z65" i="3"/>
  <c r="AA65" i="3" s="1"/>
  <c r="AB65" i="3" s="1"/>
  <c r="Z115" i="3"/>
  <c r="AA115" i="3"/>
  <c r="AB115" i="3" s="1"/>
  <c r="Z122" i="3"/>
  <c r="AA122" i="3"/>
  <c r="AB122" i="3" s="1"/>
  <c r="AB42" i="3"/>
  <c r="AB175" i="3"/>
  <c r="AB179" i="3"/>
  <c r="Y170" i="3"/>
  <c r="Z140" i="3"/>
  <c r="AA140" i="3" s="1"/>
  <c r="AB140" i="3" s="1"/>
  <c r="AA107" i="3"/>
  <c r="AB107" i="3" s="1"/>
  <c r="AA99" i="3"/>
  <c r="AB99" i="3" s="1"/>
  <c r="Y74" i="3"/>
  <c r="Z74" i="3" s="1"/>
  <c r="AA74" i="3" s="1"/>
  <c r="AB74" i="3" s="1"/>
  <c r="Z17" i="3"/>
  <c r="AA17" i="3" s="1"/>
  <c r="AB17" i="3" s="1"/>
  <c r="Z103" i="3"/>
  <c r="AA103" i="3"/>
  <c r="AB103" i="3" s="1"/>
  <c r="AA80" i="3"/>
  <c r="AB80" i="3" s="1"/>
  <c r="Z94" i="3"/>
  <c r="AA94" i="3"/>
  <c r="AB94" i="3" s="1"/>
  <c r="Z56" i="3"/>
  <c r="AA56" i="3" s="1"/>
  <c r="AB56" i="3" s="1"/>
  <c r="Z13" i="3"/>
  <c r="AA13" i="3"/>
  <c r="AB13" i="3" s="1"/>
  <c r="AA181" i="3"/>
  <c r="AB181" i="3" s="1"/>
  <c r="AA177" i="3"/>
  <c r="AB177" i="3" s="1"/>
  <c r="AA173" i="3"/>
  <c r="AB173" i="3" s="1"/>
  <c r="AA169" i="3"/>
  <c r="AB169" i="3" s="1"/>
  <c r="AA165" i="3"/>
  <c r="AB165" i="3" s="1"/>
  <c r="AA161" i="3"/>
  <c r="AB161" i="3" s="1"/>
  <c r="AA157" i="3"/>
  <c r="AB157" i="3" s="1"/>
  <c r="AA153" i="3"/>
  <c r="AB153" i="3" s="1"/>
  <c r="AA149" i="3"/>
  <c r="AB149" i="3" s="1"/>
  <c r="AA145" i="3"/>
  <c r="AB145" i="3" s="1"/>
  <c r="AA141" i="3"/>
  <c r="AB141" i="3" s="1"/>
  <c r="AA137" i="3"/>
  <c r="AB137" i="3" s="1"/>
  <c r="AA133" i="3"/>
  <c r="AB133" i="3" s="1"/>
  <c r="AA129" i="3"/>
  <c r="AB129" i="3" s="1"/>
  <c r="AA125" i="3"/>
  <c r="AB125" i="3" s="1"/>
  <c r="AA121" i="3"/>
  <c r="AB121" i="3" s="1"/>
  <c r="Z119" i="3"/>
  <c r="AA119" i="3"/>
  <c r="AB119" i="3" s="1"/>
  <c r="AA89" i="3"/>
  <c r="AB89" i="3" s="1"/>
  <c r="Z86" i="3"/>
  <c r="AA86" i="3" s="1"/>
  <c r="AB86" i="3" s="1"/>
  <c r="AA16" i="3"/>
  <c r="AB16" i="3" s="1"/>
  <c r="Z9" i="3"/>
  <c r="AA9" i="3" s="1"/>
  <c r="AB9" i="3" s="1"/>
  <c r="Z100" i="3"/>
  <c r="AA100" i="3"/>
  <c r="AB100" i="3" s="1"/>
  <c r="Z84" i="3"/>
  <c r="AA84" i="3" s="1"/>
  <c r="AB84" i="3" s="1"/>
  <c r="Z72" i="3"/>
  <c r="AA72" i="3" s="1"/>
  <c r="AB72" i="3" s="1"/>
  <c r="Z24" i="3"/>
  <c r="AA24" i="3" s="1"/>
  <c r="AB24" i="3" s="1"/>
  <c r="Z40" i="3"/>
  <c r="AA40" i="3" s="1"/>
  <c r="AB40" i="3" s="1"/>
  <c r="AA20" i="3"/>
  <c r="AB20" i="3" s="1"/>
  <c r="AA106" i="3"/>
  <c r="AB106" i="3" s="1"/>
  <c r="AA52" i="3"/>
  <c r="AB52" i="3" s="1"/>
  <c r="Z77" i="3"/>
  <c r="AA77" i="3"/>
  <c r="AB77" i="3" s="1"/>
  <c r="AA41" i="3"/>
  <c r="AB41" i="3" s="1"/>
  <c r="AA112" i="3"/>
  <c r="AB112" i="3" s="1"/>
  <c r="Z109" i="3"/>
  <c r="AA109" i="3" s="1"/>
  <c r="AB109" i="3" s="1"/>
  <c r="Z97" i="3"/>
  <c r="AA97" i="3" s="1"/>
  <c r="AB97" i="3" s="1"/>
  <c r="Z73" i="3"/>
  <c r="AA73" i="3" s="1"/>
  <c r="AB73" i="3" s="1"/>
  <c r="AA48" i="3"/>
  <c r="AB48" i="3" s="1"/>
  <c r="Z45" i="3"/>
  <c r="AA45" i="3"/>
  <c r="AB45" i="3" s="1"/>
  <c r="AA76" i="3"/>
  <c r="AB76" i="3" s="1"/>
  <c r="AA44" i="3"/>
  <c r="AB44" i="3" s="1"/>
  <c r="AA12" i="3"/>
  <c r="AB12" i="3" s="1"/>
  <c r="AA8" i="3"/>
  <c r="AB8" i="3" s="1"/>
  <c r="AA111" i="3"/>
  <c r="AB111" i="3" s="1"/>
  <c r="AA88" i="3"/>
  <c r="AB88" i="3" s="1"/>
  <c r="AA68" i="3"/>
  <c r="AB68" i="3" s="1"/>
  <c r="AA36" i="3"/>
  <c r="AB36" i="3" s="1"/>
  <c r="AA64" i="3"/>
  <c r="AB64" i="3" s="1"/>
  <c r="AA32" i="3"/>
  <c r="AB32" i="3" s="1"/>
  <c r="AA60" i="3"/>
  <c r="AB60" i="3" s="1"/>
  <c r="AA28" i="3"/>
  <c r="AB28" i="3" s="1"/>
  <c r="AA51" i="3"/>
  <c r="AB51" i="3" s="1"/>
  <c r="AA39" i="3"/>
  <c r="AB39" i="3" s="1"/>
  <c r="AA35" i="3"/>
  <c r="AB35" i="3" s="1"/>
  <c r="AA31" i="3"/>
  <c r="AB31" i="3" s="1"/>
  <c r="AA27" i="3"/>
  <c r="AB27" i="3" s="1"/>
  <c r="AA23" i="3"/>
  <c r="AB23" i="3" s="1"/>
  <c r="AA19" i="3"/>
  <c r="AB19" i="3" s="1"/>
  <c r="AA15" i="3"/>
  <c r="AB15" i="3" s="1"/>
  <c r="AA11" i="3"/>
  <c r="AB11" i="3" s="1"/>
  <c r="AA7" i="3"/>
  <c r="AB7" i="3" s="1"/>
  <c r="Z184" i="5" l="1"/>
  <c r="AA184" i="5"/>
  <c r="AB184" i="5" s="1"/>
  <c r="Z183" i="5"/>
  <c r="AA183" i="5"/>
  <c r="AB183" i="5" s="1"/>
  <c r="Z182" i="5"/>
  <c r="AA182" i="5" s="1"/>
  <c r="AB182" i="5" s="1"/>
  <c r="Z181" i="5"/>
  <c r="AA181" i="5" s="1"/>
  <c r="AB181" i="5" s="1"/>
  <c r="Z180" i="5"/>
  <c r="AA180" i="5"/>
  <c r="AB180" i="5" s="1"/>
  <c r="Z179" i="5"/>
  <c r="AA179" i="5" s="1"/>
  <c r="AB179" i="5" s="1"/>
  <c r="Z178" i="5"/>
  <c r="AA178" i="5" s="1"/>
  <c r="AB178" i="5" s="1"/>
  <c r="Z177" i="5"/>
  <c r="AA177" i="5"/>
  <c r="AB177" i="5" s="1"/>
  <c r="Z176" i="5"/>
  <c r="AA176" i="5" s="1"/>
  <c r="AB176" i="5" s="1"/>
  <c r="Z175" i="5"/>
  <c r="AA175" i="5"/>
  <c r="AB175" i="5" s="1"/>
  <c r="Z174" i="5"/>
  <c r="AA174" i="5" s="1"/>
  <c r="AB174" i="5" s="1"/>
  <c r="Z173" i="5"/>
  <c r="AA173" i="5" s="1"/>
  <c r="AB173" i="5" s="1"/>
  <c r="Z172" i="5"/>
  <c r="AA172" i="5"/>
  <c r="AB172" i="5" s="1"/>
  <c r="Z171" i="5"/>
  <c r="AA171" i="5" s="1"/>
  <c r="AB171" i="5" s="1"/>
  <c r="Z170" i="5"/>
  <c r="AA170" i="5" s="1"/>
  <c r="AB170" i="5" s="1"/>
  <c r="Z169" i="5"/>
  <c r="AA169" i="5" s="1"/>
  <c r="AB169" i="5" s="1"/>
  <c r="Z168" i="5"/>
  <c r="AA168" i="5"/>
  <c r="AB168" i="5" s="1"/>
  <c r="L168" i="5"/>
  <c r="J168" i="5"/>
  <c r="Z167" i="5"/>
  <c r="AA167" i="5" s="1"/>
  <c r="AB167" i="5" s="1"/>
  <c r="J167" i="5"/>
  <c r="L167" i="5"/>
  <c r="Z166" i="5"/>
  <c r="AA166" i="5" s="1"/>
  <c r="AB166" i="5" s="1"/>
  <c r="L166" i="5"/>
  <c r="J166" i="5"/>
  <c r="Z165" i="5"/>
  <c r="AA165" i="5" s="1"/>
  <c r="AB165" i="5" s="1"/>
  <c r="J165" i="5"/>
  <c r="L165" i="5"/>
  <c r="Z164" i="5"/>
  <c r="AA164" i="5"/>
  <c r="AB164" i="5" s="1"/>
  <c r="J164" i="5"/>
  <c r="L164" i="5"/>
  <c r="Z163" i="5"/>
  <c r="AA163" i="5"/>
  <c r="AB163" i="5" s="1"/>
  <c r="L163" i="5"/>
  <c r="J163" i="5"/>
  <c r="Z162" i="5"/>
  <c r="AA162" i="5"/>
  <c r="AB162" i="5" s="1"/>
  <c r="J162" i="5"/>
  <c r="L162" i="5"/>
  <c r="Z161" i="5"/>
  <c r="AA161" i="5" s="1"/>
  <c r="AB161" i="5" s="1"/>
  <c r="Z160" i="5"/>
  <c r="AA160" i="5" s="1"/>
  <c r="AB160" i="5" s="1"/>
  <c r="Z159" i="5"/>
  <c r="AA159" i="5" s="1"/>
  <c r="AB159" i="5" s="1"/>
  <c r="Z158" i="5"/>
  <c r="AA158" i="5"/>
  <c r="AB158" i="5" s="1"/>
  <c r="Z157" i="5"/>
  <c r="AA157" i="5" s="1"/>
  <c r="AB157" i="5" s="1"/>
  <c r="Z156" i="5"/>
  <c r="AA156" i="5"/>
  <c r="AB156" i="5" s="1"/>
  <c r="Z155" i="5"/>
  <c r="AA155" i="5" s="1"/>
  <c r="AB155" i="5" s="1"/>
  <c r="Z154" i="5"/>
  <c r="AA154" i="5" s="1"/>
  <c r="AB154" i="5" s="1"/>
  <c r="Z153" i="5"/>
  <c r="AA153" i="5"/>
  <c r="AB153" i="5" s="1"/>
  <c r="Z152" i="5"/>
  <c r="AA152" i="5"/>
  <c r="AB152" i="5" s="1"/>
  <c r="Z151" i="5"/>
  <c r="AA151" i="5"/>
  <c r="AB151" i="5" s="1"/>
  <c r="Z150" i="5"/>
  <c r="AA150" i="5"/>
  <c r="AB150" i="5" s="1"/>
  <c r="Z149" i="5"/>
  <c r="AA149" i="5"/>
  <c r="AB149" i="5" s="1"/>
  <c r="Z148" i="5"/>
  <c r="AA148" i="5"/>
  <c r="AB148" i="5" s="1"/>
  <c r="Z147" i="5"/>
  <c r="AA147" i="5"/>
  <c r="AB147" i="5" s="1"/>
  <c r="Z146" i="5"/>
  <c r="AA146" i="5"/>
  <c r="AB146" i="5" s="1"/>
  <c r="Z145" i="5"/>
  <c r="AA145" i="5"/>
  <c r="AB145" i="5" s="1"/>
  <c r="J145" i="5"/>
  <c r="L145" i="5"/>
  <c r="Z144" i="5"/>
  <c r="AA144" i="5"/>
  <c r="AB144" i="5" s="1"/>
  <c r="J144" i="5"/>
  <c r="L144" i="5"/>
  <c r="Z143" i="5"/>
  <c r="AA143" i="5"/>
  <c r="AB143" i="5" s="1"/>
  <c r="J143" i="5"/>
  <c r="L143" i="5"/>
  <c r="Z142" i="5"/>
  <c r="AA142" i="5"/>
  <c r="AB142" i="5" s="1"/>
  <c r="J142" i="5"/>
  <c r="L142" i="5"/>
  <c r="Z141" i="5"/>
  <c r="AA141" i="5"/>
  <c r="AB141" i="5" s="1"/>
  <c r="J141" i="5"/>
  <c r="L141" i="5"/>
  <c r="Z140" i="5"/>
  <c r="AA140" i="5"/>
  <c r="AB140" i="5" s="1"/>
  <c r="J140" i="5"/>
  <c r="L140" i="5"/>
  <c r="Z139" i="5"/>
  <c r="AA139" i="5"/>
  <c r="AB139" i="5" s="1"/>
  <c r="Z138" i="5"/>
  <c r="AA138" i="5"/>
  <c r="AB138" i="5" s="1"/>
  <c r="Z137" i="5"/>
  <c r="AA137" i="5"/>
  <c r="AB137" i="5" s="1"/>
  <c r="Z136" i="5"/>
  <c r="AA136" i="5"/>
  <c r="AB136" i="5" s="1"/>
  <c r="Z135" i="5"/>
  <c r="AA135" i="5"/>
  <c r="AB135" i="5" s="1"/>
  <c r="Z134" i="5"/>
  <c r="AA134" i="5"/>
  <c r="AB134" i="5" s="1"/>
  <c r="Z133" i="5"/>
  <c r="AA133" i="5"/>
  <c r="AB133" i="5" s="1"/>
  <c r="Z132" i="5"/>
  <c r="AA132" i="5"/>
  <c r="AB132" i="5" s="1"/>
  <c r="Z131" i="5"/>
  <c r="AA131" i="5" s="1"/>
  <c r="AB131" i="5" s="1"/>
  <c r="Z130" i="5"/>
  <c r="AA130" i="5"/>
  <c r="AB130" i="5" s="1"/>
  <c r="Z129" i="5"/>
  <c r="AA129" i="5" s="1"/>
  <c r="AB129" i="5" s="1"/>
  <c r="Z128" i="5"/>
  <c r="AA128" i="5"/>
  <c r="AB128" i="5" s="1"/>
  <c r="J128" i="5"/>
  <c r="L128" i="5"/>
  <c r="Z127" i="5"/>
  <c r="AA127" i="5"/>
  <c r="AB127" i="5" s="1"/>
  <c r="J127" i="5"/>
  <c r="L127" i="5"/>
  <c r="Z126" i="5"/>
  <c r="AA126" i="5"/>
  <c r="AB126" i="5" s="1"/>
  <c r="J126" i="5"/>
  <c r="L126" i="5"/>
  <c r="Z125" i="5"/>
  <c r="AA125" i="5"/>
  <c r="AB125" i="5" s="1"/>
  <c r="J125" i="5"/>
  <c r="L125" i="5"/>
  <c r="Z124" i="5"/>
  <c r="AA124" i="5"/>
  <c r="AB124" i="5" s="1"/>
  <c r="J124" i="5"/>
  <c r="L124" i="5"/>
  <c r="Z123" i="5"/>
  <c r="AA123" i="5"/>
  <c r="AB123" i="5" s="1"/>
  <c r="J123" i="5"/>
  <c r="L123" i="5"/>
  <c r="Z122" i="5"/>
  <c r="AA122" i="5" s="1"/>
  <c r="AB122" i="5" s="1"/>
  <c r="Z121" i="5"/>
  <c r="AA121" i="5"/>
  <c r="AB121" i="5" s="1"/>
  <c r="Z120" i="5"/>
  <c r="AA120" i="5"/>
  <c r="AB120" i="5" s="1"/>
  <c r="Z119" i="5"/>
  <c r="AA119" i="5" s="1"/>
  <c r="AB119" i="5" s="1"/>
  <c r="Z118" i="5"/>
  <c r="AA118" i="5"/>
  <c r="AB118" i="5" s="1"/>
  <c r="Z117" i="5"/>
  <c r="AA117" i="5"/>
  <c r="AB117" i="5" s="1"/>
  <c r="Z116" i="5"/>
  <c r="AA116" i="5"/>
  <c r="AB116" i="5" s="1"/>
  <c r="Z115" i="5"/>
  <c r="AA115" i="5" s="1"/>
  <c r="AB115" i="5" s="1"/>
  <c r="Z114" i="5"/>
  <c r="AA114" i="5"/>
  <c r="AB114" i="5" s="1"/>
  <c r="Z113" i="5"/>
  <c r="AA113" i="5"/>
  <c r="AB113" i="5" s="1"/>
  <c r="Z112" i="5"/>
  <c r="AA112" i="5"/>
  <c r="AB112" i="5" s="1"/>
  <c r="Z111" i="5"/>
  <c r="AA111" i="5"/>
  <c r="AB111" i="5" s="1"/>
  <c r="Z110" i="5"/>
  <c r="AA110" i="5"/>
  <c r="AB110" i="5" s="1"/>
  <c r="Z109" i="5"/>
  <c r="AA109" i="5"/>
  <c r="AB109" i="5" s="1"/>
  <c r="Z108" i="5"/>
  <c r="AA108" i="5"/>
  <c r="AB108" i="5" s="1"/>
  <c r="Z107" i="5"/>
  <c r="AA107" i="5"/>
  <c r="AB107" i="5" s="1"/>
  <c r="Z106" i="5"/>
  <c r="AA106" i="5"/>
  <c r="AB106" i="5" s="1"/>
  <c r="Z105" i="5"/>
  <c r="AA105" i="5"/>
  <c r="AB105" i="5" s="1"/>
  <c r="Z104" i="5"/>
  <c r="AA104" i="5"/>
  <c r="AB104" i="5" s="1"/>
  <c r="Z103" i="5"/>
  <c r="AA103" i="5"/>
  <c r="AB103" i="5" s="1"/>
  <c r="Z102" i="5"/>
  <c r="AA102" i="5"/>
  <c r="AB102" i="5" s="1"/>
  <c r="Z101" i="5"/>
  <c r="AA101" i="5"/>
  <c r="AB101" i="5" s="1"/>
  <c r="Z100" i="5"/>
  <c r="AA100" i="5"/>
  <c r="AB100" i="5" s="1"/>
  <c r="Z99" i="5"/>
  <c r="AA99" i="5"/>
  <c r="AB99" i="5" s="1"/>
  <c r="Z98" i="5"/>
  <c r="AA98" i="5"/>
  <c r="AB98" i="5" s="1"/>
  <c r="Z97" i="5"/>
  <c r="AA97" i="5"/>
  <c r="AB97" i="5" s="1"/>
  <c r="Z96" i="5"/>
  <c r="AA96" i="5"/>
  <c r="AB96" i="5" s="1"/>
  <c r="Z95" i="5"/>
  <c r="AA95" i="5"/>
  <c r="AB95" i="5" s="1"/>
  <c r="Z94" i="5"/>
  <c r="AA94" i="5"/>
  <c r="AB94" i="5" s="1"/>
  <c r="Z93" i="5"/>
  <c r="AA93" i="5"/>
  <c r="AB93" i="5" s="1"/>
  <c r="Z92" i="5"/>
  <c r="AA92" i="5"/>
  <c r="AB92" i="5" s="1"/>
  <c r="Z91" i="5"/>
  <c r="AA91" i="5"/>
  <c r="AB91" i="5" s="1"/>
  <c r="Z90" i="5"/>
  <c r="AA90" i="5"/>
  <c r="AB90" i="5" s="1"/>
  <c r="Z89" i="5"/>
  <c r="AA89" i="5"/>
  <c r="AB89" i="5" s="1"/>
  <c r="Z88" i="5"/>
  <c r="AA88" i="5" s="1"/>
  <c r="AB88" i="5" s="1"/>
  <c r="Z87" i="5"/>
  <c r="AA87" i="5"/>
  <c r="AB87" i="5" s="1"/>
  <c r="Z86" i="5"/>
  <c r="AA86" i="5"/>
  <c r="AB86" i="5" s="1"/>
  <c r="Z85" i="5"/>
  <c r="AA85" i="5"/>
  <c r="AB85" i="5" s="1"/>
  <c r="Z84" i="5"/>
  <c r="AA84" i="5"/>
  <c r="AB84" i="5" s="1"/>
  <c r="Z83" i="5"/>
  <c r="AA83" i="5" s="1"/>
  <c r="AB83" i="5" s="1"/>
  <c r="Z82" i="5"/>
  <c r="AA82" i="5"/>
  <c r="AB82" i="5" s="1"/>
  <c r="Z81" i="5"/>
  <c r="AA81" i="5"/>
  <c r="AB81" i="5" s="1"/>
  <c r="Z80" i="5"/>
  <c r="AA80" i="5" s="1"/>
  <c r="AB80" i="5" s="1"/>
  <c r="Z79" i="5"/>
  <c r="AA79" i="5" s="1"/>
  <c r="AB79" i="5" s="1"/>
  <c r="Z78" i="5"/>
  <c r="AA78" i="5" s="1"/>
  <c r="AB78" i="5" s="1"/>
  <c r="Z77" i="5"/>
  <c r="AA77" i="5"/>
  <c r="AB77" i="5" s="1"/>
  <c r="Z76" i="5"/>
  <c r="AA76" i="5" s="1"/>
  <c r="AB76" i="5" s="1"/>
  <c r="Z75" i="5"/>
  <c r="AA75" i="5" s="1"/>
  <c r="AB75" i="5" s="1"/>
  <c r="Z74" i="5"/>
  <c r="AA74" i="5" s="1"/>
  <c r="AB74" i="5" s="1"/>
  <c r="Z73" i="5"/>
  <c r="AA73" i="5"/>
  <c r="AB73" i="5" s="1"/>
  <c r="Z72" i="5"/>
  <c r="AA72" i="5"/>
  <c r="AB72" i="5" s="1"/>
  <c r="Z71" i="5"/>
  <c r="AA71" i="5" s="1"/>
  <c r="AB71" i="5" s="1"/>
  <c r="Z70" i="5"/>
  <c r="AA70" i="5"/>
  <c r="AB70" i="5" s="1"/>
  <c r="Z69" i="5"/>
  <c r="AA69" i="5"/>
  <c r="AB69" i="5" s="1"/>
  <c r="Z68" i="5"/>
  <c r="AA68" i="5" s="1"/>
  <c r="AB68" i="5" s="1"/>
  <c r="Z67" i="5"/>
  <c r="AA67" i="5" s="1"/>
  <c r="AB67" i="5" s="1"/>
  <c r="Z66" i="5"/>
  <c r="AA66" i="5"/>
  <c r="AB66" i="5" s="1"/>
  <c r="Z65" i="5"/>
  <c r="AA65" i="5"/>
  <c r="AB65" i="5" s="1"/>
  <c r="Z64" i="5"/>
  <c r="AA64" i="5"/>
  <c r="AB64" i="5" s="1"/>
  <c r="Z63" i="5"/>
  <c r="AA63" i="5" s="1"/>
  <c r="AB63" i="5" s="1"/>
  <c r="Z62" i="5"/>
  <c r="AA62" i="5"/>
  <c r="AB62" i="5" s="1"/>
  <c r="Z61" i="5"/>
  <c r="AA61" i="5" s="1"/>
  <c r="AB61" i="5" s="1"/>
  <c r="Z60" i="5"/>
  <c r="AA60" i="5"/>
  <c r="AB60" i="5" s="1"/>
  <c r="Z59" i="5"/>
  <c r="AA59" i="5" s="1"/>
  <c r="AB59" i="5" s="1"/>
  <c r="Z58" i="5"/>
  <c r="AA58" i="5" s="1"/>
  <c r="AB58" i="5" s="1"/>
  <c r="Z57" i="5"/>
  <c r="AA57" i="5" s="1"/>
  <c r="AB57" i="5" s="1"/>
  <c r="Z56" i="5"/>
  <c r="AA56" i="5"/>
  <c r="AB56" i="5" s="1"/>
  <c r="Z55" i="5"/>
  <c r="AA55" i="5"/>
  <c r="AB55" i="5" s="1"/>
  <c r="Z54" i="5"/>
  <c r="AA54" i="5" s="1"/>
  <c r="AB54" i="5" s="1"/>
  <c r="Z53" i="5"/>
  <c r="AA53" i="5"/>
  <c r="AB53" i="5" s="1"/>
  <c r="Z52" i="5"/>
  <c r="AA52" i="5"/>
  <c r="AB52" i="5" s="1"/>
  <c r="Z51" i="5"/>
  <c r="AA51" i="5"/>
  <c r="AB51" i="5" s="1"/>
  <c r="Z50" i="5"/>
  <c r="AA50" i="5"/>
  <c r="AB50" i="5" s="1"/>
  <c r="Z49" i="5"/>
  <c r="AA49" i="5"/>
  <c r="AB49" i="5" s="1"/>
  <c r="Z48" i="5"/>
  <c r="AA48" i="5"/>
  <c r="AB48" i="5" s="1"/>
  <c r="Z47" i="5"/>
  <c r="AA47" i="5"/>
  <c r="AB47" i="5" s="1"/>
  <c r="Z46" i="5"/>
  <c r="AA46" i="5"/>
  <c r="AB46" i="5" s="1"/>
  <c r="Z45" i="5"/>
  <c r="AA45" i="5"/>
  <c r="AB45" i="5" s="1"/>
  <c r="Z44" i="5"/>
  <c r="AA44" i="5"/>
  <c r="AB44" i="5" s="1"/>
  <c r="Z43" i="5"/>
  <c r="AA43" i="5"/>
  <c r="AB43" i="5" s="1"/>
  <c r="Z42" i="5"/>
  <c r="AA42" i="5"/>
  <c r="AB42" i="5" s="1"/>
  <c r="Z41" i="5"/>
  <c r="AA41" i="5"/>
  <c r="AB41" i="5" s="1"/>
  <c r="J41" i="5"/>
  <c r="L41" i="5"/>
  <c r="Z40" i="5"/>
  <c r="AA40" i="5"/>
  <c r="AB40" i="5" s="1"/>
  <c r="J40" i="5"/>
  <c r="L40" i="5"/>
  <c r="Z39" i="5"/>
  <c r="AA39" i="5"/>
  <c r="AB39" i="5" s="1"/>
  <c r="J39" i="5"/>
  <c r="L39" i="5"/>
  <c r="Z38" i="5"/>
  <c r="AA38" i="5"/>
  <c r="AB38" i="5" s="1"/>
  <c r="J38" i="5"/>
  <c r="L38" i="5"/>
  <c r="Z37" i="5"/>
  <c r="AA37" i="5"/>
  <c r="AB37" i="5" s="1"/>
  <c r="J37" i="5"/>
  <c r="L37" i="5"/>
  <c r="Z36" i="5"/>
  <c r="AA36" i="5" s="1"/>
  <c r="AB36" i="5" s="1"/>
  <c r="J36" i="5"/>
  <c r="L36" i="5"/>
  <c r="Z35" i="5"/>
  <c r="AA35" i="5" s="1"/>
  <c r="AB35" i="5" s="1"/>
  <c r="J35" i="5"/>
  <c r="L35" i="5"/>
  <c r="Z34" i="5"/>
  <c r="AA34" i="5" s="1"/>
  <c r="AB34" i="5" s="1"/>
  <c r="J34" i="5"/>
  <c r="L34" i="5"/>
  <c r="Z33" i="5"/>
  <c r="AA33" i="5"/>
  <c r="AB33" i="5" s="1"/>
  <c r="J33" i="5"/>
  <c r="L33" i="5"/>
  <c r="Z32" i="5"/>
  <c r="AA32" i="5"/>
  <c r="AB32" i="5" s="1"/>
  <c r="Z31" i="5"/>
  <c r="AA31" i="5"/>
  <c r="AB31" i="5" s="1"/>
  <c r="Z30" i="5"/>
  <c r="AA30" i="5"/>
  <c r="AB30" i="5" s="1"/>
  <c r="Z29" i="5"/>
  <c r="AA29" i="5" s="1"/>
  <c r="AB29" i="5" s="1"/>
  <c r="Z28" i="5"/>
  <c r="AA28" i="5"/>
  <c r="AB28" i="5" s="1"/>
  <c r="J28" i="5"/>
  <c r="L28" i="5"/>
  <c r="Z27" i="5"/>
  <c r="AA27" i="5"/>
  <c r="AB27" i="5" s="1"/>
  <c r="J27" i="5"/>
  <c r="L27" i="5"/>
  <c r="Z26" i="5"/>
  <c r="AA26" i="5" s="1"/>
  <c r="AB26" i="5" s="1"/>
  <c r="J26" i="5"/>
  <c r="L26" i="5"/>
  <c r="Z25" i="5"/>
  <c r="AA25" i="5"/>
  <c r="AB25" i="5" s="1"/>
  <c r="J25" i="5"/>
  <c r="L25" i="5"/>
  <c r="Z24" i="5"/>
  <c r="AA24" i="5"/>
  <c r="AB24" i="5" s="1"/>
  <c r="Z23" i="5"/>
  <c r="AA23" i="5"/>
  <c r="AB23" i="5" s="1"/>
  <c r="Z22" i="5"/>
  <c r="AA22" i="5"/>
  <c r="AB22" i="5" s="1"/>
  <c r="Z21" i="5"/>
  <c r="AA21" i="5"/>
  <c r="AB21" i="5" s="1"/>
  <c r="Z20" i="5"/>
  <c r="AA20" i="5" s="1"/>
  <c r="AB20" i="5" s="1"/>
  <c r="Z19" i="5"/>
  <c r="AA19" i="5" s="1"/>
  <c r="AB19" i="5" s="1"/>
  <c r="J19" i="5"/>
  <c r="L19" i="5"/>
  <c r="Z18" i="5"/>
  <c r="AA18" i="5" s="1"/>
  <c r="AB18" i="5" s="1"/>
  <c r="J18" i="5"/>
  <c r="L18" i="5"/>
  <c r="Z17" i="5"/>
  <c r="AA17" i="5"/>
  <c r="AB17" i="5" s="1"/>
  <c r="J17" i="5"/>
  <c r="L17" i="5"/>
  <c r="Z16" i="5"/>
  <c r="AA16" i="5"/>
  <c r="AB16" i="5" s="1"/>
  <c r="J16" i="5"/>
  <c r="L16" i="5"/>
  <c r="Z15" i="5"/>
  <c r="AA15" i="5"/>
  <c r="AB15" i="5" s="1"/>
  <c r="J15" i="5"/>
  <c r="J185" i="5" s="1"/>
  <c r="J188" i="5" s="1"/>
  <c r="L15" i="5"/>
  <c r="Z14" i="5"/>
  <c r="AA14" i="5"/>
  <c r="AB14" i="5" s="1"/>
  <c r="Z13" i="5"/>
  <c r="AA13" i="5"/>
  <c r="AB13" i="5" s="1"/>
  <c r="Z12" i="5"/>
  <c r="AA12" i="5"/>
  <c r="AB12" i="5" s="1"/>
  <c r="Z11" i="5"/>
  <c r="AA11" i="5"/>
  <c r="AB11" i="5" s="1"/>
  <c r="Z10" i="5"/>
  <c r="AA10" i="5"/>
  <c r="AB10" i="5" s="1"/>
  <c r="Z9" i="5"/>
  <c r="AA9" i="5"/>
  <c r="AB9" i="5" s="1"/>
  <c r="Z8" i="5"/>
  <c r="AA8" i="5"/>
  <c r="AB8" i="5" s="1"/>
  <c r="Z7" i="5"/>
  <c r="AA7" i="5"/>
  <c r="AB7" i="5" s="1"/>
  <c r="Z6" i="5"/>
  <c r="AA6" i="5"/>
  <c r="AB6" i="5" s="1"/>
  <c r="M185" i="5"/>
  <c r="Z184" i="4"/>
  <c r="AA184" i="4"/>
  <c r="AB184" i="4" s="1"/>
  <c r="Z183" i="4"/>
  <c r="AA183" i="4"/>
  <c r="AB183" i="4" s="1"/>
  <c r="Z182" i="4"/>
  <c r="AA182" i="4"/>
  <c r="AB182" i="4" s="1"/>
  <c r="Z181" i="4"/>
  <c r="AA181" i="4"/>
  <c r="AB181" i="4" s="1"/>
  <c r="Z180" i="4"/>
  <c r="AA180" i="4"/>
  <c r="AB180" i="4" s="1"/>
  <c r="Z179" i="4"/>
  <c r="AA179" i="4"/>
  <c r="AB179" i="4" s="1"/>
  <c r="Z178" i="4"/>
  <c r="AA178" i="4"/>
  <c r="AB178" i="4" s="1"/>
  <c r="Z177" i="4"/>
  <c r="AA177" i="4"/>
  <c r="AB177" i="4" s="1"/>
  <c r="Z176" i="4"/>
  <c r="AA176" i="4"/>
  <c r="AB176" i="4" s="1"/>
  <c r="Z175" i="4"/>
  <c r="AA175" i="4"/>
  <c r="AB175" i="4" s="1"/>
  <c r="Z174" i="4"/>
  <c r="AA174" i="4"/>
  <c r="AB174" i="4" s="1"/>
  <c r="Z173" i="4"/>
  <c r="AA173" i="4"/>
  <c r="AB173" i="4" s="1"/>
  <c r="Z172" i="4"/>
  <c r="AA172" i="4"/>
  <c r="AB172" i="4" s="1"/>
  <c r="Z171" i="4"/>
  <c r="AA171" i="4"/>
  <c r="AB171" i="4" s="1"/>
  <c r="Z170" i="4"/>
  <c r="AA170" i="4"/>
  <c r="AB170" i="4" s="1"/>
  <c r="Z169" i="4"/>
  <c r="AA169" i="4"/>
  <c r="AB169" i="4" s="1"/>
  <c r="Z168" i="4"/>
  <c r="AA168" i="4"/>
  <c r="AB168" i="4" s="1"/>
  <c r="J168" i="4"/>
  <c r="L168" i="4"/>
  <c r="Z167" i="4"/>
  <c r="AA167" i="4"/>
  <c r="AB167" i="4" s="1"/>
  <c r="J167" i="4"/>
  <c r="L167" i="4"/>
  <c r="Z166" i="4"/>
  <c r="AA166" i="4"/>
  <c r="AB166" i="4" s="1"/>
  <c r="J166" i="4"/>
  <c r="L166" i="4"/>
  <c r="Z165" i="4"/>
  <c r="AA165" i="4"/>
  <c r="AB165" i="4" s="1"/>
  <c r="J165" i="4"/>
  <c r="L165" i="4"/>
  <c r="Z164" i="4"/>
  <c r="AA164" i="4"/>
  <c r="AB164" i="4" s="1"/>
  <c r="J164" i="4"/>
  <c r="L164" i="4"/>
  <c r="Z163" i="4"/>
  <c r="AA163" i="4"/>
  <c r="AB163" i="4" s="1"/>
  <c r="J163" i="4"/>
  <c r="L163" i="4"/>
  <c r="Z162" i="4"/>
  <c r="AA162" i="4"/>
  <c r="AB162" i="4" s="1"/>
  <c r="J162" i="4"/>
  <c r="L162" i="4"/>
  <c r="Z161" i="4"/>
  <c r="AA161" i="4"/>
  <c r="AB161" i="4" s="1"/>
  <c r="Z160" i="4"/>
  <c r="AA160" i="4"/>
  <c r="AB160" i="4" s="1"/>
  <c r="Z159" i="4"/>
  <c r="AA159" i="4"/>
  <c r="AB159" i="4" s="1"/>
  <c r="Z158" i="4"/>
  <c r="AA158" i="4"/>
  <c r="AB158" i="4" s="1"/>
  <c r="Z157" i="4"/>
  <c r="AA157" i="4"/>
  <c r="AB157" i="4" s="1"/>
  <c r="Z156" i="4"/>
  <c r="AA156" i="4"/>
  <c r="AB156" i="4" s="1"/>
  <c r="Z155" i="4"/>
  <c r="AA155" i="4"/>
  <c r="AB155" i="4" s="1"/>
  <c r="Z154" i="4"/>
  <c r="AA154" i="4"/>
  <c r="AB154" i="4" s="1"/>
  <c r="Z153" i="4"/>
  <c r="AA153" i="4"/>
  <c r="AB153" i="4" s="1"/>
  <c r="Z152" i="4"/>
  <c r="AA152" i="4"/>
  <c r="AB152" i="4" s="1"/>
  <c r="J152" i="4"/>
  <c r="L152" i="4"/>
  <c r="Z151" i="4"/>
  <c r="AA151" i="4"/>
  <c r="AB151" i="4" s="1"/>
  <c r="Z150" i="4"/>
  <c r="AA150" i="4"/>
  <c r="AB150" i="4" s="1"/>
  <c r="Z149" i="4"/>
  <c r="AA149" i="4"/>
  <c r="AB149" i="4" s="1"/>
  <c r="Z148" i="4"/>
  <c r="AA148" i="4"/>
  <c r="AB148" i="4" s="1"/>
  <c r="Z147" i="4"/>
  <c r="AA147" i="4"/>
  <c r="AB147" i="4" s="1"/>
  <c r="Z146" i="4"/>
  <c r="AA146" i="4"/>
  <c r="AB146" i="4" s="1"/>
  <c r="Z145" i="4"/>
  <c r="AA145" i="4"/>
  <c r="AB145" i="4" s="1"/>
  <c r="J145" i="4"/>
  <c r="L145" i="4"/>
  <c r="Z144" i="4"/>
  <c r="AA144" i="4"/>
  <c r="AB144" i="4" s="1"/>
  <c r="J144" i="4"/>
  <c r="L144" i="4"/>
  <c r="Z143" i="4"/>
  <c r="AA143" i="4"/>
  <c r="AB143" i="4" s="1"/>
  <c r="J143" i="4"/>
  <c r="L143" i="4"/>
  <c r="Z142" i="4"/>
  <c r="AA142" i="4"/>
  <c r="AB142" i="4" s="1"/>
  <c r="J142" i="4"/>
  <c r="L142" i="4"/>
  <c r="Z141" i="4"/>
  <c r="AA141" i="4"/>
  <c r="AB141" i="4" s="1"/>
  <c r="J141" i="4"/>
  <c r="L141" i="4"/>
  <c r="Z140" i="4"/>
  <c r="AA140" i="4"/>
  <c r="AB140" i="4" s="1"/>
  <c r="J140" i="4"/>
  <c r="L140" i="4"/>
  <c r="Z139" i="4"/>
  <c r="AA139" i="4"/>
  <c r="AB139" i="4" s="1"/>
  <c r="Z138" i="4"/>
  <c r="AA138" i="4"/>
  <c r="AB138" i="4" s="1"/>
  <c r="Z137" i="4"/>
  <c r="AA137" i="4"/>
  <c r="AB137" i="4" s="1"/>
  <c r="Z136" i="4"/>
  <c r="AA136" i="4"/>
  <c r="AB136" i="4" s="1"/>
  <c r="Z135" i="4"/>
  <c r="AA135" i="4"/>
  <c r="AB135" i="4" s="1"/>
  <c r="Z134" i="4"/>
  <c r="AA134" i="4"/>
  <c r="AB134" i="4" s="1"/>
  <c r="Z133" i="4"/>
  <c r="AA133" i="4"/>
  <c r="AB133" i="4" s="1"/>
  <c r="Z132" i="4"/>
  <c r="AA132" i="4"/>
  <c r="AB132" i="4" s="1"/>
  <c r="Z131" i="4"/>
  <c r="AA131" i="4"/>
  <c r="AB131" i="4" s="1"/>
  <c r="Z130" i="4"/>
  <c r="AA130" i="4"/>
  <c r="AB130" i="4" s="1"/>
  <c r="Z129" i="4"/>
  <c r="AA129" i="4"/>
  <c r="AB129" i="4" s="1"/>
  <c r="Z128" i="4"/>
  <c r="AA128" i="4"/>
  <c r="AB128" i="4" s="1"/>
  <c r="J128" i="4"/>
  <c r="L128" i="4"/>
  <c r="Z127" i="4"/>
  <c r="AA127" i="4"/>
  <c r="AB127" i="4" s="1"/>
  <c r="J127" i="4"/>
  <c r="L127" i="4"/>
  <c r="Z126" i="4"/>
  <c r="AA126" i="4"/>
  <c r="AB126" i="4" s="1"/>
  <c r="J126" i="4"/>
  <c r="L126" i="4"/>
  <c r="Z125" i="4"/>
  <c r="AA125" i="4"/>
  <c r="AB125" i="4" s="1"/>
  <c r="J125" i="4"/>
  <c r="L125" i="4"/>
  <c r="Z124" i="4"/>
  <c r="AA124" i="4"/>
  <c r="AB124" i="4" s="1"/>
  <c r="J124" i="4"/>
  <c r="L124" i="4"/>
  <c r="Z123" i="4"/>
  <c r="AA123" i="4"/>
  <c r="AB123" i="4" s="1"/>
  <c r="J123" i="4"/>
  <c r="L123" i="4"/>
  <c r="Z122" i="4"/>
  <c r="AA122" i="4"/>
  <c r="AB122" i="4" s="1"/>
  <c r="Z121" i="4"/>
  <c r="AA121" i="4" s="1"/>
  <c r="AB121" i="4" s="1"/>
  <c r="Z120" i="4"/>
  <c r="AA120" i="4"/>
  <c r="AB120" i="4" s="1"/>
  <c r="Z119" i="4"/>
  <c r="AA119" i="4"/>
  <c r="AB119" i="4" s="1"/>
  <c r="Z118" i="4"/>
  <c r="AA118" i="4"/>
  <c r="AB118" i="4" s="1"/>
  <c r="Z117" i="4"/>
  <c r="AA117" i="4"/>
  <c r="AB117" i="4" s="1"/>
  <c r="Z116" i="4"/>
  <c r="AA116" i="4" s="1"/>
  <c r="AB116" i="4" s="1"/>
  <c r="Z115" i="4"/>
  <c r="AA115" i="4"/>
  <c r="AB115" i="4" s="1"/>
  <c r="Z114" i="4"/>
  <c r="AA114" i="4"/>
  <c r="AB114" i="4" s="1"/>
  <c r="Z113" i="4"/>
  <c r="AA113" i="4"/>
  <c r="AB113" i="4" s="1"/>
  <c r="Z112" i="4"/>
  <c r="AA112" i="4" s="1"/>
  <c r="AB112" i="4" s="1"/>
  <c r="Z111" i="4"/>
  <c r="AA111" i="4" s="1"/>
  <c r="AB111" i="4" s="1"/>
  <c r="Z110" i="4"/>
  <c r="AA110" i="4"/>
  <c r="AB110" i="4" s="1"/>
  <c r="Z109" i="4"/>
  <c r="AA109" i="4"/>
  <c r="AB109" i="4" s="1"/>
  <c r="Z108" i="4"/>
  <c r="AA108" i="4"/>
  <c r="AB108" i="4" s="1"/>
  <c r="Z107" i="4"/>
  <c r="AA107" i="4" s="1"/>
  <c r="AB107" i="4" s="1"/>
  <c r="Z106" i="4"/>
  <c r="AA106" i="4"/>
  <c r="AB106" i="4" s="1"/>
  <c r="Z105" i="4"/>
  <c r="AA105" i="4"/>
  <c r="AB105" i="4" s="1"/>
  <c r="Z104" i="4"/>
  <c r="AA104" i="4" s="1"/>
  <c r="AB104" i="4" s="1"/>
  <c r="Z103" i="4"/>
  <c r="AA103" i="4" s="1"/>
  <c r="AB103" i="4" s="1"/>
  <c r="Z102" i="4"/>
  <c r="AA102" i="4"/>
  <c r="AB102" i="4" s="1"/>
  <c r="Z101" i="4"/>
  <c r="AA101" i="4" s="1"/>
  <c r="AB101" i="4" s="1"/>
  <c r="Z100" i="4"/>
  <c r="AA100" i="4"/>
  <c r="AB100" i="4" s="1"/>
  <c r="Z99" i="4"/>
  <c r="AA99" i="4" s="1"/>
  <c r="AB99" i="4" s="1"/>
  <c r="Z98" i="4"/>
  <c r="AA98" i="4" s="1"/>
  <c r="AB98" i="4" s="1"/>
  <c r="Z97" i="4"/>
  <c r="AA97" i="4" s="1"/>
  <c r="AB97" i="4" s="1"/>
  <c r="Z96" i="4"/>
  <c r="AA96" i="4" s="1"/>
  <c r="AB96" i="4" s="1"/>
  <c r="Z95" i="4"/>
  <c r="AA95" i="4"/>
  <c r="AB95" i="4" s="1"/>
  <c r="Z94" i="4"/>
  <c r="AA94" i="4"/>
  <c r="AB94" i="4" s="1"/>
  <c r="Z93" i="4"/>
  <c r="AA93" i="4"/>
  <c r="AB93" i="4" s="1"/>
  <c r="Z92" i="4"/>
  <c r="AA92" i="4"/>
  <c r="AB92" i="4" s="1"/>
  <c r="Z91" i="4"/>
  <c r="AA91" i="4"/>
  <c r="AB91" i="4" s="1"/>
  <c r="Z90" i="4"/>
  <c r="AA90" i="4" s="1"/>
  <c r="AB90" i="4" s="1"/>
  <c r="Z89" i="4"/>
  <c r="AA89" i="4"/>
  <c r="AB89" i="4" s="1"/>
  <c r="Z88" i="4"/>
  <c r="AA88" i="4" s="1"/>
  <c r="AB88" i="4" s="1"/>
  <c r="Z87" i="4"/>
  <c r="AA87" i="4" s="1"/>
  <c r="AB87" i="4" s="1"/>
  <c r="Z86" i="4"/>
  <c r="AA86" i="4"/>
  <c r="AB86" i="4" s="1"/>
  <c r="Z85" i="4"/>
  <c r="AA85" i="4"/>
  <c r="AB85" i="4" s="1"/>
  <c r="Z84" i="4"/>
  <c r="AA84" i="4" s="1"/>
  <c r="AB84" i="4" s="1"/>
  <c r="Z83" i="4"/>
  <c r="AA83" i="4" s="1"/>
  <c r="AB83" i="4" s="1"/>
  <c r="Z82" i="4"/>
  <c r="AA82" i="4"/>
  <c r="AB82" i="4" s="1"/>
  <c r="Z81" i="4"/>
  <c r="AA81" i="4"/>
  <c r="AB81" i="4" s="1"/>
  <c r="Z80" i="4"/>
  <c r="AA80" i="4" s="1"/>
  <c r="AB80" i="4" s="1"/>
  <c r="Z79" i="4"/>
  <c r="AA79" i="4" s="1"/>
  <c r="AB79" i="4" s="1"/>
  <c r="Z78" i="4"/>
  <c r="AA78" i="4"/>
  <c r="AB78" i="4" s="1"/>
  <c r="Z77" i="4"/>
  <c r="AA77" i="4"/>
  <c r="AB77" i="4" s="1"/>
  <c r="Z76" i="4"/>
  <c r="AA76" i="4"/>
  <c r="AB76" i="4" s="1"/>
  <c r="Z75" i="4"/>
  <c r="AA75" i="4"/>
  <c r="AB75" i="4" s="1"/>
  <c r="Z74" i="4"/>
  <c r="AA74" i="4"/>
  <c r="AB74" i="4" s="1"/>
  <c r="Z73" i="4"/>
  <c r="AA73" i="4"/>
  <c r="AB73" i="4" s="1"/>
  <c r="Z72" i="4"/>
  <c r="AA72" i="4"/>
  <c r="AB72" i="4" s="1"/>
  <c r="Z71" i="4"/>
  <c r="AA71" i="4"/>
  <c r="AB71" i="4" s="1"/>
  <c r="Z70" i="4"/>
  <c r="AA70" i="4"/>
  <c r="AB70" i="4" s="1"/>
  <c r="Z69" i="4"/>
  <c r="AA69" i="4"/>
  <c r="AB69" i="4" s="1"/>
  <c r="Z68" i="4"/>
  <c r="AA68" i="4"/>
  <c r="AB68" i="4" s="1"/>
  <c r="Z67" i="4"/>
  <c r="AA67" i="4"/>
  <c r="AB67" i="4" s="1"/>
  <c r="Z66" i="4"/>
  <c r="AA66" i="4" s="1"/>
  <c r="AB66" i="4" s="1"/>
  <c r="Z65" i="4"/>
  <c r="AA65" i="4" s="1"/>
  <c r="AB65" i="4" s="1"/>
  <c r="Z64" i="4"/>
  <c r="AA64" i="4" s="1"/>
  <c r="AB64" i="4" s="1"/>
  <c r="Z63" i="4"/>
  <c r="AA63" i="4"/>
  <c r="AB63" i="4" s="1"/>
  <c r="Z62" i="4"/>
  <c r="AA62" i="4"/>
  <c r="AB62" i="4" s="1"/>
  <c r="Z61" i="4"/>
  <c r="AA61" i="4" s="1"/>
  <c r="AB61" i="4" s="1"/>
  <c r="Z60" i="4"/>
  <c r="AA60" i="4" s="1"/>
  <c r="AB60" i="4" s="1"/>
  <c r="Z59" i="4"/>
  <c r="AA59" i="4" s="1"/>
  <c r="AB59" i="4" s="1"/>
  <c r="Z58" i="4"/>
  <c r="AA58" i="4"/>
  <c r="AB58" i="4" s="1"/>
  <c r="Z57" i="4"/>
  <c r="AA57" i="4" s="1"/>
  <c r="AB57" i="4" s="1"/>
  <c r="Z56" i="4"/>
  <c r="AA56" i="4"/>
  <c r="AB56" i="4" s="1"/>
  <c r="Z55" i="4"/>
  <c r="AA55" i="4"/>
  <c r="AB55" i="4" s="1"/>
  <c r="Z54" i="4"/>
  <c r="AA54" i="4"/>
  <c r="AB54" i="4" s="1"/>
  <c r="Z53" i="4"/>
  <c r="AA53" i="4"/>
  <c r="AB53" i="4" s="1"/>
  <c r="Z52" i="4"/>
  <c r="AA52" i="4"/>
  <c r="AB52" i="4" s="1"/>
  <c r="Z51" i="4"/>
  <c r="AA51" i="4"/>
  <c r="AB51" i="4" s="1"/>
  <c r="Z50" i="4"/>
  <c r="AA50" i="4"/>
  <c r="AB50" i="4" s="1"/>
  <c r="Z49" i="4"/>
  <c r="AA49" i="4"/>
  <c r="AB49" i="4" s="1"/>
  <c r="Z48" i="4"/>
  <c r="AA48" i="4"/>
  <c r="AB48" i="4" s="1"/>
  <c r="Z47" i="4"/>
  <c r="AA47" i="4"/>
  <c r="AB47" i="4" s="1"/>
  <c r="Z46" i="4"/>
  <c r="AA46" i="4"/>
  <c r="AB46" i="4" s="1"/>
  <c r="Z45" i="4"/>
  <c r="AA45" i="4"/>
  <c r="AB45" i="4" s="1"/>
  <c r="Z44" i="4"/>
  <c r="AA44" i="4"/>
  <c r="AB44" i="4" s="1"/>
  <c r="Z43" i="4"/>
  <c r="AA43" i="4"/>
  <c r="AB43" i="4" s="1"/>
  <c r="Z42" i="4"/>
  <c r="AA42" i="4"/>
  <c r="AB42" i="4" s="1"/>
  <c r="Z41" i="4"/>
  <c r="AA41" i="4"/>
  <c r="AB41" i="4" s="1"/>
  <c r="J41" i="4"/>
  <c r="L41" i="4"/>
  <c r="Z40" i="4"/>
  <c r="AA40" i="4"/>
  <c r="AB40" i="4" s="1"/>
  <c r="J40" i="4"/>
  <c r="L40" i="4"/>
  <c r="Z39" i="4"/>
  <c r="AA39" i="4"/>
  <c r="AB39" i="4" s="1"/>
  <c r="J39" i="4"/>
  <c r="L39" i="4"/>
  <c r="Z38" i="4"/>
  <c r="AA38" i="4"/>
  <c r="AB38" i="4" s="1"/>
  <c r="J38" i="4"/>
  <c r="L38" i="4"/>
  <c r="Z37" i="4"/>
  <c r="AA37" i="4"/>
  <c r="AB37" i="4" s="1"/>
  <c r="J37" i="4"/>
  <c r="L37" i="4"/>
  <c r="Z36" i="4"/>
  <c r="AA36" i="4"/>
  <c r="AB36" i="4" s="1"/>
  <c r="J36" i="4"/>
  <c r="L36" i="4"/>
  <c r="Z35" i="4"/>
  <c r="AA35" i="4"/>
  <c r="AB35" i="4" s="1"/>
  <c r="J35" i="4"/>
  <c r="L35" i="4"/>
  <c r="Z34" i="4"/>
  <c r="AA34" i="4"/>
  <c r="AB34" i="4" s="1"/>
  <c r="J34" i="4"/>
  <c r="L34" i="4"/>
  <c r="Z33" i="4"/>
  <c r="AA33" i="4"/>
  <c r="AB33" i="4" s="1"/>
  <c r="J33" i="4"/>
  <c r="L33" i="4"/>
  <c r="Z32" i="4"/>
  <c r="AA32" i="4"/>
  <c r="AB32" i="4" s="1"/>
  <c r="Z31" i="4"/>
  <c r="AA31" i="4" s="1"/>
  <c r="AB31" i="4" s="1"/>
  <c r="Z30" i="4"/>
  <c r="AA30" i="4" s="1"/>
  <c r="AB30" i="4" s="1"/>
  <c r="Z29" i="4"/>
  <c r="AA29" i="4" s="1"/>
  <c r="AB29" i="4" s="1"/>
  <c r="Z28" i="4"/>
  <c r="AA28" i="4"/>
  <c r="AB28" i="4" s="1"/>
  <c r="J28" i="4"/>
  <c r="L28" i="4"/>
  <c r="Z27" i="4"/>
  <c r="AA27" i="4"/>
  <c r="AB27" i="4" s="1"/>
  <c r="J27" i="4"/>
  <c r="L27" i="4"/>
  <c r="Z26" i="4"/>
  <c r="AA26" i="4"/>
  <c r="AB26" i="4" s="1"/>
  <c r="J26" i="4"/>
  <c r="L26" i="4"/>
  <c r="Z25" i="4"/>
  <c r="AA25" i="4"/>
  <c r="AB25" i="4" s="1"/>
  <c r="J25" i="4"/>
  <c r="L25" i="4"/>
  <c r="Z24" i="4"/>
  <c r="AA24" i="4"/>
  <c r="AB24" i="4" s="1"/>
  <c r="Z23" i="4"/>
  <c r="AA23" i="4" s="1"/>
  <c r="AB23" i="4" s="1"/>
  <c r="Z22" i="4"/>
  <c r="AA22" i="4"/>
  <c r="AB22" i="4" s="1"/>
  <c r="Z21" i="4"/>
  <c r="AA21" i="4"/>
  <c r="AB21" i="4" s="1"/>
  <c r="Z20" i="4"/>
  <c r="AA20" i="4" s="1"/>
  <c r="AB20" i="4" s="1"/>
  <c r="Z19" i="4"/>
  <c r="AA19" i="4"/>
  <c r="AB19" i="4" s="1"/>
  <c r="J19" i="4"/>
  <c r="L19" i="4"/>
  <c r="Z18" i="4"/>
  <c r="AA18" i="4" s="1"/>
  <c r="AB18" i="4" s="1"/>
  <c r="J18" i="4"/>
  <c r="L18" i="4"/>
  <c r="Z17" i="4"/>
  <c r="AA17" i="4" s="1"/>
  <c r="AB17" i="4" s="1"/>
  <c r="L17" i="4"/>
  <c r="J17" i="4"/>
  <c r="Z16" i="4"/>
  <c r="AA16" i="4" s="1"/>
  <c r="AB16" i="4" s="1"/>
  <c r="L16" i="4"/>
  <c r="J16" i="4"/>
  <c r="Z15" i="4"/>
  <c r="AA15" i="4" s="1"/>
  <c r="AB15" i="4" s="1"/>
  <c r="Z14" i="4"/>
  <c r="AA14" i="4" s="1"/>
  <c r="AB14" i="4" s="1"/>
  <c r="Z13" i="4"/>
  <c r="AA13" i="4" s="1"/>
  <c r="AB13" i="4" s="1"/>
  <c r="Z12" i="4"/>
  <c r="AA12" i="4" s="1"/>
  <c r="AB12" i="4" s="1"/>
  <c r="Z11" i="4"/>
  <c r="AA11" i="4"/>
  <c r="AB11" i="4" s="1"/>
  <c r="Z10" i="4"/>
  <c r="AA10" i="4" s="1"/>
  <c r="AB10" i="4" s="1"/>
  <c r="Z9" i="4"/>
  <c r="AA9" i="4" s="1"/>
  <c r="AB9" i="4" s="1"/>
  <c r="Z8" i="4"/>
  <c r="AA8" i="4"/>
  <c r="AB8" i="4" s="1"/>
  <c r="Z7" i="4"/>
  <c r="AA7" i="4"/>
  <c r="AB7" i="4" s="1"/>
  <c r="Z6" i="4"/>
  <c r="AA6" i="4"/>
  <c r="AB6" i="4" s="1"/>
  <c r="O188" i="4"/>
  <c r="M188" i="4"/>
  <c r="T185" i="4" s="1"/>
  <c r="T187" i="4" s="1"/>
  <c r="M186" i="4"/>
  <c r="Z146" i="3"/>
  <c r="AA146" i="3" s="1"/>
  <c r="AB146" i="3" s="1"/>
  <c r="Z14" i="3"/>
  <c r="AA14" i="3" s="1"/>
  <c r="AB14" i="3" s="1"/>
  <c r="Z98" i="3"/>
  <c r="AA98" i="3" s="1"/>
  <c r="AB98" i="3" s="1"/>
  <c r="Z176" i="3"/>
  <c r="AA176" i="3" s="1"/>
  <c r="AB176" i="3" s="1"/>
  <c r="Z144" i="3"/>
  <c r="AA144" i="3" s="1"/>
  <c r="AB144" i="3" s="1"/>
  <c r="Z166" i="3"/>
  <c r="AA166" i="3"/>
  <c r="AB166" i="3" s="1"/>
  <c r="Z158" i="3"/>
  <c r="AA158" i="3" s="1"/>
  <c r="AB158" i="3" s="1"/>
  <c r="Z82" i="3"/>
  <c r="AA82" i="3"/>
  <c r="AB82" i="3" s="1"/>
  <c r="Z117" i="3"/>
  <c r="AA117" i="3" s="1"/>
  <c r="AB117" i="3" s="1"/>
  <c r="Z156" i="3"/>
  <c r="AA156" i="3" s="1"/>
  <c r="AB156" i="3" s="1"/>
  <c r="Z180" i="3"/>
  <c r="AA180" i="3" s="1"/>
  <c r="AB180" i="3" s="1"/>
  <c r="Z170" i="3"/>
  <c r="AA170" i="3" s="1"/>
  <c r="AB170" i="3" s="1"/>
  <c r="Z46" i="3"/>
  <c r="AA46" i="3"/>
  <c r="AB46" i="3" s="1"/>
  <c r="Z85" i="3"/>
  <c r="AA85" i="3" s="1"/>
  <c r="AB85" i="3" s="1"/>
  <c r="Z124" i="3"/>
  <c r="AA124" i="3" s="1"/>
  <c r="AB124" i="3" s="1"/>
  <c r="Z29" i="3"/>
  <c r="AA29" i="3"/>
  <c r="AB29" i="3" s="1"/>
  <c r="Z126" i="3"/>
  <c r="AA126" i="3" s="1"/>
  <c r="AB126" i="3" s="1"/>
  <c r="Z134" i="3"/>
  <c r="AA134" i="3"/>
  <c r="AB134" i="3" s="1"/>
  <c r="Z95" i="3"/>
  <c r="AA95" i="3" s="1"/>
  <c r="AB95" i="3" s="1"/>
  <c r="X6" i="3"/>
  <c r="O188" i="5" l="1"/>
  <c r="M186" i="5"/>
  <c r="M188" i="5" s="1"/>
  <c r="T185" i="5" s="1"/>
  <c r="T187" i="5" s="1"/>
  <c r="N176" i="4"/>
  <c r="N178" i="4"/>
  <c r="N179" i="4"/>
  <c r="N184" i="4"/>
  <c r="N7" i="4"/>
  <c r="N161" i="4"/>
  <c r="N170" i="4"/>
  <c r="N171" i="4"/>
  <c r="N172" i="4"/>
  <c r="N173" i="4"/>
  <c r="N6" i="4"/>
  <c r="N8" i="4"/>
  <c r="N9" i="4"/>
  <c r="N13" i="4"/>
  <c r="N20" i="4"/>
  <c r="N21" i="4"/>
  <c r="N22" i="4"/>
  <c r="N23" i="4"/>
  <c r="N24" i="4"/>
  <c r="N29" i="4"/>
  <c r="N30" i="4"/>
  <c r="N31" i="4"/>
  <c r="N32" i="4"/>
  <c r="N160" i="4"/>
  <c r="N169" i="4"/>
  <c r="N174" i="4"/>
  <c r="N175" i="4"/>
  <c r="N10" i="4"/>
  <c r="N11" i="4"/>
  <c r="N12" i="4"/>
  <c r="N14" i="4"/>
  <c r="N15" i="4"/>
  <c r="N42" i="4"/>
  <c r="N43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89" i="4"/>
  <c r="N96" i="4"/>
  <c r="N157" i="4"/>
  <c r="N159" i="4"/>
  <c r="N68" i="4"/>
  <c r="N69" i="4"/>
  <c r="N74" i="4"/>
  <c r="N75" i="4"/>
  <c r="N80" i="4"/>
  <c r="N81" i="4"/>
  <c r="N83" i="4"/>
  <c r="N84" i="4"/>
  <c r="N85" i="4"/>
  <c r="N88" i="4"/>
  <c r="N90" i="4"/>
  <c r="N91" i="4"/>
  <c r="N92" i="4"/>
  <c r="N93" i="4"/>
  <c r="N95" i="4"/>
  <c r="N97" i="4"/>
  <c r="N98" i="4"/>
  <c r="N99" i="4"/>
  <c r="N100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58" i="4"/>
  <c r="N70" i="4"/>
  <c r="N71" i="4"/>
  <c r="N72" i="4"/>
  <c r="N73" i="4"/>
  <c r="N76" i="4"/>
  <c r="N77" i="4"/>
  <c r="N78" i="4"/>
  <c r="N82" i="4"/>
  <c r="N86" i="4"/>
  <c r="N87" i="4"/>
  <c r="N94" i="4"/>
  <c r="N129" i="4"/>
  <c r="N130" i="4"/>
  <c r="N131" i="4"/>
  <c r="N132" i="4"/>
  <c r="N133" i="4"/>
  <c r="N134" i="4"/>
  <c r="N135" i="4"/>
  <c r="N136" i="4"/>
  <c r="N137" i="4"/>
  <c r="N138" i="4"/>
  <c r="N139" i="4"/>
  <c r="N146" i="4"/>
  <c r="N147" i="4"/>
  <c r="N148" i="4"/>
  <c r="N149" i="4"/>
  <c r="N150" i="4"/>
  <c r="N151" i="4"/>
  <c r="N153" i="4"/>
  <c r="N154" i="4"/>
  <c r="N155" i="4"/>
  <c r="N156" i="4"/>
  <c r="N177" i="4"/>
  <c r="N180" i="4"/>
  <c r="N181" i="4"/>
  <c r="N182" i="4"/>
  <c r="N183" i="4"/>
  <c r="N44" i="4"/>
  <c r="N79" i="4"/>
  <c r="N101" i="4"/>
  <c r="N168" i="4"/>
  <c r="N167" i="4"/>
  <c r="N166" i="4"/>
  <c r="N165" i="4"/>
  <c r="N164" i="4"/>
  <c r="N163" i="4"/>
  <c r="N144" i="4"/>
  <c r="N141" i="4"/>
  <c r="N140" i="4"/>
  <c r="N128" i="4"/>
  <c r="N127" i="4"/>
  <c r="N162" i="4"/>
  <c r="N152" i="4"/>
  <c r="N145" i="4"/>
  <c r="N143" i="4"/>
  <c r="N142" i="4"/>
  <c r="N126" i="4"/>
  <c r="N125" i="4"/>
  <c r="N124" i="4"/>
  <c r="N123" i="4"/>
  <c r="N19" i="4"/>
  <c r="N41" i="4"/>
  <c r="N40" i="4"/>
  <c r="N39" i="4"/>
  <c r="N38" i="4"/>
  <c r="N37" i="4"/>
  <c r="N36" i="4"/>
  <c r="N34" i="4"/>
  <c r="N28" i="4"/>
  <c r="N27" i="4"/>
  <c r="N25" i="4"/>
  <c r="N26" i="4"/>
  <c r="N35" i="4"/>
  <c r="N33" i="4"/>
  <c r="N18" i="4"/>
  <c r="N17" i="4"/>
  <c r="N16" i="4"/>
  <c r="J185" i="4"/>
  <c r="J188" i="4" s="1"/>
  <c r="Y6" i="3"/>
  <c r="H34" i="3"/>
  <c r="H35" i="3"/>
  <c r="H36" i="3"/>
  <c r="H37" i="3"/>
  <c r="H38" i="3"/>
  <c r="H33" i="3"/>
  <c r="N124" i="5" l="1"/>
  <c r="N126" i="5"/>
  <c r="N127" i="5"/>
  <c r="N140" i="5"/>
  <c r="N141" i="5"/>
  <c r="N142" i="5"/>
  <c r="N143" i="5"/>
  <c r="N145" i="5"/>
  <c r="N162" i="5"/>
  <c r="N164" i="5"/>
  <c r="N165" i="5"/>
  <c r="N166" i="5"/>
  <c r="N167" i="5"/>
  <c r="N168" i="5"/>
  <c r="N123" i="5"/>
  <c r="N125" i="5"/>
  <c r="N144" i="5"/>
  <c r="N163" i="5"/>
  <c r="N33" i="5"/>
  <c r="N16" i="5"/>
  <c r="N27" i="5"/>
  <c r="N38" i="5"/>
  <c r="N40" i="5"/>
  <c r="N15" i="5"/>
  <c r="N17" i="5"/>
  <c r="N18" i="5"/>
  <c r="N19" i="5"/>
  <c r="N25" i="5"/>
  <c r="N26" i="5"/>
  <c r="N28" i="5"/>
  <c r="N34" i="5"/>
  <c r="N35" i="5"/>
  <c r="N36" i="5"/>
  <c r="N37" i="5"/>
  <c r="N39" i="5"/>
  <c r="N41" i="5"/>
  <c r="N128" i="5"/>
  <c r="N7" i="5"/>
  <c r="N8" i="5"/>
  <c r="N9" i="5"/>
  <c r="N10" i="5"/>
  <c r="N11" i="5"/>
  <c r="N12" i="5"/>
  <c r="N13" i="5"/>
  <c r="N14" i="5"/>
  <c r="N20" i="5"/>
  <c r="N21" i="5"/>
  <c r="N22" i="5"/>
  <c r="N23" i="5"/>
  <c r="N24" i="5"/>
  <c r="N108" i="5"/>
  <c r="N114" i="5"/>
  <c r="N148" i="5"/>
  <c r="N29" i="5"/>
  <c r="N30" i="5"/>
  <c r="N31" i="5"/>
  <c r="N43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2" i="5"/>
  <c r="N63" i="5"/>
  <c r="N64" i="5"/>
  <c r="N65" i="5"/>
  <c r="N66" i="5"/>
  <c r="N112" i="5"/>
  <c r="N32" i="5"/>
  <c r="N42" i="5"/>
  <c r="N67" i="5"/>
  <c r="N68" i="5"/>
  <c r="N69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9" i="5"/>
  <c r="N110" i="5"/>
  <c r="N115" i="5"/>
  <c r="N116" i="5"/>
  <c r="N117" i="5"/>
  <c r="N118" i="5"/>
  <c r="N120" i="5"/>
  <c r="N121" i="5"/>
  <c r="N122" i="5"/>
  <c r="N129" i="5"/>
  <c r="N130" i="5"/>
  <c r="N131" i="5"/>
  <c r="N132" i="5"/>
  <c r="N133" i="5"/>
  <c r="N134" i="5"/>
  <c r="N135" i="5"/>
  <c r="N136" i="5"/>
  <c r="N137" i="5"/>
  <c r="N138" i="5"/>
  <c r="N139" i="5"/>
  <c r="N70" i="5"/>
  <c r="N61" i="5"/>
  <c r="N44" i="5"/>
  <c r="N119" i="5"/>
  <c r="N84" i="5"/>
  <c r="N146" i="5"/>
  <c r="N150" i="5"/>
  <c r="N151" i="5"/>
  <c r="N152" i="5"/>
  <c r="N153" i="5"/>
  <c r="N155" i="5"/>
  <c r="N157" i="5"/>
  <c r="N159" i="5"/>
  <c r="N161" i="5"/>
  <c r="N179" i="5"/>
  <c r="N107" i="5"/>
  <c r="N147" i="5"/>
  <c r="N149" i="5"/>
  <c r="N154" i="5"/>
  <c r="N156" i="5"/>
  <c r="N172" i="5"/>
  <c r="N174" i="5"/>
  <c r="N111" i="5"/>
  <c r="N113" i="5"/>
  <c r="N158" i="5"/>
  <c r="N169" i="5"/>
  <c r="N170" i="5"/>
  <c r="N171" i="5"/>
  <c r="N173" i="5"/>
  <c r="N175" i="5"/>
  <c r="N176" i="5"/>
  <c r="N177" i="5"/>
  <c r="N178" i="5"/>
  <c r="N180" i="5"/>
  <c r="N181" i="5"/>
  <c r="N182" i="5"/>
  <c r="N183" i="5"/>
  <c r="N184" i="5"/>
  <c r="N106" i="5"/>
  <c r="N160" i="5"/>
  <c r="N6" i="5"/>
  <c r="AC176" i="4"/>
  <c r="R176" i="4"/>
  <c r="T176" i="4" s="1"/>
  <c r="O176" i="4"/>
  <c r="S176" i="4" s="1"/>
  <c r="AC178" i="4"/>
  <c r="R178" i="4"/>
  <c r="T178" i="4" s="1"/>
  <c r="O178" i="4"/>
  <c r="S178" i="4" s="1"/>
  <c r="AC179" i="4"/>
  <c r="R179" i="4"/>
  <c r="T179" i="4" s="1"/>
  <c r="O179" i="4"/>
  <c r="S179" i="4" s="1"/>
  <c r="AC184" i="4"/>
  <c r="R184" i="4"/>
  <c r="T184" i="4" s="1"/>
  <c r="O184" i="4"/>
  <c r="S184" i="4" s="1"/>
  <c r="AC7" i="4"/>
  <c r="R7" i="4"/>
  <c r="T7" i="4" s="1"/>
  <c r="O7" i="4"/>
  <c r="S7" i="4" s="1"/>
  <c r="AC161" i="4"/>
  <c r="O161" i="4"/>
  <c r="S161" i="4" s="1"/>
  <c r="R161" i="4"/>
  <c r="T161" i="4" s="1"/>
  <c r="AC170" i="4"/>
  <c r="R170" i="4"/>
  <c r="T170" i="4" s="1"/>
  <c r="O170" i="4"/>
  <c r="S170" i="4" s="1"/>
  <c r="AC171" i="4"/>
  <c r="R171" i="4"/>
  <c r="T171" i="4" s="1"/>
  <c r="O171" i="4"/>
  <c r="S171" i="4" s="1"/>
  <c r="AC172" i="4"/>
  <c r="R172" i="4"/>
  <c r="T172" i="4" s="1"/>
  <c r="O172" i="4"/>
  <c r="S172" i="4" s="1"/>
  <c r="AC173" i="4"/>
  <c r="R173" i="4"/>
  <c r="T173" i="4" s="1"/>
  <c r="O173" i="4"/>
  <c r="S173" i="4" s="1"/>
  <c r="AC6" i="4"/>
  <c r="R6" i="4"/>
  <c r="T6" i="4" s="1"/>
  <c r="O6" i="4"/>
  <c r="S6" i="4" s="1"/>
  <c r="AC8" i="4"/>
  <c r="R8" i="4"/>
  <c r="T8" i="4" s="1"/>
  <c r="O8" i="4"/>
  <c r="S8" i="4" s="1"/>
  <c r="AC9" i="4"/>
  <c r="R9" i="4"/>
  <c r="T9" i="4" s="1"/>
  <c r="O9" i="4"/>
  <c r="S9" i="4" s="1"/>
  <c r="AC13" i="4"/>
  <c r="R13" i="4"/>
  <c r="T13" i="4" s="1"/>
  <c r="O13" i="4"/>
  <c r="S13" i="4" s="1"/>
  <c r="AC20" i="4"/>
  <c r="R20" i="4"/>
  <c r="T20" i="4" s="1"/>
  <c r="O20" i="4"/>
  <c r="S20" i="4" s="1"/>
  <c r="AC21" i="4"/>
  <c r="R21" i="4"/>
  <c r="T21" i="4" s="1"/>
  <c r="O21" i="4"/>
  <c r="S21" i="4" s="1"/>
  <c r="AC22" i="4"/>
  <c r="R22" i="4"/>
  <c r="T22" i="4" s="1"/>
  <c r="O22" i="4"/>
  <c r="S22" i="4" s="1"/>
  <c r="AC23" i="4"/>
  <c r="R23" i="4"/>
  <c r="T23" i="4" s="1"/>
  <c r="O23" i="4"/>
  <c r="S23" i="4" s="1"/>
  <c r="AC24" i="4"/>
  <c r="R24" i="4"/>
  <c r="T24" i="4" s="1"/>
  <c r="O24" i="4"/>
  <c r="S24" i="4" s="1"/>
  <c r="AC29" i="4"/>
  <c r="R29" i="4"/>
  <c r="T29" i="4" s="1"/>
  <c r="O29" i="4"/>
  <c r="S29" i="4" s="1"/>
  <c r="AC30" i="4"/>
  <c r="R30" i="4"/>
  <c r="T30" i="4" s="1"/>
  <c r="O30" i="4"/>
  <c r="S30" i="4" s="1"/>
  <c r="AC31" i="4"/>
  <c r="R31" i="4"/>
  <c r="T31" i="4" s="1"/>
  <c r="O31" i="4"/>
  <c r="S31" i="4" s="1"/>
  <c r="AC32" i="4"/>
  <c r="R32" i="4"/>
  <c r="T32" i="4" s="1"/>
  <c r="O32" i="4"/>
  <c r="S32" i="4" s="1"/>
  <c r="AC160" i="4"/>
  <c r="R160" i="4"/>
  <c r="T160" i="4" s="1"/>
  <c r="O160" i="4"/>
  <c r="S160" i="4" s="1"/>
  <c r="AC169" i="4"/>
  <c r="R169" i="4"/>
  <c r="T169" i="4" s="1"/>
  <c r="O169" i="4"/>
  <c r="S169" i="4" s="1"/>
  <c r="AC174" i="4"/>
  <c r="R174" i="4"/>
  <c r="T174" i="4" s="1"/>
  <c r="O174" i="4"/>
  <c r="S174" i="4" s="1"/>
  <c r="AC175" i="4"/>
  <c r="R175" i="4"/>
  <c r="T175" i="4" s="1"/>
  <c r="O175" i="4"/>
  <c r="S175" i="4" s="1"/>
  <c r="AC10" i="4"/>
  <c r="R10" i="4"/>
  <c r="T10" i="4" s="1"/>
  <c r="O10" i="4"/>
  <c r="S10" i="4" s="1"/>
  <c r="AC11" i="4"/>
  <c r="O11" i="4"/>
  <c r="S11" i="4" s="1"/>
  <c r="R11" i="4"/>
  <c r="T11" i="4" s="1"/>
  <c r="AC12" i="4"/>
  <c r="O12" i="4"/>
  <c r="S12" i="4" s="1"/>
  <c r="R12" i="4"/>
  <c r="T12" i="4" s="1"/>
  <c r="AC14" i="4"/>
  <c r="R14" i="4"/>
  <c r="T14" i="4" s="1"/>
  <c r="O14" i="4"/>
  <c r="S14" i="4" s="1"/>
  <c r="AC15" i="4"/>
  <c r="O15" i="4"/>
  <c r="S15" i="4" s="1"/>
  <c r="R15" i="4"/>
  <c r="T15" i="4" s="1"/>
  <c r="AC42" i="4"/>
  <c r="R42" i="4"/>
  <c r="T42" i="4" s="1"/>
  <c r="O42" i="4"/>
  <c r="S42" i="4" s="1"/>
  <c r="AC43" i="4"/>
  <c r="R43" i="4"/>
  <c r="T43" i="4" s="1"/>
  <c r="O43" i="4"/>
  <c r="S43" i="4" s="1"/>
  <c r="AC45" i="4"/>
  <c r="AD45" i="4" s="1"/>
  <c r="R45" i="4"/>
  <c r="T45" i="4" s="1"/>
  <c r="O45" i="4"/>
  <c r="S45" i="4" s="1"/>
  <c r="AC46" i="4"/>
  <c r="R46" i="4"/>
  <c r="T46" i="4" s="1"/>
  <c r="O46" i="4"/>
  <c r="S46" i="4" s="1"/>
  <c r="AC47" i="4"/>
  <c r="R47" i="4"/>
  <c r="T47" i="4" s="1"/>
  <c r="O47" i="4"/>
  <c r="S47" i="4" s="1"/>
  <c r="AC48" i="4"/>
  <c r="AD48" i="4" s="1"/>
  <c r="R48" i="4"/>
  <c r="T48" i="4" s="1"/>
  <c r="O48" i="4"/>
  <c r="S48" i="4" s="1"/>
  <c r="AC49" i="4"/>
  <c r="R49" i="4"/>
  <c r="T49" i="4" s="1"/>
  <c r="O49" i="4"/>
  <c r="S49" i="4" s="1"/>
  <c r="AC50" i="4"/>
  <c r="AD50" i="4" s="1"/>
  <c r="R50" i="4"/>
  <c r="T50" i="4" s="1"/>
  <c r="O50" i="4"/>
  <c r="S50" i="4" s="1"/>
  <c r="AC51" i="4"/>
  <c r="R51" i="4"/>
  <c r="T51" i="4" s="1"/>
  <c r="O51" i="4"/>
  <c r="S51" i="4" s="1"/>
  <c r="AC52" i="4"/>
  <c r="R52" i="4"/>
  <c r="T52" i="4" s="1"/>
  <c r="O52" i="4"/>
  <c r="S52" i="4" s="1"/>
  <c r="AC53" i="4"/>
  <c r="R53" i="4"/>
  <c r="T53" i="4" s="1"/>
  <c r="O53" i="4"/>
  <c r="S53" i="4" s="1"/>
  <c r="AC54" i="4"/>
  <c r="AD54" i="4" s="1"/>
  <c r="O54" i="4"/>
  <c r="S54" i="4" s="1"/>
  <c r="R54" i="4"/>
  <c r="T54" i="4" s="1"/>
  <c r="AC55" i="4"/>
  <c r="O55" i="4"/>
  <c r="S55" i="4" s="1"/>
  <c r="R55" i="4"/>
  <c r="T55" i="4" s="1"/>
  <c r="AC56" i="4"/>
  <c r="O56" i="4"/>
  <c r="S56" i="4" s="1"/>
  <c r="R56" i="4"/>
  <c r="T56" i="4" s="1"/>
  <c r="AC57" i="4"/>
  <c r="R57" i="4"/>
  <c r="T57" i="4" s="1"/>
  <c r="O57" i="4"/>
  <c r="S57" i="4" s="1"/>
  <c r="AC58" i="4"/>
  <c r="O58" i="4"/>
  <c r="S58" i="4" s="1"/>
  <c r="R58" i="4"/>
  <c r="T58" i="4" s="1"/>
  <c r="AC59" i="4"/>
  <c r="O59" i="4"/>
  <c r="S59" i="4" s="1"/>
  <c r="R59" i="4"/>
  <c r="T59" i="4" s="1"/>
  <c r="AC60" i="4"/>
  <c r="R60" i="4"/>
  <c r="T60" i="4" s="1"/>
  <c r="O60" i="4"/>
  <c r="S60" i="4" s="1"/>
  <c r="AC61" i="4"/>
  <c r="O61" i="4"/>
  <c r="S61" i="4" s="1"/>
  <c r="R61" i="4"/>
  <c r="T61" i="4" s="1"/>
  <c r="AC62" i="4"/>
  <c r="O62" i="4"/>
  <c r="S62" i="4" s="1"/>
  <c r="R62" i="4"/>
  <c r="T62" i="4" s="1"/>
  <c r="AC63" i="4"/>
  <c r="R63" i="4"/>
  <c r="T63" i="4" s="1"/>
  <c r="O63" i="4"/>
  <c r="S63" i="4" s="1"/>
  <c r="AC64" i="4"/>
  <c r="R64" i="4"/>
  <c r="T64" i="4" s="1"/>
  <c r="O64" i="4"/>
  <c r="S64" i="4" s="1"/>
  <c r="AC65" i="4"/>
  <c r="O65" i="4"/>
  <c r="S65" i="4" s="1"/>
  <c r="R65" i="4"/>
  <c r="T65" i="4" s="1"/>
  <c r="AC66" i="4"/>
  <c r="O66" i="4"/>
  <c r="S66" i="4" s="1"/>
  <c r="R66" i="4"/>
  <c r="T66" i="4" s="1"/>
  <c r="AC67" i="4"/>
  <c r="R67" i="4"/>
  <c r="T67" i="4" s="1"/>
  <c r="O67" i="4"/>
  <c r="S67" i="4" s="1"/>
  <c r="AC89" i="4"/>
  <c r="O89" i="4"/>
  <c r="S89" i="4" s="1"/>
  <c r="R89" i="4"/>
  <c r="T89" i="4" s="1"/>
  <c r="AC96" i="4"/>
  <c r="AD96" i="4" s="1"/>
  <c r="R96" i="4"/>
  <c r="T96" i="4" s="1"/>
  <c r="O96" i="4"/>
  <c r="S96" i="4" s="1"/>
  <c r="AC157" i="4"/>
  <c r="R157" i="4"/>
  <c r="T157" i="4" s="1"/>
  <c r="O157" i="4"/>
  <c r="S157" i="4" s="1"/>
  <c r="AC159" i="4"/>
  <c r="AD159" i="4" s="1"/>
  <c r="R159" i="4"/>
  <c r="T159" i="4" s="1"/>
  <c r="O159" i="4"/>
  <c r="S159" i="4" s="1"/>
  <c r="AC68" i="4"/>
  <c r="R68" i="4"/>
  <c r="T68" i="4" s="1"/>
  <c r="O68" i="4"/>
  <c r="S68" i="4" s="1"/>
  <c r="AC69" i="4"/>
  <c r="R69" i="4"/>
  <c r="T69" i="4" s="1"/>
  <c r="O69" i="4"/>
  <c r="S69" i="4" s="1"/>
  <c r="AC74" i="4"/>
  <c r="R74" i="4"/>
  <c r="T74" i="4" s="1"/>
  <c r="O74" i="4"/>
  <c r="S74" i="4" s="1"/>
  <c r="AC75" i="4"/>
  <c r="R75" i="4"/>
  <c r="T75" i="4" s="1"/>
  <c r="O75" i="4"/>
  <c r="S75" i="4" s="1"/>
  <c r="AC80" i="4"/>
  <c r="O80" i="4"/>
  <c r="S80" i="4" s="1"/>
  <c r="R80" i="4"/>
  <c r="T80" i="4" s="1"/>
  <c r="AC81" i="4"/>
  <c r="O81" i="4"/>
  <c r="S81" i="4" s="1"/>
  <c r="R81" i="4"/>
  <c r="T81" i="4" s="1"/>
  <c r="AC83" i="4"/>
  <c r="AD83" i="4" s="1"/>
  <c r="R83" i="4"/>
  <c r="T83" i="4" s="1"/>
  <c r="O83" i="4"/>
  <c r="S83" i="4" s="1"/>
  <c r="AC84" i="4"/>
  <c r="R84" i="4"/>
  <c r="T84" i="4" s="1"/>
  <c r="O84" i="4"/>
  <c r="S84" i="4" s="1"/>
  <c r="AC85" i="4"/>
  <c r="R85" i="4"/>
  <c r="T85" i="4" s="1"/>
  <c r="O85" i="4"/>
  <c r="S85" i="4" s="1"/>
  <c r="AC88" i="4"/>
  <c r="O88" i="4"/>
  <c r="S88" i="4" s="1"/>
  <c r="R88" i="4"/>
  <c r="T88" i="4" s="1"/>
  <c r="AC90" i="4"/>
  <c r="R90" i="4"/>
  <c r="T90" i="4" s="1"/>
  <c r="O90" i="4"/>
  <c r="S90" i="4" s="1"/>
  <c r="AC91" i="4"/>
  <c r="R91" i="4"/>
  <c r="T91" i="4" s="1"/>
  <c r="O91" i="4"/>
  <c r="S91" i="4" s="1"/>
  <c r="AC92" i="4"/>
  <c r="O92" i="4"/>
  <c r="S92" i="4" s="1"/>
  <c r="R92" i="4"/>
  <c r="T92" i="4" s="1"/>
  <c r="AC93" i="4"/>
  <c r="O93" i="4"/>
  <c r="S93" i="4" s="1"/>
  <c r="R93" i="4"/>
  <c r="T93" i="4" s="1"/>
  <c r="AC95" i="4"/>
  <c r="R95" i="4"/>
  <c r="T95" i="4" s="1"/>
  <c r="O95" i="4"/>
  <c r="S95" i="4" s="1"/>
  <c r="AC97" i="4"/>
  <c r="R97" i="4"/>
  <c r="T97" i="4" s="1"/>
  <c r="O97" i="4"/>
  <c r="S97" i="4" s="1"/>
  <c r="AC98" i="4"/>
  <c r="R98" i="4"/>
  <c r="T98" i="4" s="1"/>
  <c r="O98" i="4"/>
  <c r="S98" i="4" s="1"/>
  <c r="AC99" i="4"/>
  <c r="O99" i="4"/>
  <c r="S99" i="4" s="1"/>
  <c r="R99" i="4"/>
  <c r="T99" i="4" s="1"/>
  <c r="AC100" i="4"/>
  <c r="R100" i="4"/>
  <c r="T100" i="4" s="1"/>
  <c r="O100" i="4"/>
  <c r="S100" i="4" s="1"/>
  <c r="AC102" i="4"/>
  <c r="R102" i="4"/>
  <c r="T102" i="4" s="1"/>
  <c r="O102" i="4"/>
  <c r="S102" i="4" s="1"/>
  <c r="AC103" i="4"/>
  <c r="O103" i="4"/>
  <c r="S103" i="4" s="1"/>
  <c r="R103" i="4"/>
  <c r="T103" i="4" s="1"/>
  <c r="AC104" i="4"/>
  <c r="O104" i="4"/>
  <c r="S104" i="4" s="1"/>
  <c r="R104" i="4"/>
  <c r="T104" i="4" s="1"/>
  <c r="AC105" i="4"/>
  <c r="R105" i="4"/>
  <c r="T105" i="4" s="1"/>
  <c r="O105" i="4"/>
  <c r="S105" i="4" s="1"/>
  <c r="AC106" i="4"/>
  <c r="R106" i="4"/>
  <c r="T106" i="4" s="1"/>
  <c r="O106" i="4"/>
  <c r="S106" i="4" s="1"/>
  <c r="AC107" i="4"/>
  <c r="R107" i="4"/>
  <c r="T107" i="4" s="1"/>
  <c r="O107" i="4"/>
  <c r="S107" i="4" s="1"/>
  <c r="AC108" i="4"/>
  <c r="R108" i="4"/>
  <c r="T108" i="4" s="1"/>
  <c r="O108" i="4"/>
  <c r="S108" i="4" s="1"/>
  <c r="AC109" i="4"/>
  <c r="R109" i="4"/>
  <c r="T109" i="4" s="1"/>
  <c r="O109" i="4"/>
  <c r="S109" i="4" s="1"/>
  <c r="AC110" i="4"/>
  <c r="R110" i="4"/>
  <c r="T110" i="4" s="1"/>
  <c r="O110" i="4"/>
  <c r="S110" i="4" s="1"/>
  <c r="AC111" i="4"/>
  <c r="R111" i="4"/>
  <c r="T111" i="4" s="1"/>
  <c r="O111" i="4"/>
  <c r="S111" i="4" s="1"/>
  <c r="AC112" i="4"/>
  <c r="R112" i="4"/>
  <c r="T112" i="4" s="1"/>
  <c r="O112" i="4"/>
  <c r="S112" i="4" s="1"/>
  <c r="AC113" i="4"/>
  <c r="R113" i="4"/>
  <c r="T113" i="4" s="1"/>
  <c r="O113" i="4"/>
  <c r="S113" i="4" s="1"/>
  <c r="AC114" i="4"/>
  <c r="R114" i="4"/>
  <c r="T114" i="4" s="1"/>
  <c r="O114" i="4"/>
  <c r="S114" i="4" s="1"/>
  <c r="AC115" i="4"/>
  <c r="R115" i="4"/>
  <c r="T115" i="4" s="1"/>
  <c r="O115" i="4"/>
  <c r="S115" i="4" s="1"/>
  <c r="AC116" i="4"/>
  <c r="R116" i="4"/>
  <c r="T116" i="4" s="1"/>
  <c r="O116" i="4"/>
  <c r="S116" i="4" s="1"/>
  <c r="AC117" i="4"/>
  <c r="R117" i="4"/>
  <c r="T117" i="4" s="1"/>
  <c r="O117" i="4"/>
  <c r="S117" i="4" s="1"/>
  <c r="AC118" i="4"/>
  <c r="R118" i="4"/>
  <c r="T118" i="4" s="1"/>
  <c r="O118" i="4"/>
  <c r="S118" i="4" s="1"/>
  <c r="AC119" i="4"/>
  <c r="R119" i="4"/>
  <c r="T119" i="4" s="1"/>
  <c r="O119" i="4"/>
  <c r="S119" i="4" s="1"/>
  <c r="AC120" i="4"/>
  <c r="R120" i="4"/>
  <c r="T120" i="4" s="1"/>
  <c r="O120" i="4"/>
  <c r="S120" i="4" s="1"/>
  <c r="AC121" i="4"/>
  <c r="R121" i="4"/>
  <c r="T121" i="4" s="1"/>
  <c r="O121" i="4"/>
  <c r="S121" i="4" s="1"/>
  <c r="AC122" i="4"/>
  <c r="R122" i="4"/>
  <c r="T122" i="4" s="1"/>
  <c r="O122" i="4"/>
  <c r="S122" i="4" s="1"/>
  <c r="AC158" i="4"/>
  <c r="R158" i="4"/>
  <c r="T158" i="4" s="1"/>
  <c r="O158" i="4"/>
  <c r="S158" i="4" s="1"/>
  <c r="AC70" i="4"/>
  <c r="R70" i="4"/>
  <c r="T70" i="4" s="1"/>
  <c r="O70" i="4"/>
  <c r="S70" i="4" s="1"/>
  <c r="AC71" i="4"/>
  <c r="R71" i="4"/>
  <c r="T71" i="4" s="1"/>
  <c r="O71" i="4"/>
  <c r="S71" i="4" s="1"/>
  <c r="AC72" i="4"/>
  <c r="R72" i="4"/>
  <c r="T72" i="4" s="1"/>
  <c r="O72" i="4"/>
  <c r="S72" i="4" s="1"/>
  <c r="AC73" i="4"/>
  <c r="R73" i="4"/>
  <c r="T73" i="4" s="1"/>
  <c r="O73" i="4"/>
  <c r="S73" i="4" s="1"/>
  <c r="AC76" i="4"/>
  <c r="R76" i="4"/>
  <c r="T76" i="4" s="1"/>
  <c r="O76" i="4"/>
  <c r="S76" i="4" s="1"/>
  <c r="AC77" i="4"/>
  <c r="R77" i="4"/>
  <c r="T77" i="4" s="1"/>
  <c r="O77" i="4"/>
  <c r="S77" i="4" s="1"/>
  <c r="AC78" i="4"/>
  <c r="R78" i="4"/>
  <c r="T78" i="4" s="1"/>
  <c r="O78" i="4"/>
  <c r="S78" i="4" s="1"/>
  <c r="AC82" i="4"/>
  <c r="O82" i="4"/>
  <c r="S82" i="4" s="1"/>
  <c r="R82" i="4"/>
  <c r="T82" i="4" s="1"/>
  <c r="AC86" i="4"/>
  <c r="R86" i="4"/>
  <c r="T86" i="4" s="1"/>
  <c r="O86" i="4"/>
  <c r="S86" i="4" s="1"/>
  <c r="AC87" i="4"/>
  <c r="R87" i="4"/>
  <c r="T87" i="4" s="1"/>
  <c r="O87" i="4"/>
  <c r="S87" i="4" s="1"/>
  <c r="AC94" i="4"/>
  <c r="AD94" i="4" s="1"/>
  <c r="O94" i="4"/>
  <c r="S94" i="4" s="1"/>
  <c r="R94" i="4"/>
  <c r="T94" i="4" s="1"/>
  <c r="AC129" i="4"/>
  <c r="R129" i="4"/>
  <c r="T129" i="4" s="1"/>
  <c r="O129" i="4"/>
  <c r="S129" i="4" s="1"/>
  <c r="AC130" i="4"/>
  <c r="R130" i="4"/>
  <c r="T130" i="4" s="1"/>
  <c r="O130" i="4"/>
  <c r="S130" i="4" s="1"/>
  <c r="AC131" i="4"/>
  <c r="R131" i="4"/>
  <c r="T131" i="4" s="1"/>
  <c r="O131" i="4"/>
  <c r="S131" i="4" s="1"/>
  <c r="AC132" i="4"/>
  <c r="R132" i="4"/>
  <c r="T132" i="4" s="1"/>
  <c r="O132" i="4"/>
  <c r="S132" i="4" s="1"/>
  <c r="AC133" i="4"/>
  <c r="R133" i="4"/>
  <c r="T133" i="4" s="1"/>
  <c r="O133" i="4"/>
  <c r="S133" i="4" s="1"/>
  <c r="AC134" i="4"/>
  <c r="R134" i="4"/>
  <c r="T134" i="4" s="1"/>
  <c r="O134" i="4"/>
  <c r="S134" i="4" s="1"/>
  <c r="AC135" i="4"/>
  <c r="R135" i="4"/>
  <c r="T135" i="4" s="1"/>
  <c r="O135" i="4"/>
  <c r="S135" i="4" s="1"/>
  <c r="AC136" i="4"/>
  <c r="R136" i="4"/>
  <c r="T136" i="4" s="1"/>
  <c r="O136" i="4"/>
  <c r="S136" i="4" s="1"/>
  <c r="AC137" i="4"/>
  <c r="R137" i="4"/>
  <c r="T137" i="4" s="1"/>
  <c r="O137" i="4"/>
  <c r="S137" i="4" s="1"/>
  <c r="AC138" i="4"/>
  <c r="R138" i="4"/>
  <c r="T138" i="4" s="1"/>
  <c r="O138" i="4"/>
  <c r="S138" i="4" s="1"/>
  <c r="AC139" i="4"/>
  <c r="R139" i="4"/>
  <c r="T139" i="4" s="1"/>
  <c r="O139" i="4"/>
  <c r="S139" i="4" s="1"/>
  <c r="AC146" i="4"/>
  <c r="R146" i="4"/>
  <c r="T146" i="4" s="1"/>
  <c r="O146" i="4"/>
  <c r="S146" i="4" s="1"/>
  <c r="AC147" i="4"/>
  <c r="R147" i="4"/>
  <c r="T147" i="4" s="1"/>
  <c r="O147" i="4"/>
  <c r="S147" i="4" s="1"/>
  <c r="AC148" i="4"/>
  <c r="R148" i="4"/>
  <c r="T148" i="4" s="1"/>
  <c r="O148" i="4"/>
  <c r="S148" i="4" s="1"/>
  <c r="AC149" i="4"/>
  <c r="R149" i="4"/>
  <c r="T149" i="4" s="1"/>
  <c r="O149" i="4"/>
  <c r="S149" i="4" s="1"/>
  <c r="AC150" i="4"/>
  <c r="R150" i="4"/>
  <c r="T150" i="4" s="1"/>
  <c r="O150" i="4"/>
  <c r="S150" i="4" s="1"/>
  <c r="AC151" i="4"/>
  <c r="R151" i="4"/>
  <c r="T151" i="4" s="1"/>
  <c r="O151" i="4"/>
  <c r="S151" i="4" s="1"/>
  <c r="AC153" i="4"/>
  <c r="R153" i="4"/>
  <c r="T153" i="4" s="1"/>
  <c r="O153" i="4"/>
  <c r="S153" i="4" s="1"/>
  <c r="AC154" i="4"/>
  <c r="R154" i="4"/>
  <c r="T154" i="4" s="1"/>
  <c r="O154" i="4"/>
  <c r="S154" i="4" s="1"/>
  <c r="AC155" i="4"/>
  <c r="R155" i="4"/>
  <c r="T155" i="4" s="1"/>
  <c r="O155" i="4"/>
  <c r="S155" i="4" s="1"/>
  <c r="AC156" i="4"/>
  <c r="R156" i="4"/>
  <c r="T156" i="4" s="1"/>
  <c r="O156" i="4"/>
  <c r="S156" i="4" s="1"/>
  <c r="AC177" i="4"/>
  <c r="R177" i="4"/>
  <c r="T177" i="4" s="1"/>
  <c r="O177" i="4"/>
  <c r="S177" i="4" s="1"/>
  <c r="AC180" i="4"/>
  <c r="R180" i="4"/>
  <c r="T180" i="4" s="1"/>
  <c r="O180" i="4"/>
  <c r="S180" i="4" s="1"/>
  <c r="AC181" i="4"/>
  <c r="R181" i="4"/>
  <c r="T181" i="4" s="1"/>
  <c r="O181" i="4"/>
  <c r="S181" i="4" s="1"/>
  <c r="AC182" i="4"/>
  <c r="R182" i="4"/>
  <c r="T182" i="4" s="1"/>
  <c r="O182" i="4"/>
  <c r="S182" i="4" s="1"/>
  <c r="AC183" i="4"/>
  <c r="R183" i="4"/>
  <c r="T183" i="4" s="1"/>
  <c r="O183" i="4"/>
  <c r="S183" i="4" s="1"/>
  <c r="AC44" i="4"/>
  <c r="R44" i="4"/>
  <c r="T44" i="4" s="1"/>
  <c r="O44" i="4"/>
  <c r="S44" i="4" s="1"/>
  <c r="AC79" i="4"/>
  <c r="AD79" i="4" s="1"/>
  <c r="R79" i="4"/>
  <c r="T79" i="4" s="1"/>
  <c r="O79" i="4"/>
  <c r="S79" i="4" s="1"/>
  <c r="AC101" i="4"/>
  <c r="R101" i="4"/>
  <c r="T101" i="4" s="1"/>
  <c r="O101" i="4"/>
  <c r="S101" i="4" s="1"/>
  <c r="AC168" i="4"/>
  <c r="R168" i="4"/>
  <c r="T168" i="4" s="1"/>
  <c r="O168" i="4"/>
  <c r="S168" i="4" s="1"/>
  <c r="AC167" i="4"/>
  <c r="R167" i="4"/>
  <c r="T167" i="4" s="1"/>
  <c r="O167" i="4"/>
  <c r="S167" i="4" s="1"/>
  <c r="AC166" i="4"/>
  <c r="R166" i="4"/>
  <c r="T166" i="4" s="1"/>
  <c r="O166" i="4"/>
  <c r="S166" i="4" s="1"/>
  <c r="AC165" i="4"/>
  <c r="R165" i="4"/>
  <c r="T165" i="4" s="1"/>
  <c r="O165" i="4"/>
  <c r="S165" i="4" s="1"/>
  <c r="AC164" i="4"/>
  <c r="R164" i="4"/>
  <c r="T164" i="4" s="1"/>
  <c r="O164" i="4"/>
  <c r="S164" i="4" s="1"/>
  <c r="AC163" i="4"/>
  <c r="R163" i="4"/>
  <c r="T163" i="4" s="1"/>
  <c r="O163" i="4"/>
  <c r="S163" i="4" s="1"/>
  <c r="R144" i="4"/>
  <c r="T144" i="4" s="1"/>
  <c r="O144" i="4"/>
  <c r="S144" i="4" s="1"/>
  <c r="AC144" i="4"/>
  <c r="AD144" i="4" s="1"/>
  <c r="R141" i="4"/>
  <c r="T141" i="4" s="1"/>
  <c r="O141" i="4"/>
  <c r="S141" i="4" s="1"/>
  <c r="AC141" i="4"/>
  <c r="AD141" i="4" s="1"/>
  <c r="R140" i="4"/>
  <c r="T140" i="4" s="1"/>
  <c r="O140" i="4"/>
  <c r="S140" i="4" s="1"/>
  <c r="AC140" i="4"/>
  <c r="AD140" i="4" s="1"/>
  <c r="R128" i="4"/>
  <c r="T128" i="4" s="1"/>
  <c r="O128" i="4"/>
  <c r="S128" i="4" s="1"/>
  <c r="AC128" i="4"/>
  <c r="AD128" i="4" s="1"/>
  <c r="R127" i="4"/>
  <c r="T127" i="4" s="1"/>
  <c r="O127" i="4"/>
  <c r="S127" i="4" s="1"/>
  <c r="AC127" i="4"/>
  <c r="AD127" i="4" s="1"/>
  <c r="AC162" i="4"/>
  <c r="AD162" i="4" s="1"/>
  <c r="R162" i="4"/>
  <c r="T162" i="4" s="1"/>
  <c r="O162" i="4"/>
  <c r="S162" i="4" s="1"/>
  <c r="AC152" i="4"/>
  <c r="R152" i="4"/>
  <c r="T152" i="4" s="1"/>
  <c r="O152" i="4"/>
  <c r="S152" i="4" s="1"/>
  <c r="AC145" i="4"/>
  <c r="R145" i="4"/>
  <c r="T145" i="4" s="1"/>
  <c r="O145" i="4"/>
  <c r="S145" i="4" s="1"/>
  <c r="AC143" i="4"/>
  <c r="AD143" i="4" s="1"/>
  <c r="R143" i="4"/>
  <c r="T143" i="4" s="1"/>
  <c r="O143" i="4"/>
  <c r="S143" i="4" s="1"/>
  <c r="AC142" i="4"/>
  <c r="R142" i="4"/>
  <c r="T142" i="4" s="1"/>
  <c r="O142" i="4"/>
  <c r="S142" i="4" s="1"/>
  <c r="R126" i="4"/>
  <c r="T126" i="4" s="1"/>
  <c r="O126" i="4"/>
  <c r="S126" i="4" s="1"/>
  <c r="AC126" i="4"/>
  <c r="AD126" i="4" s="1"/>
  <c r="AC125" i="4"/>
  <c r="R125" i="4"/>
  <c r="T125" i="4" s="1"/>
  <c r="O125" i="4"/>
  <c r="S125" i="4" s="1"/>
  <c r="R124" i="4"/>
  <c r="T124" i="4" s="1"/>
  <c r="O124" i="4"/>
  <c r="S124" i="4" s="1"/>
  <c r="AC124" i="4"/>
  <c r="AD124" i="4" s="1"/>
  <c r="R123" i="4"/>
  <c r="T123" i="4" s="1"/>
  <c r="O123" i="4"/>
  <c r="S123" i="4" s="1"/>
  <c r="AC123" i="4"/>
  <c r="AD123" i="4" s="1"/>
  <c r="R19" i="4"/>
  <c r="T19" i="4" s="1"/>
  <c r="O19" i="4"/>
  <c r="S19" i="4" s="1"/>
  <c r="AC19" i="4"/>
  <c r="AD19" i="4" s="1"/>
  <c r="AC41" i="4"/>
  <c r="R41" i="4"/>
  <c r="T41" i="4" s="1"/>
  <c r="O41" i="4"/>
  <c r="S41" i="4" s="1"/>
  <c r="AC40" i="4"/>
  <c r="R40" i="4"/>
  <c r="T40" i="4" s="1"/>
  <c r="O40" i="4"/>
  <c r="S40" i="4" s="1"/>
  <c r="AC39" i="4"/>
  <c r="R39" i="4"/>
  <c r="T39" i="4" s="1"/>
  <c r="O39" i="4"/>
  <c r="S39" i="4" s="1"/>
  <c r="AC38" i="4"/>
  <c r="R38" i="4"/>
  <c r="T38" i="4" s="1"/>
  <c r="O38" i="4"/>
  <c r="S38" i="4" s="1"/>
  <c r="AC37" i="4"/>
  <c r="R37" i="4"/>
  <c r="T37" i="4" s="1"/>
  <c r="O37" i="4"/>
  <c r="S37" i="4" s="1"/>
  <c r="R36" i="4"/>
  <c r="T36" i="4" s="1"/>
  <c r="O36" i="4"/>
  <c r="S36" i="4" s="1"/>
  <c r="AC36" i="4"/>
  <c r="AC34" i="4"/>
  <c r="R34" i="4"/>
  <c r="T34" i="4" s="1"/>
  <c r="O34" i="4"/>
  <c r="S34" i="4" s="1"/>
  <c r="R28" i="4"/>
  <c r="T28" i="4" s="1"/>
  <c r="O28" i="4"/>
  <c r="S28" i="4" s="1"/>
  <c r="AC28" i="4"/>
  <c r="AD28" i="4" s="1"/>
  <c r="R27" i="4"/>
  <c r="T27" i="4" s="1"/>
  <c r="O27" i="4"/>
  <c r="S27" i="4" s="1"/>
  <c r="AC27" i="4"/>
  <c r="AD27" i="4" s="1"/>
  <c r="AC25" i="4"/>
  <c r="AD25" i="4" s="1"/>
  <c r="R25" i="4"/>
  <c r="T25" i="4" s="1"/>
  <c r="O25" i="4"/>
  <c r="S25" i="4" s="1"/>
  <c r="AC26" i="4"/>
  <c r="R26" i="4"/>
  <c r="T26" i="4" s="1"/>
  <c r="O26" i="4"/>
  <c r="S26" i="4" s="1"/>
  <c r="AC35" i="4"/>
  <c r="R35" i="4"/>
  <c r="T35" i="4" s="1"/>
  <c r="O35" i="4"/>
  <c r="S35" i="4" s="1"/>
  <c r="AC33" i="4"/>
  <c r="R33" i="4"/>
  <c r="T33" i="4" s="1"/>
  <c r="O33" i="4"/>
  <c r="S33" i="4" s="1"/>
  <c r="R18" i="4"/>
  <c r="T18" i="4" s="1"/>
  <c r="O18" i="4"/>
  <c r="S18" i="4" s="1"/>
  <c r="AC18" i="4"/>
  <c r="AD18" i="4" s="1"/>
  <c r="R17" i="4"/>
  <c r="T17" i="4" s="1"/>
  <c r="O17" i="4"/>
  <c r="S17" i="4" s="1"/>
  <c r="AC17" i="4"/>
  <c r="AD17" i="4" s="1"/>
  <c r="R16" i="4"/>
  <c r="T16" i="4" s="1"/>
  <c r="O16" i="4"/>
  <c r="S16" i="4" s="1"/>
  <c r="AC16" i="4"/>
  <c r="AD16" i="4" s="1"/>
  <c r="Z6" i="3"/>
  <c r="I44" i="3"/>
  <c r="J44" i="3"/>
  <c r="AC124" i="5" l="1"/>
  <c r="R124" i="5"/>
  <c r="T124" i="5" s="1"/>
  <c r="O124" i="5"/>
  <c r="S124" i="5" s="1"/>
  <c r="AC126" i="5"/>
  <c r="R126" i="5"/>
  <c r="T126" i="5" s="1"/>
  <c r="O126" i="5"/>
  <c r="S126" i="5" s="1"/>
  <c r="AC127" i="5"/>
  <c r="R127" i="5"/>
  <c r="T127" i="5" s="1"/>
  <c r="O127" i="5"/>
  <c r="S127" i="5" s="1"/>
  <c r="AC140" i="5"/>
  <c r="R140" i="5"/>
  <c r="T140" i="5" s="1"/>
  <c r="O140" i="5"/>
  <c r="S140" i="5" s="1"/>
  <c r="AC141" i="5"/>
  <c r="R141" i="5"/>
  <c r="T141" i="5" s="1"/>
  <c r="O141" i="5"/>
  <c r="S141" i="5" s="1"/>
  <c r="AC142" i="5"/>
  <c r="R142" i="5"/>
  <c r="T142" i="5" s="1"/>
  <c r="O142" i="5"/>
  <c r="S142" i="5" s="1"/>
  <c r="AC143" i="5"/>
  <c r="R143" i="5"/>
  <c r="T143" i="5" s="1"/>
  <c r="O143" i="5"/>
  <c r="S143" i="5" s="1"/>
  <c r="AC145" i="5"/>
  <c r="R145" i="5"/>
  <c r="T145" i="5" s="1"/>
  <c r="O145" i="5"/>
  <c r="S145" i="5" s="1"/>
  <c r="AC162" i="5"/>
  <c r="R162" i="5"/>
  <c r="T162" i="5" s="1"/>
  <c r="O162" i="5"/>
  <c r="S162" i="5" s="1"/>
  <c r="AC164" i="5"/>
  <c r="R164" i="5"/>
  <c r="T164" i="5" s="1"/>
  <c r="O164" i="5"/>
  <c r="S164" i="5" s="1"/>
  <c r="R165" i="5"/>
  <c r="T165" i="5" s="1"/>
  <c r="O165" i="5"/>
  <c r="S165" i="5" s="1"/>
  <c r="AC165" i="5"/>
  <c r="AD165" i="5" s="1"/>
  <c r="R166" i="5"/>
  <c r="T166" i="5" s="1"/>
  <c r="O166" i="5"/>
  <c r="S166" i="5" s="1"/>
  <c r="AC166" i="5"/>
  <c r="AD166" i="5" s="1"/>
  <c r="R167" i="5"/>
  <c r="T167" i="5" s="1"/>
  <c r="O167" i="5"/>
  <c r="S167" i="5" s="1"/>
  <c r="AC167" i="5"/>
  <c r="AD167" i="5" s="1"/>
  <c r="AC168" i="5"/>
  <c r="R168" i="5"/>
  <c r="T168" i="5" s="1"/>
  <c r="O168" i="5"/>
  <c r="S168" i="5" s="1"/>
  <c r="R123" i="5"/>
  <c r="T123" i="5" s="1"/>
  <c r="O123" i="5"/>
  <c r="S123" i="5" s="1"/>
  <c r="AC123" i="5"/>
  <c r="AD123" i="5" s="1"/>
  <c r="AC125" i="5"/>
  <c r="R125" i="5"/>
  <c r="T125" i="5" s="1"/>
  <c r="O125" i="5"/>
  <c r="S125" i="5" s="1"/>
  <c r="AC144" i="5"/>
  <c r="R144" i="5"/>
  <c r="T144" i="5" s="1"/>
  <c r="O144" i="5"/>
  <c r="S144" i="5" s="1"/>
  <c r="R163" i="5"/>
  <c r="T163" i="5" s="1"/>
  <c r="O163" i="5"/>
  <c r="S163" i="5" s="1"/>
  <c r="AC163" i="5"/>
  <c r="AD163" i="5" s="1"/>
  <c r="AC33" i="5"/>
  <c r="R33" i="5"/>
  <c r="T33" i="5" s="1"/>
  <c r="O33" i="5"/>
  <c r="S33" i="5" s="1"/>
  <c r="AC16" i="5"/>
  <c r="R16" i="5"/>
  <c r="T16" i="5" s="1"/>
  <c r="O16" i="5"/>
  <c r="S16" i="5" s="1"/>
  <c r="AC27" i="5"/>
  <c r="R27" i="5"/>
  <c r="T27" i="5" s="1"/>
  <c r="O27" i="5"/>
  <c r="S27" i="5" s="1"/>
  <c r="AC38" i="5"/>
  <c r="R38" i="5"/>
  <c r="T38" i="5" s="1"/>
  <c r="O38" i="5"/>
  <c r="S38" i="5" s="1"/>
  <c r="AC40" i="5"/>
  <c r="R40" i="5"/>
  <c r="T40" i="5" s="1"/>
  <c r="O40" i="5"/>
  <c r="S40" i="5" s="1"/>
  <c r="AC15" i="5"/>
  <c r="R15" i="5"/>
  <c r="T15" i="5" s="1"/>
  <c r="O15" i="5"/>
  <c r="S15" i="5" s="1"/>
  <c r="R17" i="5"/>
  <c r="T17" i="5" s="1"/>
  <c r="O17" i="5"/>
  <c r="S17" i="5" s="1"/>
  <c r="AC17" i="5"/>
  <c r="AD17" i="5" s="1"/>
  <c r="R18" i="5"/>
  <c r="T18" i="5" s="1"/>
  <c r="O18" i="5"/>
  <c r="S18" i="5" s="1"/>
  <c r="AC18" i="5"/>
  <c r="O19" i="5"/>
  <c r="S19" i="5" s="1"/>
  <c r="R19" i="5"/>
  <c r="T19" i="5" s="1"/>
  <c r="AC19" i="5"/>
  <c r="AD19" i="5" s="1"/>
  <c r="R25" i="5"/>
  <c r="T25" i="5" s="1"/>
  <c r="O25" i="5"/>
  <c r="S25" i="5" s="1"/>
  <c r="AC25" i="5"/>
  <c r="AD25" i="5" s="1"/>
  <c r="R26" i="5"/>
  <c r="T26" i="5" s="1"/>
  <c r="O26" i="5"/>
  <c r="S26" i="5" s="1"/>
  <c r="AC26" i="5"/>
  <c r="AD26" i="5" s="1"/>
  <c r="AC28" i="5"/>
  <c r="R28" i="5"/>
  <c r="T28" i="5" s="1"/>
  <c r="O28" i="5"/>
  <c r="S28" i="5" s="1"/>
  <c r="R34" i="5"/>
  <c r="T34" i="5" s="1"/>
  <c r="O34" i="5"/>
  <c r="S34" i="5" s="1"/>
  <c r="AC34" i="5"/>
  <c r="R35" i="5"/>
  <c r="T35" i="5" s="1"/>
  <c r="O35" i="5"/>
  <c r="S35" i="5" s="1"/>
  <c r="AC35" i="5"/>
  <c r="AD35" i="5" s="1"/>
  <c r="R36" i="5"/>
  <c r="T36" i="5" s="1"/>
  <c r="O36" i="5"/>
  <c r="S36" i="5" s="1"/>
  <c r="AC36" i="5"/>
  <c r="AD36" i="5" s="1"/>
  <c r="R37" i="5"/>
  <c r="T37" i="5" s="1"/>
  <c r="O37" i="5"/>
  <c r="S37" i="5" s="1"/>
  <c r="AC37" i="5"/>
  <c r="AD37" i="5" s="1"/>
  <c r="AC39" i="5"/>
  <c r="R39" i="5"/>
  <c r="T39" i="5" s="1"/>
  <c r="O39" i="5"/>
  <c r="S39" i="5" s="1"/>
  <c r="R41" i="5"/>
  <c r="T41" i="5" s="1"/>
  <c r="O41" i="5"/>
  <c r="S41" i="5" s="1"/>
  <c r="AC41" i="5"/>
  <c r="AD41" i="5" s="1"/>
  <c r="R128" i="5"/>
  <c r="T128" i="5" s="1"/>
  <c r="O128" i="5"/>
  <c r="S128" i="5" s="1"/>
  <c r="AC128" i="5"/>
  <c r="AD128" i="5" s="1"/>
  <c r="AC7" i="5"/>
  <c r="R7" i="5"/>
  <c r="T7" i="5" s="1"/>
  <c r="O7" i="5"/>
  <c r="S7" i="5" s="1"/>
  <c r="AC8" i="5"/>
  <c r="R8" i="5"/>
  <c r="T8" i="5" s="1"/>
  <c r="O8" i="5"/>
  <c r="S8" i="5" s="1"/>
  <c r="AC9" i="5"/>
  <c r="R9" i="5"/>
  <c r="T9" i="5" s="1"/>
  <c r="O9" i="5"/>
  <c r="S9" i="5" s="1"/>
  <c r="AC10" i="5"/>
  <c r="R10" i="5"/>
  <c r="T10" i="5" s="1"/>
  <c r="O10" i="5"/>
  <c r="S10" i="5" s="1"/>
  <c r="AC11" i="5"/>
  <c r="R11" i="5"/>
  <c r="T11" i="5" s="1"/>
  <c r="O11" i="5"/>
  <c r="S11" i="5" s="1"/>
  <c r="AC12" i="5"/>
  <c r="R12" i="5"/>
  <c r="T12" i="5" s="1"/>
  <c r="O12" i="5"/>
  <c r="S12" i="5" s="1"/>
  <c r="AC13" i="5"/>
  <c r="R13" i="5"/>
  <c r="T13" i="5" s="1"/>
  <c r="O13" i="5"/>
  <c r="S13" i="5" s="1"/>
  <c r="AC14" i="5"/>
  <c r="R14" i="5"/>
  <c r="T14" i="5" s="1"/>
  <c r="O14" i="5"/>
  <c r="S14" i="5" s="1"/>
  <c r="AC20" i="5"/>
  <c r="R20" i="5"/>
  <c r="T20" i="5" s="1"/>
  <c r="O20" i="5"/>
  <c r="S20" i="5" s="1"/>
  <c r="AC21" i="5"/>
  <c r="R21" i="5"/>
  <c r="T21" i="5" s="1"/>
  <c r="O21" i="5"/>
  <c r="S21" i="5" s="1"/>
  <c r="AC22" i="5"/>
  <c r="R22" i="5"/>
  <c r="T22" i="5" s="1"/>
  <c r="O22" i="5"/>
  <c r="S22" i="5" s="1"/>
  <c r="AC23" i="5"/>
  <c r="R23" i="5"/>
  <c r="T23" i="5" s="1"/>
  <c r="O23" i="5"/>
  <c r="S23" i="5" s="1"/>
  <c r="AC24" i="5"/>
  <c r="R24" i="5"/>
  <c r="T24" i="5" s="1"/>
  <c r="O24" i="5"/>
  <c r="S24" i="5" s="1"/>
  <c r="AC108" i="5"/>
  <c r="R108" i="5"/>
  <c r="T108" i="5" s="1"/>
  <c r="O108" i="5"/>
  <c r="S108" i="5" s="1"/>
  <c r="AC114" i="5"/>
  <c r="R114" i="5"/>
  <c r="T114" i="5" s="1"/>
  <c r="O114" i="5"/>
  <c r="S114" i="5" s="1"/>
  <c r="AC148" i="5"/>
  <c r="R148" i="5"/>
  <c r="T148" i="5" s="1"/>
  <c r="O148" i="5"/>
  <c r="S148" i="5" s="1"/>
  <c r="AC29" i="5"/>
  <c r="R29" i="5"/>
  <c r="T29" i="5" s="1"/>
  <c r="O29" i="5"/>
  <c r="S29" i="5" s="1"/>
  <c r="AC30" i="5"/>
  <c r="R30" i="5"/>
  <c r="T30" i="5" s="1"/>
  <c r="O30" i="5"/>
  <c r="S30" i="5" s="1"/>
  <c r="AC31" i="5"/>
  <c r="R31" i="5"/>
  <c r="T31" i="5" s="1"/>
  <c r="O31" i="5"/>
  <c r="S31" i="5" s="1"/>
  <c r="AC43" i="5"/>
  <c r="R43" i="5"/>
  <c r="T43" i="5" s="1"/>
  <c r="O43" i="5"/>
  <c r="S43" i="5" s="1"/>
  <c r="AC45" i="5"/>
  <c r="R45" i="5"/>
  <c r="T45" i="5" s="1"/>
  <c r="O45" i="5"/>
  <c r="S45" i="5" s="1"/>
  <c r="AC46" i="5"/>
  <c r="R46" i="5"/>
  <c r="T46" i="5" s="1"/>
  <c r="O46" i="5"/>
  <c r="S46" i="5" s="1"/>
  <c r="AC47" i="5"/>
  <c r="R47" i="5"/>
  <c r="T47" i="5" s="1"/>
  <c r="O47" i="5"/>
  <c r="S47" i="5" s="1"/>
  <c r="AC48" i="5"/>
  <c r="R48" i="5"/>
  <c r="T48" i="5" s="1"/>
  <c r="O48" i="5"/>
  <c r="S48" i="5" s="1"/>
  <c r="AC49" i="5"/>
  <c r="AD49" i="5" s="1"/>
  <c r="R49" i="5"/>
  <c r="T49" i="5" s="1"/>
  <c r="O49" i="5"/>
  <c r="S49" i="5" s="1"/>
  <c r="AC50" i="5"/>
  <c r="R50" i="5"/>
  <c r="T50" i="5" s="1"/>
  <c r="O50" i="5"/>
  <c r="S50" i="5" s="1"/>
  <c r="AC51" i="5"/>
  <c r="R51" i="5"/>
  <c r="T51" i="5" s="1"/>
  <c r="O51" i="5"/>
  <c r="S51" i="5" s="1"/>
  <c r="AC52" i="5"/>
  <c r="R52" i="5"/>
  <c r="T52" i="5" s="1"/>
  <c r="O52" i="5"/>
  <c r="S52" i="5" s="1"/>
  <c r="AC53" i="5"/>
  <c r="O53" i="5"/>
  <c r="S53" i="5" s="1"/>
  <c r="R53" i="5"/>
  <c r="T53" i="5" s="1"/>
  <c r="AC54" i="5"/>
  <c r="R54" i="5"/>
  <c r="T54" i="5" s="1"/>
  <c r="O54" i="5"/>
  <c r="S54" i="5" s="1"/>
  <c r="AC55" i="5"/>
  <c r="R55" i="5"/>
  <c r="T55" i="5" s="1"/>
  <c r="O55" i="5"/>
  <c r="S55" i="5" s="1"/>
  <c r="AC56" i="5"/>
  <c r="R56" i="5"/>
  <c r="T56" i="5" s="1"/>
  <c r="O56" i="5"/>
  <c r="S56" i="5" s="1"/>
  <c r="AC57" i="5"/>
  <c r="R57" i="5"/>
  <c r="T57" i="5" s="1"/>
  <c r="O57" i="5"/>
  <c r="S57" i="5" s="1"/>
  <c r="AC58" i="5"/>
  <c r="R58" i="5"/>
  <c r="T58" i="5" s="1"/>
  <c r="O58" i="5"/>
  <c r="S58" i="5" s="1"/>
  <c r="AC59" i="5"/>
  <c r="O59" i="5"/>
  <c r="S59" i="5" s="1"/>
  <c r="R59" i="5"/>
  <c r="T59" i="5" s="1"/>
  <c r="AC60" i="5"/>
  <c r="R60" i="5"/>
  <c r="T60" i="5" s="1"/>
  <c r="O60" i="5"/>
  <c r="S60" i="5" s="1"/>
  <c r="AC62" i="5"/>
  <c r="O62" i="5"/>
  <c r="S62" i="5" s="1"/>
  <c r="R62" i="5"/>
  <c r="T62" i="5" s="1"/>
  <c r="AC63" i="5"/>
  <c r="O63" i="5"/>
  <c r="S63" i="5" s="1"/>
  <c r="R63" i="5"/>
  <c r="T63" i="5" s="1"/>
  <c r="AC64" i="5"/>
  <c r="R64" i="5"/>
  <c r="T64" i="5" s="1"/>
  <c r="O64" i="5"/>
  <c r="S64" i="5" s="1"/>
  <c r="AC65" i="5"/>
  <c r="O65" i="5"/>
  <c r="S65" i="5" s="1"/>
  <c r="R65" i="5"/>
  <c r="T65" i="5" s="1"/>
  <c r="AC66" i="5"/>
  <c r="O66" i="5"/>
  <c r="S66" i="5" s="1"/>
  <c r="R66" i="5"/>
  <c r="T66" i="5" s="1"/>
  <c r="AC112" i="5"/>
  <c r="R112" i="5"/>
  <c r="T112" i="5" s="1"/>
  <c r="O112" i="5"/>
  <c r="S112" i="5" s="1"/>
  <c r="AC32" i="5"/>
  <c r="R32" i="5"/>
  <c r="T32" i="5" s="1"/>
  <c r="O32" i="5"/>
  <c r="S32" i="5" s="1"/>
  <c r="AC42" i="5"/>
  <c r="R42" i="5"/>
  <c r="T42" i="5" s="1"/>
  <c r="O42" i="5"/>
  <c r="S42" i="5" s="1"/>
  <c r="AC67" i="5"/>
  <c r="R67" i="5"/>
  <c r="T67" i="5" s="1"/>
  <c r="O67" i="5"/>
  <c r="S67" i="5" s="1"/>
  <c r="AC68" i="5"/>
  <c r="R68" i="5"/>
  <c r="T68" i="5" s="1"/>
  <c r="O68" i="5"/>
  <c r="S68" i="5" s="1"/>
  <c r="AC69" i="5"/>
  <c r="R69" i="5"/>
  <c r="T69" i="5" s="1"/>
  <c r="O69" i="5"/>
  <c r="S69" i="5" s="1"/>
  <c r="AC71" i="5"/>
  <c r="O71" i="5"/>
  <c r="S71" i="5" s="1"/>
  <c r="R71" i="5"/>
  <c r="T71" i="5" s="1"/>
  <c r="AC72" i="5"/>
  <c r="R72" i="5"/>
  <c r="T72" i="5" s="1"/>
  <c r="O72" i="5"/>
  <c r="S72" i="5" s="1"/>
  <c r="AC73" i="5"/>
  <c r="O73" i="5"/>
  <c r="S73" i="5" s="1"/>
  <c r="R73" i="5"/>
  <c r="T73" i="5" s="1"/>
  <c r="AC74" i="5"/>
  <c r="R74" i="5"/>
  <c r="T74" i="5" s="1"/>
  <c r="O74" i="5"/>
  <c r="S74" i="5" s="1"/>
  <c r="AC75" i="5"/>
  <c r="R75" i="5"/>
  <c r="T75" i="5" s="1"/>
  <c r="O75" i="5"/>
  <c r="S75" i="5" s="1"/>
  <c r="AC76" i="5"/>
  <c r="O76" i="5"/>
  <c r="S76" i="5" s="1"/>
  <c r="R76" i="5"/>
  <c r="T76" i="5" s="1"/>
  <c r="AC77" i="5"/>
  <c r="O77" i="5"/>
  <c r="S77" i="5" s="1"/>
  <c r="R77" i="5"/>
  <c r="T77" i="5" s="1"/>
  <c r="AC78" i="5"/>
  <c r="O78" i="5"/>
  <c r="S78" i="5" s="1"/>
  <c r="R78" i="5"/>
  <c r="T78" i="5" s="1"/>
  <c r="AC79" i="5"/>
  <c r="R79" i="5"/>
  <c r="T79" i="5" s="1"/>
  <c r="O79" i="5"/>
  <c r="S79" i="5" s="1"/>
  <c r="AC80" i="5"/>
  <c r="O80" i="5"/>
  <c r="S80" i="5" s="1"/>
  <c r="R80" i="5"/>
  <c r="T80" i="5" s="1"/>
  <c r="AC81" i="5"/>
  <c r="R81" i="5"/>
  <c r="T81" i="5" s="1"/>
  <c r="O81" i="5"/>
  <c r="S81" i="5" s="1"/>
  <c r="AC82" i="5"/>
  <c r="R82" i="5"/>
  <c r="T82" i="5" s="1"/>
  <c r="O82" i="5"/>
  <c r="S82" i="5" s="1"/>
  <c r="AC83" i="5"/>
  <c r="O83" i="5"/>
  <c r="S83" i="5" s="1"/>
  <c r="R83" i="5"/>
  <c r="T83" i="5" s="1"/>
  <c r="AC85" i="5"/>
  <c r="AD85" i="5" s="1"/>
  <c r="R85" i="5"/>
  <c r="T85" i="5" s="1"/>
  <c r="O85" i="5"/>
  <c r="S85" i="5" s="1"/>
  <c r="AC86" i="5"/>
  <c r="R86" i="5"/>
  <c r="T86" i="5" s="1"/>
  <c r="O86" i="5"/>
  <c r="S86" i="5" s="1"/>
  <c r="AC87" i="5"/>
  <c r="R87" i="5"/>
  <c r="T87" i="5" s="1"/>
  <c r="O87" i="5"/>
  <c r="S87" i="5" s="1"/>
  <c r="AC88" i="5"/>
  <c r="R88" i="5"/>
  <c r="T88" i="5" s="1"/>
  <c r="O88" i="5"/>
  <c r="S88" i="5" s="1"/>
  <c r="AC89" i="5"/>
  <c r="R89" i="5"/>
  <c r="T89" i="5" s="1"/>
  <c r="O89" i="5"/>
  <c r="S89" i="5" s="1"/>
  <c r="AC90" i="5"/>
  <c r="R90" i="5"/>
  <c r="T90" i="5" s="1"/>
  <c r="O90" i="5"/>
  <c r="S90" i="5" s="1"/>
  <c r="AC91" i="5"/>
  <c r="R91" i="5"/>
  <c r="T91" i="5" s="1"/>
  <c r="O91" i="5"/>
  <c r="S91" i="5" s="1"/>
  <c r="AC92" i="5"/>
  <c r="R92" i="5"/>
  <c r="T92" i="5" s="1"/>
  <c r="O92" i="5"/>
  <c r="S92" i="5" s="1"/>
  <c r="AC93" i="5"/>
  <c r="R93" i="5"/>
  <c r="T93" i="5" s="1"/>
  <c r="O93" i="5"/>
  <c r="S93" i="5" s="1"/>
  <c r="AC94" i="5"/>
  <c r="R94" i="5"/>
  <c r="T94" i="5" s="1"/>
  <c r="O94" i="5"/>
  <c r="S94" i="5" s="1"/>
  <c r="AC95" i="5"/>
  <c r="R95" i="5"/>
  <c r="T95" i="5" s="1"/>
  <c r="O95" i="5"/>
  <c r="S95" i="5" s="1"/>
  <c r="AC96" i="5"/>
  <c r="R96" i="5"/>
  <c r="T96" i="5" s="1"/>
  <c r="O96" i="5"/>
  <c r="S96" i="5" s="1"/>
  <c r="AC97" i="5"/>
  <c r="R97" i="5"/>
  <c r="T97" i="5" s="1"/>
  <c r="O97" i="5"/>
  <c r="S97" i="5" s="1"/>
  <c r="AC98" i="5"/>
  <c r="R98" i="5"/>
  <c r="T98" i="5" s="1"/>
  <c r="O98" i="5"/>
  <c r="S98" i="5" s="1"/>
  <c r="AC99" i="5"/>
  <c r="R99" i="5"/>
  <c r="T99" i="5" s="1"/>
  <c r="O99" i="5"/>
  <c r="S99" i="5" s="1"/>
  <c r="AC100" i="5"/>
  <c r="R100" i="5"/>
  <c r="T100" i="5" s="1"/>
  <c r="O100" i="5"/>
  <c r="S100" i="5" s="1"/>
  <c r="AC101" i="5"/>
  <c r="R101" i="5"/>
  <c r="T101" i="5" s="1"/>
  <c r="O101" i="5"/>
  <c r="S101" i="5" s="1"/>
  <c r="AC102" i="5"/>
  <c r="R102" i="5"/>
  <c r="T102" i="5" s="1"/>
  <c r="O102" i="5"/>
  <c r="S102" i="5" s="1"/>
  <c r="AC103" i="5"/>
  <c r="R103" i="5"/>
  <c r="T103" i="5" s="1"/>
  <c r="O103" i="5"/>
  <c r="S103" i="5" s="1"/>
  <c r="AC104" i="5"/>
  <c r="R104" i="5"/>
  <c r="T104" i="5" s="1"/>
  <c r="O104" i="5"/>
  <c r="S104" i="5" s="1"/>
  <c r="AC105" i="5"/>
  <c r="R105" i="5"/>
  <c r="T105" i="5" s="1"/>
  <c r="O105" i="5"/>
  <c r="S105" i="5" s="1"/>
  <c r="AC109" i="5"/>
  <c r="R109" i="5"/>
  <c r="T109" i="5" s="1"/>
  <c r="O109" i="5"/>
  <c r="S109" i="5" s="1"/>
  <c r="AC110" i="5"/>
  <c r="R110" i="5"/>
  <c r="T110" i="5" s="1"/>
  <c r="O110" i="5"/>
  <c r="S110" i="5" s="1"/>
  <c r="AC115" i="5"/>
  <c r="R115" i="5"/>
  <c r="T115" i="5" s="1"/>
  <c r="O115" i="5"/>
  <c r="S115" i="5" s="1"/>
  <c r="AC116" i="5"/>
  <c r="R116" i="5"/>
  <c r="T116" i="5" s="1"/>
  <c r="O116" i="5"/>
  <c r="S116" i="5" s="1"/>
  <c r="AC117" i="5"/>
  <c r="R117" i="5"/>
  <c r="T117" i="5" s="1"/>
  <c r="O117" i="5"/>
  <c r="S117" i="5" s="1"/>
  <c r="AC118" i="5"/>
  <c r="R118" i="5"/>
  <c r="T118" i="5" s="1"/>
  <c r="O118" i="5"/>
  <c r="S118" i="5" s="1"/>
  <c r="AC120" i="5"/>
  <c r="R120" i="5"/>
  <c r="T120" i="5" s="1"/>
  <c r="O120" i="5"/>
  <c r="S120" i="5" s="1"/>
  <c r="AC121" i="5"/>
  <c r="R121" i="5"/>
  <c r="T121" i="5" s="1"/>
  <c r="O121" i="5"/>
  <c r="S121" i="5" s="1"/>
  <c r="AC122" i="5"/>
  <c r="R122" i="5"/>
  <c r="T122" i="5" s="1"/>
  <c r="O122" i="5"/>
  <c r="S122" i="5" s="1"/>
  <c r="AC129" i="5"/>
  <c r="R129" i="5"/>
  <c r="T129" i="5" s="1"/>
  <c r="O129" i="5"/>
  <c r="S129" i="5" s="1"/>
  <c r="AC130" i="5"/>
  <c r="R130" i="5"/>
  <c r="T130" i="5" s="1"/>
  <c r="O130" i="5"/>
  <c r="S130" i="5" s="1"/>
  <c r="AC131" i="5"/>
  <c r="R131" i="5"/>
  <c r="T131" i="5" s="1"/>
  <c r="O131" i="5"/>
  <c r="S131" i="5" s="1"/>
  <c r="AC132" i="5"/>
  <c r="R132" i="5"/>
  <c r="T132" i="5" s="1"/>
  <c r="O132" i="5"/>
  <c r="S132" i="5" s="1"/>
  <c r="AC133" i="5"/>
  <c r="R133" i="5"/>
  <c r="T133" i="5" s="1"/>
  <c r="O133" i="5"/>
  <c r="S133" i="5" s="1"/>
  <c r="AC134" i="5"/>
  <c r="R134" i="5"/>
  <c r="T134" i="5" s="1"/>
  <c r="O134" i="5"/>
  <c r="S134" i="5" s="1"/>
  <c r="AC135" i="5"/>
  <c r="R135" i="5"/>
  <c r="T135" i="5" s="1"/>
  <c r="O135" i="5"/>
  <c r="S135" i="5" s="1"/>
  <c r="AC136" i="5"/>
  <c r="R136" i="5"/>
  <c r="T136" i="5" s="1"/>
  <c r="O136" i="5"/>
  <c r="S136" i="5" s="1"/>
  <c r="AC137" i="5"/>
  <c r="AD137" i="5" s="1"/>
  <c r="R137" i="5"/>
  <c r="T137" i="5" s="1"/>
  <c r="O137" i="5"/>
  <c r="S137" i="5" s="1"/>
  <c r="AC138" i="5"/>
  <c r="R138" i="5"/>
  <c r="T138" i="5" s="1"/>
  <c r="O138" i="5"/>
  <c r="S138" i="5" s="1"/>
  <c r="AC139" i="5"/>
  <c r="AD139" i="5" s="1"/>
  <c r="R139" i="5"/>
  <c r="T139" i="5" s="1"/>
  <c r="O139" i="5"/>
  <c r="S139" i="5" s="1"/>
  <c r="AC70" i="5"/>
  <c r="R70" i="5"/>
  <c r="T70" i="5" s="1"/>
  <c r="O70" i="5"/>
  <c r="S70" i="5" s="1"/>
  <c r="AC61" i="5"/>
  <c r="R61" i="5"/>
  <c r="T61" i="5" s="1"/>
  <c r="O61" i="5"/>
  <c r="S61" i="5" s="1"/>
  <c r="AC44" i="5"/>
  <c r="R44" i="5"/>
  <c r="T44" i="5" s="1"/>
  <c r="O44" i="5"/>
  <c r="S44" i="5" s="1"/>
  <c r="AC119" i="5"/>
  <c r="AD119" i="5" s="1"/>
  <c r="R119" i="5"/>
  <c r="T119" i="5" s="1"/>
  <c r="O119" i="5"/>
  <c r="S119" i="5" s="1"/>
  <c r="AC84" i="5"/>
  <c r="AD84" i="5" s="1"/>
  <c r="R84" i="5"/>
  <c r="T84" i="5" s="1"/>
  <c r="O84" i="5"/>
  <c r="S84" i="5" s="1"/>
  <c r="AC146" i="5"/>
  <c r="R146" i="5"/>
  <c r="T146" i="5" s="1"/>
  <c r="O146" i="5"/>
  <c r="S146" i="5" s="1"/>
  <c r="AC150" i="5"/>
  <c r="R150" i="5"/>
  <c r="T150" i="5" s="1"/>
  <c r="O150" i="5"/>
  <c r="S150" i="5" s="1"/>
  <c r="AC151" i="5"/>
  <c r="R151" i="5"/>
  <c r="T151" i="5" s="1"/>
  <c r="O151" i="5"/>
  <c r="S151" i="5" s="1"/>
  <c r="AC152" i="5"/>
  <c r="R152" i="5"/>
  <c r="T152" i="5" s="1"/>
  <c r="O152" i="5"/>
  <c r="S152" i="5" s="1"/>
  <c r="AC153" i="5"/>
  <c r="R153" i="5"/>
  <c r="T153" i="5" s="1"/>
  <c r="O153" i="5"/>
  <c r="S153" i="5" s="1"/>
  <c r="AC155" i="5"/>
  <c r="R155" i="5"/>
  <c r="T155" i="5" s="1"/>
  <c r="O155" i="5"/>
  <c r="S155" i="5" s="1"/>
  <c r="AC157" i="5"/>
  <c r="AD157" i="5" s="1"/>
  <c r="R157" i="5"/>
  <c r="T157" i="5" s="1"/>
  <c r="O157" i="5"/>
  <c r="S157" i="5" s="1"/>
  <c r="AC159" i="5"/>
  <c r="R159" i="5"/>
  <c r="T159" i="5" s="1"/>
  <c r="O159" i="5"/>
  <c r="S159" i="5" s="1"/>
  <c r="AC161" i="5"/>
  <c r="R161" i="5"/>
  <c r="T161" i="5" s="1"/>
  <c r="O161" i="5"/>
  <c r="S161" i="5" s="1"/>
  <c r="AC179" i="5"/>
  <c r="R179" i="5"/>
  <c r="T179" i="5" s="1"/>
  <c r="O179" i="5"/>
  <c r="S179" i="5" s="1"/>
  <c r="AC107" i="5"/>
  <c r="AD107" i="5" s="1"/>
  <c r="R107" i="5"/>
  <c r="T107" i="5" s="1"/>
  <c r="O107" i="5"/>
  <c r="S107" i="5" s="1"/>
  <c r="AC147" i="5"/>
  <c r="R147" i="5"/>
  <c r="T147" i="5" s="1"/>
  <c r="O147" i="5"/>
  <c r="S147" i="5" s="1"/>
  <c r="AC149" i="5"/>
  <c r="R149" i="5"/>
  <c r="T149" i="5" s="1"/>
  <c r="O149" i="5"/>
  <c r="S149" i="5" s="1"/>
  <c r="AC154" i="5"/>
  <c r="R154" i="5"/>
  <c r="T154" i="5" s="1"/>
  <c r="O154" i="5"/>
  <c r="S154" i="5" s="1"/>
  <c r="AC156" i="5"/>
  <c r="R156" i="5"/>
  <c r="T156" i="5" s="1"/>
  <c r="O156" i="5"/>
  <c r="S156" i="5" s="1"/>
  <c r="AC172" i="5"/>
  <c r="R172" i="5"/>
  <c r="T172" i="5" s="1"/>
  <c r="O172" i="5"/>
  <c r="S172" i="5" s="1"/>
  <c r="AC174" i="5"/>
  <c r="R174" i="5"/>
  <c r="T174" i="5" s="1"/>
  <c r="O174" i="5"/>
  <c r="S174" i="5" s="1"/>
  <c r="AC111" i="5"/>
  <c r="R111" i="5"/>
  <c r="T111" i="5" s="1"/>
  <c r="O111" i="5"/>
  <c r="S111" i="5" s="1"/>
  <c r="AC113" i="5"/>
  <c r="R113" i="5"/>
  <c r="T113" i="5" s="1"/>
  <c r="O113" i="5"/>
  <c r="S113" i="5" s="1"/>
  <c r="AC158" i="5"/>
  <c r="R158" i="5"/>
  <c r="T158" i="5" s="1"/>
  <c r="O158" i="5"/>
  <c r="S158" i="5" s="1"/>
  <c r="AC169" i="5"/>
  <c r="R169" i="5"/>
  <c r="T169" i="5" s="1"/>
  <c r="O169" i="5"/>
  <c r="S169" i="5" s="1"/>
  <c r="AC170" i="5"/>
  <c r="R170" i="5"/>
  <c r="T170" i="5" s="1"/>
  <c r="O170" i="5"/>
  <c r="S170" i="5" s="1"/>
  <c r="AC171" i="5"/>
  <c r="R171" i="5"/>
  <c r="T171" i="5" s="1"/>
  <c r="O171" i="5"/>
  <c r="S171" i="5" s="1"/>
  <c r="AC173" i="5"/>
  <c r="R173" i="5"/>
  <c r="T173" i="5" s="1"/>
  <c r="O173" i="5"/>
  <c r="S173" i="5" s="1"/>
  <c r="AC175" i="5"/>
  <c r="R175" i="5"/>
  <c r="T175" i="5" s="1"/>
  <c r="O175" i="5"/>
  <c r="S175" i="5" s="1"/>
  <c r="AC176" i="5"/>
  <c r="R176" i="5"/>
  <c r="T176" i="5" s="1"/>
  <c r="O176" i="5"/>
  <c r="S176" i="5" s="1"/>
  <c r="AC177" i="5"/>
  <c r="R177" i="5"/>
  <c r="T177" i="5" s="1"/>
  <c r="O177" i="5"/>
  <c r="S177" i="5" s="1"/>
  <c r="AC178" i="5"/>
  <c r="R178" i="5"/>
  <c r="T178" i="5" s="1"/>
  <c r="O178" i="5"/>
  <c r="S178" i="5" s="1"/>
  <c r="AC180" i="5"/>
  <c r="R180" i="5"/>
  <c r="T180" i="5" s="1"/>
  <c r="O180" i="5"/>
  <c r="S180" i="5" s="1"/>
  <c r="AC181" i="5"/>
  <c r="R181" i="5"/>
  <c r="T181" i="5" s="1"/>
  <c r="O181" i="5"/>
  <c r="S181" i="5" s="1"/>
  <c r="AC182" i="5"/>
  <c r="R182" i="5"/>
  <c r="T182" i="5" s="1"/>
  <c r="O182" i="5"/>
  <c r="S182" i="5" s="1"/>
  <c r="AC183" i="5"/>
  <c r="O183" i="5"/>
  <c r="S183" i="5" s="1"/>
  <c r="R183" i="5"/>
  <c r="T183" i="5" s="1"/>
  <c r="AC184" i="5"/>
  <c r="R184" i="5"/>
  <c r="T184" i="5" s="1"/>
  <c r="O184" i="5"/>
  <c r="S184" i="5" s="1"/>
  <c r="AC106" i="5"/>
  <c r="R106" i="5"/>
  <c r="T106" i="5" s="1"/>
  <c r="O106" i="5"/>
  <c r="S106" i="5" s="1"/>
  <c r="AC160" i="5"/>
  <c r="R160" i="5"/>
  <c r="T160" i="5" s="1"/>
  <c r="O160" i="5"/>
  <c r="S160" i="5" s="1"/>
  <c r="AC6" i="5"/>
  <c r="R6" i="5"/>
  <c r="T6" i="5" s="1"/>
  <c r="O6" i="5"/>
  <c r="S6" i="5" s="1"/>
  <c r="AD176" i="4"/>
  <c r="AD178" i="4"/>
  <c r="AD179" i="4"/>
  <c r="AD184" i="4"/>
  <c r="AD7" i="4"/>
  <c r="AD161" i="4"/>
  <c r="AD170" i="4"/>
  <c r="AD171" i="4"/>
  <c r="AD172" i="4"/>
  <c r="AD173" i="4"/>
  <c r="AD6" i="4"/>
  <c r="AD8" i="4"/>
  <c r="AD9" i="4"/>
  <c r="AD13" i="4"/>
  <c r="AD20" i="4"/>
  <c r="AD21" i="4"/>
  <c r="AD22" i="4"/>
  <c r="AD23" i="4"/>
  <c r="AD24" i="4"/>
  <c r="AD29" i="4"/>
  <c r="AD30" i="4"/>
  <c r="AD31" i="4"/>
  <c r="AD32" i="4"/>
  <c r="AD160" i="4"/>
  <c r="AD169" i="4"/>
  <c r="AD174" i="4"/>
  <c r="AD175" i="4"/>
  <c r="AD10" i="4"/>
  <c r="AD11" i="4"/>
  <c r="AD12" i="4"/>
  <c r="AD14" i="4"/>
  <c r="AD15" i="4"/>
  <c r="AD42" i="4"/>
  <c r="AD43" i="4"/>
  <c r="AD46" i="4"/>
  <c r="AD47" i="4"/>
  <c r="AD49" i="4"/>
  <c r="AD51" i="4"/>
  <c r="AD52" i="4"/>
  <c r="AD53" i="4"/>
  <c r="AD55" i="4"/>
  <c r="AD66" i="4"/>
  <c r="AD67" i="4"/>
  <c r="AD89" i="4"/>
  <c r="AD157" i="4"/>
  <c r="AD68" i="4"/>
  <c r="AD69" i="4"/>
  <c r="AD74" i="4"/>
  <c r="AD75" i="4"/>
  <c r="AD80" i="4"/>
  <c r="AD56" i="4"/>
  <c r="AD57" i="4"/>
  <c r="AD58" i="4"/>
  <c r="AD59" i="4"/>
  <c r="AD60" i="4"/>
  <c r="AD61" i="4"/>
  <c r="AD62" i="4"/>
  <c r="AD63" i="4"/>
  <c r="AD64" i="4"/>
  <c r="AD65" i="4"/>
  <c r="AD84" i="4"/>
  <c r="AD85" i="4"/>
  <c r="AD88" i="4"/>
  <c r="AD90" i="4"/>
  <c r="AD91" i="4"/>
  <c r="AD92" i="4"/>
  <c r="AD93" i="4"/>
  <c r="AD95" i="4"/>
  <c r="AD97" i="4"/>
  <c r="AD98" i="4"/>
  <c r="AD99" i="4"/>
  <c r="AD100" i="4"/>
  <c r="AD102" i="4"/>
  <c r="AD103" i="4"/>
  <c r="AD104" i="4"/>
  <c r="AD105" i="4"/>
  <c r="AD106" i="4"/>
  <c r="AD107" i="4"/>
  <c r="AD108" i="4"/>
  <c r="AD109" i="4"/>
  <c r="AD110" i="4"/>
  <c r="AD111" i="4"/>
  <c r="AD70" i="4"/>
  <c r="AD71" i="4"/>
  <c r="AD72" i="4"/>
  <c r="AD73" i="4"/>
  <c r="AD77" i="4"/>
  <c r="AD82" i="4"/>
  <c r="AD86" i="4"/>
  <c r="AD154" i="4"/>
  <c r="AD183" i="4"/>
  <c r="AD167" i="4"/>
  <c r="AD164" i="4"/>
  <c r="AD163" i="4"/>
  <c r="AD34" i="4"/>
  <c r="AD26" i="4"/>
  <c r="AD33" i="4"/>
  <c r="AD81" i="4"/>
  <c r="AD112" i="4"/>
  <c r="AD113" i="4"/>
  <c r="AD114" i="4"/>
  <c r="AD115" i="4"/>
  <c r="AD116" i="4"/>
  <c r="AD117" i="4"/>
  <c r="AD118" i="4"/>
  <c r="AD119" i="4"/>
  <c r="AD120" i="4"/>
  <c r="AD121" i="4"/>
  <c r="AD122" i="4"/>
  <c r="AD158" i="4"/>
  <c r="AD76" i="4"/>
  <c r="AD78" i="4"/>
  <c r="AD87" i="4"/>
  <c r="AD155" i="4"/>
  <c r="AD156" i="4"/>
  <c r="AD177" i="4"/>
  <c r="AD44" i="4"/>
  <c r="AD152" i="4"/>
  <c r="AD36" i="4"/>
  <c r="AD129" i="4"/>
  <c r="AD130" i="4"/>
  <c r="AD131" i="4"/>
  <c r="AD132" i="4"/>
  <c r="AD133" i="4"/>
  <c r="AD134" i="4"/>
  <c r="AD135" i="4"/>
  <c r="AD136" i="4"/>
  <c r="AD137" i="4"/>
  <c r="AD138" i="4"/>
  <c r="AD139" i="4"/>
  <c r="AD146" i="4"/>
  <c r="AD147" i="4"/>
  <c r="AD148" i="4"/>
  <c r="AD149" i="4"/>
  <c r="AD150" i="4"/>
  <c r="AD151" i="4"/>
  <c r="AD153" i="4"/>
  <c r="AD101" i="4"/>
  <c r="AD168" i="4"/>
  <c r="AD166" i="4"/>
  <c r="AD165" i="4"/>
  <c r="AD145" i="4"/>
  <c r="AD35" i="4"/>
  <c r="AD180" i="4"/>
  <c r="AD181" i="4"/>
  <c r="AD182" i="4"/>
  <c r="AD142" i="4"/>
  <c r="AD125" i="4"/>
  <c r="AD41" i="4"/>
  <c r="AD40" i="4"/>
  <c r="AD39" i="4"/>
  <c r="AD38" i="4"/>
  <c r="AD37" i="4"/>
  <c r="AA6" i="3"/>
  <c r="AB6" i="3" s="1"/>
  <c r="I8" i="3"/>
  <c r="M8" i="3"/>
  <c r="I9" i="3"/>
  <c r="M9" i="3"/>
  <c r="I10" i="3"/>
  <c r="M10" i="3"/>
  <c r="E8" i="3"/>
  <c r="Q8" i="3" s="1"/>
  <c r="E9" i="3"/>
  <c r="Q9" i="3" s="1"/>
  <c r="E10" i="3"/>
  <c r="Q10" i="3" s="1"/>
  <c r="I34" i="3"/>
  <c r="M35" i="3"/>
  <c r="M36" i="3"/>
  <c r="M37" i="3"/>
  <c r="M38" i="3"/>
  <c r="I33" i="3"/>
  <c r="M172" i="3"/>
  <c r="I172" i="3"/>
  <c r="E172" i="3"/>
  <c r="Q172" i="3" s="1"/>
  <c r="M169" i="3"/>
  <c r="I169" i="3"/>
  <c r="E169" i="3"/>
  <c r="Q169" i="3" s="1"/>
  <c r="I11" i="3"/>
  <c r="M11" i="3"/>
  <c r="I12" i="3"/>
  <c r="L12" i="3" s="1"/>
  <c r="M12" i="3"/>
  <c r="E11" i="3"/>
  <c r="Q11" i="3" s="1"/>
  <c r="E12" i="3"/>
  <c r="Q12" i="3" s="1"/>
  <c r="M97" i="3"/>
  <c r="I97" i="3"/>
  <c r="E97" i="3"/>
  <c r="Q97" i="3" s="1"/>
  <c r="E98" i="3"/>
  <c r="M76" i="3"/>
  <c r="I76" i="3"/>
  <c r="E76" i="3"/>
  <c r="Q76" i="3" s="1"/>
  <c r="M78" i="3"/>
  <c r="I78" i="3"/>
  <c r="L78" i="3" s="1"/>
  <c r="E78" i="3"/>
  <c r="Q78" i="3" s="1"/>
  <c r="M73" i="3"/>
  <c r="I73" i="3"/>
  <c r="E73" i="3"/>
  <c r="Q73" i="3" s="1"/>
  <c r="I13" i="3"/>
  <c r="M13" i="3"/>
  <c r="I14" i="3"/>
  <c r="L14" i="3" s="1"/>
  <c r="M14" i="3"/>
  <c r="E13" i="3"/>
  <c r="Q13" i="3" s="1"/>
  <c r="E14" i="3"/>
  <c r="Q14" i="3" s="1"/>
  <c r="I21" i="3"/>
  <c r="M21" i="3"/>
  <c r="E21" i="3"/>
  <c r="Q21" i="3" s="1"/>
  <c r="M177" i="3"/>
  <c r="I177" i="3"/>
  <c r="E177" i="3"/>
  <c r="Q177" i="3" s="1"/>
  <c r="H16" i="3"/>
  <c r="I16" i="3" s="1"/>
  <c r="L16" i="3" s="1"/>
  <c r="H17" i="3"/>
  <c r="M17" i="3" s="1"/>
  <c r="H18" i="3"/>
  <c r="I18" i="3" s="1"/>
  <c r="L18" i="3" s="1"/>
  <c r="H19" i="3"/>
  <c r="I19" i="3" s="1"/>
  <c r="H15" i="3"/>
  <c r="I15" i="3" s="1"/>
  <c r="E15" i="3"/>
  <c r="Q15" i="3" s="1"/>
  <c r="E16" i="3"/>
  <c r="Q16" i="3" s="1"/>
  <c r="E17" i="3"/>
  <c r="Q17" i="3" s="1"/>
  <c r="E18" i="3"/>
  <c r="Q18" i="3" s="1"/>
  <c r="E19" i="3"/>
  <c r="Q19" i="3" s="1"/>
  <c r="M89" i="3"/>
  <c r="I89" i="3"/>
  <c r="L89" i="3" s="1"/>
  <c r="E89" i="3"/>
  <c r="Q89" i="3" s="1"/>
  <c r="M31" i="3"/>
  <c r="I31" i="3"/>
  <c r="E31" i="3"/>
  <c r="Q31" i="3" s="1"/>
  <c r="M30" i="3"/>
  <c r="I30" i="3"/>
  <c r="E30" i="3"/>
  <c r="Q30" i="3" s="1"/>
  <c r="M103" i="3"/>
  <c r="I103" i="3"/>
  <c r="E103" i="3"/>
  <c r="Q103" i="3" s="1"/>
  <c r="M102" i="3"/>
  <c r="I102" i="3"/>
  <c r="L102" i="3" s="1"/>
  <c r="E102" i="3"/>
  <c r="Q102" i="3" s="1"/>
  <c r="I24" i="3"/>
  <c r="M24" i="3"/>
  <c r="E24" i="3"/>
  <c r="Q24" i="3" s="1"/>
  <c r="I20" i="3"/>
  <c r="M20" i="3"/>
  <c r="I22" i="3"/>
  <c r="L22" i="3" s="1"/>
  <c r="M22" i="3"/>
  <c r="I23" i="3"/>
  <c r="L23" i="3" s="1"/>
  <c r="M23" i="3"/>
  <c r="E20" i="3"/>
  <c r="Q20" i="3" s="1"/>
  <c r="E22" i="3"/>
  <c r="Q22" i="3" s="1"/>
  <c r="E23" i="3"/>
  <c r="Q23" i="3" s="1"/>
  <c r="H28" i="3"/>
  <c r="I28" i="3" s="1"/>
  <c r="H26" i="3"/>
  <c r="I26" i="3" s="1"/>
  <c r="L26" i="3" s="1"/>
  <c r="H27" i="3"/>
  <c r="I27" i="3" s="1"/>
  <c r="H25" i="3"/>
  <c r="M25" i="3" s="1"/>
  <c r="E25" i="3"/>
  <c r="Q25" i="3" s="1"/>
  <c r="E26" i="3"/>
  <c r="Q26" i="3" s="1"/>
  <c r="E27" i="3"/>
  <c r="Q27" i="3" s="1"/>
  <c r="E28" i="3"/>
  <c r="Q28" i="3" s="1"/>
  <c r="H167" i="3"/>
  <c r="I167" i="3" s="1"/>
  <c r="E167" i="3"/>
  <c r="Q167" i="3" s="1"/>
  <c r="I113" i="3"/>
  <c r="M113" i="3"/>
  <c r="I114" i="3"/>
  <c r="L114" i="3" s="1"/>
  <c r="M114" i="3"/>
  <c r="I112" i="3"/>
  <c r="M112" i="3"/>
  <c r="E114" i="3"/>
  <c r="Q114" i="3" s="1"/>
  <c r="E113" i="3"/>
  <c r="Q113" i="3" s="1"/>
  <c r="E112" i="3"/>
  <c r="Q112" i="3" s="1"/>
  <c r="E58" i="3"/>
  <c r="Q58" i="3" s="1"/>
  <c r="I58" i="3"/>
  <c r="M58" i="3"/>
  <c r="E59" i="3"/>
  <c r="Q59" i="3" s="1"/>
  <c r="I59" i="3"/>
  <c r="L59" i="3" s="1"/>
  <c r="M59" i="3"/>
  <c r="E60" i="3"/>
  <c r="Q60" i="3" s="1"/>
  <c r="I60" i="3"/>
  <c r="M60" i="3"/>
  <c r="E61" i="3"/>
  <c r="Q61" i="3" s="1"/>
  <c r="I61" i="3"/>
  <c r="L61" i="3" s="1"/>
  <c r="M61" i="3"/>
  <c r="H41" i="3"/>
  <c r="I41" i="3" s="1"/>
  <c r="E41" i="3"/>
  <c r="Q41" i="3" s="1"/>
  <c r="H40" i="3"/>
  <c r="I40" i="3" s="1"/>
  <c r="E40" i="3"/>
  <c r="Q40" i="3" s="1"/>
  <c r="H39" i="3"/>
  <c r="I39" i="3" s="1"/>
  <c r="E39" i="3"/>
  <c r="Q39" i="3" s="1"/>
  <c r="E34" i="3"/>
  <c r="Q34" i="3" s="1"/>
  <c r="E35" i="3"/>
  <c r="Q35" i="3" s="1"/>
  <c r="E36" i="3"/>
  <c r="Q36" i="3" s="1"/>
  <c r="E37" i="3"/>
  <c r="Q37" i="3" s="1"/>
  <c r="E38" i="3"/>
  <c r="Q38" i="3" s="1"/>
  <c r="E33" i="3"/>
  <c r="Q33" i="3" s="1"/>
  <c r="M32" i="3"/>
  <c r="I32" i="3"/>
  <c r="L32" i="3" s="1"/>
  <c r="E32" i="3"/>
  <c r="Q32" i="3" s="1"/>
  <c r="I29" i="3"/>
  <c r="M29" i="3"/>
  <c r="E29" i="3"/>
  <c r="Q29" i="3" s="1"/>
  <c r="M100" i="3"/>
  <c r="M101" i="3"/>
  <c r="M104" i="3"/>
  <c r="I99" i="3"/>
  <c r="I100" i="3"/>
  <c r="L100" i="3" s="1"/>
  <c r="I101" i="3"/>
  <c r="L101" i="3" s="1"/>
  <c r="I104" i="3"/>
  <c r="L104" i="3" s="1"/>
  <c r="E99" i="3"/>
  <c r="Q99" i="3" s="1"/>
  <c r="E100" i="3"/>
  <c r="E101" i="3"/>
  <c r="Q101" i="3" s="1"/>
  <c r="E104" i="3"/>
  <c r="Q104" i="3" s="1"/>
  <c r="M99" i="3"/>
  <c r="I42" i="3"/>
  <c r="M42" i="3"/>
  <c r="E42" i="3"/>
  <c r="Q42" i="3" s="1"/>
  <c r="M79" i="3"/>
  <c r="I79" i="3"/>
  <c r="E79" i="3"/>
  <c r="Q79" i="3" s="1"/>
  <c r="AD155" i="5" l="1"/>
  <c r="AD34" i="5"/>
  <c r="AD39" i="5"/>
  <c r="AD7" i="5"/>
  <c r="AD8" i="5"/>
  <c r="AD9" i="5"/>
  <c r="AD10" i="5"/>
  <c r="AD11" i="5"/>
  <c r="AD12" i="5"/>
  <c r="AD13" i="5"/>
  <c r="AD14" i="5"/>
  <c r="AD20" i="5"/>
  <c r="AD21" i="5"/>
  <c r="AD22" i="5"/>
  <c r="AD23" i="5"/>
  <c r="AD24" i="5"/>
  <c r="AD108" i="5"/>
  <c r="AD114" i="5"/>
  <c r="AD148" i="5"/>
  <c r="AD29" i="5"/>
  <c r="AD30" i="5"/>
  <c r="AD31" i="5"/>
  <c r="AD43" i="5"/>
  <c r="AD45" i="5"/>
  <c r="AD46" i="5"/>
  <c r="AD47" i="5"/>
  <c r="AD48" i="5"/>
  <c r="AD54" i="5"/>
  <c r="AD57" i="5"/>
  <c r="AD60" i="5"/>
  <c r="AD63" i="5"/>
  <c r="AD112" i="5"/>
  <c r="AD42" i="5"/>
  <c r="AD67" i="5"/>
  <c r="AD69" i="5"/>
  <c r="AD73" i="5"/>
  <c r="AD74" i="5"/>
  <c r="AD75" i="5"/>
  <c r="AD77" i="5"/>
  <c r="AD79" i="5"/>
  <c r="AD81" i="5"/>
  <c r="AD83" i="5"/>
  <c r="AD89" i="5"/>
  <c r="AD91" i="5"/>
  <c r="AD96" i="5"/>
  <c r="AD133" i="5"/>
  <c r="AD134" i="5"/>
  <c r="AD44" i="5"/>
  <c r="AD146" i="5"/>
  <c r="AD179" i="5"/>
  <c r="AD50" i="5"/>
  <c r="AD51" i="5"/>
  <c r="AD52" i="5"/>
  <c r="AD53" i="5"/>
  <c r="AD55" i="5"/>
  <c r="AD56" i="5"/>
  <c r="AD58" i="5"/>
  <c r="AD59" i="5"/>
  <c r="AD62" i="5"/>
  <c r="AD64" i="5"/>
  <c r="AD65" i="5"/>
  <c r="AD66" i="5"/>
  <c r="AD32" i="5"/>
  <c r="AD68" i="5"/>
  <c r="AD71" i="5"/>
  <c r="AD72" i="5"/>
  <c r="AD76" i="5"/>
  <c r="AD78" i="5"/>
  <c r="AD80" i="5"/>
  <c r="AD82" i="5"/>
  <c r="AD87" i="5"/>
  <c r="AD94" i="5"/>
  <c r="AD95" i="5"/>
  <c r="AD105" i="5"/>
  <c r="AD110" i="5"/>
  <c r="AD116" i="5"/>
  <c r="AD135" i="5"/>
  <c r="AD70" i="5"/>
  <c r="AD153" i="5"/>
  <c r="AD118" i="5"/>
  <c r="AD120" i="5"/>
  <c r="AD121" i="5"/>
  <c r="AD122" i="5"/>
  <c r="AD138" i="5"/>
  <c r="AD150" i="5"/>
  <c r="AD151" i="5"/>
  <c r="AD152" i="5"/>
  <c r="AD159" i="5"/>
  <c r="AD161" i="5"/>
  <c r="AD147" i="5"/>
  <c r="AD149" i="5"/>
  <c r="AD154" i="5"/>
  <c r="AD156" i="5"/>
  <c r="AD172" i="5"/>
  <c r="AD174" i="5"/>
  <c r="AD111" i="5"/>
  <c r="AD113" i="5"/>
  <c r="AD158" i="5"/>
  <c r="AD169" i="5"/>
  <c r="AD170" i="5"/>
  <c r="AD171" i="5"/>
  <c r="AD173" i="5"/>
  <c r="AD175" i="5"/>
  <c r="AD176" i="5"/>
  <c r="AD177" i="5"/>
  <c r="AD178" i="5"/>
  <c r="AD180" i="5"/>
  <c r="AD181" i="5"/>
  <c r="AD182" i="5"/>
  <c r="AD183" i="5"/>
  <c r="AD184" i="5"/>
  <c r="AD106" i="5"/>
  <c r="AD160" i="5"/>
  <c r="AD6" i="5"/>
  <c r="AD18" i="5"/>
  <c r="AD28" i="5"/>
  <c r="AD86" i="5"/>
  <c r="AD88" i="5"/>
  <c r="AD93" i="5"/>
  <c r="AD97" i="5"/>
  <c r="AD98" i="5"/>
  <c r="AD99" i="5"/>
  <c r="AD100" i="5"/>
  <c r="AD101" i="5"/>
  <c r="AD102" i="5"/>
  <c r="AD103" i="5"/>
  <c r="AD104" i="5"/>
  <c r="AD117" i="5"/>
  <c r="AD129" i="5"/>
  <c r="AD130" i="5"/>
  <c r="AD131" i="5"/>
  <c r="AD124" i="5"/>
  <c r="AD126" i="5"/>
  <c r="AD127" i="5"/>
  <c r="AD140" i="5"/>
  <c r="AD141" i="5"/>
  <c r="AD142" i="5"/>
  <c r="AD143" i="5"/>
  <c r="AD145" i="5"/>
  <c r="AD162" i="5"/>
  <c r="AD164" i="5"/>
  <c r="AD168" i="5"/>
  <c r="AD125" i="5"/>
  <c r="AD144" i="5"/>
  <c r="AD33" i="5"/>
  <c r="AD16" i="5"/>
  <c r="AD27" i="5"/>
  <c r="AD38" i="5"/>
  <c r="AD40" i="5"/>
  <c r="AD15" i="5"/>
  <c r="AD90" i="5"/>
  <c r="AD92" i="5"/>
  <c r="AD109" i="5"/>
  <c r="AD115" i="5"/>
  <c r="AD132" i="5"/>
  <c r="AD136" i="5"/>
  <c r="AD61" i="5"/>
  <c r="J10" i="3"/>
  <c r="J9" i="3"/>
  <c r="L10" i="3"/>
  <c r="L9" i="3"/>
  <c r="J8" i="3"/>
  <c r="L8" i="3"/>
  <c r="J172" i="3"/>
  <c r="L172" i="3"/>
  <c r="J169" i="3"/>
  <c r="L169" i="3"/>
  <c r="J12" i="3"/>
  <c r="J11" i="3"/>
  <c r="L11" i="3"/>
  <c r="J97" i="3"/>
  <c r="L97" i="3"/>
  <c r="J76" i="3"/>
  <c r="L76" i="3"/>
  <c r="J78" i="3"/>
  <c r="J73" i="3"/>
  <c r="L73" i="3"/>
  <c r="I17" i="3"/>
  <c r="J17" i="3" s="1"/>
  <c r="J13" i="3"/>
  <c r="J14" i="3"/>
  <c r="L13" i="3"/>
  <c r="M15" i="3"/>
  <c r="M18" i="3"/>
  <c r="J177" i="3"/>
  <c r="J21" i="3"/>
  <c r="L21" i="3"/>
  <c r="L177" i="3"/>
  <c r="M16" i="3"/>
  <c r="M19" i="3"/>
  <c r="J16" i="3"/>
  <c r="J18" i="3"/>
  <c r="J19" i="3"/>
  <c r="L19" i="3"/>
  <c r="J15" i="3"/>
  <c r="L15" i="3"/>
  <c r="J89" i="3"/>
  <c r="J30" i="3"/>
  <c r="L30" i="3"/>
  <c r="J31" i="3"/>
  <c r="L31" i="3"/>
  <c r="J102" i="3"/>
  <c r="J103" i="3"/>
  <c r="L103" i="3"/>
  <c r="J24" i="3"/>
  <c r="J22" i="3"/>
  <c r="J23" i="3"/>
  <c r="L24" i="3"/>
  <c r="J20" i="3"/>
  <c r="L20" i="3"/>
  <c r="M27" i="3"/>
  <c r="M26" i="3"/>
  <c r="I25" i="3"/>
  <c r="L25" i="3" s="1"/>
  <c r="M28" i="3"/>
  <c r="J27" i="3"/>
  <c r="J28" i="3"/>
  <c r="L28" i="3"/>
  <c r="J26" i="3"/>
  <c r="L27" i="3"/>
  <c r="M167" i="3"/>
  <c r="J114" i="3"/>
  <c r="J58" i="3"/>
  <c r="J167" i="3"/>
  <c r="L167" i="3"/>
  <c r="J59" i="3"/>
  <c r="J112" i="3"/>
  <c r="J113" i="3"/>
  <c r="L113" i="3"/>
  <c r="L112" i="3"/>
  <c r="J34" i="3"/>
  <c r="J60" i="3"/>
  <c r="J61" i="3"/>
  <c r="I36" i="3"/>
  <c r="J36" i="3" s="1"/>
  <c r="L58" i="3"/>
  <c r="L60" i="3"/>
  <c r="I38" i="3"/>
  <c r="J38" i="3" s="1"/>
  <c r="M34" i="3"/>
  <c r="M40" i="3"/>
  <c r="M39" i="3"/>
  <c r="I37" i="3"/>
  <c r="L37" i="3" s="1"/>
  <c r="I35" i="3"/>
  <c r="L35" i="3" s="1"/>
  <c r="M41" i="3"/>
  <c r="J33" i="3"/>
  <c r="J32" i="3"/>
  <c r="J41" i="3"/>
  <c r="L41" i="3"/>
  <c r="J40" i="3"/>
  <c r="L40" i="3"/>
  <c r="J39" i="3"/>
  <c r="L39" i="3"/>
  <c r="L34" i="3"/>
  <c r="M33" i="3"/>
  <c r="L33" i="3"/>
  <c r="J29" i="3"/>
  <c r="L29" i="3"/>
  <c r="J99" i="3"/>
  <c r="L99" i="3"/>
  <c r="J100" i="3"/>
  <c r="J104" i="3"/>
  <c r="J101" i="3"/>
  <c r="Q100" i="3"/>
  <c r="J42" i="3"/>
  <c r="L42" i="3"/>
  <c r="J79" i="3"/>
  <c r="L79" i="3"/>
  <c r="I80" i="3"/>
  <c r="M80" i="3"/>
  <c r="I81" i="3"/>
  <c r="L81" i="3" s="1"/>
  <c r="M81" i="3"/>
  <c r="I82" i="3"/>
  <c r="M82" i="3"/>
  <c r="I83" i="3"/>
  <c r="L83" i="3" s="1"/>
  <c r="M83" i="3"/>
  <c r="E80" i="3"/>
  <c r="Q80" i="3" s="1"/>
  <c r="E81" i="3"/>
  <c r="Q81" i="3" s="1"/>
  <c r="E82" i="3"/>
  <c r="Q82" i="3" s="1"/>
  <c r="E83" i="3"/>
  <c r="Q83" i="3" s="1"/>
  <c r="M7" i="3"/>
  <c r="M43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62" i="3"/>
  <c r="M63" i="3"/>
  <c r="M64" i="3"/>
  <c r="M65" i="3"/>
  <c r="M66" i="3"/>
  <c r="M67" i="3"/>
  <c r="M68" i="3"/>
  <c r="M69" i="3"/>
  <c r="M70" i="3"/>
  <c r="M71" i="3"/>
  <c r="M72" i="3"/>
  <c r="M74" i="3"/>
  <c r="M75" i="3"/>
  <c r="M77" i="3"/>
  <c r="M84" i="3"/>
  <c r="M85" i="3"/>
  <c r="M86" i="3"/>
  <c r="M87" i="3"/>
  <c r="M88" i="3"/>
  <c r="M90" i="3"/>
  <c r="M91" i="3"/>
  <c r="M92" i="3"/>
  <c r="M93" i="3"/>
  <c r="M94" i="3"/>
  <c r="M95" i="3"/>
  <c r="M96" i="3"/>
  <c r="M98" i="3"/>
  <c r="M105" i="3"/>
  <c r="M106" i="3"/>
  <c r="M107" i="3"/>
  <c r="M108" i="3"/>
  <c r="M109" i="3"/>
  <c r="M110" i="3"/>
  <c r="M111" i="3"/>
  <c r="M115" i="3"/>
  <c r="M116" i="3"/>
  <c r="M117" i="3"/>
  <c r="M118" i="3"/>
  <c r="M119" i="3"/>
  <c r="M120" i="3"/>
  <c r="M121" i="3"/>
  <c r="M122" i="3"/>
  <c r="M129" i="3"/>
  <c r="M130" i="3"/>
  <c r="M131" i="3"/>
  <c r="M132" i="3"/>
  <c r="M133" i="3"/>
  <c r="M134" i="3"/>
  <c r="M135" i="3"/>
  <c r="M136" i="3"/>
  <c r="M137" i="3"/>
  <c r="M138" i="3"/>
  <c r="M139" i="3"/>
  <c r="M146" i="3"/>
  <c r="M147" i="3"/>
  <c r="M148" i="3"/>
  <c r="M149" i="3"/>
  <c r="M150" i="3"/>
  <c r="M151" i="3"/>
  <c r="M153" i="3"/>
  <c r="M154" i="3"/>
  <c r="M155" i="3"/>
  <c r="M156" i="3"/>
  <c r="M157" i="3"/>
  <c r="M158" i="3"/>
  <c r="M159" i="3"/>
  <c r="M160" i="3"/>
  <c r="M161" i="3"/>
  <c r="M170" i="3"/>
  <c r="M171" i="3"/>
  <c r="M173" i="3"/>
  <c r="M174" i="3"/>
  <c r="M175" i="3"/>
  <c r="M176" i="3"/>
  <c r="M178" i="3"/>
  <c r="M179" i="3"/>
  <c r="M180" i="3"/>
  <c r="M181" i="3"/>
  <c r="M182" i="3"/>
  <c r="M183" i="3"/>
  <c r="M184" i="3"/>
  <c r="L44" i="3"/>
  <c r="Q44" i="3"/>
  <c r="H126" i="3"/>
  <c r="I126" i="3" s="1"/>
  <c r="L126" i="3" s="1"/>
  <c r="E126" i="3"/>
  <c r="H125" i="3"/>
  <c r="I125" i="3" s="1"/>
  <c r="L125" i="3" s="1"/>
  <c r="E125" i="3"/>
  <c r="Q125" i="3" s="1"/>
  <c r="H127" i="3"/>
  <c r="I127" i="3" s="1"/>
  <c r="L127" i="3" s="1"/>
  <c r="E127" i="3"/>
  <c r="H124" i="3"/>
  <c r="I124" i="3" s="1"/>
  <c r="L124" i="3" s="1"/>
  <c r="E124" i="3"/>
  <c r="H123" i="3"/>
  <c r="M123" i="3" s="1"/>
  <c r="E123" i="3"/>
  <c r="I7" i="3"/>
  <c r="L7" i="3" s="1"/>
  <c r="E7" i="3"/>
  <c r="Q7" i="3" s="1"/>
  <c r="E50" i="3"/>
  <c r="Q50" i="3" s="1"/>
  <c r="E51" i="3"/>
  <c r="Q51" i="3" s="1"/>
  <c r="E52" i="3"/>
  <c r="Q52" i="3" s="1"/>
  <c r="E53" i="3"/>
  <c r="Q53" i="3" s="1"/>
  <c r="M6" i="3"/>
  <c r="I43" i="3"/>
  <c r="L43" i="3" s="1"/>
  <c r="I45" i="3"/>
  <c r="L45" i="3" s="1"/>
  <c r="I46" i="3"/>
  <c r="L46" i="3" s="1"/>
  <c r="I47" i="3"/>
  <c r="L47" i="3" s="1"/>
  <c r="I48" i="3"/>
  <c r="L48" i="3" s="1"/>
  <c r="I49" i="3"/>
  <c r="I50" i="3"/>
  <c r="L50" i="3" s="1"/>
  <c r="I51" i="3"/>
  <c r="L51" i="3" s="1"/>
  <c r="I52" i="3"/>
  <c r="L52" i="3" s="1"/>
  <c r="I53" i="3"/>
  <c r="L53" i="3" s="1"/>
  <c r="I54" i="3"/>
  <c r="L54" i="3" s="1"/>
  <c r="I55" i="3"/>
  <c r="L55" i="3" s="1"/>
  <c r="I56" i="3"/>
  <c r="L56" i="3" s="1"/>
  <c r="I57" i="3"/>
  <c r="L57" i="3" s="1"/>
  <c r="I62" i="3"/>
  <c r="L62" i="3" s="1"/>
  <c r="I63" i="3"/>
  <c r="L63" i="3" s="1"/>
  <c r="I64" i="3"/>
  <c r="L64" i="3" s="1"/>
  <c r="I65" i="3"/>
  <c r="L65" i="3" s="1"/>
  <c r="I66" i="3"/>
  <c r="L66" i="3" s="1"/>
  <c r="I67" i="3"/>
  <c r="L67" i="3" s="1"/>
  <c r="I68" i="3"/>
  <c r="L68" i="3" s="1"/>
  <c r="I69" i="3"/>
  <c r="L69" i="3" s="1"/>
  <c r="I70" i="3"/>
  <c r="L70" i="3" s="1"/>
  <c r="I71" i="3"/>
  <c r="L71" i="3" s="1"/>
  <c r="I72" i="3"/>
  <c r="L72" i="3" s="1"/>
  <c r="I74" i="3"/>
  <c r="L74" i="3" s="1"/>
  <c r="I75" i="3"/>
  <c r="L75" i="3" s="1"/>
  <c r="I77" i="3"/>
  <c r="L77" i="3" s="1"/>
  <c r="I84" i="3"/>
  <c r="L84" i="3" s="1"/>
  <c r="I85" i="3"/>
  <c r="L85" i="3" s="1"/>
  <c r="I86" i="3"/>
  <c r="L86" i="3" s="1"/>
  <c r="I87" i="3"/>
  <c r="L87" i="3" s="1"/>
  <c r="I88" i="3"/>
  <c r="L88" i="3" s="1"/>
  <c r="I90" i="3"/>
  <c r="L90" i="3" s="1"/>
  <c r="I91" i="3"/>
  <c r="L91" i="3" s="1"/>
  <c r="I92" i="3"/>
  <c r="L92" i="3" s="1"/>
  <c r="I93" i="3"/>
  <c r="L93" i="3" s="1"/>
  <c r="I94" i="3"/>
  <c r="L94" i="3" s="1"/>
  <c r="I95" i="3"/>
  <c r="L95" i="3" s="1"/>
  <c r="I96" i="3"/>
  <c r="L96" i="3" s="1"/>
  <c r="I98" i="3"/>
  <c r="L98" i="3" s="1"/>
  <c r="I105" i="3"/>
  <c r="L105" i="3" s="1"/>
  <c r="I106" i="3"/>
  <c r="L106" i="3" s="1"/>
  <c r="I107" i="3"/>
  <c r="L107" i="3" s="1"/>
  <c r="I108" i="3"/>
  <c r="L108" i="3" s="1"/>
  <c r="I109" i="3"/>
  <c r="L109" i="3" s="1"/>
  <c r="I110" i="3"/>
  <c r="L110" i="3" s="1"/>
  <c r="I111" i="3"/>
  <c r="L111" i="3" s="1"/>
  <c r="I115" i="3"/>
  <c r="L115" i="3" s="1"/>
  <c r="I116" i="3"/>
  <c r="L116" i="3" s="1"/>
  <c r="I117" i="3"/>
  <c r="L117" i="3" s="1"/>
  <c r="I118" i="3"/>
  <c r="L118" i="3" s="1"/>
  <c r="I119" i="3"/>
  <c r="L119" i="3" s="1"/>
  <c r="I120" i="3"/>
  <c r="L120" i="3" s="1"/>
  <c r="I121" i="3"/>
  <c r="L121" i="3" s="1"/>
  <c r="I122" i="3"/>
  <c r="L122" i="3" s="1"/>
  <c r="I129" i="3"/>
  <c r="L129" i="3" s="1"/>
  <c r="I130" i="3"/>
  <c r="L130" i="3" s="1"/>
  <c r="I131" i="3"/>
  <c r="L131" i="3" s="1"/>
  <c r="I132" i="3"/>
  <c r="L132" i="3" s="1"/>
  <c r="I133" i="3"/>
  <c r="L133" i="3" s="1"/>
  <c r="I134" i="3"/>
  <c r="L134" i="3" s="1"/>
  <c r="I135" i="3"/>
  <c r="L135" i="3" s="1"/>
  <c r="I136" i="3"/>
  <c r="L136" i="3" s="1"/>
  <c r="I137" i="3"/>
  <c r="L137" i="3" s="1"/>
  <c r="I138" i="3"/>
  <c r="L138" i="3" s="1"/>
  <c r="I139" i="3"/>
  <c r="L139" i="3" s="1"/>
  <c r="I146" i="3"/>
  <c r="L146" i="3" s="1"/>
  <c r="I147" i="3"/>
  <c r="L147" i="3" s="1"/>
  <c r="I148" i="3"/>
  <c r="L148" i="3" s="1"/>
  <c r="I149" i="3"/>
  <c r="L149" i="3" s="1"/>
  <c r="I150" i="3"/>
  <c r="L150" i="3" s="1"/>
  <c r="I151" i="3"/>
  <c r="L151" i="3" s="1"/>
  <c r="I153" i="3"/>
  <c r="L153" i="3" s="1"/>
  <c r="I154" i="3"/>
  <c r="L154" i="3" s="1"/>
  <c r="I155" i="3"/>
  <c r="L155" i="3" s="1"/>
  <c r="I156" i="3"/>
  <c r="L156" i="3" s="1"/>
  <c r="I157" i="3"/>
  <c r="L157" i="3" s="1"/>
  <c r="I158" i="3"/>
  <c r="L158" i="3" s="1"/>
  <c r="I159" i="3"/>
  <c r="L159" i="3" s="1"/>
  <c r="I160" i="3"/>
  <c r="L160" i="3" s="1"/>
  <c r="I161" i="3"/>
  <c r="L161" i="3" s="1"/>
  <c r="I170" i="3"/>
  <c r="L170" i="3" s="1"/>
  <c r="I171" i="3"/>
  <c r="L171" i="3" s="1"/>
  <c r="I173" i="3"/>
  <c r="L173" i="3" s="1"/>
  <c r="I174" i="3"/>
  <c r="L174" i="3" s="1"/>
  <c r="I175" i="3"/>
  <c r="L175" i="3" s="1"/>
  <c r="I176" i="3"/>
  <c r="L176" i="3" s="1"/>
  <c r="I178" i="3"/>
  <c r="L178" i="3" s="1"/>
  <c r="I179" i="3"/>
  <c r="L179" i="3" s="1"/>
  <c r="I180" i="3"/>
  <c r="L180" i="3" s="1"/>
  <c r="I181" i="3"/>
  <c r="L181" i="3" s="1"/>
  <c r="I182" i="3"/>
  <c r="L182" i="3" s="1"/>
  <c r="I183" i="3"/>
  <c r="L183" i="3" s="1"/>
  <c r="I184" i="3"/>
  <c r="L184" i="3" s="1"/>
  <c r="I6" i="3"/>
  <c r="L6" i="3" s="1"/>
  <c r="E43" i="3"/>
  <c r="Q43" i="3" s="1"/>
  <c r="E45" i="3"/>
  <c r="Q45" i="3" s="1"/>
  <c r="E46" i="3"/>
  <c r="Q46" i="3" s="1"/>
  <c r="E47" i="3"/>
  <c r="Q47" i="3" s="1"/>
  <c r="E48" i="3"/>
  <c r="Q48" i="3" s="1"/>
  <c r="E49" i="3"/>
  <c r="Q49" i="3" s="1"/>
  <c r="E54" i="3"/>
  <c r="Q54" i="3" s="1"/>
  <c r="E55" i="3"/>
  <c r="Q55" i="3" s="1"/>
  <c r="E56" i="3"/>
  <c r="Q56" i="3" s="1"/>
  <c r="E57" i="3"/>
  <c r="Q57" i="3" s="1"/>
  <c r="E62" i="3"/>
  <c r="Q62" i="3" s="1"/>
  <c r="E63" i="3"/>
  <c r="Q63" i="3" s="1"/>
  <c r="E64" i="3"/>
  <c r="Q64" i="3" s="1"/>
  <c r="E65" i="3"/>
  <c r="Q65" i="3" s="1"/>
  <c r="E66" i="3"/>
  <c r="Q66" i="3" s="1"/>
  <c r="E67" i="3"/>
  <c r="Q67" i="3" s="1"/>
  <c r="E68" i="3"/>
  <c r="Q68" i="3" s="1"/>
  <c r="E69" i="3"/>
  <c r="Q69" i="3" s="1"/>
  <c r="E70" i="3"/>
  <c r="Q70" i="3" s="1"/>
  <c r="E71" i="3"/>
  <c r="Q71" i="3" s="1"/>
  <c r="E72" i="3"/>
  <c r="Q72" i="3" s="1"/>
  <c r="E74" i="3"/>
  <c r="Q74" i="3" s="1"/>
  <c r="E75" i="3"/>
  <c r="Q75" i="3" s="1"/>
  <c r="E77" i="3"/>
  <c r="Q77" i="3" s="1"/>
  <c r="E84" i="3"/>
  <c r="Q84" i="3" s="1"/>
  <c r="E85" i="3"/>
  <c r="Q85" i="3" s="1"/>
  <c r="E86" i="3"/>
  <c r="Q86" i="3" s="1"/>
  <c r="E87" i="3"/>
  <c r="Q87" i="3" s="1"/>
  <c r="E88" i="3"/>
  <c r="Q88" i="3" s="1"/>
  <c r="E90" i="3"/>
  <c r="Q90" i="3" s="1"/>
  <c r="E91" i="3"/>
  <c r="Q91" i="3" s="1"/>
  <c r="E92" i="3"/>
  <c r="Q92" i="3" s="1"/>
  <c r="E93" i="3"/>
  <c r="Q93" i="3" s="1"/>
  <c r="E94" i="3"/>
  <c r="Q94" i="3" s="1"/>
  <c r="E95" i="3"/>
  <c r="Q95" i="3" s="1"/>
  <c r="E96" i="3"/>
  <c r="Q96" i="3" s="1"/>
  <c r="Q98" i="3"/>
  <c r="E105" i="3"/>
  <c r="Q105" i="3" s="1"/>
  <c r="E106" i="3"/>
  <c r="Q106" i="3" s="1"/>
  <c r="E107" i="3"/>
  <c r="Q107" i="3" s="1"/>
  <c r="E108" i="3"/>
  <c r="Q108" i="3" s="1"/>
  <c r="E109" i="3"/>
  <c r="Q109" i="3" s="1"/>
  <c r="E110" i="3"/>
  <c r="Q110" i="3" s="1"/>
  <c r="E111" i="3"/>
  <c r="E115" i="3"/>
  <c r="Q115" i="3" s="1"/>
  <c r="E116" i="3"/>
  <c r="Q116" i="3" s="1"/>
  <c r="E117" i="3"/>
  <c r="Q117" i="3" s="1"/>
  <c r="E118" i="3"/>
  <c r="Q118" i="3" s="1"/>
  <c r="E119" i="3"/>
  <c r="Q119" i="3" s="1"/>
  <c r="E120" i="3"/>
  <c r="Q120" i="3" s="1"/>
  <c r="E121" i="3"/>
  <c r="Q121" i="3" s="1"/>
  <c r="E122" i="3"/>
  <c r="Q122" i="3" s="1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8" i="3"/>
  <c r="E170" i="3"/>
  <c r="E171" i="3"/>
  <c r="E173" i="3"/>
  <c r="E174" i="3"/>
  <c r="E175" i="3"/>
  <c r="E176" i="3"/>
  <c r="E178" i="3"/>
  <c r="E179" i="3"/>
  <c r="E180" i="3"/>
  <c r="E181" i="3"/>
  <c r="E182" i="3"/>
  <c r="E183" i="3"/>
  <c r="E184" i="3"/>
  <c r="E6" i="3"/>
  <c r="H168" i="3"/>
  <c r="M168" i="3" s="1"/>
  <c r="H166" i="3"/>
  <c r="M166" i="3" s="1"/>
  <c r="H165" i="3"/>
  <c r="M165" i="3" s="1"/>
  <c r="H164" i="3"/>
  <c r="I164" i="3" s="1"/>
  <c r="L164" i="3" s="1"/>
  <c r="H163" i="3"/>
  <c r="I163" i="3" s="1"/>
  <c r="L163" i="3" s="1"/>
  <c r="H162" i="3"/>
  <c r="M162" i="3" s="1"/>
  <c r="H152" i="3"/>
  <c r="I152" i="3" s="1"/>
  <c r="L152" i="3" s="1"/>
  <c r="H145" i="3"/>
  <c r="M145" i="3" s="1"/>
  <c r="H144" i="3"/>
  <c r="M144" i="3" s="1"/>
  <c r="H143" i="3"/>
  <c r="M143" i="3" s="1"/>
  <c r="H142" i="3"/>
  <c r="M142" i="3" s="1"/>
  <c r="H141" i="3"/>
  <c r="I141" i="3" s="1"/>
  <c r="L141" i="3" s="1"/>
  <c r="H140" i="3"/>
  <c r="I140" i="3" s="1"/>
  <c r="L140" i="3" s="1"/>
  <c r="H128" i="3"/>
  <c r="M128" i="3" s="1"/>
  <c r="S63" i="1"/>
  <c r="T63" i="1" s="1"/>
  <c r="G63" i="1"/>
  <c r="J63" i="1" s="1"/>
  <c r="E63" i="1"/>
  <c r="O63" i="1" s="1"/>
  <c r="S62" i="1"/>
  <c r="T62" i="1" s="1"/>
  <c r="G62" i="1"/>
  <c r="J62" i="1" s="1"/>
  <c r="E62" i="1"/>
  <c r="O62" i="1" s="1"/>
  <c r="S61" i="1"/>
  <c r="T61" i="1" s="1"/>
  <c r="G61" i="1"/>
  <c r="E61" i="1"/>
  <c r="O61" i="1" s="1"/>
  <c r="S60" i="1"/>
  <c r="T60" i="1" s="1"/>
  <c r="G60" i="1"/>
  <c r="J60" i="1" s="1"/>
  <c r="E60" i="1"/>
  <c r="O60" i="1" s="1"/>
  <c r="S59" i="1"/>
  <c r="T59" i="1" s="1"/>
  <c r="G59" i="1"/>
  <c r="E59" i="1"/>
  <c r="O59" i="1" s="1"/>
  <c r="S58" i="1"/>
  <c r="T58" i="1" s="1"/>
  <c r="G58" i="1"/>
  <c r="J58" i="1" s="1"/>
  <c r="E58" i="1"/>
  <c r="O58" i="1" s="1"/>
  <c r="S57" i="1"/>
  <c r="T57" i="1" s="1"/>
  <c r="G57" i="1"/>
  <c r="J57" i="1" s="1"/>
  <c r="E57" i="1"/>
  <c r="O57" i="1" s="1"/>
  <c r="S56" i="1"/>
  <c r="T56" i="1" s="1"/>
  <c r="G56" i="1"/>
  <c r="J56" i="1" s="1"/>
  <c r="E56" i="1"/>
  <c r="O56" i="1" s="1"/>
  <c r="S55" i="1"/>
  <c r="T55" i="1" s="1"/>
  <c r="G55" i="1"/>
  <c r="E55" i="1"/>
  <c r="O55" i="1" s="1"/>
  <c r="S54" i="1"/>
  <c r="T54" i="1" s="1"/>
  <c r="G54" i="1"/>
  <c r="J54" i="1" s="1"/>
  <c r="E54" i="1"/>
  <c r="O54" i="1" s="1"/>
  <c r="S53" i="1"/>
  <c r="T53" i="1" s="1"/>
  <c r="G53" i="1"/>
  <c r="E53" i="1"/>
  <c r="O53" i="1" s="1"/>
  <c r="S52" i="1"/>
  <c r="T52" i="1" s="1"/>
  <c r="G52" i="1"/>
  <c r="E52" i="1"/>
  <c r="O52" i="1" s="1"/>
  <c r="S51" i="1"/>
  <c r="T51" i="1" s="1"/>
  <c r="G51" i="1"/>
  <c r="J51" i="1" s="1"/>
  <c r="E51" i="1"/>
  <c r="O51" i="1" s="1"/>
  <c r="S50" i="1"/>
  <c r="T50" i="1" s="1"/>
  <c r="F50" i="1"/>
  <c r="G50" i="1" s="1"/>
  <c r="E50" i="1"/>
  <c r="O50" i="1" s="1"/>
  <c r="S49" i="1"/>
  <c r="T49" i="1" s="1"/>
  <c r="F49" i="1"/>
  <c r="G49" i="1" s="1"/>
  <c r="E49" i="1"/>
  <c r="O49" i="1" s="1"/>
  <c r="S48" i="1"/>
  <c r="T48" i="1" s="1"/>
  <c r="F48" i="1"/>
  <c r="G48" i="1" s="1"/>
  <c r="E48" i="1"/>
  <c r="O48" i="1" s="1"/>
  <c r="S47" i="1"/>
  <c r="T47" i="1" s="1"/>
  <c r="F47" i="1"/>
  <c r="G47" i="1" s="1"/>
  <c r="J47" i="1" s="1"/>
  <c r="E47" i="1"/>
  <c r="O47" i="1" s="1"/>
  <c r="S46" i="1"/>
  <c r="T46" i="1" s="1"/>
  <c r="F46" i="1"/>
  <c r="G46" i="1" s="1"/>
  <c r="E46" i="1"/>
  <c r="O46" i="1" s="1"/>
  <c r="S45" i="1"/>
  <c r="T45" i="1" s="1"/>
  <c r="F45" i="1"/>
  <c r="G45" i="1" s="1"/>
  <c r="E45" i="1"/>
  <c r="O45" i="1" s="1"/>
  <c r="S44" i="1"/>
  <c r="T44" i="1" s="1"/>
  <c r="G44" i="1"/>
  <c r="E44" i="1"/>
  <c r="O44" i="1" s="1"/>
  <c r="S43" i="1"/>
  <c r="T43" i="1" s="1"/>
  <c r="G43" i="1"/>
  <c r="J43" i="1" s="1"/>
  <c r="E43" i="1"/>
  <c r="O43" i="1" s="1"/>
  <c r="S42" i="1"/>
  <c r="T42" i="1" s="1"/>
  <c r="G42" i="1"/>
  <c r="E42" i="1"/>
  <c r="O42" i="1" s="1"/>
  <c r="S41" i="1"/>
  <c r="T41" i="1" s="1"/>
  <c r="F41" i="1"/>
  <c r="G41" i="1" s="1"/>
  <c r="E41" i="1"/>
  <c r="O41" i="1" s="1"/>
  <c r="S40" i="1"/>
  <c r="T40" i="1" s="1"/>
  <c r="G40" i="1"/>
  <c r="E40" i="1"/>
  <c r="O40" i="1" s="1"/>
  <c r="S39" i="1"/>
  <c r="T39" i="1" s="1"/>
  <c r="G39" i="1"/>
  <c r="E39" i="1"/>
  <c r="O39" i="1" s="1"/>
  <c r="S38" i="1"/>
  <c r="T38" i="1" s="1"/>
  <c r="G38" i="1"/>
  <c r="E38" i="1"/>
  <c r="O38" i="1" s="1"/>
  <c r="S37" i="1"/>
  <c r="T37" i="1" s="1"/>
  <c r="G37" i="1"/>
  <c r="E37" i="1"/>
  <c r="O37" i="1" s="1"/>
  <c r="S36" i="1"/>
  <c r="T36" i="1" s="1"/>
  <c r="G36" i="1"/>
  <c r="E36" i="1"/>
  <c r="O36" i="1" s="1"/>
  <c r="S35" i="1"/>
  <c r="T35" i="1" s="1"/>
  <c r="G35" i="1"/>
  <c r="J35" i="1" s="1"/>
  <c r="E35" i="1"/>
  <c r="O35" i="1" s="1"/>
  <c r="S34" i="1"/>
  <c r="T34" i="1" s="1"/>
  <c r="F34" i="1"/>
  <c r="G34" i="1" s="1"/>
  <c r="E34" i="1"/>
  <c r="O34" i="1" s="1"/>
  <c r="S33" i="1"/>
  <c r="T33" i="1" s="1"/>
  <c r="G33" i="1"/>
  <c r="J33" i="1" s="1"/>
  <c r="E33" i="1"/>
  <c r="O33" i="1" s="1"/>
  <c r="S32" i="1"/>
  <c r="T32" i="1" s="1"/>
  <c r="G32" i="1"/>
  <c r="E32" i="1"/>
  <c r="O32" i="1" s="1"/>
  <c r="S31" i="1"/>
  <c r="T31" i="1" s="1"/>
  <c r="G31" i="1"/>
  <c r="J31" i="1" s="1"/>
  <c r="E31" i="1"/>
  <c r="S30" i="1"/>
  <c r="T30" i="1" s="1"/>
  <c r="G30" i="1"/>
  <c r="J30" i="1" s="1"/>
  <c r="E30" i="1"/>
  <c r="O30" i="1" s="1"/>
  <c r="S29" i="1"/>
  <c r="T29" i="1" s="1"/>
  <c r="G29" i="1"/>
  <c r="E29" i="1"/>
  <c r="O29" i="1" s="1"/>
  <c r="S28" i="1"/>
  <c r="T28" i="1" s="1"/>
  <c r="G28" i="1"/>
  <c r="J28" i="1" s="1"/>
  <c r="E28" i="1"/>
  <c r="O28" i="1" s="1"/>
  <c r="S27" i="1"/>
  <c r="T27" i="1" s="1"/>
  <c r="F27" i="1"/>
  <c r="G27" i="1" s="1"/>
  <c r="J27" i="1" s="1"/>
  <c r="E27" i="1"/>
  <c r="O27" i="1" s="1"/>
  <c r="S26" i="1"/>
  <c r="T26" i="1" s="1"/>
  <c r="F26" i="1"/>
  <c r="G26" i="1" s="1"/>
  <c r="E26" i="1"/>
  <c r="O26" i="1" s="1"/>
  <c r="S25" i="1"/>
  <c r="T25" i="1" s="1"/>
  <c r="F25" i="1"/>
  <c r="G25" i="1" s="1"/>
  <c r="J25" i="1" s="1"/>
  <c r="E25" i="1"/>
  <c r="O25" i="1" s="1"/>
  <c r="S24" i="1"/>
  <c r="T24" i="1" s="1"/>
  <c r="F24" i="1"/>
  <c r="G24" i="1" s="1"/>
  <c r="E24" i="1"/>
  <c r="O24" i="1" s="1"/>
  <c r="S23" i="1"/>
  <c r="T23" i="1" s="1"/>
  <c r="F23" i="1"/>
  <c r="G23" i="1" s="1"/>
  <c r="E23" i="1"/>
  <c r="O23" i="1" s="1"/>
  <c r="S22" i="1"/>
  <c r="T22" i="1" s="1"/>
  <c r="F22" i="1"/>
  <c r="G22" i="1" s="1"/>
  <c r="E22" i="1"/>
  <c r="O22" i="1" s="1"/>
  <c r="S21" i="1"/>
  <c r="T21" i="1" s="1"/>
  <c r="G21" i="1"/>
  <c r="J21" i="1" s="1"/>
  <c r="E21" i="1"/>
  <c r="O21" i="1" s="1"/>
  <c r="S20" i="1"/>
  <c r="T20" i="1" s="1"/>
  <c r="G20" i="1"/>
  <c r="J20" i="1" s="1"/>
  <c r="E20" i="1"/>
  <c r="O20" i="1" s="1"/>
  <c r="S19" i="1"/>
  <c r="T19" i="1" s="1"/>
  <c r="G19" i="1"/>
  <c r="J19" i="1" s="1"/>
  <c r="E19" i="1"/>
  <c r="O19" i="1" s="1"/>
  <c r="S18" i="1"/>
  <c r="T18" i="1" s="1"/>
  <c r="G18" i="1"/>
  <c r="E18" i="1"/>
  <c r="O18" i="1" s="1"/>
  <c r="S17" i="1"/>
  <c r="T17" i="1" s="1"/>
  <c r="G17" i="1"/>
  <c r="J17" i="1" s="1"/>
  <c r="E17" i="1"/>
  <c r="O17" i="1" s="1"/>
  <c r="S16" i="1"/>
  <c r="T16" i="1" s="1"/>
  <c r="G16" i="1"/>
  <c r="J16" i="1" s="1"/>
  <c r="E16" i="1"/>
  <c r="S15" i="1"/>
  <c r="T15" i="1" s="1"/>
  <c r="F15" i="1"/>
  <c r="G15" i="1" s="1"/>
  <c r="E15" i="1"/>
  <c r="O15" i="1" s="1"/>
  <c r="S14" i="1"/>
  <c r="T14" i="1" s="1"/>
  <c r="F14" i="1"/>
  <c r="G14" i="1" s="1"/>
  <c r="E14" i="1"/>
  <c r="O14" i="1" s="1"/>
  <c r="S13" i="1"/>
  <c r="T13" i="1" s="1"/>
  <c r="G13" i="1"/>
  <c r="E13" i="1"/>
  <c r="O13" i="1" s="1"/>
  <c r="S12" i="1"/>
  <c r="T12" i="1" s="1"/>
  <c r="G12" i="1"/>
  <c r="J12" i="1" s="1"/>
  <c r="E12" i="1"/>
  <c r="O12" i="1" s="1"/>
  <c r="S11" i="1"/>
  <c r="T11" i="1" s="1"/>
  <c r="G11" i="1"/>
  <c r="J11" i="1" s="1"/>
  <c r="E11" i="1"/>
  <c r="O11" i="1" s="1"/>
  <c r="S10" i="1"/>
  <c r="T10" i="1" s="1"/>
  <c r="G10" i="1"/>
  <c r="E10" i="1"/>
  <c r="O10" i="1" s="1"/>
  <c r="S9" i="1"/>
  <c r="T9" i="1" s="1"/>
  <c r="G9" i="1"/>
  <c r="E9" i="1"/>
  <c r="O9" i="1" s="1"/>
  <c r="S8" i="1"/>
  <c r="T8" i="1" s="1"/>
  <c r="F8" i="1"/>
  <c r="G8" i="1" s="1"/>
  <c r="E8" i="1"/>
  <c r="O8" i="1" s="1"/>
  <c r="S7" i="1"/>
  <c r="T7" i="1" s="1"/>
  <c r="F7" i="1"/>
  <c r="G7" i="1" s="1"/>
  <c r="E7" i="1"/>
  <c r="O7" i="1" s="1"/>
  <c r="G66" i="2"/>
  <c r="J66" i="2" s="1"/>
  <c r="E66" i="2"/>
  <c r="O66" i="2" s="1"/>
  <c r="G65" i="2"/>
  <c r="J65" i="2" s="1"/>
  <c r="E65" i="2"/>
  <c r="G64" i="2"/>
  <c r="J64" i="2" s="1"/>
  <c r="E64" i="2"/>
  <c r="O64" i="2" s="1"/>
  <c r="G63" i="2"/>
  <c r="J63" i="2" s="1"/>
  <c r="E63" i="2"/>
  <c r="O63" i="2" s="1"/>
  <c r="G62" i="2"/>
  <c r="E62" i="2"/>
  <c r="O62" i="2" s="1"/>
  <c r="G61" i="2"/>
  <c r="J61" i="2" s="1"/>
  <c r="E61" i="2"/>
  <c r="O61" i="2" s="1"/>
  <c r="G60" i="2"/>
  <c r="E60" i="2"/>
  <c r="O60" i="2" s="1"/>
  <c r="G59" i="2"/>
  <c r="J59" i="2" s="1"/>
  <c r="E59" i="2"/>
  <c r="O59" i="2" s="1"/>
  <c r="G58" i="2"/>
  <c r="E58" i="2"/>
  <c r="O58" i="2" s="1"/>
  <c r="G57" i="2"/>
  <c r="J57" i="2" s="1"/>
  <c r="E57" i="2"/>
  <c r="H57" i="2" s="1"/>
  <c r="K57" i="2" s="1"/>
  <c r="G56" i="2"/>
  <c r="J56" i="2" s="1"/>
  <c r="E56" i="2"/>
  <c r="O56" i="2" s="1"/>
  <c r="G55" i="2"/>
  <c r="E55" i="2"/>
  <c r="O55" i="2" s="1"/>
  <c r="G54" i="2"/>
  <c r="E54" i="2"/>
  <c r="O54" i="2" s="1"/>
  <c r="G53" i="2"/>
  <c r="J53" i="2" s="1"/>
  <c r="E53" i="2"/>
  <c r="O53" i="2" s="1"/>
  <c r="G52" i="2"/>
  <c r="J52" i="2" s="1"/>
  <c r="E52" i="2"/>
  <c r="O52" i="2" s="1"/>
  <c r="G51" i="2"/>
  <c r="J51" i="2" s="1"/>
  <c r="E51" i="2"/>
  <c r="O51" i="2" s="1"/>
  <c r="G50" i="2"/>
  <c r="E50" i="2"/>
  <c r="O50" i="2" s="1"/>
  <c r="G49" i="2"/>
  <c r="J49" i="2" s="1"/>
  <c r="E49" i="2"/>
  <c r="G48" i="2"/>
  <c r="E48" i="2"/>
  <c r="O48" i="2" s="1"/>
  <c r="G47" i="2"/>
  <c r="J47" i="2" s="1"/>
  <c r="E47" i="2"/>
  <c r="O47" i="2" s="1"/>
  <c r="G46" i="2"/>
  <c r="E46" i="2"/>
  <c r="O46" i="2" s="1"/>
  <c r="G45" i="2"/>
  <c r="J45" i="2" s="1"/>
  <c r="E45" i="2"/>
  <c r="O45" i="2" s="1"/>
  <c r="G44" i="2"/>
  <c r="J44" i="2" s="1"/>
  <c r="E44" i="2"/>
  <c r="O44" i="2" s="1"/>
  <c r="G43" i="2"/>
  <c r="J43" i="2" s="1"/>
  <c r="E43" i="2"/>
  <c r="O43" i="2" s="1"/>
  <c r="G42" i="2"/>
  <c r="E42" i="2"/>
  <c r="O42" i="2" s="1"/>
  <c r="G41" i="2"/>
  <c r="J41" i="2" s="1"/>
  <c r="E41" i="2"/>
  <c r="G40" i="2"/>
  <c r="E40" i="2"/>
  <c r="O40" i="2" s="1"/>
  <c r="G39" i="2"/>
  <c r="E39" i="2"/>
  <c r="O39" i="2" s="1"/>
  <c r="G38" i="2"/>
  <c r="E38" i="2"/>
  <c r="O38" i="2" s="1"/>
  <c r="G37" i="2"/>
  <c r="J37" i="2" s="1"/>
  <c r="E37" i="2"/>
  <c r="O37" i="2" s="1"/>
  <c r="G36" i="2"/>
  <c r="E36" i="2"/>
  <c r="O36" i="2" s="1"/>
  <c r="G35" i="2"/>
  <c r="J35" i="2" s="1"/>
  <c r="E35" i="2"/>
  <c r="O35" i="2" s="1"/>
  <c r="G34" i="2"/>
  <c r="J34" i="2" s="1"/>
  <c r="E34" i="2"/>
  <c r="O34" i="2" s="1"/>
  <c r="G33" i="2"/>
  <c r="J33" i="2" s="1"/>
  <c r="E33" i="2"/>
  <c r="O33" i="2" s="1"/>
  <c r="G32" i="2"/>
  <c r="J32" i="2" s="1"/>
  <c r="E32" i="2"/>
  <c r="O32" i="2" s="1"/>
  <c r="G31" i="2"/>
  <c r="E31" i="2"/>
  <c r="O31" i="2" s="1"/>
  <c r="G30" i="2"/>
  <c r="E30" i="2"/>
  <c r="O30" i="2" s="1"/>
  <c r="G29" i="2"/>
  <c r="J29" i="2" s="1"/>
  <c r="E29" i="2"/>
  <c r="O29" i="2" s="1"/>
  <c r="G28" i="2"/>
  <c r="J28" i="2" s="1"/>
  <c r="E28" i="2"/>
  <c r="O28" i="2" s="1"/>
  <c r="G27" i="2"/>
  <c r="J27" i="2" s="1"/>
  <c r="E27" i="2"/>
  <c r="O27" i="2" s="1"/>
  <c r="G26" i="2"/>
  <c r="J26" i="2" s="1"/>
  <c r="E26" i="2"/>
  <c r="O26" i="2" s="1"/>
  <c r="G25" i="2"/>
  <c r="J25" i="2" s="1"/>
  <c r="E25" i="2"/>
  <c r="G24" i="2"/>
  <c r="J24" i="2" s="1"/>
  <c r="E24" i="2"/>
  <c r="O24" i="2" s="1"/>
  <c r="G23" i="2"/>
  <c r="E23" i="2"/>
  <c r="O23" i="2" s="1"/>
  <c r="G22" i="2"/>
  <c r="E22" i="2"/>
  <c r="O22" i="2" s="1"/>
  <c r="G21" i="2"/>
  <c r="J21" i="2" s="1"/>
  <c r="E21" i="2"/>
  <c r="O21" i="2" s="1"/>
  <c r="G20" i="2"/>
  <c r="E20" i="2"/>
  <c r="O20" i="2" s="1"/>
  <c r="G19" i="2"/>
  <c r="J19" i="2" s="1"/>
  <c r="E19" i="2"/>
  <c r="O19" i="2" s="1"/>
  <c r="G18" i="2"/>
  <c r="J18" i="2" s="1"/>
  <c r="E18" i="2"/>
  <c r="O18" i="2" s="1"/>
  <c r="G17" i="2"/>
  <c r="J17" i="2" s="1"/>
  <c r="E17" i="2"/>
  <c r="G16" i="2"/>
  <c r="J16" i="2" s="1"/>
  <c r="E16" i="2"/>
  <c r="O16" i="2" s="1"/>
  <c r="G15" i="2"/>
  <c r="J15" i="2" s="1"/>
  <c r="E15" i="2"/>
  <c r="O15" i="2" s="1"/>
  <c r="G14" i="2"/>
  <c r="E14" i="2"/>
  <c r="O14" i="2" s="1"/>
  <c r="G13" i="2"/>
  <c r="E13" i="2"/>
  <c r="O13" i="2" s="1"/>
  <c r="G12" i="2"/>
  <c r="J12" i="2" s="1"/>
  <c r="E12" i="2"/>
  <c r="O12" i="2" s="1"/>
  <c r="G11" i="2"/>
  <c r="J11" i="2" s="1"/>
  <c r="E11" i="2"/>
  <c r="O11" i="2" s="1"/>
  <c r="G10" i="2"/>
  <c r="J10" i="2" s="1"/>
  <c r="E10" i="2"/>
  <c r="O10" i="2" s="1"/>
  <c r="G9" i="2"/>
  <c r="J9" i="2" s="1"/>
  <c r="E9" i="2"/>
  <c r="O9" i="2" s="1"/>
  <c r="G8" i="2"/>
  <c r="J8" i="2" s="1"/>
  <c r="E8" i="2"/>
  <c r="O8" i="2" s="1"/>
  <c r="G7" i="2"/>
  <c r="J7" i="2" s="1"/>
  <c r="E7" i="2"/>
  <c r="O7" i="2" s="1"/>
  <c r="H16" i="1" l="1"/>
  <c r="K16" i="1" s="1"/>
  <c r="H48" i="1"/>
  <c r="K48" i="1" s="1"/>
  <c r="H23" i="2"/>
  <c r="K23" i="2" s="1"/>
  <c r="H31" i="2"/>
  <c r="K31" i="2" s="1"/>
  <c r="H40" i="2"/>
  <c r="K40" i="2" s="1"/>
  <c r="H39" i="2"/>
  <c r="K39" i="2" s="1"/>
  <c r="H17" i="2"/>
  <c r="K17" i="2" s="1"/>
  <c r="H25" i="2"/>
  <c r="K25" i="2" s="1"/>
  <c r="H48" i="2"/>
  <c r="K48" i="2" s="1"/>
  <c r="H41" i="2"/>
  <c r="K41" i="2" s="1"/>
  <c r="H49" i="2"/>
  <c r="K49" i="2" s="1"/>
  <c r="H60" i="1"/>
  <c r="K60" i="1" s="1"/>
  <c r="H39" i="1"/>
  <c r="K39" i="1" s="1"/>
  <c r="J31" i="2"/>
  <c r="H37" i="1"/>
  <c r="K37" i="1" s="1"/>
  <c r="H61" i="1"/>
  <c r="K61" i="1" s="1"/>
  <c r="H22" i="1"/>
  <c r="K22" i="1" s="1"/>
  <c r="H58" i="2"/>
  <c r="K58" i="2" s="1"/>
  <c r="H65" i="2"/>
  <c r="K65" i="2" s="1"/>
  <c r="H45" i="1"/>
  <c r="K45" i="1" s="1"/>
  <c r="H24" i="2"/>
  <c r="K24" i="2" s="1"/>
  <c r="O49" i="2"/>
  <c r="J48" i="1"/>
  <c r="H15" i="2"/>
  <c r="K15" i="2" s="1"/>
  <c r="J45" i="1"/>
  <c r="H11" i="1"/>
  <c r="K11" i="1" s="1"/>
  <c r="H31" i="1"/>
  <c r="K31" i="1" s="1"/>
  <c r="H29" i="2"/>
  <c r="K29" i="2" s="1"/>
  <c r="H10" i="1"/>
  <c r="K10" i="1" s="1"/>
  <c r="H36" i="1"/>
  <c r="K36" i="1" s="1"/>
  <c r="H62" i="1"/>
  <c r="K62" i="1" s="1"/>
  <c r="H26" i="2"/>
  <c r="K26" i="2" s="1"/>
  <c r="H55" i="2"/>
  <c r="K55" i="2" s="1"/>
  <c r="H47" i="2"/>
  <c r="K47" i="2" s="1"/>
  <c r="H12" i="2"/>
  <c r="K12" i="2" s="1"/>
  <c r="H27" i="2"/>
  <c r="K27" i="2" s="1"/>
  <c r="H42" i="2"/>
  <c r="K42" i="2" s="1"/>
  <c r="H59" i="2"/>
  <c r="K59" i="2" s="1"/>
  <c r="H66" i="2"/>
  <c r="K66" i="2" s="1"/>
  <c r="J10" i="1"/>
  <c r="H26" i="1"/>
  <c r="K26" i="1" s="1"/>
  <c r="H19" i="1"/>
  <c r="K19" i="1" s="1"/>
  <c r="H43" i="1"/>
  <c r="K43" i="1" s="1"/>
  <c r="J50" i="1"/>
  <c r="H50" i="1"/>
  <c r="K50" i="1" s="1"/>
  <c r="H7" i="2"/>
  <c r="K7" i="2" s="1"/>
  <c r="J23" i="2"/>
  <c r="J39" i="2"/>
  <c r="J48" i="2"/>
  <c r="H53" i="2"/>
  <c r="K53" i="2" s="1"/>
  <c r="J55" i="2"/>
  <c r="H63" i="2"/>
  <c r="K63" i="2" s="1"/>
  <c r="J39" i="1"/>
  <c r="H54" i="1"/>
  <c r="K54" i="1" s="1"/>
  <c r="H13" i="2"/>
  <c r="K13" i="2" s="1"/>
  <c r="H35" i="1"/>
  <c r="K35" i="1" s="1"/>
  <c r="J37" i="1"/>
  <c r="H20" i="2"/>
  <c r="K20" i="2" s="1"/>
  <c r="H36" i="2"/>
  <c r="K36" i="2" s="1"/>
  <c r="O25" i="2"/>
  <c r="H51" i="1"/>
  <c r="K51" i="1" s="1"/>
  <c r="H52" i="2"/>
  <c r="K52" i="2" s="1"/>
  <c r="H33" i="1"/>
  <c r="K33" i="1" s="1"/>
  <c r="J61" i="1"/>
  <c r="H20" i="1"/>
  <c r="K20" i="1" s="1"/>
  <c r="H32" i="1"/>
  <c r="K32" i="1" s="1"/>
  <c r="J36" i="1"/>
  <c r="H59" i="1"/>
  <c r="K59" i="1" s="1"/>
  <c r="H8" i="2"/>
  <c r="K8" i="2" s="1"/>
  <c r="H28" i="2"/>
  <c r="K28" i="2" s="1"/>
  <c r="H9" i="1"/>
  <c r="K9" i="1" s="1"/>
  <c r="H50" i="2"/>
  <c r="K50" i="2" s="1"/>
  <c r="H60" i="2"/>
  <c r="K60" i="2" s="1"/>
  <c r="H21" i="1"/>
  <c r="K21" i="1" s="1"/>
  <c r="J20" i="2"/>
  <c r="H32" i="2"/>
  <c r="K32" i="2" s="1"/>
  <c r="H34" i="2"/>
  <c r="K34" i="2" s="1"/>
  <c r="O41" i="2"/>
  <c r="H44" i="2"/>
  <c r="K44" i="2" s="1"/>
  <c r="J60" i="2"/>
  <c r="O16" i="1"/>
  <c r="J32" i="1"/>
  <c r="H52" i="1"/>
  <c r="K52" i="1" s="1"/>
  <c r="J59" i="1"/>
  <c r="Q6" i="3"/>
  <c r="J6" i="3"/>
  <c r="J36" i="2"/>
  <c r="L17" i="3"/>
  <c r="J25" i="3"/>
  <c r="L36" i="3"/>
  <c r="L38" i="3"/>
  <c r="J37" i="3"/>
  <c r="J35" i="3"/>
  <c r="J82" i="3"/>
  <c r="J83" i="3"/>
  <c r="J81" i="3"/>
  <c r="J80" i="3"/>
  <c r="L82" i="3"/>
  <c r="L80" i="3"/>
  <c r="M125" i="3"/>
  <c r="M163" i="3"/>
  <c r="M140" i="3"/>
  <c r="M126" i="3"/>
  <c r="M152" i="3"/>
  <c r="M124" i="3"/>
  <c r="M164" i="3"/>
  <c r="M141" i="3"/>
  <c r="M127" i="3"/>
  <c r="L49" i="3"/>
  <c r="J126" i="3"/>
  <c r="Q126" i="3"/>
  <c r="J125" i="3"/>
  <c r="Q178" i="3"/>
  <c r="Q151" i="3"/>
  <c r="Q143" i="3"/>
  <c r="Q135" i="3"/>
  <c r="Q129" i="3"/>
  <c r="Q123" i="3"/>
  <c r="I123" i="3"/>
  <c r="J127" i="3"/>
  <c r="Q127" i="3"/>
  <c r="J124" i="3"/>
  <c r="Q124" i="3"/>
  <c r="Q166" i="3"/>
  <c r="Q146" i="3"/>
  <c r="I143" i="3"/>
  <c r="Q171" i="3"/>
  <c r="J7" i="3"/>
  <c r="I144" i="3"/>
  <c r="I168" i="3"/>
  <c r="Q158" i="3"/>
  <c r="Q150" i="3"/>
  <c r="Q142" i="3"/>
  <c r="Q134" i="3"/>
  <c r="I166" i="3"/>
  <c r="I162" i="3"/>
  <c r="I145" i="3"/>
  <c r="Q173" i="3"/>
  <c r="Q139" i="3"/>
  <c r="Q157" i="3"/>
  <c r="Q176" i="3"/>
  <c r="Q132" i="3"/>
  <c r="Q161" i="3"/>
  <c r="Q148" i="3"/>
  <c r="Q182" i="3"/>
  <c r="Q184" i="3"/>
  <c r="Q164" i="3"/>
  <c r="Q149" i="3"/>
  <c r="Q141" i="3"/>
  <c r="Q154" i="3"/>
  <c r="Q165" i="3"/>
  <c r="Q128" i="3"/>
  <c r="Q180" i="3"/>
  <c r="Q160" i="3"/>
  <c r="Q181" i="3"/>
  <c r="Q174" i="3"/>
  <c r="Q163" i="3"/>
  <c r="Q156" i="3"/>
  <c r="Q140" i="3"/>
  <c r="Q162" i="3"/>
  <c r="Q155" i="3"/>
  <c r="Q147" i="3"/>
  <c r="Q133" i="3"/>
  <c r="Q175" i="3"/>
  <c r="Q145" i="3"/>
  <c r="Q137" i="3"/>
  <c r="Q183" i="3"/>
  <c r="Q138" i="3"/>
  <c r="Q179" i="3"/>
  <c r="Q168" i="3"/>
  <c r="Q159" i="3"/>
  <c r="Q144" i="3"/>
  <c r="Q136" i="3"/>
  <c r="J111" i="3"/>
  <c r="Q111" i="3"/>
  <c r="Q153" i="3"/>
  <c r="Q152" i="3"/>
  <c r="Q170" i="3"/>
  <c r="Q131" i="3"/>
  <c r="Q130" i="3"/>
  <c r="J95" i="3"/>
  <c r="I165" i="3"/>
  <c r="L165" i="3" s="1"/>
  <c r="I142" i="3"/>
  <c r="L142" i="3" s="1"/>
  <c r="I128" i="3"/>
  <c r="L128" i="3" s="1"/>
  <c r="J92" i="3"/>
  <c r="J134" i="3"/>
  <c r="J71" i="3"/>
  <c r="J141" i="3"/>
  <c r="J130" i="3"/>
  <c r="J75" i="3"/>
  <c r="J158" i="3"/>
  <c r="J180" i="3"/>
  <c r="J94" i="3"/>
  <c r="J72" i="3"/>
  <c r="J161" i="3"/>
  <c r="J157" i="3"/>
  <c r="J170" i="3"/>
  <c r="J51" i="3"/>
  <c r="J69" i="3"/>
  <c r="J64" i="3"/>
  <c r="J93" i="3"/>
  <c r="J138" i="3"/>
  <c r="J53" i="3"/>
  <c r="J63" i="3"/>
  <c r="J105" i="3"/>
  <c r="J116" i="3"/>
  <c r="J139" i="3"/>
  <c r="J164" i="3"/>
  <c r="J46" i="3"/>
  <c r="J48" i="3"/>
  <c r="J87" i="3"/>
  <c r="J179" i="3"/>
  <c r="J184" i="3"/>
  <c r="J153" i="3"/>
  <c r="J50" i="3"/>
  <c r="J84" i="3"/>
  <c r="J146" i="3"/>
  <c r="J65" i="3"/>
  <c r="J68" i="3"/>
  <c r="J135" i="3"/>
  <c r="J147" i="3"/>
  <c r="J110" i="3"/>
  <c r="J175" i="3"/>
  <c r="J133" i="3"/>
  <c r="J56" i="3"/>
  <c r="J132" i="3"/>
  <c r="J149" i="3"/>
  <c r="J121" i="3"/>
  <c r="J154" i="3"/>
  <c r="J47" i="3"/>
  <c r="J74" i="3"/>
  <c r="J117" i="3"/>
  <c r="J131" i="3"/>
  <c r="N67" i="2"/>
  <c r="J8" i="1"/>
  <c r="H8" i="1"/>
  <c r="K8" i="1" s="1"/>
  <c r="J22" i="2"/>
  <c r="H22" i="2"/>
  <c r="K22" i="2" s="1"/>
  <c r="H9" i="2"/>
  <c r="K9" i="2" s="1"/>
  <c r="H18" i="2"/>
  <c r="K18" i="2" s="1"/>
  <c r="H21" i="2"/>
  <c r="K21" i="2" s="1"/>
  <c r="H19" i="2"/>
  <c r="K19" i="2" s="1"/>
  <c r="J38" i="2"/>
  <c r="H38" i="2"/>
  <c r="K38" i="2" s="1"/>
  <c r="J40" i="2"/>
  <c r="J120" i="3"/>
  <c r="J46" i="2"/>
  <c r="H46" i="2"/>
  <c r="K46" i="2" s="1"/>
  <c r="J18" i="1"/>
  <c r="H18" i="1"/>
  <c r="K18" i="1" s="1"/>
  <c r="H24" i="1"/>
  <c r="K24" i="1" s="1"/>
  <c r="J24" i="1"/>
  <c r="H25" i="1"/>
  <c r="K25" i="1" s="1"/>
  <c r="J52" i="1"/>
  <c r="H57" i="1"/>
  <c r="K57" i="1" s="1"/>
  <c r="J34" i="1"/>
  <c r="H34" i="1"/>
  <c r="K34" i="1" s="1"/>
  <c r="H41" i="1"/>
  <c r="K41" i="1" s="1"/>
  <c r="J41" i="1"/>
  <c r="J49" i="1"/>
  <c r="H49" i="1"/>
  <c r="K49" i="1" s="1"/>
  <c r="H16" i="2"/>
  <c r="K16" i="2" s="1"/>
  <c r="H11" i="2"/>
  <c r="K11" i="2" s="1"/>
  <c r="H64" i="2"/>
  <c r="K64" i="2" s="1"/>
  <c r="J108" i="3"/>
  <c r="H10" i="2"/>
  <c r="K10" i="2" s="1"/>
  <c r="J14" i="2"/>
  <c r="H14" i="2"/>
  <c r="K14" i="2" s="1"/>
  <c r="H45" i="2"/>
  <c r="K45" i="2" s="1"/>
  <c r="J58" i="2"/>
  <c r="H51" i="2"/>
  <c r="K51" i="2" s="1"/>
  <c r="J7" i="1"/>
  <c r="H7" i="1"/>
  <c r="H56" i="1"/>
  <c r="K56" i="1" s="1"/>
  <c r="J13" i="2"/>
  <c r="H37" i="2"/>
  <c r="K37" i="2" s="1"/>
  <c r="J50" i="2"/>
  <c r="J62" i="2"/>
  <c r="H62" i="2"/>
  <c r="K62" i="2" s="1"/>
  <c r="O65" i="2"/>
  <c r="J9" i="1"/>
  <c r="H17" i="1"/>
  <c r="K17" i="1" s="1"/>
  <c r="J22" i="1"/>
  <c r="O31" i="1"/>
  <c r="J38" i="1"/>
  <c r="H38" i="1"/>
  <c r="K38" i="1" s="1"/>
  <c r="H47" i="1"/>
  <c r="K47" i="1" s="1"/>
  <c r="J54" i="3"/>
  <c r="O17" i="2"/>
  <c r="H43" i="2"/>
  <c r="K43" i="2" s="1"/>
  <c r="H56" i="2"/>
  <c r="K56" i="2" s="1"/>
  <c r="J14" i="1"/>
  <c r="H14" i="1"/>
  <c r="K14" i="1" s="1"/>
  <c r="J29" i="1"/>
  <c r="H29" i="1"/>
  <c r="K29" i="1" s="1"/>
  <c r="J30" i="2"/>
  <c r="H30" i="2"/>
  <c r="K30" i="2" s="1"/>
  <c r="H35" i="2"/>
  <c r="K35" i="2" s="1"/>
  <c r="J42" i="2"/>
  <c r="J54" i="2"/>
  <c r="H54" i="2"/>
  <c r="K54" i="2" s="1"/>
  <c r="O57" i="2"/>
  <c r="H61" i="2"/>
  <c r="K61" i="2" s="1"/>
  <c r="H28" i="1"/>
  <c r="K28" i="1" s="1"/>
  <c r="H30" i="1"/>
  <c r="K30" i="1" s="1"/>
  <c r="H44" i="1"/>
  <c r="K44" i="1" s="1"/>
  <c r="J44" i="1"/>
  <c r="H12" i="1"/>
  <c r="K12" i="1" s="1"/>
  <c r="H27" i="1"/>
  <c r="K27" i="1" s="1"/>
  <c r="J46" i="1"/>
  <c r="H46" i="1"/>
  <c r="K46" i="1" s="1"/>
  <c r="J53" i="1"/>
  <c r="H53" i="1"/>
  <c r="K53" i="1" s="1"/>
  <c r="J49" i="3"/>
  <c r="J129" i="3"/>
  <c r="J152" i="3"/>
  <c r="J55" i="3"/>
  <c r="A55" i="3" s="1"/>
  <c r="J57" i="3"/>
  <c r="J13" i="1"/>
  <c r="H13" i="1"/>
  <c r="K13" i="1" s="1"/>
  <c r="H23" i="1"/>
  <c r="K23" i="1" s="1"/>
  <c r="H33" i="2"/>
  <c r="K33" i="2" s="1"/>
  <c r="J15" i="1"/>
  <c r="H15" i="1"/>
  <c r="K15" i="1" s="1"/>
  <c r="J23" i="1"/>
  <c r="J43" i="3"/>
  <c r="J96" i="3"/>
  <c r="J115" i="3"/>
  <c r="J26" i="1"/>
  <c r="H40" i="1"/>
  <c r="K40" i="1" s="1"/>
  <c r="J40" i="1"/>
  <c r="J42" i="1"/>
  <c r="H42" i="1"/>
  <c r="K42" i="1" s="1"/>
  <c r="J66" i="3"/>
  <c r="J90" i="3"/>
  <c r="H63" i="1"/>
  <c r="K63" i="1" s="1"/>
  <c r="J45" i="3"/>
  <c r="J67" i="3"/>
  <c r="J85" i="3"/>
  <c r="J137" i="3"/>
  <c r="H58" i="1"/>
  <c r="K58" i="1" s="1"/>
  <c r="J107" i="3"/>
  <c r="H55" i="1"/>
  <c r="K55" i="1" s="1"/>
  <c r="J163" i="3"/>
  <c r="J77" i="3"/>
  <c r="J88" i="3"/>
  <c r="J91" i="3"/>
  <c r="J159" i="3"/>
  <c r="J118" i="3"/>
  <c r="J150" i="3"/>
  <c r="J151" i="3"/>
  <c r="J178" i="3"/>
  <c r="J55" i="1"/>
  <c r="J98" i="3"/>
  <c r="J109" i="3"/>
  <c r="J119" i="3"/>
  <c r="J106" i="3"/>
  <c r="J140" i="3"/>
  <c r="J160" i="3"/>
  <c r="J176" i="3"/>
  <c r="J136" i="3"/>
  <c r="J52" i="3"/>
  <c r="J62" i="3"/>
  <c r="J70" i="3"/>
  <c r="J86" i="3"/>
  <c r="J122" i="3"/>
  <c r="J156" i="3"/>
  <c r="J173" i="3"/>
  <c r="J174" i="3"/>
  <c r="J182" i="3"/>
  <c r="J183" i="3"/>
  <c r="J148" i="3"/>
  <c r="J155" i="3"/>
  <c r="J171" i="3"/>
  <c r="J181" i="3"/>
  <c r="N64" i="1" l="1"/>
  <c r="M185" i="3"/>
  <c r="L166" i="3"/>
  <c r="L123" i="3"/>
  <c r="L145" i="3"/>
  <c r="L168" i="3"/>
  <c r="L162" i="3"/>
  <c r="L144" i="3"/>
  <c r="L143" i="3"/>
  <c r="J123" i="3"/>
  <c r="J168" i="3"/>
  <c r="J143" i="3"/>
  <c r="J144" i="3"/>
  <c r="J128" i="3"/>
  <c r="J162" i="3"/>
  <c r="J166" i="3"/>
  <c r="J145" i="3"/>
  <c r="P185" i="3"/>
  <c r="J142" i="3"/>
  <c r="J165" i="3"/>
  <c r="H64" i="1"/>
  <c r="H67" i="1" s="1"/>
  <c r="K7" i="1"/>
  <c r="K64" i="1" s="1"/>
  <c r="H67" i="2"/>
  <c r="H70" i="2" s="1"/>
  <c r="K67" i="2"/>
  <c r="M186" i="3" l="1"/>
  <c r="M188" i="3" s="1"/>
  <c r="T185" i="3" s="1"/>
  <c r="T187" i="3" s="1"/>
  <c r="O188" i="3"/>
  <c r="N6" i="3" s="1"/>
  <c r="AC6" i="3" s="1"/>
  <c r="J185" i="3"/>
  <c r="J188" i="3" s="1"/>
  <c r="K65" i="1"/>
  <c r="K67" i="1" s="1"/>
  <c r="R64" i="1" s="1"/>
  <c r="R66" i="1" s="1"/>
  <c r="M67" i="1"/>
  <c r="K68" i="2"/>
  <c r="K70" i="2" s="1"/>
  <c r="R67" i="2" s="1"/>
  <c r="R69" i="2" s="1"/>
  <c r="M70" i="2"/>
  <c r="N9" i="3" l="1"/>
  <c r="AC9" i="3" s="1"/>
  <c r="N10" i="3"/>
  <c r="AC10" i="3" s="1"/>
  <c r="N8" i="3"/>
  <c r="AC8" i="3" s="1"/>
  <c r="N169" i="3"/>
  <c r="N172" i="3"/>
  <c r="AC172" i="3" s="1"/>
  <c r="N173" i="3"/>
  <c r="N175" i="3"/>
  <c r="N106" i="3"/>
  <c r="N95" i="3"/>
  <c r="N132" i="3"/>
  <c r="N97" i="3"/>
  <c r="N12" i="3"/>
  <c r="AC12" i="3" s="1"/>
  <c r="N11" i="3"/>
  <c r="AC11" i="3" s="1"/>
  <c r="N78" i="3"/>
  <c r="N76" i="3"/>
  <c r="AC76" i="3" s="1"/>
  <c r="N63" i="3"/>
  <c r="N73" i="3"/>
  <c r="AC73" i="3" s="1"/>
  <c r="N14" i="3"/>
  <c r="AC14" i="3" s="1"/>
  <c r="N13" i="3"/>
  <c r="AC13" i="3" s="1"/>
  <c r="N177" i="3"/>
  <c r="N21" i="3"/>
  <c r="AC21" i="3" s="1"/>
  <c r="N19" i="3"/>
  <c r="AC19" i="3" s="1"/>
  <c r="N18" i="3"/>
  <c r="AC18" i="3" s="1"/>
  <c r="N16" i="3"/>
  <c r="AC16" i="3" s="1"/>
  <c r="N15" i="3"/>
  <c r="AC15" i="3" s="1"/>
  <c r="N17" i="3"/>
  <c r="AC17" i="3" s="1"/>
  <c r="N31" i="3"/>
  <c r="N89" i="3"/>
  <c r="AC89" i="3" s="1"/>
  <c r="N103" i="3"/>
  <c r="N30" i="3"/>
  <c r="N24" i="3"/>
  <c r="N102" i="3"/>
  <c r="AC102" i="3" s="1"/>
  <c r="N51" i="3"/>
  <c r="N159" i="3"/>
  <c r="N108" i="3"/>
  <c r="N28" i="3"/>
  <c r="N22" i="3"/>
  <c r="AC22" i="3" s="1"/>
  <c r="N23" i="3"/>
  <c r="AC23" i="3" s="1"/>
  <c r="N20" i="3"/>
  <c r="AC20" i="3" s="1"/>
  <c r="N45" i="3"/>
  <c r="AC45" i="3" s="1"/>
  <c r="N25" i="3"/>
  <c r="AC25" i="3" s="1"/>
  <c r="N26" i="3"/>
  <c r="AC26" i="3" s="1"/>
  <c r="N27" i="3"/>
  <c r="AC27" i="3" s="1"/>
  <c r="N141" i="3"/>
  <c r="N167" i="3"/>
  <c r="AC167" i="3" s="1"/>
  <c r="N112" i="3"/>
  <c r="N114" i="3"/>
  <c r="AC114" i="3" s="1"/>
  <c r="N113" i="3"/>
  <c r="AC113" i="3" s="1"/>
  <c r="N41" i="3"/>
  <c r="N61" i="3"/>
  <c r="AC61" i="3" s="1"/>
  <c r="N58" i="3"/>
  <c r="AC58" i="3" s="1"/>
  <c r="N59" i="3"/>
  <c r="AC59" i="3" s="1"/>
  <c r="N60" i="3"/>
  <c r="AC60" i="3" s="1"/>
  <c r="N39" i="3"/>
  <c r="N40" i="3"/>
  <c r="AC40" i="3" s="1"/>
  <c r="N178" i="3"/>
  <c r="N35" i="3"/>
  <c r="AC35" i="3" s="1"/>
  <c r="N37" i="3"/>
  <c r="AC37" i="3" s="1"/>
  <c r="N34" i="3"/>
  <c r="AC34" i="3" s="1"/>
  <c r="N36" i="3"/>
  <c r="AC36" i="3" s="1"/>
  <c r="N38" i="3"/>
  <c r="AC38" i="3" s="1"/>
  <c r="N164" i="3"/>
  <c r="N33" i="3"/>
  <c r="AC33" i="3" s="1"/>
  <c r="N29" i="3"/>
  <c r="N32" i="3"/>
  <c r="AC32" i="3" s="1"/>
  <c r="N96" i="3"/>
  <c r="N42" i="3"/>
  <c r="N100" i="3"/>
  <c r="AC100" i="3" s="1"/>
  <c r="N101" i="3"/>
  <c r="AC101" i="3" s="1"/>
  <c r="N99" i="3"/>
  <c r="AC99" i="3" s="1"/>
  <c r="N104" i="3"/>
  <c r="AC104" i="3" s="1"/>
  <c r="N46" i="3"/>
  <c r="AC46" i="3" s="1"/>
  <c r="N160" i="3"/>
  <c r="N74" i="3"/>
  <c r="N67" i="3"/>
  <c r="N111" i="3"/>
  <c r="N144" i="3"/>
  <c r="N47" i="3"/>
  <c r="N84" i="3"/>
  <c r="N43" i="3"/>
  <c r="N124" i="3"/>
  <c r="N139" i="3"/>
  <c r="N85" i="3"/>
  <c r="N166" i="3"/>
  <c r="N161" i="3"/>
  <c r="N98" i="3"/>
  <c r="N134" i="3"/>
  <c r="N121" i="3"/>
  <c r="N151" i="3"/>
  <c r="N116" i="3"/>
  <c r="N143" i="3"/>
  <c r="N136" i="3"/>
  <c r="N86" i="3"/>
  <c r="N127" i="3"/>
  <c r="N147" i="3"/>
  <c r="N171" i="3"/>
  <c r="N69" i="3"/>
  <c r="N94" i="3"/>
  <c r="N184" i="3"/>
  <c r="N110" i="3"/>
  <c r="N119" i="3"/>
  <c r="N128" i="3"/>
  <c r="N176" i="3"/>
  <c r="N153" i="3"/>
  <c r="N183" i="3"/>
  <c r="N148" i="3"/>
  <c r="N135" i="3"/>
  <c r="N179" i="3"/>
  <c r="O6" i="3"/>
  <c r="S6" i="3" s="1"/>
  <c r="N92" i="3"/>
  <c r="N109" i="3"/>
  <c r="N54" i="3"/>
  <c r="N56" i="3"/>
  <c r="N182" i="3"/>
  <c r="N181" i="3"/>
  <c r="N152" i="3"/>
  <c r="N44" i="3"/>
  <c r="AC44" i="3" s="1"/>
  <c r="N93" i="3"/>
  <c r="N115" i="3"/>
  <c r="N65" i="3"/>
  <c r="N154" i="3"/>
  <c r="N55" i="3"/>
  <c r="N72" i="3"/>
  <c r="N53" i="3"/>
  <c r="N145" i="3"/>
  <c r="N129" i="3"/>
  <c r="N118" i="3"/>
  <c r="N170" i="3"/>
  <c r="N117" i="3"/>
  <c r="N125" i="3"/>
  <c r="N156" i="3"/>
  <c r="N62" i="3"/>
  <c r="N180" i="3"/>
  <c r="N50" i="3"/>
  <c r="N163" i="3"/>
  <c r="N7" i="3"/>
  <c r="N155" i="3"/>
  <c r="N122" i="3"/>
  <c r="N48" i="3"/>
  <c r="N105" i="3"/>
  <c r="N174" i="3"/>
  <c r="N131" i="3"/>
  <c r="N158" i="3"/>
  <c r="N123" i="3"/>
  <c r="N138" i="3"/>
  <c r="N75" i="3"/>
  <c r="N66" i="3"/>
  <c r="N120" i="3"/>
  <c r="N87" i="3"/>
  <c r="N146" i="3"/>
  <c r="N91" i="3"/>
  <c r="N57" i="3"/>
  <c r="N133" i="3"/>
  <c r="N52" i="3"/>
  <c r="N140" i="3"/>
  <c r="N150" i="3"/>
  <c r="N64" i="3"/>
  <c r="N70" i="3"/>
  <c r="N107" i="3"/>
  <c r="N137" i="3"/>
  <c r="N130" i="3"/>
  <c r="N88" i="3"/>
  <c r="N68" i="3"/>
  <c r="N90" i="3"/>
  <c r="N157" i="3"/>
  <c r="N71" i="3"/>
  <c r="N149" i="3"/>
  <c r="N77" i="3"/>
  <c r="N126" i="3"/>
  <c r="N49" i="3"/>
  <c r="N165" i="3"/>
  <c r="N142" i="3"/>
  <c r="N168" i="3"/>
  <c r="N79" i="3"/>
  <c r="AC79" i="3" s="1"/>
  <c r="N81" i="3"/>
  <c r="AC81" i="3" s="1"/>
  <c r="N83" i="3"/>
  <c r="AC83" i="3" s="1"/>
  <c r="N80" i="3"/>
  <c r="AC80" i="3" s="1"/>
  <c r="N82" i="3"/>
  <c r="AC82" i="3" s="1"/>
  <c r="N162" i="3"/>
  <c r="AC162" i="3" s="1"/>
  <c r="L62" i="1"/>
  <c r="L61" i="1"/>
  <c r="L28" i="1"/>
  <c r="L37" i="1"/>
  <c r="L36" i="1"/>
  <c r="L39" i="1"/>
  <c r="L35" i="1"/>
  <c r="L51" i="1"/>
  <c r="L43" i="1"/>
  <c r="L27" i="1"/>
  <c r="L12" i="1"/>
  <c r="L11" i="1"/>
  <c r="L10" i="1"/>
  <c r="L48" i="1"/>
  <c r="L57" i="1"/>
  <c r="L45" i="1"/>
  <c r="L25" i="1"/>
  <c r="L60" i="1"/>
  <c r="L21" i="1"/>
  <c r="L20" i="1"/>
  <c r="L17" i="1"/>
  <c r="L16" i="1"/>
  <c r="L50" i="1"/>
  <c r="L58" i="1"/>
  <c r="L63" i="1"/>
  <c r="L56" i="1"/>
  <c r="L33" i="1"/>
  <c r="L31" i="1"/>
  <c r="L47" i="1"/>
  <c r="L19" i="1"/>
  <c r="L30" i="1"/>
  <c r="L32" i="1"/>
  <c r="L59" i="1"/>
  <c r="L54" i="1"/>
  <c r="L52" i="1"/>
  <c r="L13" i="1"/>
  <c r="L46" i="1"/>
  <c r="L9" i="1"/>
  <c r="L41" i="1"/>
  <c r="L23" i="1"/>
  <c r="L18" i="1"/>
  <c r="L38" i="1"/>
  <c r="L8" i="1"/>
  <c r="L44" i="1"/>
  <c r="L24" i="1"/>
  <c r="L49" i="1"/>
  <c r="L15" i="1"/>
  <c r="L53" i="1"/>
  <c r="L7" i="1"/>
  <c r="L29" i="1"/>
  <c r="L55" i="1"/>
  <c r="L42" i="1"/>
  <c r="L14" i="1"/>
  <c r="L22" i="1"/>
  <c r="L26" i="1"/>
  <c r="L40" i="1"/>
  <c r="L34" i="1"/>
  <c r="L63" i="2"/>
  <c r="L39" i="2"/>
  <c r="L47" i="2"/>
  <c r="L25" i="2"/>
  <c r="L60" i="2"/>
  <c r="L7" i="2"/>
  <c r="L55" i="2"/>
  <c r="L36" i="2"/>
  <c r="L33" i="2"/>
  <c r="L31" i="2"/>
  <c r="L8" i="2"/>
  <c r="L52" i="2"/>
  <c r="L15" i="2"/>
  <c r="L44" i="2"/>
  <c r="L28" i="2"/>
  <c r="L17" i="2"/>
  <c r="L23" i="2"/>
  <c r="L66" i="2"/>
  <c r="L9" i="2"/>
  <c r="L27" i="2"/>
  <c r="L45" i="2"/>
  <c r="L43" i="2"/>
  <c r="L34" i="2"/>
  <c r="L20" i="2"/>
  <c r="L12" i="2"/>
  <c r="L32" i="2"/>
  <c r="L51" i="2"/>
  <c r="L35" i="2"/>
  <c r="L10" i="2"/>
  <c r="L41" i="2"/>
  <c r="L56" i="2"/>
  <c r="L11" i="2"/>
  <c r="L61" i="2"/>
  <c r="L21" i="2"/>
  <c r="L16" i="2"/>
  <c r="L64" i="2"/>
  <c r="L24" i="2"/>
  <c r="L19" i="2"/>
  <c r="L29" i="2"/>
  <c r="L57" i="2"/>
  <c r="L48" i="2"/>
  <c r="L65" i="2"/>
  <c r="L53" i="2"/>
  <c r="L37" i="2"/>
  <c r="L26" i="2"/>
  <c r="L18" i="2"/>
  <c r="L59" i="2"/>
  <c r="L49" i="2"/>
  <c r="L58" i="2"/>
  <c r="L54" i="2"/>
  <c r="L30" i="2"/>
  <c r="L13" i="2"/>
  <c r="L38" i="2"/>
  <c r="L40" i="2"/>
  <c r="L50" i="2"/>
  <c r="L14" i="2"/>
  <c r="L22" i="2"/>
  <c r="L42" i="2"/>
  <c r="L62" i="2"/>
  <c r="L46" i="2"/>
  <c r="R107" i="3" l="1"/>
  <c r="T107" i="3" s="1"/>
  <c r="AC107" i="3"/>
  <c r="R163" i="3"/>
  <c r="T163" i="3" s="1"/>
  <c r="AC163" i="3"/>
  <c r="AD163" i="3" s="1"/>
  <c r="O109" i="3"/>
  <c r="S109" i="3" s="1"/>
  <c r="AC109" i="3"/>
  <c r="R147" i="3"/>
  <c r="T147" i="3" s="1"/>
  <c r="AC147" i="3"/>
  <c r="O84" i="3"/>
  <c r="S84" i="3" s="1"/>
  <c r="AC84" i="3"/>
  <c r="O146" i="3"/>
  <c r="S146" i="3" s="1"/>
  <c r="AC146" i="3"/>
  <c r="R129" i="3"/>
  <c r="T129" i="3" s="1"/>
  <c r="AC129" i="3"/>
  <c r="R128" i="3"/>
  <c r="T128" i="3" s="1"/>
  <c r="AC128" i="3"/>
  <c r="R98" i="3"/>
  <c r="T98" i="3" s="1"/>
  <c r="AC98" i="3"/>
  <c r="O78" i="3"/>
  <c r="S78" i="3" s="1"/>
  <c r="AC78" i="3"/>
  <c r="O168" i="3"/>
  <c r="S168" i="3" s="1"/>
  <c r="AC168" i="3"/>
  <c r="O64" i="3"/>
  <c r="S64" i="3" s="1"/>
  <c r="AC64" i="3"/>
  <c r="R174" i="3"/>
  <c r="T174" i="3" s="1"/>
  <c r="AC174" i="3"/>
  <c r="AD174" i="3" s="1"/>
  <c r="O180" i="3"/>
  <c r="S180" i="3" s="1"/>
  <c r="AC180" i="3"/>
  <c r="R145" i="3"/>
  <c r="T145" i="3" s="1"/>
  <c r="AC145" i="3"/>
  <c r="R119" i="3"/>
  <c r="T119" i="3" s="1"/>
  <c r="AC119" i="3"/>
  <c r="O142" i="3"/>
  <c r="S142" i="3" s="1"/>
  <c r="AC142" i="3"/>
  <c r="R120" i="3"/>
  <c r="T120" i="3" s="1"/>
  <c r="AC120" i="3"/>
  <c r="R62" i="3"/>
  <c r="T62" i="3" s="1"/>
  <c r="AC62" i="3"/>
  <c r="O152" i="3"/>
  <c r="S152" i="3" s="1"/>
  <c r="AC152" i="3"/>
  <c r="R136" i="3"/>
  <c r="T136" i="3" s="1"/>
  <c r="AC136" i="3"/>
  <c r="O141" i="3"/>
  <c r="S141" i="3" s="1"/>
  <c r="AC141" i="3"/>
  <c r="O28" i="3"/>
  <c r="S28" i="3" s="1"/>
  <c r="AC28" i="3"/>
  <c r="O177" i="3"/>
  <c r="S177" i="3" s="1"/>
  <c r="AC177" i="3"/>
  <c r="O165" i="3"/>
  <c r="S165" i="3" s="1"/>
  <c r="AC165" i="3"/>
  <c r="O140" i="3"/>
  <c r="S140" i="3" s="1"/>
  <c r="AC140" i="3"/>
  <c r="O48" i="3"/>
  <c r="S48" i="3" s="1"/>
  <c r="AC48" i="3"/>
  <c r="O72" i="3"/>
  <c r="S72" i="3" s="1"/>
  <c r="AC72" i="3"/>
  <c r="R135" i="3"/>
  <c r="T135" i="3" s="1"/>
  <c r="AC135" i="3"/>
  <c r="R143" i="3"/>
  <c r="T143" i="3" s="1"/>
  <c r="AC143" i="3"/>
  <c r="R85" i="3"/>
  <c r="T85" i="3" s="1"/>
  <c r="AC85" i="3"/>
  <c r="R67" i="3"/>
  <c r="T67" i="3" s="1"/>
  <c r="AC67" i="3"/>
  <c r="O42" i="3"/>
  <c r="S42" i="3" s="1"/>
  <c r="AC42" i="3"/>
  <c r="O108" i="3"/>
  <c r="S108" i="3" s="1"/>
  <c r="AC108" i="3"/>
  <c r="O31" i="3"/>
  <c r="S31" i="3" s="1"/>
  <c r="AC31" i="3"/>
  <c r="R97" i="3"/>
  <c r="T97" i="3" s="1"/>
  <c r="AC97" i="3"/>
  <c r="R91" i="3"/>
  <c r="T91" i="3" s="1"/>
  <c r="AC91" i="3"/>
  <c r="R118" i="3"/>
  <c r="T118" i="3" s="1"/>
  <c r="AC118" i="3"/>
  <c r="O134" i="3"/>
  <c r="S134" i="3" s="1"/>
  <c r="AC134" i="3"/>
  <c r="R70" i="3"/>
  <c r="T70" i="3" s="1"/>
  <c r="AC70" i="3"/>
  <c r="O92" i="3"/>
  <c r="S92" i="3" s="1"/>
  <c r="AC92" i="3"/>
  <c r="R164" i="3"/>
  <c r="T164" i="3" s="1"/>
  <c r="AC164" i="3"/>
  <c r="O39" i="3"/>
  <c r="S39" i="3" s="1"/>
  <c r="AC39" i="3"/>
  <c r="O112" i="3"/>
  <c r="S112" i="3" s="1"/>
  <c r="AC112" i="3"/>
  <c r="R30" i="3"/>
  <c r="T30" i="3" s="1"/>
  <c r="AC30" i="3"/>
  <c r="O173" i="3"/>
  <c r="S173" i="3" s="1"/>
  <c r="AC173" i="3"/>
  <c r="O87" i="3"/>
  <c r="S87" i="3" s="1"/>
  <c r="AC87" i="3"/>
  <c r="R86" i="3"/>
  <c r="T86" i="3" s="1"/>
  <c r="AC86" i="3"/>
  <c r="O161" i="3"/>
  <c r="S161" i="3" s="1"/>
  <c r="AC161" i="3"/>
  <c r="O144" i="3"/>
  <c r="S144" i="3" s="1"/>
  <c r="AC144" i="3"/>
  <c r="R103" i="3"/>
  <c r="T103" i="3" s="1"/>
  <c r="AC103" i="3"/>
  <c r="O90" i="3"/>
  <c r="S90" i="3" s="1"/>
  <c r="AC90" i="3"/>
  <c r="R105" i="3"/>
  <c r="T105" i="3" s="1"/>
  <c r="AC105" i="3"/>
  <c r="AD105" i="3" s="1"/>
  <c r="O179" i="3"/>
  <c r="S179" i="3" s="1"/>
  <c r="AC179" i="3"/>
  <c r="R111" i="3"/>
  <c r="T111" i="3" s="1"/>
  <c r="AC111" i="3"/>
  <c r="AD111" i="3" s="1"/>
  <c r="O169" i="3"/>
  <c r="S169" i="3" s="1"/>
  <c r="AC169" i="3"/>
  <c r="R68" i="3"/>
  <c r="T68" i="3" s="1"/>
  <c r="AC68" i="3"/>
  <c r="AD68" i="3" s="1"/>
  <c r="O66" i="3"/>
  <c r="S66" i="3" s="1"/>
  <c r="AC66" i="3"/>
  <c r="R156" i="3"/>
  <c r="T156" i="3" s="1"/>
  <c r="AC156" i="3"/>
  <c r="O181" i="3"/>
  <c r="S181" i="3" s="1"/>
  <c r="AC181" i="3"/>
  <c r="R184" i="3"/>
  <c r="T184" i="3" s="1"/>
  <c r="AC184" i="3"/>
  <c r="AD184" i="3" s="1"/>
  <c r="R49" i="3"/>
  <c r="T49" i="3" s="1"/>
  <c r="AC49" i="3"/>
  <c r="R88" i="3"/>
  <c r="T88" i="3" s="1"/>
  <c r="AC88" i="3"/>
  <c r="AD88" i="3" s="1"/>
  <c r="O52" i="3"/>
  <c r="S52" i="3" s="1"/>
  <c r="AC52" i="3"/>
  <c r="O75" i="3"/>
  <c r="S75" i="3" s="1"/>
  <c r="AC75" i="3"/>
  <c r="R122" i="3"/>
  <c r="T122" i="3" s="1"/>
  <c r="AC122" i="3"/>
  <c r="AD122" i="3" s="1"/>
  <c r="O125" i="3"/>
  <c r="S125" i="3" s="1"/>
  <c r="AC125" i="3"/>
  <c r="O55" i="3"/>
  <c r="S55" i="3" s="1"/>
  <c r="AC55" i="3"/>
  <c r="R182" i="3"/>
  <c r="T182" i="3" s="1"/>
  <c r="AC182" i="3"/>
  <c r="O148" i="3"/>
  <c r="S148" i="3" s="1"/>
  <c r="AC148" i="3"/>
  <c r="O94" i="3"/>
  <c r="S94" i="3" s="1"/>
  <c r="AC94" i="3"/>
  <c r="R116" i="3"/>
  <c r="T116" i="3" s="1"/>
  <c r="AC116" i="3"/>
  <c r="O139" i="3"/>
  <c r="S139" i="3" s="1"/>
  <c r="AC139" i="3"/>
  <c r="O74" i="3"/>
  <c r="S74" i="3" s="1"/>
  <c r="AC74" i="3"/>
  <c r="O96" i="3"/>
  <c r="S96" i="3" s="1"/>
  <c r="AC96" i="3"/>
  <c r="R159" i="3"/>
  <c r="T159" i="3" s="1"/>
  <c r="AC159" i="3"/>
  <c r="AD159" i="3" s="1"/>
  <c r="R132" i="3"/>
  <c r="T132" i="3" s="1"/>
  <c r="AC132" i="3"/>
  <c r="R117" i="3"/>
  <c r="T117" i="3" s="1"/>
  <c r="AC117" i="3"/>
  <c r="O154" i="3"/>
  <c r="S154" i="3" s="1"/>
  <c r="AC154" i="3"/>
  <c r="O56" i="3"/>
  <c r="S56" i="3" s="1"/>
  <c r="AC56" i="3"/>
  <c r="R183" i="3"/>
  <c r="T183" i="3" s="1"/>
  <c r="AC183" i="3"/>
  <c r="O69" i="3"/>
  <c r="S69" i="3" s="1"/>
  <c r="AC69" i="3"/>
  <c r="R151" i="3"/>
  <c r="T151" i="3" s="1"/>
  <c r="AC151" i="3"/>
  <c r="AD151" i="3" s="1"/>
  <c r="O124" i="3"/>
  <c r="S124" i="3" s="1"/>
  <c r="AC124" i="3"/>
  <c r="R160" i="3"/>
  <c r="T160" i="3" s="1"/>
  <c r="AC160" i="3"/>
  <c r="R41" i="3"/>
  <c r="T41" i="3" s="1"/>
  <c r="AC41" i="3"/>
  <c r="R51" i="3"/>
  <c r="T51" i="3" s="1"/>
  <c r="AC51" i="3"/>
  <c r="O95" i="3"/>
  <c r="S95" i="3" s="1"/>
  <c r="AC95" i="3"/>
  <c r="R149" i="3"/>
  <c r="T149" i="3" s="1"/>
  <c r="AC149" i="3"/>
  <c r="AD149" i="3" s="1"/>
  <c r="R158" i="3"/>
  <c r="T158" i="3" s="1"/>
  <c r="AC158" i="3"/>
  <c r="R115" i="3"/>
  <c r="T115" i="3" s="1"/>
  <c r="AC115" i="3"/>
  <c r="O176" i="3"/>
  <c r="S176" i="3" s="1"/>
  <c r="AC176" i="3"/>
  <c r="R24" i="3"/>
  <c r="T24" i="3" s="1"/>
  <c r="AC24" i="3"/>
  <c r="O175" i="3"/>
  <c r="S175" i="3" s="1"/>
  <c r="AC175" i="3"/>
  <c r="R71" i="3"/>
  <c r="T71" i="3" s="1"/>
  <c r="AC71" i="3"/>
  <c r="R131" i="3"/>
  <c r="T131" i="3" s="1"/>
  <c r="AC131" i="3"/>
  <c r="AD131" i="3" s="1"/>
  <c r="R93" i="3"/>
  <c r="T93" i="3" s="1"/>
  <c r="AC93" i="3"/>
  <c r="O127" i="3"/>
  <c r="S127" i="3" s="1"/>
  <c r="AC127" i="3"/>
  <c r="O47" i="3"/>
  <c r="S47" i="3" s="1"/>
  <c r="AC47" i="3"/>
  <c r="O157" i="3"/>
  <c r="S157" i="3" s="1"/>
  <c r="AC157" i="3"/>
  <c r="R150" i="3"/>
  <c r="T150" i="3" s="1"/>
  <c r="AC150" i="3"/>
  <c r="O53" i="3"/>
  <c r="S53" i="3" s="1"/>
  <c r="AC53" i="3"/>
  <c r="R110" i="3"/>
  <c r="T110" i="3" s="1"/>
  <c r="AC110" i="3"/>
  <c r="R166" i="3"/>
  <c r="T166" i="3" s="1"/>
  <c r="AC166" i="3"/>
  <c r="R126" i="3"/>
  <c r="T126" i="3" s="1"/>
  <c r="AC126" i="3"/>
  <c r="O130" i="3"/>
  <c r="S130" i="3" s="1"/>
  <c r="AC130" i="3"/>
  <c r="R133" i="3"/>
  <c r="T133" i="3" s="1"/>
  <c r="AC133" i="3"/>
  <c r="O138" i="3"/>
  <c r="S138" i="3" s="1"/>
  <c r="AC138" i="3"/>
  <c r="R155" i="3"/>
  <c r="T155" i="3" s="1"/>
  <c r="AC155" i="3"/>
  <c r="AD155" i="3" s="1"/>
  <c r="O77" i="3"/>
  <c r="S77" i="3" s="1"/>
  <c r="AC77" i="3"/>
  <c r="O137" i="3"/>
  <c r="S137" i="3" s="1"/>
  <c r="AC137" i="3"/>
  <c r="R57" i="3"/>
  <c r="T57" i="3" s="1"/>
  <c r="AC57" i="3"/>
  <c r="R123" i="3"/>
  <c r="T123" i="3" s="1"/>
  <c r="AC123" i="3"/>
  <c r="R7" i="3"/>
  <c r="T7" i="3" s="1"/>
  <c r="AC7" i="3"/>
  <c r="O170" i="3"/>
  <c r="S170" i="3" s="1"/>
  <c r="AC170" i="3"/>
  <c r="O65" i="3"/>
  <c r="S65" i="3" s="1"/>
  <c r="AC65" i="3"/>
  <c r="O54" i="3"/>
  <c r="S54" i="3" s="1"/>
  <c r="AC54" i="3"/>
  <c r="O153" i="3"/>
  <c r="S153" i="3" s="1"/>
  <c r="AC153" i="3"/>
  <c r="O171" i="3"/>
  <c r="S171" i="3" s="1"/>
  <c r="AC171" i="3"/>
  <c r="O121" i="3"/>
  <c r="S121" i="3" s="1"/>
  <c r="AC121" i="3"/>
  <c r="O43" i="3"/>
  <c r="S43" i="3" s="1"/>
  <c r="AC43" i="3"/>
  <c r="R29" i="3"/>
  <c r="T29" i="3" s="1"/>
  <c r="AC29" i="3"/>
  <c r="O178" i="3"/>
  <c r="S178" i="3" s="1"/>
  <c r="AC178" i="3"/>
  <c r="O63" i="3"/>
  <c r="S63" i="3" s="1"/>
  <c r="AC63" i="3"/>
  <c r="O106" i="3"/>
  <c r="S106" i="3" s="1"/>
  <c r="AC106" i="3"/>
  <c r="R50" i="3"/>
  <c r="T50" i="3" s="1"/>
  <c r="AC50" i="3"/>
  <c r="P7" i="2"/>
  <c r="R7" i="2" s="1"/>
  <c r="M7" i="2"/>
  <c r="R43" i="3"/>
  <c r="T43" i="3" s="1"/>
  <c r="O46" i="3"/>
  <c r="S46" i="3" s="1"/>
  <c r="R45" i="3"/>
  <c r="T45" i="3" s="1"/>
  <c r="AD45" i="3" s="1"/>
  <c r="O45" i="3"/>
  <c r="S45" i="3" s="1"/>
  <c r="O44" i="3"/>
  <c r="S44" i="3" s="1"/>
  <c r="R169" i="3"/>
  <c r="T169" i="3" s="1"/>
  <c r="R173" i="3"/>
  <c r="T173" i="3" s="1"/>
  <c r="O8" i="3"/>
  <c r="S8" i="3" s="1"/>
  <c r="R8" i="3"/>
  <c r="T8" i="3" s="1"/>
  <c r="AD8" i="3" s="1"/>
  <c r="R10" i="3"/>
  <c r="T10" i="3" s="1"/>
  <c r="AD10" i="3" s="1"/>
  <c r="O10" i="3"/>
  <c r="S10" i="3" s="1"/>
  <c r="R175" i="3"/>
  <c r="T175" i="3" s="1"/>
  <c r="R9" i="3"/>
  <c r="T9" i="3" s="1"/>
  <c r="AD9" i="3" s="1"/>
  <c r="O9" i="3"/>
  <c r="S9" i="3" s="1"/>
  <c r="R106" i="3"/>
  <c r="T106" i="3" s="1"/>
  <c r="R95" i="3"/>
  <c r="T95" i="3" s="1"/>
  <c r="R172" i="3"/>
  <c r="T172" i="3" s="1"/>
  <c r="AD172" i="3" s="1"/>
  <c r="O172" i="3"/>
  <c r="S172" i="3" s="1"/>
  <c r="O97" i="3"/>
  <c r="S97" i="3" s="1"/>
  <c r="O132" i="3"/>
  <c r="S132" i="3" s="1"/>
  <c r="R78" i="3"/>
  <c r="T78" i="3" s="1"/>
  <c r="O11" i="3"/>
  <c r="S11" i="3" s="1"/>
  <c r="R11" i="3"/>
  <c r="T11" i="3" s="1"/>
  <c r="AD11" i="3" s="1"/>
  <c r="R12" i="3"/>
  <c r="T12" i="3" s="1"/>
  <c r="AD12" i="3" s="1"/>
  <c r="O12" i="3"/>
  <c r="S12" i="3" s="1"/>
  <c r="R63" i="3"/>
  <c r="T63" i="3" s="1"/>
  <c r="O76" i="3"/>
  <c r="S76" i="3" s="1"/>
  <c r="R76" i="3"/>
  <c r="T76" i="3" s="1"/>
  <c r="AD76" i="3" s="1"/>
  <c r="R177" i="3"/>
  <c r="T177" i="3" s="1"/>
  <c r="O73" i="3"/>
  <c r="S73" i="3" s="1"/>
  <c r="R73" i="3"/>
  <c r="T73" i="3" s="1"/>
  <c r="AD73" i="3" s="1"/>
  <c r="O13" i="3"/>
  <c r="S13" i="3" s="1"/>
  <c r="R13" i="3"/>
  <c r="T13" i="3" s="1"/>
  <c r="AD13" i="3" s="1"/>
  <c r="O14" i="3"/>
  <c r="S14" i="3" s="1"/>
  <c r="R14" i="3"/>
  <c r="T14" i="3" s="1"/>
  <c r="AD14" i="3" s="1"/>
  <c r="O21" i="3"/>
  <c r="S21" i="3" s="1"/>
  <c r="R21" i="3"/>
  <c r="T21" i="3" s="1"/>
  <c r="AD21" i="3" s="1"/>
  <c r="O103" i="3"/>
  <c r="S103" i="3" s="1"/>
  <c r="R31" i="3"/>
  <c r="T31" i="3" s="1"/>
  <c r="O17" i="3"/>
  <c r="S17" i="3" s="1"/>
  <c r="R17" i="3"/>
  <c r="T17" i="3" s="1"/>
  <c r="AD17" i="3" s="1"/>
  <c r="R16" i="3"/>
  <c r="T16" i="3" s="1"/>
  <c r="AD16" i="3" s="1"/>
  <c r="O16" i="3"/>
  <c r="S16" i="3" s="1"/>
  <c r="O18" i="3"/>
  <c r="S18" i="3" s="1"/>
  <c r="R18" i="3"/>
  <c r="T18" i="3" s="1"/>
  <c r="AD18" i="3" s="1"/>
  <c r="O15" i="3"/>
  <c r="S15" i="3" s="1"/>
  <c r="R15" i="3"/>
  <c r="T15" i="3" s="1"/>
  <c r="AD15" i="3" s="1"/>
  <c r="R19" i="3"/>
  <c r="T19" i="3" s="1"/>
  <c r="AD19" i="3" s="1"/>
  <c r="O19" i="3"/>
  <c r="S19" i="3" s="1"/>
  <c r="O89" i="3"/>
  <c r="S89" i="3" s="1"/>
  <c r="R89" i="3"/>
  <c r="T89" i="3" s="1"/>
  <c r="AD89" i="3" s="1"/>
  <c r="O24" i="3"/>
  <c r="S24" i="3" s="1"/>
  <c r="O30" i="3"/>
  <c r="S30" i="3" s="1"/>
  <c r="O159" i="3"/>
  <c r="S159" i="3" s="1"/>
  <c r="O51" i="3"/>
  <c r="S51" i="3" s="1"/>
  <c r="R108" i="3"/>
  <c r="T108" i="3" s="1"/>
  <c r="R102" i="3"/>
  <c r="T102" i="3" s="1"/>
  <c r="AD102" i="3" s="1"/>
  <c r="O102" i="3"/>
  <c r="S102" i="3" s="1"/>
  <c r="R28" i="3"/>
  <c r="T28" i="3" s="1"/>
  <c r="O20" i="3"/>
  <c r="S20" i="3" s="1"/>
  <c r="R20" i="3"/>
  <c r="T20" i="3" s="1"/>
  <c r="AD20" i="3" s="1"/>
  <c r="R23" i="3"/>
  <c r="T23" i="3" s="1"/>
  <c r="AD23" i="3" s="1"/>
  <c r="O23" i="3"/>
  <c r="S23" i="3" s="1"/>
  <c r="O22" i="3"/>
  <c r="S22" i="3" s="1"/>
  <c r="R22" i="3"/>
  <c r="T22" i="3" s="1"/>
  <c r="AD22" i="3" s="1"/>
  <c r="R112" i="3"/>
  <c r="T112" i="3" s="1"/>
  <c r="O26" i="3"/>
  <c r="S26" i="3" s="1"/>
  <c r="R26" i="3"/>
  <c r="T26" i="3" s="1"/>
  <c r="AD26" i="3" s="1"/>
  <c r="R141" i="3"/>
  <c r="T141" i="3" s="1"/>
  <c r="R27" i="3"/>
  <c r="T27" i="3" s="1"/>
  <c r="AD27" i="3" s="1"/>
  <c r="O27" i="3"/>
  <c r="S27" i="3" s="1"/>
  <c r="R25" i="3"/>
  <c r="T25" i="3" s="1"/>
  <c r="AD25" i="3" s="1"/>
  <c r="O25" i="3"/>
  <c r="S25" i="3" s="1"/>
  <c r="O167" i="3"/>
  <c r="S167" i="3" s="1"/>
  <c r="R167" i="3"/>
  <c r="T167" i="3" s="1"/>
  <c r="AD167" i="3" s="1"/>
  <c r="O41" i="3"/>
  <c r="S41" i="3" s="1"/>
  <c r="R113" i="3"/>
  <c r="T113" i="3" s="1"/>
  <c r="AD113" i="3" s="1"/>
  <c r="O113" i="3"/>
  <c r="S113" i="3" s="1"/>
  <c r="R114" i="3"/>
  <c r="T114" i="3" s="1"/>
  <c r="AD114" i="3" s="1"/>
  <c r="O114" i="3"/>
  <c r="S114" i="3" s="1"/>
  <c r="R39" i="3"/>
  <c r="T39" i="3" s="1"/>
  <c r="R60" i="3"/>
  <c r="T60" i="3" s="1"/>
  <c r="AD60" i="3" s="1"/>
  <c r="O60" i="3"/>
  <c r="S60" i="3" s="1"/>
  <c r="R59" i="3"/>
  <c r="T59" i="3" s="1"/>
  <c r="AD59" i="3" s="1"/>
  <c r="O59" i="3"/>
  <c r="S59" i="3" s="1"/>
  <c r="R58" i="3"/>
  <c r="T58" i="3" s="1"/>
  <c r="AD58" i="3" s="1"/>
  <c r="O58" i="3"/>
  <c r="S58" i="3" s="1"/>
  <c r="R61" i="3"/>
  <c r="T61" i="3" s="1"/>
  <c r="AD61" i="3" s="1"/>
  <c r="O61" i="3"/>
  <c r="S61" i="3" s="1"/>
  <c r="R170" i="3"/>
  <c r="T170" i="3" s="1"/>
  <c r="O164" i="3"/>
  <c r="S164" i="3" s="1"/>
  <c r="O29" i="3"/>
  <c r="S29" i="3" s="1"/>
  <c r="R178" i="3"/>
  <c r="T178" i="3" s="1"/>
  <c r="O40" i="3"/>
  <c r="S40" i="3" s="1"/>
  <c r="R40" i="3"/>
  <c r="T40" i="3" s="1"/>
  <c r="AD40" i="3" s="1"/>
  <c r="R142" i="3"/>
  <c r="T142" i="3" s="1"/>
  <c r="R38" i="3"/>
  <c r="T38" i="3" s="1"/>
  <c r="AD38" i="3" s="1"/>
  <c r="O38" i="3"/>
  <c r="S38" i="3" s="1"/>
  <c r="R36" i="3"/>
  <c r="T36" i="3" s="1"/>
  <c r="AD36" i="3" s="1"/>
  <c r="O36" i="3"/>
  <c r="S36" i="3" s="1"/>
  <c r="R34" i="3"/>
  <c r="T34" i="3" s="1"/>
  <c r="AD34" i="3" s="1"/>
  <c r="O34" i="3"/>
  <c r="S34" i="3" s="1"/>
  <c r="O37" i="3"/>
  <c r="S37" i="3" s="1"/>
  <c r="R37" i="3"/>
  <c r="T37" i="3" s="1"/>
  <c r="AD37" i="3" s="1"/>
  <c r="O35" i="3"/>
  <c r="S35" i="3" s="1"/>
  <c r="R35" i="3"/>
  <c r="T35" i="3" s="1"/>
  <c r="AD35" i="3" s="1"/>
  <c r="R96" i="3"/>
  <c r="T96" i="3" s="1"/>
  <c r="O33" i="3"/>
  <c r="S33" i="3" s="1"/>
  <c r="R33" i="3"/>
  <c r="T33" i="3" s="1"/>
  <c r="AD33" i="3" s="1"/>
  <c r="O32" i="3"/>
  <c r="S32" i="3" s="1"/>
  <c r="R32" i="3"/>
  <c r="T32" i="3" s="1"/>
  <c r="AD32" i="3" s="1"/>
  <c r="R54" i="3"/>
  <c r="T54" i="3" s="1"/>
  <c r="R42" i="3"/>
  <c r="T42" i="3" s="1"/>
  <c r="O107" i="3"/>
  <c r="S107" i="3" s="1"/>
  <c r="R171" i="3"/>
  <c r="T171" i="3" s="1"/>
  <c r="O147" i="3"/>
  <c r="S147" i="3" s="1"/>
  <c r="R157" i="3"/>
  <c r="T157" i="3" s="1"/>
  <c r="O118" i="3"/>
  <c r="S118" i="3" s="1"/>
  <c r="R121" i="3"/>
  <c r="T121" i="3" s="1"/>
  <c r="R176" i="3"/>
  <c r="T176" i="3" s="1"/>
  <c r="O174" i="3"/>
  <c r="S174" i="3" s="1"/>
  <c r="R165" i="3"/>
  <c r="T165" i="3" s="1"/>
  <c r="O93" i="3"/>
  <c r="S93" i="3" s="1"/>
  <c r="O68" i="3"/>
  <c r="S68" i="3" s="1"/>
  <c r="R92" i="3"/>
  <c r="T92" i="3" s="1"/>
  <c r="O158" i="3"/>
  <c r="S158" i="3" s="1"/>
  <c r="R64" i="3"/>
  <c r="T64" i="3" s="1"/>
  <c r="O145" i="3"/>
  <c r="S145" i="3" s="1"/>
  <c r="R90" i="3"/>
  <c r="T90" i="3" s="1"/>
  <c r="O50" i="3"/>
  <c r="S50" i="3" s="1"/>
  <c r="R134" i="3"/>
  <c r="T134" i="3" s="1"/>
  <c r="O98" i="3"/>
  <c r="S98" i="3" s="1"/>
  <c r="R104" i="3"/>
  <c r="T104" i="3" s="1"/>
  <c r="AD104" i="3" s="1"/>
  <c r="O104" i="3"/>
  <c r="S104" i="3" s="1"/>
  <c r="O160" i="3"/>
  <c r="S160" i="3" s="1"/>
  <c r="R87" i="3"/>
  <c r="T87" i="3" s="1"/>
  <c r="O128" i="3"/>
  <c r="S128" i="3" s="1"/>
  <c r="R84" i="3"/>
  <c r="T84" i="3" s="1"/>
  <c r="O150" i="3"/>
  <c r="S150" i="3" s="1"/>
  <c r="R127" i="3"/>
  <c r="T127" i="3" s="1"/>
  <c r="O120" i="3"/>
  <c r="S120" i="3" s="1"/>
  <c r="O129" i="3"/>
  <c r="S129" i="3" s="1"/>
  <c r="R101" i="3"/>
  <c r="T101" i="3" s="1"/>
  <c r="AD101" i="3" s="1"/>
  <c r="O101" i="3"/>
  <c r="S101" i="3" s="1"/>
  <c r="R180" i="3"/>
  <c r="T180" i="3" s="1"/>
  <c r="O99" i="3"/>
  <c r="S99" i="3" s="1"/>
  <c r="R99" i="3"/>
  <c r="T99" i="3" s="1"/>
  <c r="AD99" i="3" s="1"/>
  <c r="R44" i="3"/>
  <c r="T44" i="3" s="1"/>
  <c r="AD44" i="3" s="1"/>
  <c r="R47" i="3"/>
  <c r="T47" i="3" s="1"/>
  <c r="O119" i="3"/>
  <c r="S119" i="3" s="1"/>
  <c r="R46" i="3"/>
  <c r="T46" i="3" s="1"/>
  <c r="AD46" i="3" s="1"/>
  <c r="O131" i="3"/>
  <c r="S131" i="3" s="1"/>
  <c r="R6" i="3"/>
  <c r="T6" i="3" s="1"/>
  <c r="AD6" i="3" s="1"/>
  <c r="R100" i="3"/>
  <c r="T100" i="3" s="1"/>
  <c r="AD100" i="3" s="1"/>
  <c r="O100" i="3"/>
  <c r="S100" i="3" s="1"/>
  <c r="R138" i="3"/>
  <c r="T138" i="3" s="1"/>
  <c r="O91" i="3"/>
  <c r="S91" i="3" s="1"/>
  <c r="O163" i="3"/>
  <c r="S163" i="3" s="1"/>
  <c r="O123" i="3"/>
  <c r="S123" i="3" s="1"/>
  <c r="O71" i="3"/>
  <c r="S71" i="3" s="1"/>
  <c r="O57" i="3"/>
  <c r="S57" i="3" s="1"/>
  <c r="O70" i="3"/>
  <c r="S70" i="3" s="1"/>
  <c r="R146" i="3"/>
  <c r="T146" i="3" s="1"/>
  <c r="O110" i="3"/>
  <c r="S110" i="3" s="1"/>
  <c r="O166" i="3"/>
  <c r="S166" i="3" s="1"/>
  <c r="R77" i="3"/>
  <c r="T77" i="3" s="1"/>
  <c r="O184" i="3"/>
  <c r="S184" i="3" s="1"/>
  <c r="O67" i="3"/>
  <c r="S67" i="3" s="1"/>
  <c r="O149" i="3"/>
  <c r="S149" i="3" s="1"/>
  <c r="R137" i="3"/>
  <c r="T137" i="3" s="1"/>
  <c r="R69" i="3"/>
  <c r="T69" i="3" s="1"/>
  <c r="O151" i="3"/>
  <c r="S151" i="3" s="1"/>
  <c r="O88" i="3"/>
  <c r="S88" i="3" s="1"/>
  <c r="O7" i="3"/>
  <c r="S7" i="3" s="1"/>
  <c r="R109" i="3"/>
  <c r="T109" i="3" s="1"/>
  <c r="R66" i="3"/>
  <c r="T66" i="3" s="1"/>
  <c r="R56" i="3"/>
  <c r="T56" i="3" s="1"/>
  <c r="R52" i="3"/>
  <c r="T52" i="3" s="1"/>
  <c r="R74" i="3"/>
  <c r="T74" i="3" s="1"/>
  <c r="O115" i="3"/>
  <c r="S115" i="3" s="1"/>
  <c r="R130" i="3"/>
  <c r="T130" i="3" s="1"/>
  <c r="O143" i="3"/>
  <c r="S143" i="3" s="1"/>
  <c r="O117" i="3"/>
  <c r="S117" i="3" s="1"/>
  <c r="R94" i="3"/>
  <c r="T94" i="3" s="1"/>
  <c r="R161" i="3"/>
  <c r="T161" i="3" s="1"/>
  <c r="R139" i="3"/>
  <c r="T139" i="3" s="1"/>
  <c r="O183" i="3"/>
  <c r="S183" i="3" s="1"/>
  <c r="O116" i="3"/>
  <c r="S116" i="3" s="1"/>
  <c r="O135" i="3"/>
  <c r="S135" i="3" s="1"/>
  <c r="R181" i="3"/>
  <c r="T181" i="3" s="1"/>
  <c r="O122" i="3"/>
  <c r="S122" i="3" s="1"/>
  <c r="R65" i="3"/>
  <c r="T65" i="3" s="1"/>
  <c r="O86" i="3"/>
  <c r="S86" i="3" s="1"/>
  <c r="O182" i="3"/>
  <c r="S182" i="3" s="1"/>
  <c r="O111" i="3"/>
  <c r="S111" i="3" s="1"/>
  <c r="O62" i="3"/>
  <c r="S62" i="3" s="1"/>
  <c r="R179" i="3"/>
  <c r="T179" i="3" s="1"/>
  <c r="R55" i="3"/>
  <c r="T55" i="3" s="1"/>
  <c r="R154" i="3"/>
  <c r="T154" i="3" s="1"/>
  <c r="O85" i="3"/>
  <c r="S85" i="3" s="1"/>
  <c r="O136" i="3"/>
  <c r="S136" i="3" s="1"/>
  <c r="R53" i="3"/>
  <c r="T53" i="3" s="1"/>
  <c r="R152" i="3"/>
  <c r="T152" i="3" s="1"/>
  <c r="R140" i="3"/>
  <c r="T140" i="3" s="1"/>
  <c r="O156" i="3"/>
  <c r="S156" i="3" s="1"/>
  <c r="R148" i="3"/>
  <c r="T148" i="3" s="1"/>
  <c r="O155" i="3"/>
  <c r="S155" i="3" s="1"/>
  <c r="R72" i="3"/>
  <c r="T72" i="3" s="1"/>
  <c r="R153" i="3"/>
  <c r="T153" i="3" s="1"/>
  <c r="R125" i="3"/>
  <c r="T125" i="3" s="1"/>
  <c r="O126" i="3"/>
  <c r="S126" i="3" s="1"/>
  <c r="O133" i="3"/>
  <c r="S133" i="3" s="1"/>
  <c r="R48" i="3"/>
  <c r="T48" i="3" s="1"/>
  <c r="O105" i="3"/>
  <c r="S105" i="3" s="1"/>
  <c r="R75" i="3"/>
  <c r="T75" i="3" s="1"/>
  <c r="R124" i="3"/>
  <c r="T124" i="3" s="1"/>
  <c r="R144" i="3"/>
  <c r="T144" i="3" s="1"/>
  <c r="O49" i="3"/>
  <c r="S49" i="3" s="1"/>
  <c r="R168" i="3"/>
  <c r="T168" i="3" s="1"/>
  <c r="R79" i="3"/>
  <c r="T79" i="3" s="1"/>
  <c r="AD79" i="3" s="1"/>
  <c r="O79" i="3"/>
  <c r="S79" i="3" s="1"/>
  <c r="O82" i="3"/>
  <c r="S82" i="3" s="1"/>
  <c r="R82" i="3"/>
  <c r="T82" i="3" s="1"/>
  <c r="AD82" i="3" s="1"/>
  <c r="O80" i="3"/>
  <c r="S80" i="3" s="1"/>
  <c r="R80" i="3"/>
  <c r="T80" i="3" s="1"/>
  <c r="AD80" i="3" s="1"/>
  <c r="O83" i="3"/>
  <c r="S83" i="3" s="1"/>
  <c r="R83" i="3"/>
  <c r="T83" i="3" s="1"/>
  <c r="AD83" i="3" s="1"/>
  <c r="R81" i="3"/>
  <c r="T81" i="3" s="1"/>
  <c r="AD81" i="3" s="1"/>
  <c r="O81" i="3"/>
  <c r="S81" i="3" s="1"/>
  <c r="O162" i="3"/>
  <c r="S162" i="3" s="1"/>
  <c r="R162" i="3"/>
  <c r="T162" i="3" s="1"/>
  <c r="AD162" i="3" s="1"/>
  <c r="P57" i="1"/>
  <c r="M57" i="1"/>
  <c r="U57" i="1"/>
  <c r="V57" i="1" s="1"/>
  <c r="M38" i="2"/>
  <c r="P38" i="2"/>
  <c r="M24" i="2"/>
  <c r="P24" i="2"/>
  <c r="M45" i="2"/>
  <c r="P45" i="2"/>
  <c r="P60" i="2"/>
  <c r="M60" i="2"/>
  <c r="P50" i="2"/>
  <c r="M50" i="2"/>
  <c r="P59" i="2"/>
  <c r="M59" i="2"/>
  <c r="M29" i="2"/>
  <c r="P29" i="2"/>
  <c r="M56" i="2"/>
  <c r="P56" i="2"/>
  <c r="P34" i="2"/>
  <c r="M34" i="2"/>
  <c r="P28" i="2"/>
  <c r="M28" i="2"/>
  <c r="P55" i="2"/>
  <c r="M55" i="2"/>
  <c r="P40" i="1"/>
  <c r="M40" i="1"/>
  <c r="U40" i="1"/>
  <c r="V40" i="1" s="1"/>
  <c r="P53" i="1"/>
  <c r="M53" i="1"/>
  <c r="U53" i="1"/>
  <c r="V53" i="1" s="1"/>
  <c r="P23" i="1"/>
  <c r="M23" i="1"/>
  <c r="U23" i="1"/>
  <c r="V23" i="1" s="1"/>
  <c r="M32" i="1"/>
  <c r="P32" i="1"/>
  <c r="U32" i="1"/>
  <c r="V32" i="1" s="1"/>
  <c r="M58" i="1"/>
  <c r="P58" i="1"/>
  <c r="U58" i="1"/>
  <c r="V58" i="1" s="1"/>
  <c r="P45" i="1"/>
  <c r="M45" i="1"/>
  <c r="U45" i="1"/>
  <c r="V45" i="1" s="1"/>
  <c r="M51" i="1"/>
  <c r="P51" i="1"/>
  <c r="U51" i="1"/>
  <c r="V51" i="1" s="1"/>
  <c r="P44" i="2"/>
  <c r="M44" i="2"/>
  <c r="P26" i="1"/>
  <c r="M26" i="1"/>
  <c r="U26" i="1"/>
  <c r="V26" i="1" s="1"/>
  <c r="U15" i="1"/>
  <c r="V15" i="1" s="1"/>
  <c r="P15" i="1"/>
  <c r="M15" i="1"/>
  <c r="P41" i="1"/>
  <c r="M41" i="1"/>
  <c r="U41" i="1"/>
  <c r="V41" i="1" s="1"/>
  <c r="P35" i="1"/>
  <c r="M35" i="1"/>
  <c r="U35" i="1"/>
  <c r="V35" i="1" s="1"/>
  <c r="P30" i="1"/>
  <c r="M30" i="1"/>
  <c r="U30" i="1"/>
  <c r="V30" i="1" s="1"/>
  <c r="P10" i="2"/>
  <c r="M10" i="2"/>
  <c r="M48" i="1"/>
  <c r="P48" i="1"/>
  <c r="U48" i="1"/>
  <c r="V48" i="1" s="1"/>
  <c r="P52" i="2"/>
  <c r="M52" i="2"/>
  <c r="M39" i="1"/>
  <c r="P39" i="1"/>
  <c r="U39" i="1"/>
  <c r="V39" i="1" s="1"/>
  <c r="M46" i="2"/>
  <c r="P46" i="2"/>
  <c r="M13" i="2"/>
  <c r="P13" i="2"/>
  <c r="M37" i="2"/>
  <c r="P37" i="2"/>
  <c r="M64" i="2"/>
  <c r="P64" i="2"/>
  <c r="P35" i="2"/>
  <c r="M35" i="2"/>
  <c r="P27" i="2"/>
  <c r="M27" i="2"/>
  <c r="P25" i="2"/>
  <c r="M25" i="2"/>
  <c r="P14" i="1"/>
  <c r="U14" i="1"/>
  <c r="V14" i="1" s="1"/>
  <c r="M14" i="1"/>
  <c r="M46" i="1"/>
  <c r="P46" i="1"/>
  <c r="U46" i="1"/>
  <c r="V46" i="1" s="1"/>
  <c r="M47" i="1"/>
  <c r="P47" i="1"/>
  <c r="U47" i="1"/>
  <c r="V47" i="1" s="1"/>
  <c r="M17" i="1"/>
  <c r="P17" i="1"/>
  <c r="U17" i="1"/>
  <c r="V17" i="1" s="1"/>
  <c r="P10" i="1"/>
  <c r="M10" i="1"/>
  <c r="U10" i="1"/>
  <c r="V10" i="1" s="1"/>
  <c r="P36" i="1"/>
  <c r="M36" i="1"/>
  <c r="U36" i="1"/>
  <c r="V36" i="1" s="1"/>
  <c r="M62" i="2"/>
  <c r="P62" i="2"/>
  <c r="M30" i="2"/>
  <c r="P30" i="2"/>
  <c r="M53" i="2"/>
  <c r="P53" i="2"/>
  <c r="M16" i="2"/>
  <c r="P16" i="2"/>
  <c r="P51" i="2"/>
  <c r="M51" i="2"/>
  <c r="P9" i="2"/>
  <c r="M9" i="2"/>
  <c r="M42" i="1"/>
  <c r="P42" i="1"/>
  <c r="U42" i="1"/>
  <c r="V42" i="1" s="1"/>
  <c r="U13" i="1"/>
  <c r="V13" i="1" s="1"/>
  <c r="M13" i="1"/>
  <c r="P13" i="1"/>
  <c r="P20" i="1"/>
  <c r="M20" i="1"/>
  <c r="U20" i="1"/>
  <c r="V20" i="1" s="1"/>
  <c r="P42" i="2"/>
  <c r="M42" i="2"/>
  <c r="M54" i="2"/>
  <c r="P54" i="2"/>
  <c r="P65" i="2"/>
  <c r="M65" i="2"/>
  <c r="M21" i="2"/>
  <c r="P21" i="2"/>
  <c r="M32" i="2"/>
  <c r="P32" i="2"/>
  <c r="P66" i="2"/>
  <c r="M66" i="2"/>
  <c r="P31" i="2"/>
  <c r="M31" i="2"/>
  <c r="P39" i="2"/>
  <c r="M39" i="2"/>
  <c r="P55" i="1"/>
  <c r="M55" i="1"/>
  <c r="U55" i="1"/>
  <c r="V55" i="1" s="1"/>
  <c r="M8" i="1"/>
  <c r="P8" i="1"/>
  <c r="U8" i="1"/>
  <c r="V8" i="1" s="1"/>
  <c r="P52" i="1"/>
  <c r="M52" i="1"/>
  <c r="U52" i="1"/>
  <c r="V52" i="1" s="1"/>
  <c r="P33" i="1"/>
  <c r="M33" i="1"/>
  <c r="U33" i="1"/>
  <c r="V33" i="1" s="1"/>
  <c r="P21" i="1"/>
  <c r="M21" i="1"/>
  <c r="U21" i="1"/>
  <c r="V21" i="1" s="1"/>
  <c r="P12" i="1"/>
  <c r="M12" i="1"/>
  <c r="U12" i="1"/>
  <c r="V12" i="1" s="1"/>
  <c r="P28" i="1"/>
  <c r="M28" i="1"/>
  <c r="U28" i="1"/>
  <c r="V28" i="1" s="1"/>
  <c r="M40" i="2"/>
  <c r="P40" i="2"/>
  <c r="P18" i="2"/>
  <c r="M18" i="2"/>
  <c r="P19" i="2"/>
  <c r="M19" i="2"/>
  <c r="P41" i="2"/>
  <c r="M41" i="2"/>
  <c r="M43" i="2"/>
  <c r="P43" i="2"/>
  <c r="P50" i="1"/>
  <c r="M50" i="1"/>
  <c r="U50" i="1"/>
  <c r="V50" i="1" s="1"/>
  <c r="P26" i="2"/>
  <c r="M26" i="2"/>
  <c r="P15" i="2"/>
  <c r="M15" i="2"/>
  <c r="P22" i="1"/>
  <c r="M22" i="1"/>
  <c r="U22" i="1"/>
  <c r="V22" i="1" s="1"/>
  <c r="M49" i="1"/>
  <c r="P49" i="1"/>
  <c r="U49" i="1"/>
  <c r="V49" i="1" s="1"/>
  <c r="P9" i="1"/>
  <c r="M9" i="1"/>
  <c r="U9" i="1"/>
  <c r="V9" i="1" s="1"/>
  <c r="P19" i="1"/>
  <c r="M19" i="1"/>
  <c r="U19" i="1"/>
  <c r="V19" i="1" s="1"/>
  <c r="P16" i="1"/>
  <c r="M16" i="1"/>
  <c r="U16" i="1"/>
  <c r="V16" i="1" s="1"/>
  <c r="P24" i="1"/>
  <c r="M24" i="1"/>
  <c r="U24" i="1"/>
  <c r="V24" i="1" s="1"/>
  <c r="M8" i="2"/>
  <c r="P8" i="2"/>
  <c r="M44" i="1"/>
  <c r="P44" i="1"/>
  <c r="U44" i="1"/>
  <c r="V44" i="1" s="1"/>
  <c r="M31" i="1"/>
  <c r="P31" i="1"/>
  <c r="U31" i="1"/>
  <c r="V31" i="1" s="1"/>
  <c r="P11" i="1"/>
  <c r="M11" i="1"/>
  <c r="U11" i="1"/>
  <c r="V11" i="1" s="1"/>
  <c r="P22" i="2"/>
  <c r="M22" i="2"/>
  <c r="P58" i="2"/>
  <c r="M58" i="2"/>
  <c r="M48" i="2"/>
  <c r="P48" i="2"/>
  <c r="M61" i="2"/>
  <c r="P61" i="2"/>
  <c r="P12" i="2"/>
  <c r="M12" i="2"/>
  <c r="P23" i="2"/>
  <c r="M23" i="2"/>
  <c r="P33" i="2"/>
  <c r="M33" i="2"/>
  <c r="P63" i="2"/>
  <c r="M63" i="2"/>
  <c r="M29" i="1"/>
  <c r="U29" i="1"/>
  <c r="V29" i="1" s="1"/>
  <c r="P29" i="1"/>
  <c r="P38" i="1"/>
  <c r="M38" i="1"/>
  <c r="U38" i="1"/>
  <c r="V38" i="1" s="1"/>
  <c r="P54" i="1"/>
  <c r="M54" i="1"/>
  <c r="U54" i="1"/>
  <c r="V54" i="1" s="1"/>
  <c r="M56" i="1"/>
  <c r="P56" i="1"/>
  <c r="U56" i="1"/>
  <c r="V56" i="1" s="1"/>
  <c r="P60" i="1"/>
  <c r="M60" i="1"/>
  <c r="U60" i="1"/>
  <c r="V60" i="1" s="1"/>
  <c r="P27" i="1"/>
  <c r="M27" i="1"/>
  <c r="U27" i="1"/>
  <c r="V27" i="1" s="1"/>
  <c r="P61" i="1"/>
  <c r="U61" i="1"/>
  <c r="V61" i="1" s="1"/>
  <c r="M61" i="1"/>
  <c r="P47" i="2"/>
  <c r="M47" i="2"/>
  <c r="P37" i="1"/>
  <c r="U37" i="1"/>
  <c r="V37" i="1" s="1"/>
  <c r="M37" i="1"/>
  <c r="P14" i="2"/>
  <c r="M14" i="2"/>
  <c r="P49" i="2"/>
  <c r="M49" i="2"/>
  <c r="M57" i="2"/>
  <c r="P57" i="2"/>
  <c r="M11" i="2"/>
  <c r="P11" i="2"/>
  <c r="P20" i="2"/>
  <c r="M20" i="2"/>
  <c r="P17" i="2"/>
  <c r="M17" i="2"/>
  <c r="P36" i="2"/>
  <c r="M36" i="2"/>
  <c r="P34" i="1"/>
  <c r="M34" i="1"/>
  <c r="U34" i="1"/>
  <c r="V34" i="1" s="1"/>
  <c r="M7" i="1"/>
  <c r="P7" i="1"/>
  <c r="U7" i="1"/>
  <c r="V7" i="1" s="1"/>
  <c r="M18" i="1"/>
  <c r="P18" i="1"/>
  <c r="U18" i="1"/>
  <c r="V18" i="1" s="1"/>
  <c r="M59" i="1"/>
  <c r="P59" i="1"/>
  <c r="U59" i="1"/>
  <c r="V59" i="1" s="1"/>
  <c r="P63" i="1"/>
  <c r="M63" i="1"/>
  <c r="U63" i="1"/>
  <c r="V63" i="1" s="1"/>
  <c r="P25" i="1"/>
  <c r="M25" i="1"/>
  <c r="U25" i="1"/>
  <c r="V25" i="1" s="1"/>
  <c r="P43" i="1"/>
  <c r="M43" i="1"/>
  <c r="U43" i="1"/>
  <c r="V43" i="1" s="1"/>
  <c r="P62" i="1"/>
  <c r="M62" i="1"/>
  <c r="U62" i="1"/>
  <c r="V62" i="1" s="1"/>
  <c r="AD156" i="3" l="1"/>
  <c r="AD132" i="3"/>
  <c r="AD117" i="3"/>
  <c r="AD49" i="3"/>
  <c r="AD126" i="3"/>
  <c r="AD133" i="3"/>
  <c r="AD51" i="3"/>
  <c r="AD115" i="3"/>
  <c r="AD62" i="3"/>
  <c r="AD143" i="3"/>
  <c r="AD182" i="3"/>
  <c r="AD103" i="3"/>
  <c r="AD71" i="3"/>
  <c r="AD135" i="3"/>
  <c r="AD41" i="3"/>
  <c r="AD107" i="3"/>
  <c r="AD128" i="3"/>
  <c r="AD119" i="3"/>
  <c r="AD85" i="3"/>
  <c r="AD118" i="3"/>
  <c r="AD147" i="3"/>
  <c r="AD67" i="3"/>
  <c r="AD29" i="3"/>
  <c r="AD50" i="3"/>
  <c r="AD145" i="3"/>
  <c r="AD91" i="3"/>
  <c r="AD86" i="3"/>
  <c r="AD166" i="3"/>
  <c r="AD150" i="3"/>
  <c r="AD57" i="3"/>
  <c r="AD78" i="3"/>
  <c r="AD120" i="3"/>
  <c r="AD177" i="3"/>
  <c r="AD97" i="3"/>
  <c r="AD164" i="3"/>
  <c r="AD30" i="3"/>
  <c r="AD95" i="3"/>
  <c r="AD87" i="3"/>
  <c r="AD96" i="3"/>
  <c r="AD56" i="3"/>
  <c r="AD176" i="3"/>
  <c r="AD47" i="3"/>
  <c r="AD157" i="3"/>
  <c r="AD53" i="3"/>
  <c r="AD65" i="3"/>
  <c r="AD121" i="3"/>
  <c r="AD106" i="3"/>
  <c r="AD109" i="3"/>
  <c r="AD180" i="3"/>
  <c r="AD72" i="3"/>
  <c r="AD39" i="3"/>
  <c r="AD173" i="3"/>
  <c r="AD181" i="3"/>
  <c r="AD148" i="3"/>
  <c r="AD94" i="3"/>
  <c r="AD154" i="3"/>
  <c r="AD7" i="3"/>
  <c r="AD98" i="3"/>
  <c r="AD48" i="3"/>
  <c r="AD108" i="3"/>
  <c r="AD144" i="3"/>
  <c r="AD125" i="3"/>
  <c r="AD124" i="3"/>
  <c r="AD169" i="3"/>
  <c r="AD138" i="3"/>
  <c r="AD170" i="3"/>
  <c r="AD90" i="3"/>
  <c r="AD63" i="3"/>
  <c r="AD66" i="3"/>
  <c r="AD134" i="3"/>
  <c r="AD140" i="3"/>
  <c r="AD141" i="3"/>
  <c r="AD64" i="3"/>
  <c r="AD146" i="3"/>
  <c r="AD171" i="3"/>
  <c r="AD74" i="3"/>
  <c r="AD153" i="3"/>
  <c r="AD77" i="3"/>
  <c r="AD127" i="3"/>
  <c r="AD175" i="3"/>
  <c r="AD69" i="3"/>
  <c r="AD139" i="3"/>
  <c r="AD75" i="3"/>
  <c r="AD92" i="3"/>
  <c r="AD152" i="3"/>
  <c r="AD178" i="3"/>
  <c r="AD161" i="3"/>
  <c r="AD130" i="3"/>
  <c r="AD112" i="3"/>
  <c r="AD42" i="3"/>
  <c r="AD165" i="3"/>
  <c r="AD168" i="3"/>
  <c r="AD84" i="3"/>
  <c r="AD28" i="3"/>
  <c r="AD137" i="3"/>
  <c r="AD43" i="3"/>
  <c r="AD54" i="3"/>
  <c r="AD123" i="3"/>
  <c r="AD110" i="3"/>
  <c r="AD93" i="3"/>
  <c r="AD24" i="3"/>
  <c r="AD158" i="3"/>
  <c r="AD160" i="3"/>
  <c r="AD183" i="3"/>
  <c r="AD116" i="3"/>
  <c r="AD55" i="3"/>
  <c r="AD52" i="3"/>
  <c r="AD179" i="3"/>
  <c r="AD70" i="3"/>
  <c r="AD31" i="3"/>
  <c r="AD136" i="3"/>
  <c r="AD142" i="3"/>
  <c r="AD129" i="3"/>
  <c r="R36" i="2"/>
  <c r="Q36" i="2"/>
  <c r="Q54" i="1"/>
  <c r="R54" i="1"/>
  <c r="Q63" i="2"/>
  <c r="R63" i="2"/>
  <c r="R8" i="2"/>
  <c r="Q8" i="2"/>
  <c r="R33" i="1"/>
  <c r="Q33" i="1"/>
  <c r="Q62" i="1"/>
  <c r="R62" i="1"/>
  <c r="Q47" i="2"/>
  <c r="R47" i="2"/>
  <c r="R50" i="1"/>
  <c r="Q50" i="1"/>
  <c r="Q18" i="2"/>
  <c r="R18" i="2"/>
  <c r="R12" i="1"/>
  <c r="Q12" i="1"/>
  <c r="R21" i="2"/>
  <c r="Q21" i="2"/>
  <c r="R25" i="2"/>
  <c r="Q25" i="2"/>
  <c r="R23" i="1"/>
  <c r="Q23" i="1"/>
  <c r="Q55" i="2"/>
  <c r="R55" i="2"/>
  <c r="Q11" i="2"/>
  <c r="R11" i="2"/>
  <c r="R25" i="1"/>
  <c r="Q25" i="1"/>
  <c r="Q18" i="1"/>
  <c r="R18" i="1"/>
  <c r="R57" i="2"/>
  <c r="Q57" i="2"/>
  <c r="R37" i="1"/>
  <c r="Q37" i="1"/>
  <c r="R27" i="1"/>
  <c r="Q27" i="1"/>
  <c r="Q61" i="2"/>
  <c r="R61" i="2"/>
  <c r="R16" i="1"/>
  <c r="Q16" i="1"/>
  <c r="Q19" i="2"/>
  <c r="R19" i="2"/>
  <c r="Q11" i="1"/>
  <c r="R11" i="1"/>
  <c r="R55" i="1"/>
  <c r="Q55" i="1"/>
  <c r="R63" i="1"/>
  <c r="Q63" i="1"/>
  <c r="R7" i="1"/>
  <c r="Q7" i="1"/>
  <c r="R17" i="2"/>
  <c r="Q17" i="2"/>
  <c r="R49" i="2"/>
  <c r="Q49" i="2"/>
  <c r="R60" i="1"/>
  <c r="Q60" i="1"/>
  <c r="R33" i="2"/>
  <c r="Q33" i="2"/>
  <c r="R19" i="1"/>
  <c r="Q19" i="1"/>
  <c r="Q38" i="1"/>
  <c r="R38" i="1"/>
  <c r="R31" i="1"/>
  <c r="Q31" i="1"/>
  <c r="R22" i="1"/>
  <c r="Q22" i="1"/>
  <c r="R43" i="2"/>
  <c r="Q43" i="2"/>
  <c r="R40" i="2"/>
  <c r="Q40" i="2"/>
  <c r="R52" i="1"/>
  <c r="Q52" i="1"/>
  <c r="Q39" i="2"/>
  <c r="R39" i="2"/>
  <c r="R30" i="2"/>
  <c r="Q30" i="2"/>
  <c r="Q13" i="2"/>
  <c r="R13" i="2"/>
  <c r="R52" i="2"/>
  <c r="Q52" i="2"/>
  <c r="R30" i="1"/>
  <c r="Q30" i="1"/>
  <c r="R41" i="1"/>
  <c r="Q41" i="1"/>
  <c r="R44" i="2"/>
  <c r="Q44" i="2"/>
  <c r="R58" i="1"/>
  <c r="Q58" i="1"/>
  <c r="R24" i="2"/>
  <c r="Q24" i="2"/>
  <c r="Q20" i="1"/>
  <c r="R20" i="1"/>
  <c r="Q9" i="2"/>
  <c r="R9" i="2"/>
  <c r="R10" i="1"/>
  <c r="Q10" i="1"/>
  <c r="R46" i="1"/>
  <c r="Q46" i="1"/>
  <c r="R27" i="2"/>
  <c r="Q27" i="2"/>
  <c r="R28" i="2"/>
  <c r="Q28" i="2"/>
  <c r="R59" i="2"/>
  <c r="Q59" i="2"/>
  <c r="R43" i="1"/>
  <c r="Q43" i="1"/>
  <c r="R14" i="2"/>
  <c r="Q14" i="2"/>
  <c r="R61" i="1"/>
  <c r="Q61" i="1"/>
  <c r="R29" i="1"/>
  <c r="Q29" i="1"/>
  <c r="R58" i="2"/>
  <c r="Q58" i="2"/>
  <c r="Q9" i="1"/>
  <c r="R9" i="1"/>
  <c r="Q15" i="2"/>
  <c r="R15" i="2"/>
  <c r="R21" i="1"/>
  <c r="Q21" i="1"/>
  <c r="R8" i="1"/>
  <c r="Q8" i="1"/>
  <c r="Q31" i="2"/>
  <c r="R31" i="2"/>
  <c r="R65" i="2"/>
  <c r="Q65" i="2"/>
  <c r="R13" i="1"/>
  <c r="Q13" i="1"/>
  <c r="R62" i="2"/>
  <c r="Q62" i="2"/>
  <c r="R46" i="2"/>
  <c r="Q46" i="2"/>
  <c r="R48" i="1"/>
  <c r="Q48" i="1"/>
  <c r="Q7" i="2"/>
  <c r="R15" i="1"/>
  <c r="Q15" i="1"/>
  <c r="R51" i="1"/>
  <c r="Q51" i="1"/>
  <c r="R53" i="1"/>
  <c r="Q53" i="1"/>
  <c r="R38" i="2"/>
  <c r="Q38" i="2"/>
  <c r="R59" i="1"/>
  <c r="Q59" i="1"/>
  <c r="R20" i="2"/>
  <c r="Q20" i="2"/>
  <c r="R56" i="1"/>
  <c r="Q56" i="1"/>
  <c r="Q23" i="2"/>
  <c r="R23" i="2"/>
  <c r="R24" i="1"/>
  <c r="Q24" i="1"/>
  <c r="Q34" i="1"/>
  <c r="R34" i="1"/>
  <c r="R12" i="2"/>
  <c r="Q12" i="2"/>
  <c r="R22" i="2"/>
  <c r="Q22" i="2"/>
  <c r="R44" i="1"/>
  <c r="Q44" i="1"/>
  <c r="R41" i="2"/>
  <c r="Q41" i="2"/>
  <c r="R54" i="2"/>
  <c r="Q54" i="2"/>
  <c r="Q51" i="2"/>
  <c r="R51" i="2"/>
  <c r="R17" i="1"/>
  <c r="Q17" i="1"/>
  <c r="R35" i="2"/>
  <c r="Q35" i="2"/>
  <c r="R32" i="1"/>
  <c r="Q32" i="1"/>
  <c r="R34" i="2"/>
  <c r="Q34" i="2"/>
  <c r="R50" i="2"/>
  <c r="Q50" i="2"/>
  <c r="R49" i="1"/>
  <c r="Q49" i="1"/>
  <c r="R26" i="2"/>
  <c r="Q26" i="2"/>
  <c r="R28" i="1"/>
  <c r="Q28" i="1"/>
  <c r="R66" i="2"/>
  <c r="Q66" i="2"/>
  <c r="Q16" i="2"/>
  <c r="R16" i="2"/>
  <c r="Q64" i="2"/>
  <c r="R64" i="2"/>
  <c r="R56" i="2"/>
  <c r="Q56" i="2"/>
  <c r="R32" i="2"/>
  <c r="Q32" i="2"/>
  <c r="R14" i="1"/>
  <c r="Q14" i="1"/>
  <c r="Q39" i="1"/>
  <c r="R39" i="1"/>
  <c r="R10" i="2"/>
  <c r="Q10" i="2"/>
  <c r="Q35" i="1"/>
  <c r="R35" i="1"/>
  <c r="R40" i="1"/>
  <c r="Q40" i="1"/>
  <c r="R60" i="2"/>
  <c r="Q60" i="2"/>
  <c r="R48" i="2"/>
  <c r="Q48" i="2"/>
  <c r="R42" i="2"/>
  <c r="Q42" i="2"/>
  <c r="R42" i="1"/>
  <c r="Q42" i="1"/>
  <c r="Q53" i="2"/>
  <c r="R53" i="2"/>
  <c r="R36" i="1"/>
  <c r="Q36" i="1"/>
  <c r="Q47" i="1"/>
  <c r="R47" i="1"/>
  <c r="Q37" i="2"/>
  <c r="R37" i="2"/>
  <c r="R26" i="1"/>
  <c r="Q26" i="1"/>
  <c r="Q45" i="1"/>
  <c r="R45" i="1"/>
  <c r="R29" i="2"/>
  <c r="Q29" i="2"/>
  <c r="Q45" i="2"/>
  <c r="R45" i="2"/>
  <c r="Q57" i="1"/>
  <c r="R57" i="1"/>
</calcChain>
</file>

<file path=xl/sharedStrings.xml><?xml version="1.0" encoding="utf-8"?>
<sst xmlns="http://schemas.openxmlformats.org/spreadsheetml/2006/main" count="2606" uniqueCount="272">
  <si>
    <t>Tian Ma Group Holdings Pte Ltd</t>
  </si>
  <si>
    <t xml:space="preserve">Date: </t>
  </si>
  <si>
    <t>9 Changi South Street 3 #07-02/03 Singapore 486361</t>
  </si>
  <si>
    <t>Rate :</t>
  </si>
  <si>
    <t>Supplier: JB YAP BROTHERS FOOD SDN BHD</t>
  </si>
  <si>
    <t>PURCHASE ORDER</t>
  </si>
  <si>
    <t>Cost with Freight &amp; GST, Selling with GST</t>
  </si>
  <si>
    <t>No.</t>
  </si>
  <si>
    <t>Product Name</t>
  </si>
  <si>
    <t>Qty 
(CTN)</t>
  </si>
  <si>
    <t>Packing Size
(PC)</t>
  </si>
  <si>
    <t>Total Ordered Qty</t>
  </si>
  <si>
    <t>Ctn Price
(SGD)
(W/O GST)</t>
  </si>
  <si>
    <t>Unit Price
(SGD)
(W/O GST)</t>
  </si>
  <si>
    <t>Total</t>
  </si>
  <si>
    <t>Unit Cost 
(SGD - PC)
(W/O GST)</t>
  </si>
  <si>
    <t>Total Cost 
(RAW)</t>
  </si>
  <si>
    <t>Unit Cost (9%)
(SGD - PC)</t>
  </si>
  <si>
    <t>Total Cost 
(SGD)
(W GST)</t>
  </si>
  <si>
    <t>TMG Selling Price</t>
  </si>
  <si>
    <t>Total Selling</t>
  </si>
  <si>
    <t>UNIT PROFIT ($)</t>
  </si>
  <si>
    <t>TOTAL PROFIT ($)</t>
  </si>
  <si>
    <t xml:space="preserve">Profit Margin - % </t>
  </si>
  <si>
    <t>TMG
Promotion
Price</t>
  </si>
  <si>
    <t>BIKA AYAM H 60GX10X6</t>
  </si>
  <si>
    <t>60</t>
  </si>
  <si>
    <t>CORNTOZ CHILI CHEEZ 100GX10X5</t>
  </si>
  <si>
    <t>50</t>
  </si>
  <si>
    <t>CORNTOZ HOTZ AND SPICY 100GX10X5</t>
  </si>
  <si>
    <t>CORNTOZ SMOKY BBQZ 100GX10X5</t>
  </si>
  <si>
    <t>DAN HUA CAKE 102GX10X10</t>
  </si>
  <si>
    <t>100</t>
  </si>
  <si>
    <t>DOUBLE DECKER CHEESE RING 70GX10X5</t>
  </si>
  <si>
    <t>DOUBLE DECKER CHICKEN 65GX10X5</t>
  </si>
  <si>
    <t>DOUBLE DECKER PRAWN 80GX10X5</t>
  </si>
  <si>
    <t>MAMEE CUP CHICKEN 60GX6X8</t>
  </si>
  <si>
    <t>48</t>
  </si>
  <si>
    <t>MAMEE CUP CURRY 65GX6X8</t>
  </si>
  <si>
    <t>MAMEE CUP TOMYAM 60GX6X8</t>
  </si>
  <si>
    <t>MAMEE CUP VEG 65GX6X8</t>
  </si>
  <si>
    <t>MENTOS BOTTLE MIX GRAPE 120GX6X8</t>
  </si>
  <si>
    <t>MENTOS BOTTLE YOGURT 120GX6X8</t>
  </si>
  <si>
    <t>RM2.80X12X12 T/FISH N/CRISP PEANUT CDY 8</t>
  </si>
  <si>
    <t>144</t>
  </si>
  <si>
    <t>PAGODA SHANDONG 110GX10X6</t>
  </si>
  <si>
    <t>JACKER POTATO BBQ 110GX14</t>
  </si>
  <si>
    <t>14</t>
  </si>
  <si>
    <t>JACKER POTATO S CREAM 110GX14</t>
  </si>
  <si>
    <t>JACKER POTATO ORIGINAL 110GX14</t>
  </si>
  <si>
    <t>KHY ABANG LATIOA STICK 26GX12X12</t>
  </si>
  <si>
    <t>HIMALAYA ACTIWHOOSH MINTS 15GX12X12</t>
  </si>
  <si>
    <t>HIMALAYA ALTICE FRESH 15GX12X12</t>
  </si>
  <si>
    <t>HIMALAYA HONEY LIME MINTS 15GX12X12</t>
  </si>
  <si>
    <t>WOODS PEPPERMINT LOZENGES 15GX15X18</t>
  </si>
  <si>
    <t>270</t>
  </si>
  <si>
    <t>WOODS CHERRY FLV 15GX15X18</t>
  </si>
  <si>
    <t>WOODS LEMON FLV 15GX15X18</t>
  </si>
  <si>
    <t>DAHFA FISH FILLET 280GX20</t>
  </si>
  <si>
    <t>40</t>
  </si>
  <si>
    <t>DAHFA FISH FILLET 50GX10X8</t>
  </si>
  <si>
    <t>80</t>
  </si>
  <si>
    <t>CORNTOZ F/P CHILI CHEEZ 15GX8X10</t>
  </si>
  <si>
    <t>CORNTOZ F/P HOTZ AND SPICY 15GX8X10</t>
  </si>
  <si>
    <t>DOLPHIN KONJAC DRINK GRAPE 130GX10X4</t>
  </si>
  <si>
    <t>DOLPHIN KONJAC DRINK LYCHEE 130GX10X4</t>
  </si>
  <si>
    <t>DOLPHIN KONJAC JELLY MANGO 130GX10X4</t>
  </si>
  <si>
    <t>DOLPHIN KONJAC JELLY PEACH 130GX10X4</t>
  </si>
  <si>
    <t>LIGO RAISIN SEEDLESS 30GX144</t>
  </si>
  <si>
    <t>LIGO RAISIN G/SEEDLESS 30GX144</t>
  </si>
  <si>
    <t>LOT 100 GUMMY MANGO 130GX24</t>
  </si>
  <si>
    <t>24</t>
  </si>
  <si>
    <t>LOT 100 GUMMY S/BERRY 130GX24</t>
  </si>
  <si>
    <t>LOT 100 SOUR APPLE 95GX24</t>
  </si>
  <si>
    <t>LOT 100 SOUR BLACKCURRANT 95GX24</t>
  </si>
  <si>
    <t>LOT 100 SOUR MANGO 95GX24</t>
  </si>
  <si>
    <t>LOT 100 SOUR ORANGE 95GX24</t>
  </si>
  <si>
    <t>LOT 100 SOUR S'BERRY 95GX24</t>
  </si>
  <si>
    <t>NICKEY SARSI POP 50X30</t>
  </si>
  <si>
    <t>150</t>
  </si>
  <si>
    <t>YLF PIKIN PLUM CANDY 40GX12X12</t>
  </si>
  <si>
    <t>REDONDO W/STICK CAPPUCCINO 100GX24</t>
  </si>
  <si>
    <t>REDONDO W/STICK CHOCO 100GX24</t>
  </si>
  <si>
    <t>REDONDO W/STICK COOKIES AND CREAM 100GX24</t>
  </si>
  <si>
    <t>REDONDO W/STICK GREEN TEA 100GX24</t>
  </si>
  <si>
    <t>REDONDO W/STICK S'BERRY 100GX24</t>
  </si>
  <si>
    <t>REDONDO W/STICK VANILLA 100GX24</t>
  </si>
  <si>
    <t>80GX6X16 RINDA MIXED FRUIT NATA PUDDING</t>
  </si>
  <si>
    <t>96</t>
  </si>
  <si>
    <t>JACKER POTATO BBQ 60GX12X3</t>
  </si>
  <si>
    <t>36</t>
  </si>
  <si>
    <t>JACKER POTATO H&amp;S 60GX12X3</t>
  </si>
  <si>
    <t>JACKER POTATO NATURAL 60GX12X3</t>
  </si>
  <si>
    <t>JACKER POTATO TOMATO 60GX12X3</t>
  </si>
  <si>
    <t>SWIZZLEF MINI ROLL B'BERRY 18GX24X12</t>
  </si>
  <si>
    <t>288</t>
  </si>
  <si>
    <t>SWIZZLEF MINI ROLL COCONUT 18GX24X12</t>
  </si>
  <si>
    <t>SWIZZLEF MINI ROLL CHOCO 18GX24X12</t>
  </si>
  <si>
    <t>SWIZZLEF MINI ROLL S'BERRY 18GX24X12</t>
  </si>
  <si>
    <t xml:space="preserve">
REMARKS:
</t>
  </si>
  <si>
    <t>SUB TOTAL:</t>
  </si>
  <si>
    <t>Total Cost:
(SGD)</t>
  </si>
  <si>
    <t>Total Selling: 
(SGD)</t>
  </si>
  <si>
    <t>Total Profit:</t>
  </si>
  <si>
    <t>9% GST</t>
  </si>
  <si>
    <t>Freight (CNF) Charge:</t>
  </si>
  <si>
    <t>NA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</si>
  <si>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</si>
  <si>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</si>
  <si>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</si>
  <si>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</si>
  <si>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>__________________                    _______________________                               __________________</t>
  </si>
  <si>
    <t>ORDER PREPARED BY                             ACKNOWLEDGE BY                                                      CHECKED BY</t>
  </si>
  <si>
    <t>TOTAL PROFIT($)</t>
  </si>
  <si>
    <t>add 8 %</t>
  </si>
  <si>
    <t>(-18%) post commission rev</t>
  </si>
  <si>
    <t>profit from pandamart</t>
  </si>
  <si>
    <t>margin %(pandamart)</t>
  </si>
  <si>
    <t>BIKA Party Pack Chicken (Hot) 12g × 8 × 24</t>
  </si>
  <si>
    <t>BIKA Party Pack Chicken (Mild) 12g × 8 × 24</t>
  </si>
  <si>
    <t>BF Sour Powder and Lollipop 72g × 12 × 24</t>
  </si>
  <si>
    <t>Lemon Tablets 8g × 5 × 20 x 20 (Non-Returnable)</t>
  </si>
  <si>
    <t>CORNTOZ Hot and Spicy Corn Snack 100g × 10 × 5</t>
  </si>
  <si>
    <t>CORNTOZ Smoky Barbecue Corn Snack 100g × 10 × 5</t>
  </si>
  <si>
    <t>Dan Hua Cake 102g × 10 × 10</t>
  </si>
  <si>
    <t>Double Decker  Chicken 65g × 10 × 5</t>
  </si>
  <si>
    <t>Double Decker  Prawn 80g × 10 × 5</t>
  </si>
  <si>
    <t>Fuyun Peeled Chestnut 108g × 50</t>
  </si>
  <si>
    <t>Himalaya Activefresh Mint 15g × 12 × 12</t>
  </si>
  <si>
    <t>Himalaya Activefresh Fresh Mint 15g × 12 × 12</t>
  </si>
  <si>
    <t>Himalaya Honey Lime Mint 15g × 12 × 12</t>
  </si>
  <si>
    <t>Haw Flakes 12g × 48 (Non-Returnable)</t>
  </si>
  <si>
    <t>Kuaci Rama-Rama Marjerin Flavour 40g × 10 × 15</t>
  </si>
  <si>
    <t>Joystix Biscuit Coated with Chocolate and Strawberry Flavour 15g × 2 × 12 × 6</t>
  </si>
  <si>
    <t>Joystix Biscuit Coated with Chocolate and Vanilla Flavour 15g × 2 × 12 × 6</t>
  </si>
  <si>
    <t>Joystix Biscuit Coated with Chocolate Cream Flavour 40g × 12 × 6</t>
  </si>
  <si>
    <t>Joystix Biscuit Coated with Vanilla Cream Flavour 40g × 12 × 6</t>
  </si>
  <si>
    <t>Joystix Biscuit Coated with Durian Cream Flavour 40g × 12 × 6</t>
  </si>
  <si>
    <t>Joystix Biscuit Coated with Strawberry Cream Flavour 40g × 12 × 6</t>
  </si>
  <si>
    <t>JCH Meishijia Fo Shou Chen Pi 80g × 6 × 8</t>
  </si>
  <si>
    <t>JCH Meishijia Hong Tang Chen Pi 80g × 6 × 8</t>
  </si>
  <si>
    <t>JCH Meishijia Ju Zhi Chuang Pi 85g × 6 × 8</t>
  </si>
  <si>
    <t>JCH Meishijia Ju Zhi Yang Mei 100g × 6 × 8</t>
  </si>
  <si>
    <t>JCH Meishijia Ju Hua Chen Pi 80g × 6 × 8</t>
  </si>
  <si>
    <t>KHY Mini Latiao 72g × 12 (Not Returnable)</t>
  </si>
  <si>
    <t>BIKA Party Pack Fish Cake Cheese 14g × 8 × 24</t>
  </si>
  <si>
    <t>BIKA Seafood Hot and Spicy 60g × 10 × 6</t>
  </si>
  <si>
    <t>JCH Meishijia Mei Gui Chen Pi 80g × 6 × 8</t>
  </si>
  <si>
    <t>Mentos Bottle Mixed Grape 120g × 6 × 8</t>
  </si>
  <si>
    <t>Mentos Bottle Mint 120g × 6 × 8</t>
  </si>
  <si>
    <t>Mentos Bottle Sour Mix 120g × 6 × 8</t>
  </si>
  <si>
    <t>Mentos Bottle Yogurt 120g × 6 × 8</t>
  </si>
  <si>
    <t>Pagoda Shandong Candy 110g × 10 × 6</t>
  </si>
  <si>
    <t>Rinda Mixed Fruit Jelly 115g × 16</t>
  </si>
  <si>
    <t>Rinda Mixed Fruits Jelly 225g × 30</t>
  </si>
  <si>
    <t>Rinda Mango Nata Pudding 80g × 6 × 16</t>
  </si>
  <si>
    <t>Shoyuenmi Black Pepper Snack 14g × 8 × 24</t>
  </si>
  <si>
    <t>Shoyuenmi Original Snack 14g × 8 × 24</t>
  </si>
  <si>
    <t>Shoyuenmi Seaweed Snack 14g × 8 × 24</t>
  </si>
  <si>
    <t>Shoyuenmi Spicy Snack 14g × 8 × 24</t>
  </si>
  <si>
    <t>Snek Ku MiMI Snack 20g × 8 × 24</t>
  </si>
  <si>
    <t>Snek Ku Tam Tam Snack 20g × 8 × 24</t>
  </si>
  <si>
    <t>Shoyuenmi Curry Snack 50g × 10 × 6</t>
  </si>
  <si>
    <t>Shoyuenmi Black Pepper Snack 50g × 10 × 6</t>
  </si>
  <si>
    <t>MIMI 60G*10*6</t>
  </si>
  <si>
    <t>Shoyuenmi Spicy Snack 50g × 10 × 6</t>
  </si>
  <si>
    <t>Tam Tam Snack 60g × 10 × 6</t>
  </si>
  <si>
    <t>Tam Tam Chili Crab Snack 70g × 10 × 6</t>
  </si>
  <si>
    <t>Train Haw Ball 228g × 40</t>
  </si>
  <si>
    <t>Train Slice of Haw 180g × 40</t>
  </si>
  <si>
    <t>Wang Wang Ball Cake 45g × 10 × 4</t>
  </si>
  <si>
    <t>Woods Peppermint Lozenges 15g × 15 × 18</t>
  </si>
  <si>
    <t>Woods Blackcurrant Lozenges 15g × 15 × 18</t>
  </si>
  <si>
    <t>Woods Cherry Lozenges 15g × 15 × 18</t>
  </si>
  <si>
    <t>Woods Lemon Lozenges 15g × 15 × 18</t>
  </si>
  <si>
    <t xml:space="preserve">____________________     ____________________     ____________________     ____________________     ____________________     </t>
  </si>
  <si>
    <t xml:space="preserve">              ORDER BY                          CHECKED BY                       SUBMITTED BY                 ACKNOWLEDGE BY              PRICE CHECKED BY</t>
  </si>
  <si>
    <t>BIKA AYAM M 60GX10X6</t>
  </si>
  <si>
    <t>BIKA Party Pack Ayam(H) 12g × 8 × 24</t>
  </si>
  <si>
    <t>BIKA Party Pack Ayam (M) 12g × 8 × 24</t>
  </si>
  <si>
    <t>BIKA Party Pack Vegetable 12g × 8 × 24</t>
  </si>
  <si>
    <t>BIKA Party Pack Fika Choco 12g × 8 × 24</t>
  </si>
  <si>
    <t>CORNTOZ CHEESY PIZZA 80GX10X5</t>
  </si>
  <si>
    <t>DOLPHIN KONJAC JELLY MANGO 20GX15X24</t>
  </si>
  <si>
    <t>DOLPHIN KONJAC JELLY PEACH 20GX15X24</t>
  </si>
  <si>
    <t>DOLPHIN KONJAC JELLY LYCHEE 20GX15X24</t>
  </si>
  <si>
    <t>DOLPHIN KONJAC JELLY GRAPE 20GX15X24</t>
  </si>
  <si>
    <t>DOLPHIN JELLY WITH NATA MIX 32GX8X24</t>
  </si>
  <si>
    <t>FIZZY KOLA 120GM</t>
  </si>
  <si>
    <t>FRUIT PLUS APPLE 120GM</t>
  </si>
  <si>
    <t>FRUIT PLUS B'CURRANT 120GM</t>
  </si>
  <si>
    <t>FRUIT PLUS MANGO 120GM</t>
  </si>
  <si>
    <t>MINT PLUS COOL BLUE 120GM</t>
  </si>
  <si>
    <t>WIN2 KOALA KIDS CHOCO RM 2.6*36</t>
  </si>
  <si>
    <t>WIN2 KOALA KIDS STRAWBERRY RM 2.6*36</t>
  </si>
  <si>
    <t>WIN2 KOALA KIDS CHEESE RM 2.6*36</t>
  </si>
  <si>
    <t>JACKER POTATO H&amp;S 110GX14</t>
  </si>
  <si>
    <t>JACKER POTATO CHEESE 110GX14</t>
  </si>
  <si>
    <t>JACKER POTATO SEAWEED 110GX14</t>
  </si>
  <si>
    <t>JACKER POTATO HONEY BUTTER 110GX14</t>
  </si>
  <si>
    <t>JACKER WAFER CUBE CHOCO 80G*30</t>
  </si>
  <si>
    <t>JACKER WAFER CUBE HAZELNUT 80G*30</t>
  </si>
  <si>
    <t>JACKER WAFER CUBE PEANUT 80G*30</t>
  </si>
  <si>
    <t>Snek Ku Pick Fine 22g × 8 × 24</t>
  </si>
  <si>
    <t>EJH STAR CEREAL 55G *16*5</t>
  </si>
  <si>
    <t>EJH VITA BALL 55G *16*5</t>
  </si>
  <si>
    <t>EJH VITA KOKO 55G *16*5</t>
  </si>
  <si>
    <t>EJH VITA RAINBOW 55G *16*5</t>
  </si>
  <si>
    <t>AKIKO FUNNY STICK 10G*12 RM 2.20*80</t>
  </si>
  <si>
    <t>AKIKO V/FOOD PASTEL MARSHMALLOW 60G</t>
  </si>
  <si>
    <t>AKIKO VITALAND BALL L/POP 22*48</t>
  </si>
  <si>
    <t>PUSH POP CANDY 14G*20*20</t>
  </si>
  <si>
    <t>FRUIT PLUS LYCHEE 120GM</t>
  </si>
  <si>
    <t>FRUIT PLUS S'BERRY 120GM</t>
  </si>
  <si>
    <t>GOODFOOD BLACKPEPPER FISH 210G</t>
  </si>
  <si>
    <t>GOODFOOD SOTONG PANGGANG 210G</t>
  </si>
  <si>
    <t>LOT 100 GUMMY BLACKCURRANT 130GX24</t>
  </si>
  <si>
    <t>PRINGLES CHEESY CHEESE 102G*12</t>
  </si>
  <si>
    <t>PRINGLES HOT&amp;SPICY 102G*12</t>
  </si>
  <si>
    <t>PRINGLES ORIGINAL 102G*12</t>
  </si>
  <si>
    <t>PRINGLES SOUR CREAM 102G*12</t>
  </si>
  <si>
    <t>PRINGLES BBQ 102G*12</t>
  </si>
  <si>
    <t>shoyuemi Black Pepper Snack 14g × 8 × 24</t>
  </si>
  <si>
    <t>shoyuemi Original Snack 14g × 8 × 24</t>
  </si>
  <si>
    <t>shoyuemi Mee Seaweed Snack 14g × 8 × 24</t>
  </si>
  <si>
    <t>shoyuemi Spicy Snack 14g × 8 × 24</t>
  </si>
  <si>
    <t>shoyuemi Curry Snack 50g × 10 × 6</t>
  </si>
  <si>
    <t>shoyuemi Black Pepper Snack 50g × 10 × 6</t>
  </si>
  <si>
    <t>shoyuemi Spicy Snack 50g × 10 × 6</t>
  </si>
  <si>
    <t>Train Haw Flakes 7g*10*12</t>
  </si>
  <si>
    <t>AKIKO FRUITY MARSHMALLOW TWIST 85G</t>
  </si>
  <si>
    <t>BORO ORIGINAL 195G</t>
  </si>
  <si>
    <t>BORO PANDAN 195G</t>
  </si>
  <si>
    <t>CORNTOZ F/P SMOKY BBQZ 15GX8X10</t>
  </si>
  <si>
    <t>DOLPHIN JELLY WITH NATA MANGO 32GX8X24</t>
  </si>
  <si>
    <t>DOLPHIN KONJAC DRINK MANGO 130GX10X4</t>
  </si>
  <si>
    <t>POLO 24G*24*24</t>
  </si>
  <si>
    <t>shoyuemi seaweed 50g × 10 × 6</t>
  </si>
  <si>
    <t>MIMI BAWANG MI BERCILI 60G*10*6</t>
  </si>
  <si>
    <t>WIN2 POTATO CRISP BBQ RM2.60*36 40GM</t>
  </si>
  <si>
    <t>WIN2 POTATO CRISP TOMATO RM2.60*36 40GM</t>
  </si>
  <si>
    <t>WIN2 POTATO CRISP VEGETABLE RM2.60*36 40GM</t>
  </si>
  <si>
    <t>WIN2 POTATO CRISP SWEET POTATO RM2.60*36 40GM</t>
  </si>
  <si>
    <t>WIN2 POTATO CRISP HIMALAYAN SALT RM2.60*36 40GM</t>
  </si>
  <si>
    <t>WIN2 POTATO CRISP SEAFOOD RM2.60*36 40GM</t>
  </si>
  <si>
    <t>GOODFOOD BLACK PEPPER RM2.20*60 50GM</t>
  </si>
  <si>
    <t>GOODFOOD SOTONG PANGGANG RM2.20*60 50GM</t>
  </si>
  <si>
    <t>POPO MURUKU 8s RM2*10*6 12GM</t>
  </si>
  <si>
    <t>POPO MURUKU PEDAas 8s RM 2*10*6 12FM</t>
  </si>
  <si>
    <t xml:space="preserve">HS/B SPECIAL CREAM CRACKERS 225G*12 </t>
  </si>
  <si>
    <t xml:space="preserve">HS/B WHEAT CRACKERS 230G*12 </t>
  </si>
  <si>
    <t xml:space="preserve">HS/B SUGAR CRACKERS 250G*12 </t>
  </si>
  <si>
    <t>10</t>
  </si>
  <si>
    <t>Joystix Biscuit Coated withVanillaCream Flavour 40g×12×6</t>
  </si>
  <si>
    <t>Joystix Biscuit Coated withDurianCream Flavour 40gx12x6</t>
  </si>
  <si>
    <t>Joystix Biscuit Coated withStrawberryCream Flavour 40g×12×6</t>
  </si>
  <si>
    <t>Joystix Biscuit Coated withChocolateCream Flavour 40g×12×6</t>
  </si>
  <si>
    <t>Joystix Biscuit Coated withChocolate&amp;Vanilla Flavour 15g×2×12×6</t>
  </si>
  <si>
    <t>Joystix Biscuit Coated withChocolate&amp;Strawberry Flavour 15g×2×12×6</t>
  </si>
  <si>
    <t>PRICE WE WANT</t>
  </si>
  <si>
    <t>GRAB COMM 18%</t>
  </si>
  <si>
    <t>REQUIRED S PRICE</t>
  </si>
  <si>
    <t>FOOD PANDA COMM</t>
  </si>
  <si>
    <t>( % GST</t>
  </si>
  <si>
    <t>TOTAL</t>
  </si>
  <si>
    <t>NET AFTER COMM</t>
  </si>
  <si>
    <t>DIFFERENCE</t>
  </si>
  <si>
    <t>VALUE DOLLAR{TAMPINES AND BEDOK} PRICING</t>
  </si>
  <si>
    <t>MARGIN EARNED</t>
  </si>
  <si>
    <t>-</t>
  </si>
  <si>
    <t>2/3/26</t>
  </si>
  <si>
    <t>22/12/25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</si>
</sst>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(&quot;₹&quot;* #,##0.00_);_(&quot;₹&quot;* \(#,##0.00\);_(&quot;₹&quot;* &quot;-&quot;??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0.000"/>
    <numFmt numFmtId="166" formatCode="0.0000"/>
    <numFmt numFmtId="167" formatCode="&quot;$&quot;#,##0.0000"/>
    <numFmt numFmtId="168" formatCode="&quot;$&quot;#,##0.00"/>
    <numFmt numFmtId="169" formatCode="_-&quot;$&quot;* #,##0.00_-;\-&quot;$&quot;* #,##0.00_-;_-&quot;$&quot;* &quot;-&quot;??_-;_-@_-"/>
    <numFmt numFmtId="170" formatCode="&quot;$&quot;&quot; &quot;#,##0.00"/>
    <numFmt numFmtId="171" formatCode="_-[$$-4809]* #,##0.00_-;\-[$$-4809]* #,##0.00_-;_-[$$-4809]* &quot;-&quot;??_-;_-@_-"/>
    <numFmt numFmtId="172" formatCode="_-&quot;$&quot;* #,##0.000_-;\-&quot;$&quot;* #,##0.000_-;_-&quot;$&quot;* &quot;-&quot;???_-;_-@_-"/>
    <numFmt numFmtId="173" formatCode="&quot;$&quot;&quot; &quot;#,##0.0000"/>
    <numFmt numFmtId="174" formatCode="0.000%"/>
    <numFmt numFmtId="175" formatCode="&quot; &quot;&quot;$&quot;* #,##0.00&quot; &quot;;&quot;-&quot;&quot;$&quot;* #,##0.00&quot; &quot;;&quot; &quot;&quot;$&quot;* &quot;-&quot;??&quot; &quot;"/>
    <numFmt numFmtId="176" formatCode="&quot; &quot;&quot;$&quot;* #,##0.0000&quot; &quot;;&quot;-&quot;&quot;$&quot;* #,##0.0000&quot; &quot;;&quot; &quot;&quot;$&quot;* &quot;-&quot;??&quot; &quot;"/>
    <numFmt numFmtId="177" formatCode="&quot; &quot;[$CNY]* #,##0.00&quot; &quot;;&quot; &quot;[$CNY]* &quot;-&quot;#,##0.00&quot; &quot;;&quot; &quot;[$CNY]* &quot;-&quot;??&quot; &quot;"/>
    <numFmt numFmtId="178" formatCode="&quot; &quot;[$$-409]* #,##0.0000&quot; &quot;;&quot; &quot;[$$-409]* &quot;-&quot;#,##0.0000&quot; &quot;;&quot; &quot;[$$-409]* &quot;-&quot;??&quot; &quot;"/>
    <numFmt numFmtId="179" formatCode="&quot; &quot;&quot;$&quot;* #,##0.00000&quot; &quot;;&quot;-&quot;&quot;$&quot;* #,##0.00000&quot; &quot;;&quot; &quot;&quot;$&quot;* &quot;-&quot;??&quot; &quot;"/>
    <numFmt numFmtId="180" formatCode="&quot;$&quot;&quot; &quot;#,##0.0"/>
    <numFmt numFmtId="181" formatCode="[$$-409]#,##0.00_);\([$$-409]#,##0.00\)"/>
  </numFmts>
  <fonts count="3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indexed="8"/>
      <name val="Calibri (Body)"/>
    </font>
    <font>
      <sz val="10"/>
      <color indexed="8"/>
      <name val="Calibri (Body)"/>
    </font>
    <font>
      <sz val="10"/>
      <color theme="1"/>
      <name val="Calibri (Body)"/>
    </font>
    <font>
      <b/>
      <sz val="10"/>
      <color theme="1"/>
      <name val="Calibri (Body)"/>
    </font>
    <font>
      <u/>
      <sz val="10"/>
      <color indexed="8"/>
      <name val="Calibri (Body)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2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u/>
      <sz val="14"/>
      <color indexed="8"/>
      <name val="Calibri"/>
      <family val="2"/>
    </font>
    <font>
      <b/>
      <sz val="14"/>
      <color indexed="8"/>
      <name val="Calibri"/>
      <family val="2"/>
    </font>
    <font>
      <sz val="11"/>
      <color theme="1"/>
      <name val="Calibri"/>
      <family val="2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13"/>
      <name val="Calibri"/>
      <family val="2"/>
    </font>
    <font>
      <b/>
      <sz val="11"/>
      <color indexed="8"/>
      <name val="Calibri (Body)"/>
    </font>
    <font>
      <b/>
      <sz val="16"/>
      <color indexed="8"/>
      <name val="Calibri (Body)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/>
      <right style="thin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10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thin">
        <color indexed="64"/>
      </top>
      <bottom style="medium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8"/>
      </top>
      <bottom style="thin">
        <color indexed="10"/>
      </bottom>
      <diagonal/>
    </border>
    <border>
      <left/>
      <right style="thin">
        <color indexed="10"/>
      </right>
      <top style="medium">
        <color indexed="8"/>
      </top>
      <bottom style="thin">
        <color indexed="10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64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thin">
        <color indexed="64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10"/>
      </left>
      <right/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10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2" fillId="0" borderId="0"/>
    <xf numFmtId="0" fontId="1" fillId="0" borderId="0"/>
    <xf numFmtId="9" fontId="3" fillId="0" borderId="0"/>
    <xf numFmtId="44" fontId="3" fillId="0" borderId="0"/>
    <xf numFmtId="0" fontId="2" fillId="0" borderId="0"/>
  </cellStyleXfs>
  <cellXfs count="369">
    <xf numFmtId="0" fontId="0" fillId="0" borderId="0" xfId="0"/>
    <xf numFmtId="49" fontId="4" fillId="2" borderId="63" xfId="0" applyNumberFormat="1" applyFont="1" applyFill="1" applyBorder="1" applyAlignment="1">
      <alignment horizontal="right"/>
    </xf>
    <xf numFmtId="0" fontId="5" fillId="2" borderId="61" xfId="0" applyFont="1" applyFill="1" applyBorder="1"/>
    <xf numFmtId="0" fontId="6" fillId="0" borderId="0" xfId="0" applyFont="1"/>
    <xf numFmtId="0" fontId="7" fillId="0" borderId="0" xfId="0" applyFont="1"/>
    <xf numFmtId="49" fontId="4" fillId="2" borderId="59" xfId="0" applyNumberFormat="1" applyFont="1" applyFill="1" applyBorder="1" applyAlignment="1">
      <alignment horizontal="right"/>
    </xf>
    <xf numFmtId="165" fontId="4" fillId="2" borderId="30" xfId="0" applyNumberFormat="1" applyFont="1" applyFill="1" applyBorder="1" applyAlignment="1">
      <alignment horizontal="center"/>
    </xf>
    <xf numFmtId="166" fontId="4" fillId="2" borderId="30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4" fontId="6" fillId="0" borderId="0" xfId="0" applyNumberFormat="1" applyFont="1"/>
    <xf numFmtId="0" fontId="6" fillId="2" borderId="54" xfId="0" applyFont="1" applyFill="1" applyBorder="1"/>
    <xf numFmtId="0" fontId="4" fillId="2" borderId="54" xfId="0" applyFont="1" applyFill="1" applyBorder="1"/>
    <xf numFmtId="167" fontId="6" fillId="2" borderId="54" xfId="0" applyNumberFormat="1" applyFont="1" applyFill="1" applyBorder="1"/>
    <xf numFmtId="168" fontId="6" fillId="2" borderId="54" xfId="0" applyNumberFormat="1" applyFont="1" applyFill="1" applyBorder="1"/>
    <xf numFmtId="0" fontId="6" fillId="2" borderId="2" xfId="0" applyFont="1" applyFill="1" applyBorder="1"/>
    <xf numFmtId="0" fontId="6" fillId="2" borderId="58" xfId="0" applyFont="1" applyFill="1" applyBorder="1"/>
    <xf numFmtId="0" fontId="8" fillId="2" borderId="58" xfId="0" applyFont="1" applyFill="1" applyBorder="1"/>
    <xf numFmtId="0" fontId="8" fillId="0" borderId="58" xfId="0" applyFont="1" applyBorder="1"/>
    <xf numFmtId="0" fontId="8" fillId="2" borderId="53" xfId="0" applyFont="1" applyFill="1" applyBorder="1"/>
    <xf numFmtId="0" fontId="5" fillId="2" borderId="53" xfId="0" applyFont="1" applyFill="1" applyBorder="1"/>
    <xf numFmtId="0" fontId="6" fillId="2" borderId="56" xfId="0" applyFont="1" applyFill="1" applyBorder="1"/>
    <xf numFmtId="168" fontId="6" fillId="2" borderId="26" xfId="0" applyNumberFormat="1" applyFont="1" applyFill="1" applyBorder="1"/>
    <xf numFmtId="0" fontId="6" fillId="2" borderId="53" xfId="0" applyFont="1" applyFill="1" applyBorder="1"/>
    <xf numFmtId="0" fontId="6" fillId="0" borderId="53" xfId="0" applyFont="1" applyBorder="1"/>
    <xf numFmtId="49" fontId="4" fillId="3" borderId="32" xfId="0" applyNumberFormat="1" applyFont="1" applyFill="1" applyBorder="1" applyAlignment="1">
      <alignment horizontal="center"/>
    </xf>
    <xf numFmtId="49" fontId="4" fillId="3" borderId="52" xfId="0" applyNumberFormat="1" applyFont="1" applyFill="1" applyBorder="1" applyAlignment="1">
      <alignment horizontal="center"/>
    </xf>
    <xf numFmtId="49" fontId="4" fillId="3" borderId="52" xfId="0" applyNumberFormat="1" applyFont="1" applyFill="1" applyBorder="1" applyAlignment="1">
      <alignment horizontal="center" wrapText="1"/>
    </xf>
    <xf numFmtId="49" fontId="4" fillId="3" borderId="51" xfId="0" applyNumberFormat="1" applyFont="1" applyFill="1" applyBorder="1" applyAlignment="1">
      <alignment horizontal="center"/>
    </xf>
    <xf numFmtId="168" fontId="4" fillId="2" borderId="50" xfId="0" applyNumberFormat="1" applyFont="1" applyFill="1" applyBorder="1" applyAlignment="1">
      <alignment horizontal="center"/>
    </xf>
    <xf numFmtId="49" fontId="4" fillId="3" borderId="49" xfId="0" applyNumberFormat="1" applyFont="1" applyFill="1" applyBorder="1" applyAlignment="1">
      <alignment horizontal="center" wrapText="1"/>
    </xf>
    <xf numFmtId="49" fontId="4" fillId="3" borderId="48" xfId="0" applyNumberFormat="1" applyFont="1" applyFill="1" applyBorder="1" applyAlignment="1">
      <alignment horizontal="center" wrapText="1"/>
    </xf>
    <xf numFmtId="49" fontId="4" fillId="6" borderId="48" xfId="0" applyNumberFormat="1" applyFont="1" applyFill="1" applyBorder="1" applyAlignment="1">
      <alignment horizontal="center" wrapText="1"/>
    </xf>
    <xf numFmtId="0" fontId="6" fillId="0" borderId="19" xfId="0" applyFont="1" applyBorder="1"/>
    <xf numFmtId="0" fontId="6" fillId="0" borderId="47" xfId="0" applyFont="1" applyBorder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6" fillId="2" borderId="38" xfId="0" applyFont="1" applyFill="1" applyBorder="1" applyAlignment="1">
      <alignment horizontal="left" wrapText="1"/>
    </xf>
    <xf numFmtId="0" fontId="6" fillId="2" borderId="37" xfId="0" applyFont="1" applyFill="1" applyBorder="1" applyAlignment="1">
      <alignment horizontal="left" wrapText="1"/>
    </xf>
    <xf numFmtId="3" fontId="6" fillId="0" borderId="36" xfId="0" applyNumberFormat="1" applyFont="1" applyBorder="1" applyAlignment="1">
      <alignment horizontal="center"/>
    </xf>
    <xf numFmtId="3" fontId="6" fillId="0" borderId="35" xfId="0" applyNumberFormat="1" applyFont="1" applyBorder="1" applyAlignment="1">
      <alignment horizontal="center"/>
    </xf>
    <xf numFmtId="49" fontId="4" fillId="3" borderId="46" xfId="0" applyNumberFormat="1" applyFont="1" applyFill="1" applyBorder="1" applyAlignment="1">
      <alignment horizontal="center" wrapText="1"/>
    </xf>
    <xf numFmtId="169" fontId="6" fillId="2" borderId="44" xfId="0" applyNumberFormat="1" applyFont="1" applyFill="1" applyBorder="1" applyAlignment="1">
      <alignment horizontal="center"/>
    </xf>
    <xf numFmtId="0" fontId="6" fillId="2" borderId="45" xfId="0" applyFont="1" applyFill="1" applyBorder="1"/>
    <xf numFmtId="170" fontId="4" fillId="2" borderId="42" xfId="0" applyNumberFormat="1" applyFont="1" applyFill="1" applyBorder="1" applyAlignment="1">
      <alignment horizontal="center"/>
    </xf>
    <xf numFmtId="170" fontId="4" fillId="2" borderId="41" xfId="0" applyNumberFormat="1" applyFont="1" applyFill="1" applyBorder="1" applyAlignment="1">
      <alignment horizontal="center"/>
    </xf>
    <xf numFmtId="170" fontId="5" fillId="2" borderId="40" xfId="0" applyNumberFormat="1" applyFont="1" applyFill="1" applyBorder="1" applyAlignment="1">
      <alignment horizontal="center"/>
    </xf>
    <xf numFmtId="49" fontId="6" fillId="2" borderId="39" xfId="0" applyNumberFormat="1" applyFont="1" applyFill="1" applyBorder="1" applyAlignment="1">
      <alignment horizontal="left" wrapText="1"/>
    </xf>
    <xf numFmtId="49" fontId="4" fillId="3" borderId="34" xfId="0" applyNumberFormat="1" applyFont="1" applyFill="1" applyBorder="1" applyAlignment="1">
      <alignment horizontal="center" wrapText="1"/>
    </xf>
    <xf numFmtId="169" fontId="6" fillId="2" borderId="33" xfId="0" applyNumberFormat="1" applyFont="1" applyFill="1" applyBorder="1" applyAlignment="1">
      <alignment horizontal="center"/>
    </xf>
    <xf numFmtId="0" fontId="6" fillId="2" borderId="9" xfId="0" applyFont="1" applyFill="1" applyBorder="1"/>
    <xf numFmtId="170" fontId="5" fillId="2" borderId="28" xfId="0" applyNumberFormat="1" applyFont="1" applyFill="1" applyBorder="1" applyAlignment="1">
      <alignment horizontal="center"/>
    </xf>
    <xf numFmtId="0" fontId="6" fillId="2" borderId="27" xfId="0" applyFont="1" applyFill="1" applyBorder="1" applyAlignment="1">
      <alignment horizontal="left" wrapText="1"/>
    </xf>
    <xf numFmtId="0" fontId="6" fillId="2" borderId="26" xfId="0" applyFont="1" applyFill="1" applyBorder="1" applyAlignment="1">
      <alignment horizontal="left" wrapText="1"/>
    </xf>
    <xf numFmtId="0" fontId="6" fillId="2" borderId="25" xfId="0" applyFont="1" applyFill="1" applyBorder="1" applyAlignment="1">
      <alignment horizontal="left" wrapText="1"/>
    </xf>
    <xf numFmtId="3" fontId="6" fillId="0" borderId="24" xfId="0" applyNumberFormat="1" applyFont="1" applyBorder="1" applyAlignment="1">
      <alignment horizontal="center"/>
    </xf>
    <xf numFmtId="3" fontId="6" fillId="0" borderId="23" xfId="0" applyNumberFormat="1" applyFont="1" applyBorder="1" applyAlignment="1">
      <alignment horizontal="center"/>
    </xf>
    <xf numFmtId="49" fontId="4" fillId="3" borderId="22" xfId="0" applyNumberFormat="1" applyFont="1" applyFill="1" applyBorder="1" applyAlignment="1">
      <alignment horizontal="right" wrapText="1"/>
    </xf>
    <xf numFmtId="169" fontId="5" fillId="4" borderId="10" xfId="0" applyNumberFormat="1" applyFont="1" applyFill="1" applyBorder="1"/>
    <xf numFmtId="170" fontId="5" fillId="2" borderId="20" xfId="0" applyNumberFormat="1" applyFont="1" applyFill="1" applyBorder="1" applyAlignment="1">
      <alignment horizontal="center"/>
    </xf>
    <xf numFmtId="0" fontId="6" fillId="2" borderId="16" xfId="0" applyFont="1" applyFill="1" applyBorder="1" applyAlignment="1">
      <alignment horizontal="left" wrapText="1"/>
    </xf>
    <xf numFmtId="0" fontId="6" fillId="2" borderId="15" xfId="0" applyFont="1" applyFill="1" applyBorder="1" applyAlignment="1">
      <alignment horizontal="left" wrapText="1"/>
    </xf>
    <xf numFmtId="0" fontId="6" fillId="2" borderId="14" xfId="0" applyFont="1" applyFill="1" applyBorder="1" applyAlignment="1">
      <alignment horizontal="left" wrapText="1"/>
    </xf>
    <xf numFmtId="167" fontId="4" fillId="3" borderId="13" xfId="0" applyNumberFormat="1" applyFont="1" applyFill="1" applyBorder="1" applyAlignment="1">
      <alignment horizontal="right" wrapText="1"/>
    </xf>
    <xf numFmtId="167" fontId="4" fillId="3" borderId="12" xfId="0" applyNumberFormat="1" applyFont="1" applyFill="1" applyBorder="1" applyAlignment="1">
      <alignment horizontal="right" wrapText="1"/>
    </xf>
    <xf numFmtId="49" fontId="4" fillId="3" borderId="11" xfId="0" applyNumberFormat="1" applyFont="1" applyFill="1" applyBorder="1" applyAlignment="1">
      <alignment horizontal="right" wrapText="1"/>
    </xf>
    <xf numFmtId="169" fontId="6" fillId="2" borderId="10" xfId="0" applyNumberFormat="1" applyFont="1" applyFill="1" applyBorder="1"/>
    <xf numFmtId="170" fontId="5" fillId="2" borderId="7" xfId="0" applyNumberFormat="1" applyFont="1" applyFill="1" applyBorder="1" applyAlignment="1">
      <alignment horizontal="center"/>
    </xf>
    <xf numFmtId="0" fontId="5" fillId="2" borderId="1" xfId="0" applyFont="1" applyFill="1" applyBorder="1"/>
    <xf numFmtId="170" fontId="4" fillId="3" borderId="6" xfId="0" applyNumberFormat="1" applyFont="1" applyFill="1" applyBorder="1" applyAlignment="1">
      <alignment horizontal="right" wrapText="1"/>
    </xf>
    <xf numFmtId="170" fontId="6" fillId="2" borderId="44" xfId="0" applyNumberFormat="1" applyFont="1" applyFill="1" applyBorder="1" applyAlignment="1">
      <alignment horizontal="center"/>
    </xf>
    <xf numFmtId="170" fontId="4" fillId="3" borderId="36" xfId="0" applyNumberFormat="1" applyFont="1" applyFill="1" applyBorder="1" applyAlignment="1">
      <alignment horizontal="center" wrapText="1"/>
    </xf>
    <xf numFmtId="170" fontId="4" fillId="3" borderId="43" xfId="0" applyNumberFormat="1" applyFont="1" applyFill="1" applyBorder="1" applyAlignment="1">
      <alignment horizontal="center" wrapText="1"/>
    </xf>
    <xf numFmtId="170" fontId="4" fillId="3" borderId="0" xfId="0" applyNumberFormat="1" applyFont="1" applyFill="1" applyAlignment="1">
      <alignment horizontal="center"/>
    </xf>
    <xf numFmtId="170" fontId="4" fillId="3" borderId="35" xfId="0" applyNumberFormat="1" applyFont="1" applyFill="1" applyBorder="1" applyAlignment="1">
      <alignment horizontal="center"/>
    </xf>
    <xf numFmtId="170" fontId="4" fillId="3" borderId="32" xfId="0" applyNumberFormat="1" applyFont="1" applyFill="1" applyBorder="1" applyAlignment="1">
      <alignment horizontal="right" wrapText="1"/>
    </xf>
    <xf numFmtId="170" fontId="4" fillId="2" borderId="31" xfId="0" applyNumberFormat="1" applyFont="1" applyFill="1" applyBorder="1" applyAlignment="1">
      <alignment horizontal="right"/>
    </xf>
    <xf numFmtId="170" fontId="5" fillId="2" borderId="19" xfId="0" applyNumberFormat="1" applyFont="1" applyFill="1" applyBorder="1" applyAlignment="1">
      <alignment horizontal="center" wrapText="1"/>
    </xf>
    <xf numFmtId="170" fontId="4" fillId="3" borderId="30" xfId="0" applyNumberFormat="1" applyFont="1" applyFill="1" applyBorder="1" applyAlignment="1">
      <alignment horizontal="center"/>
    </xf>
    <xf numFmtId="170" fontId="4" fillId="3" borderId="29" xfId="0" applyNumberFormat="1" applyFont="1" applyFill="1" applyBorder="1" applyAlignment="1">
      <alignment horizontal="center"/>
    </xf>
    <xf numFmtId="170" fontId="4" fillId="3" borderId="21" xfId="0" applyNumberFormat="1" applyFont="1" applyFill="1" applyBorder="1" applyAlignment="1">
      <alignment horizontal="right" wrapText="1"/>
    </xf>
    <xf numFmtId="170" fontId="4" fillId="3" borderId="18" xfId="0" applyNumberFormat="1" applyFont="1" applyFill="1" applyBorder="1" applyAlignment="1">
      <alignment horizontal="center"/>
    </xf>
    <xf numFmtId="170" fontId="4" fillId="3" borderId="17" xfId="0" applyNumberFormat="1" applyFont="1" applyFill="1" applyBorder="1" applyAlignment="1">
      <alignment horizontal="center"/>
    </xf>
    <xf numFmtId="170" fontId="4" fillId="3" borderId="8" xfId="0" applyNumberFormat="1" applyFont="1" applyFill="1" applyBorder="1" applyAlignment="1">
      <alignment horizontal="right" wrapText="1"/>
    </xf>
    <xf numFmtId="170" fontId="6" fillId="2" borderId="6" xfId="0" applyNumberFormat="1" applyFont="1" applyFill="1" applyBorder="1" applyAlignment="1">
      <alignment horizontal="center" wrapText="1"/>
    </xf>
    <xf numFmtId="170" fontId="5" fillId="2" borderId="5" xfId="0" applyNumberFormat="1" applyFont="1" applyFill="1" applyBorder="1" applyAlignment="1">
      <alignment horizontal="center"/>
    </xf>
    <xf numFmtId="170" fontId="5" fillId="2" borderId="4" xfId="0" applyNumberFormat="1" applyFont="1" applyFill="1" applyBorder="1" applyAlignment="1">
      <alignment horizontal="center"/>
    </xf>
    <xf numFmtId="170" fontId="5" fillId="2" borderId="3" xfId="0" applyNumberFormat="1" applyFont="1" applyFill="1" applyBorder="1" applyAlignment="1">
      <alignment horizontal="left"/>
    </xf>
    <xf numFmtId="170" fontId="6" fillId="2" borderId="2" xfId="0" applyNumberFormat="1" applyFont="1" applyFill="1" applyBorder="1"/>
    <xf numFmtId="9" fontId="4" fillId="2" borderId="17" xfId="3" applyFont="1" applyFill="1" applyBorder="1" applyAlignment="1">
      <alignment horizontal="center" wrapText="1"/>
    </xf>
    <xf numFmtId="49" fontId="5" fillId="2" borderId="39" xfId="0" applyNumberFormat="1" applyFont="1" applyFill="1" applyBorder="1" applyAlignment="1">
      <alignment horizontal="center" wrapText="1"/>
    </xf>
    <xf numFmtId="2" fontId="6" fillId="0" borderId="0" xfId="0" applyNumberFormat="1" applyFont="1"/>
    <xf numFmtId="49" fontId="4" fillId="3" borderId="66" xfId="0" applyNumberFormat="1" applyFont="1" applyFill="1" applyBorder="1" applyAlignment="1">
      <alignment horizontal="center" wrapText="1"/>
    </xf>
    <xf numFmtId="9" fontId="6" fillId="0" borderId="19" xfId="0" applyNumberFormat="1" applyFont="1" applyBorder="1" applyAlignment="1">
      <alignment wrapText="1"/>
    </xf>
    <xf numFmtId="49" fontId="10" fillId="2" borderId="63" xfId="0" applyNumberFormat="1" applyFont="1" applyFill="1" applyBorder="1" applyAlignment="1">
      <alignment horizontal="right" vertical="center"/>
    </xf>
    <xf numFmtId="0" fontId="11" fillId="2" borderId="61" xfId="0" applyFont="1" applyFill="1" applyBorder="1"/>
    <xf numFmtId="49" fontId="10" fillId="2" borderId="59" xfId="0" applyNumberFormat="1" applyFont="1" applyFill="1" applyBorder="1" applyAlignment="1">
      <alignment horizontal="right"/>
    </xf>
    <xf numFmtId="165" fontId="13" fillId="2" borderId="30" xfId="0" applyNumberFormat="1" applyFont="1" applyFill="1" applyBorder="1" applyAlignment="1">
      <alignment horizontal="center"/>
    </xf>
    <xf numFmtId="166" fontId="14" fillId="2" borderId="30" xfId="0" applyNumberFormat="1" applyFont="1" applyFill="1" applyBorder="1" applyAlignment="1">
      <alignment horizontal="center"/>
    </xf>
    <xf numFmtId="0" fontId="15" fillId="2" borderId="29" xfId="0" applyFont="1" applyFill="1" applyBorder="1" applyAlignment="1">
      <alignment horizontal="center"/>
    </xf>
    <xf numFmtId="0" fontId="0" fillId="2" borderId="54" xfId="0" applyFill="1" applyBorder="1"/>
    <xf numFmtId="0" fontId="13" fillId="2" borderId="54" xfId="0" applyFont="1" applyFill="1" applyBorder="1"/>
    <xf numFmtId="167" fontId="0" fillId="2" borderId="54" xfId="0" applyNumberFormat="1" applyFill="1" applyBorder="1"/>
    <xf numFmtId="168" fontId="0" fillId="2" borderId="54" xfId="0" applyNumberFormat="1" applyFill="1" applyBorder="1"/>
    <xf numFmtId="0" fontId="0" fillId="2" borderId="2" xfId="0" applyFill="1" applyBorder="1"/>
    <xf numFmtId="0" fontId="0" fillId="2" borderId="58" xfId="0" applyFill="1" applyBorder="1"/>
    <xf numFmtId="0" fontId="16" fillId="2" borderId="58" xfId="0" applyFont="1" applyFill="1" applyBorder="1" applyAlignment="1">
      <alignment vertical="center"/>
    </xf>
    <xf numFmtId="0" fontId="16" fillId="0" borderId="58" xfId="0" applyFont="1" applyBorder="1" applyAlignment="1">
      <alignment vertical="center"/>
    </xf>
    <xf numFmtId="0" fontId="16" fillId="2" borderId="53" xfId="0" applyFont="1" applyFill="1" applyBorder="1" applyAlignment="1">
      <alignment vertical="center"/>
    </xf>
    <xf numFmtId="0" fontId="11" fillId="2" borderId="53" xfId="0" applyFont="1" applyFill="1" applyBorder="1"/>
    <xf numFmtId="0" fontId="0" fillId="2" borderId="56" xfId="0" applyFill="1" applyBorder="1"/>
    <xf numFmtId="168" fontId="0" fillId="2" borderId="26" xfId="0" applyNumberFormat="1" applyFill="1" applyBorder="1"/>
    <xf numFmtId="0" fontId="0" fillId="2" borderId="53" xfId="0" applyFill="1" applyBorder="1"/>
    <xf numFmtId="0" fontId="0" fillId="0" borderId="53" xfId="0" applyBorder="1"/>
    <xf numFmtId="49" fontId="17" fillId="3" borderId="32" xfId="0" applyNumberFormat="1" applyFont="1" applyFill="1" applyBorder="1" applyAlignment="1">
      <alignment horizontal="center" vertical="center"/>
    </xf>
    <xf numFmtId="49" fontId="17" fillId="3" borderId="52" xfId="0" applyNumberFormat="1" applyFont="1" applyFill="1" applyBorder="1" applyAlignment="1">
      <alignment horizontal="center" vertical="center"/>
    </xf>
    <xf numFmtId="49" fontId="17" fillId="3" borderId="52" xfId="0" applyNumberFormat="1" applyFont="1" applyFill="1" applyBorder="1" applyAlignment="1">
      <alignment horizontal="center" vertical="center" wrapText="1"/>
    </xf>
    <xf numFmtId="49" fontId="17" fillId="3" borderId="51" xfId="0" applyNumberFormat="1" applyFont="1" applyFill="1" applyBorder="1" applyAlignment="1">
      <alignment horizontal="center" vertical="center"/>
    </xf>
    <xf numFmtId="168" fontId="17" fillId="2" borderId="50" xfId="0" applyNumberFormat="1" applyFont="1" applyFill="1" applyBorder="1" applyAlignment="1">
      <alignment horizontal="center" vertical="center"/>
    </xf>
    <xf numFmtId="49" fontId="17" fillId="3" borderId="49" xfId="0" applyNumberFormat="1" applyFont="1" applyFill="1" applyBorder="1" applyAlignment="1">
      <alignment horizontal="center" vertical="center" wrapText="1"/>
    </xf>
    <xf numFmtId="49" fontId="17" fillId="3" borderId="48" xfId="0" applyNumberFormat="1" applyFont="1" applyFill="1" applyBorder="1" applyAlignment="1">
      <alignment horizontal="center" vertical="center" wrapText="1"/>
    </xf>
    <xf numFmtId="49" fontId="17" fillId="6" borderId="48" xfId="0" applyNumberFormat="1" applyFont="1" applyFill="1" applyBorder="1" applyAlignment="1">
      <alignment horizontal="center" vertical="center" wrapText="1"/>
    </xf>
    <xf numFmtId="49" fontId="17" fillId="3" borderId="67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49" fontId="18" fillId="0" borderId="19" xfId="0" applyNumberFormat="1" applyFont="1" applyBorder="1" applyAlignment="1">
      <alignment vertical="center" wrapText="1"/>
    </xf>
    <xf numFmtId="3" fontId="0" fillId="0" borderId="19" xfId="0" applyNumberForma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 wrapText="1"/>
    </xf>
    <xf numFmtId="171" fontId="0" fillId="0" borderId="19" xfId="4" applyNumberFormat="1" applyFont="1" applyBorder="1" applyAlignment="1">
      <alignment horizontal="center" vertical="center"/>
    </xf>
    <xf numFmtId="172" fontId="0" fillId="0" borderId="19" xfId="1" applyNumberFormat="1" applyFont="1" applyBorder="1" applyAlignment="1">
      <alignment vertical="center"/>
    </xf>
    <xf numFmtId="169" fontId="0" fillId="0" borderId="19" xfId="0" applyNumberFormat="1" applyBorder="1" applyAlignment="1">
      <alignment vertical="center"/>
    </xf>
    <xf numFmtId="1" fontId="19" fillId="0" borderId="19" xfId="0" applyNumberFormat="1" applyFont="1" applyBorder="1" applyAlignment="1">
      <alignment horizontal="center" vertical="center"/>
    </xf>
    <xf numFmtId="173" fontId="0" fillId="0" borderId="19" xfId="0" applyNumberFormat="1" applyBorder="1" applyAlignment="1">
      <alignment horizontal="center" vertical="center"/>
    </xf>
    <xf numFmtId="169" fontId="11" fillId="0" borderId="19" xfId="2" applyNumberFormat="1" applyFont="1" applyBorder="1" applyAlignment="1">
      <alignment horizontal="center" vertical="center"/>
    </xf>
    <xf numFmtId="170" fontId="0" fillId="0" borderId="19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49" fontId="20" fillId="0" borderId="19" xfId="0" applyNumberFormat="1" applyFont="1" applyBorder="1" applyAlignment="1">
      <alignment horizontal="center" vertical="center" wrapText="1"/>
    </xf>
    <xf numFmtId="49" fontId="1" fillId="0" borderId="19" xfId="0" applyNumberFormat="1" applyFont="1" applyBorder="1" applyAlignment="1">
      <alignment vertical="center" wrapText="1"/>
    </xf>
    <xf numFmtId="9" fontId="20" fillId="0" borderId="19" xfId="3" applyFont="1" applyBorder="1" applyAlignment="1">
      <alignment horizontal="center" vertical="center" wrapText="1"/>
    </xf>
    <xf numFmtId="49" fontId="20" fillId="0" borderId="19" xfId="5" applyNumberFormat="1" applyFont="1" applyBorder="1" applyAlignment="1">
      <alignment horizontal="center" vertical="center" wrapText="1"/>
    </xf>
    <xf numFmtId="49" fontId="1" fillId="0" borderId="68" xfId="0" applyNumberFormat="1" applyFont="1" applyBorder="1" applyAlignment="1">
      <alignment vertical="center" wrapText="1"/>
    </xf>
    <xf numFmtId="49" fontId="1" fillId="0" borderId="68" xfId="0" applyNumberFormat="1" applyFont="1" applyBorder="1" applyAlignment="1">
      <alignment horizontal="left" vertical="center" wrapText="1"/>
    </xf>
    <xf numFmtId="49" fontId="18" fillId="0" borderId="69" xfId="0" applyNumberFormat="1" applyFont="1" applyBorder="1" applyAlignment="1">
      <alignment horizontal="left" vertical="center" wrapText="1"/>
    </xf>
    <xf numFmtId="49" fontId="20" fillId="0" borderId="70" xfId="5" applyNumberFormat="1" applyFont="1" applyBorder="1" applyAlignment="1">
      <alignment horizontal="center" vertical="center" wrapText="1"/>
    </xf>
    <xf numFmtId="167" fontId="20" fillId="3" borderId="72" xfId="0" applyNumberFormat="1" applyFont="1" applyFill="1" applyBorder="1" applyAlignment="1">
      <alignment horizontal="right" vertical="center" wrapText="1"/>
    </xf>
    <xf numFmtId="167" fontId="20" fillId="3" borderId="36" xfId="0" applyNumberFormat="1" applyFont="1" applyFill="1" applyBorder="1" applyAlignment="1">
      <alignment horizontal="right" vertical="center" wrapText="1"/>
    </xf>
    <xf numFmtId="0" fontId="0" fillId="2" borderId="45" xfId="0" applyFill="1" applyBorder="1"/>
    <xf numFmtId="49" fontId="20" fillId="3" borderId="6" xfId="0" applyNumberFormat="1" applyFont="1" applyFill="1" applyBorder="1" applyAlignment="1">
      <alignment horizontal="right" vertical="center" wrapText="1"/>
    </xf>
    <xf numFmtId="170" fontId="15" fillId="2" borderId="4" xfId="0" applyNumberFormat="1" applyFont="1" applyFill="1" applyBorder="1" applyAlignment="1">
      <alignment horizontal="right" vertical="center"/>
    </xf>
    <xf numFmtId="0" fontId="11" fillId="0" borderId="3" xfId="0" applyFont="1" applyBorder="1"/>
    <xf numFmtId="167" fontId="20" fillId="3" borderId="24" xfId="0" applyNumberFormat="1" applyFont="1" applyFill="1" applyBorder="1" applyAlignment="1">
      <alignment horizontal="right" vertical="center" wrapText="1"/>
    </xf>
    <xf numFmtId="0" fontId="0" fillId="2" borderId="9" xfId="0" applyFill="1" applyBorder="1"/>
    <xf numFmtId="49" fontId="20" fillId="3" borderId="32" xfId="0" applyNumberFormat="1" applyFont="1" applyFill="1" applyBorder="1" applyAlignment="1">
      <alignment horizontal="right" vertical="center" wrapText="1"/>
    </xf>
    <xf numFmtId="168" fontId="15" fillId="2" borderId="31" xfId="0" applyNumberFormat="1" applyFont="1" applyFill="1" applyBorder="1" applyAlignment="1">
      <alignment horizontal="right" vertical="center"/>
    </xf>
    <xf numFmtId="0" fontId="11" fillId="0" borderId="78" xfId="0" applyFont="1" applyBorder="1"/>
    <xf numFmtId="167" fontId="20" fillId="3" borderId="79" xfId="0" applyNumberFormat="1" applyFont="1" applyFill="1" applyBorder="1" applyAlignment="1">
      <alignment horizontal="right" vertical="center" wrapText="1"/>
    </xf>
    <xf numFmtId="167" fontId="20" fillId="3" borderId="80" xfId="0" applyNumberFormat="1" applyFont="1" applyFill="1" applyBorder="1" applyAlignment="1">
      <alignment horizontal="right" vertical="center" wrapText="1"/>
    </xf>
    <xf numFmtId="49" fontId="20" fillId="3" borderId="22" xfId="0" applyNumberFormat="1" applyFont="1" applyFill="1" applyBorder="1" applyAlignment="1">
      <alignment horizontal="right" vertical="center" wrapText="1"/>
    </xf>
    <xf numFmtId="169" fontId="1" fillId="4" borderId="10" xfId="0" applyNumberFormat="1" applyFont="1" applyFill="1" applyBorder="1" applyAlignment="1">
      <alignment vertical="center"/>
    </xf>
    <xf numFmtId="49" fontId="15" fillId="3" borderId="21" xfId="0" applyNumberFormat="1" applyFont="1" applyFill="1" applyBorder="1" applyAlignment="1">
      <alignment horizontal="right" vertical="center" wrapText="1"/>
    </xf>
    <xf numFmtId="170" fontId="11" fillId="2" borderId="20" xfId="0" applyNumberFormat="1" applyFont="1" applyFill="1" applyBorder="1" applyAlignment="1">
      <alignment horizontal="center" vertical="center"/>
    </xf>
    <xf numFmtId="174" fontId="22" fillId="2" borderId="17" xfId="0" applyNumberFormat="1" applyFont="1" applyFill="1" applyBorder="1" applyAlignment="1">
      <alignment horizontal="center" vertical="center" wrapText="1"/>
    </xf>
    <xf numFmtId="175" fontId="11" fillId="2" borderId="78" xfId="0" applyNumberFormat="1" applyFont="1" applyFill="1" applyBorder="1" applyAlignment="1">
      <alignment horizontal="center" vertical="center" wrapText="1"/>
    </xf>
    <xf numFmtId="167" fontId="20" fillId="3" borderId="13" xfId="0" applyNumberFormat="1" applyFont="1" applyFill="1" applyBorder="1" applyAlignment="1">
      <alignment horizontal="right" vertical="center" wrapText="1"/>
    </xf>
    <xf numFmtId="167" fontId="20" fillId="3" borderId="12" xfId="0" applyNumberFormat="1" applyFont="1" applyFill="1" applyBorder="1" applyAlignment="1">
      <alignment horizontal="right" vertical="center" wrapText="1"/>
    </xf>
    <xf numFmtId="49" fontId="20" fillId="3" borderId="11" xfId="0" applyNumberFormat="1" applyFont="1" applyFill="1" applyBorder="1" applyAlignment="1">
      <alignment horizontal="right" vertical="center" wrapText="1"/>
    </xf>
    <xf numFmtId="169" fontId="0" fillId="2" borderId="10" xfId="0" applyNumberFormat="1" applyFill="1" applyBorder="1" applyAlignment="1">
      <alignment vertical="center"/>
    </xf>
    <xf numFmtId="49" fontId="15" fillId="3" borderId="8" xfId="0" applyNumberFormat="1" applyFont="1" applyFill="1" applyBorder="1" applyAlignment="1">
      <alignment horizontal="right" vertical="center" wrapText="1"/>
    </xf>
    <xf numFmtId="170" fontId="11" fillId="2" borderId="7" xfId="0" applyNumberFormat="1" applyFon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 wrapText="1"/>
    </xf>
    <xf numFmtId="9" fontId="24" fillId="2" borderId="3" xfId="0" applyNumberFormat="1" applyFont="1" applyFill="1" applyBorder="1" applyAlignment="1">
      <alignment horizontal="left" vertical="center"/>
    </xf>
    <xf numFmtId="0" fontId="11" fillId="2" borderId="26" xfId="0" applyFont="1" applyFill="1" applyBorder="1"/>
    <xf numFmtId="0" fontId="0" fillId="2" borderId="65" xfId="0" applyFill="1" applyBorder="1"/>
    <xf numFmtId="167" fontId="0" fillId="2" borderId="2" xfId="0" applyNumberFormat="1" applyFill="1" applyBorder="1"/>
    <xf numFmtId="168" fontId="0" fillId="2" borderId="64" xfId="0" applyNumberFormat="1" applyFill="1" applyBorder="1"/>
    <xf numFmtId="0" fontId="0" fillId="2" borderId="78" xfId="0" applyFill="1" applyBorder="1"/>
    <xf numFmtId="9" fontId="0" fillId="2" borderId="2" xfId="0" applyNumberFormat="1" applyFill="1" applyBorder="1" applyAlignment="1">
      <alignment horizontal="center"/>
    </xf>
    <xf numFmtId="0" fontId="0" fillId="0" borderId="2" xfId="0" applyBorder="1"/>
    <xf numFmtId="0" fontId="0" fillId="2" borderId="26" xfId="0" applyFill="1" applyBorder="1"/>
    <xf numFmtId="2" fontId="0" fillId="2" borderId="26" xfId="0" applyNumberFormat="1" applyFill="1" applyBorder="1"/>
    <xf numFmtId="167" fontId="0" fillId="2" borderId="26" xfId="0" applyNumberFormat="1" applyFill="1" applyBorder="1"/>
    <xf numFmtId="168" fontId="0" fillId="2" borderId="25" xfId="0" applyNumberFormat="1" applyFill="1" applyBorder="1"/>
    <xf numFmtId="0" fontId="26" fillId="2" borderId="26" xfId="0" applyFont="1" applyFill="1" applyBorder="1" applyAlignment="1">
      <alignment vertical="center" wrapText="1"/>
    </xf>
    <xf numFmtId="176" fontId="26" fillId="2" borderId="26" xfId="0" applyNumberFormat="1" applyFont="1" applyFill="1" applyBorder="1" applyAlignment="1">
      <alignment vertical="center"/>
    </xf>
    <xf numFmtId="177" fontId="26" fillId="2" borderId="26" xfId="0" applyNumberFormat="1" applyFont="1" applyFill="1" applyBorder="1" applyAlignment="1">
      <alignment vertical="center"/>
    </xf>
    <xf numFmtId="175" fontId="26" fillId="0" borderId="26" xfId="0" applyNumberFormat="1" applyFont="1" applyBorder="1" applyAlignment="1">
      <alignment vertical="center"/>
    </xf>
    <xf numFmtId="49" fontId="0" fillId="2" borderId="78" xfId="0" applyNumberFormat="1" applyFill="1" applyBorder="1"/>
    <xf numFmtId="0" fontId="26" fillId="2" borderId="26" xfId="0" applyFont="1" applyFill="1" applyBorder="1" applyAlignment="1">
      <alignment vertical="center"/>
    </xf>
    <xf numFmtId="178" fontId="27" fillId="0" borderId="26" xfId="0" applyNumberFormat="1" applyFont="1" applyBorder="1" applyAlignment="1">
      <alignment vertical="center"/>
    </xf>
    <xf numFmtId="179" fontId="0" fillId="2" borderId="26" xfId="0" applyNumberFormat="1" applyFill="1" applyBorder="1"/>
    <xf numFmtId="0" fontId="0" fillId="2" borderId="60" xfId="0" applyFill="1" applyBorder="1"/>
    <xf numFmtId="0" fontId="0" fillId="2" borderId="15" xfId="0" applyFill="1" applyBorder="1"/>
    <xf numFmtId="167" fontId="0" fillId="2" borderId="15" xfId="0" applyNumberFormat="1" applyFill="1" applyBorder="1"/>
    <xf numFmtId="168" fontId="0" fillId="2" borderId="14" xfId="0" applyNumberFormat="1" applyFill="1" applyBorder="1"/>
    <xf numFmtId="0" fontId="26" fillId="2" borderId="26" xfId="0" applyFont="1" applyFill="1" applyBorder="1"/>
    <xf numFmtId="0" fontId="26" fillId="0" borderId="26" xfId="0" applyFont="1" applyBorder="1"/>
    <xf numFmtId="0" fontId="6" fillId="0" borderId="19" xfId="0" applyFont="1" applyBorder="1" applyAlignment="1">
      <alignment horizontal="center" vertical="center"/>
    </xf>
    <xf numFmtId="3" fontId="6" fillId="0" borderId="19" xfId="0" applyNumberFormat="1" applyFont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70" fontId="6" fillId="0" borderId="19" xfId="0" applyNumberFormat="1" applyFont="1" applyBorder="1" applyAlignment="1">
      <alignment horizontal="center" vertical="center"/>
    </xf>
    <xf numFmtId="170" fontId="5" fillId="5" borderId="19" xfId="2" applyNumberFormat="1" applyFont="1" applyFill="1" applyBorder="1" applyAlignment="1">
      <alignment horizontal="center" vertical="center"/>
    </xf>
    <xf numFmtId="170" fontId="5" fillId="0" borderId="19" xfId="0" applyNumberFormat="1" applyFont="1" applyBorder="1" applyAlignment="1">
      <alignment horizontal="center" vertical="center"/>
    </xf>
    <xf numFmtId="9" fontId="5" fillId="0" borderId="19" xfId="3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172" fontId="6" fillId="0" borderId="19" xfId="1" applyNumberFormat="1" applyFont="1" applyBorder="1" applyAlignment="1">
      <alignment horizontal="center" vertical="center"/>
    </xf>
    <xf numFmtId="169" fontId="6" fillId="0" borderId="19" xfId="0" applyNumberFormat="1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9" fontId="6" fillId="0" borderId="19" xfId="3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2" fontId="5" fillId="0" borderId="19" xfId="1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70" fontId="4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" fontId="6" fillId="0" borderId="19" xfId="0" applyNumberFormat="1" applyFont="1" applyBorder="1" applyAlignment="1">
      <alignment horizontal="center" vertical="center"/>
    </xf>
    <xf numFmtId="0" fontId="0" fillId="0" borderId="19" xfId="0" applyBorder="1"/>
    <xf numFmtId="175" fontId="11" fillId="2" borderId="19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49" fontId="28" fillId="3" borderId="19" xfId="0" applyNumberFormat="1" applyFont="1" applyFill="1" applyBorder="1" applyAlignment="1">
      <alignment horizontal="center" vertical="center"/>
    </xf>
    <xf numFmtId="49" fontId="28" fillId="3" borderId="19" xfId="0" applyNumberFormat="1" applyFont="1" applyFill="1" applyBorder="1" applyAlignment="1">
      <alignment horizontal="center" vertical="center" wrapText="1"/>
    </xf>
    <xf numFmtId="168" fontId="28" fillId="2" borderId="19" xfId="0" applyNumberFormat="1" applyFont="1" applyFill="1" applyBorder="1" applyAlignment="1">
      <alignment horizontal="center" vertical="center"/>
    </xf>
    <xf numFmtId="49" fontId="28" fillId="6" borderId="19" xfId="0" applyNumberFormat="1" applyFont="1" applyFill="1" applyBorder="1" applyAlignment="1">
      <alignment horizontal="center" vertical="center" wrapText="1"/>
    </xf>
    <xf numFmtId="49" fontId="20" fillId="3" borderId="19" xfId="0" applyNumberFormat="1" applyFont="1" applyFill="1" applyBorder="1" applyAlignment="1">
      <alignment horizontal="center" vertical="center" wrapText="1"/>
    </xf>
    <xf numFmtId="49" fontId="29" fillId="2" borderId="63" xfId="0" applyNumberFormat="1" applyFont="1" applyFill="1" applyBorder="1" applyAlignment="1">
      <alignment horizontal="right"/>
    </xf>
    <xf numFmtId="0" fontId="23" fillId="2" borderId="61" xfId="0" applyFont="1" applyFill="1" applyBorder="1"/>
    <xf numFmtId="167" fontId="20" fillId="3" borderId="72" xfId="0" applyNumberFormat="1" applyFont="1" applyFill="1" applyBorder="1" applyAlignment="1">
      <alignment horizontal="center" vertical="center" wrapText="1"/>
    </xf>
    <xf numFmtId="167" fontId="20" fillId="3" borderId="36" xfId="0" applyNumberFormat="1" applyFont="1" applyFill="1" applyBorder="1" applyAlignment="1">
      <alignment horizontal="center" vertical="center" wrapText="1"/>
    </xf>
    <xf numFmtId="170" fontId="15" fillId="2" borderId="4" xfId="0" applyNumberFormat="1" applyFont="1" applyFill="1" applyBorder="1" applyAlignment="1">
      <alignment horizontal="center" vertical="center"/>
    </xf>
    <xf numFmtId="167" fontId="20" fillId="3" borderId="24" xfId="0" applyNumberFormat="1" applyFont="1" applyFill="1" applyBorder="1" applyAlignment="1">
      <alignment horizontal="center" vertical="center" wrapText="1"/>
    </xf>
    <xf numFmtId="168" fontId="15" fillId="2" borderId="31" xfId="0" applyNumberFormat="1" applyFont="1" applyFill="1" applyBorder="1" applyAlignment="1">
      <alignment horizontal="center" vertical="center"/>
    </xf>
    <xf numFmtId="167" fontId="20" fillId="3" borderId="79" xfId="0" applyNumberFormat="1" applyFont="1" applyFill="1" applyBorder="1" applyAlignment="1">
      <alignment horizontal="center" vertical="center" wrapText="1"/>
    </xf>
    <xf numFmtId="167" fontId="20" fillId="3" borderId="80" xfId="0" applyNumberFormat="1" applyFont="1" applyFill="1" applyBorder="1" applyAlignment="1">
      <alignment horizontal="center" vertical="center" wrapText="1"/>
    </xf>
    <xf numFmtId="49" fontId="20" fillId="3" borderId="22" xfId="0" applyNumberFormat="1" applyFont="1" applyFill="1" applyBorder="1" applyAlignment="1">
      <alignment horizontal="center" vertical="center" wrapText="1"/>
    </xf>
    <xf numFmtId="169" fontId="1" fillId="4" borderId="10" xfId="0" applyNumberFormat="1" applyFont="1" applyFill="1" applyBorder="1" applyAlignment="1">
      <alignment horizontal="center" vertical="center"/>
    </xf>
    <xf numFmtId="167" fontId="20" fillId="3" borderId="13" xfId="0" applyNumberFormat="1" applyFont="1" applyFill="1" applyBorder="1" applyAlignment="1">
      <alignment horizontal="center" vertical="center" wrapText="1"/>
    </xf>
    <xf numFmtId="167" fontId="20" fillId="3" borderId="12" xfId="0" applyNumberFormat="1" applyFont="1" applyFill="1" applyBorder="1" applyAlignment="1">
      <alignment horizontal="center" vertical="center" wrapText="1"/>
    </xf>
    <xf numFmtId="49" fontId="20" fillId="3" borderId="11" xfId="0" applyNumberFormat="1" applyFont="1" applyFill="1" applyBorder="1" applyAlignment="1">
      <alignment horizontal="center" vertical="center" wrapText="1"/>
    </xf>
    <xf numFmtId="169" fontId="0" fillId="2" borderId="10" xfId="0" applyNumberFormat="1" applyFill="1" applyBorder="1" applyAlignment="1">
      <alignment horizontal="center" vertical="center"/>
    </xf>
    <xf numFmtId="49" fontId="15" fillId="3" borderId="8" xfId="0" applyNumberFormat="1" applyFont="1" applyFill="1" applyBorder="1" applyAlignment="1">
      <alignment horizontal="center" vertical="center" wrapText="1"/>
    </xf>
    <xf numFmtId="9" fontId="24" fillId="2" borderId="3" xfId="0" applyNumberFormat="1" applyFont="1" applyFill="1" applyBorder="1" applyAlignment="1">
      <alignment horizontal="center" vertical="center"/>
    </xf>
    <xf numFmtId="9" fontId="3" fillId="0" borderId="19" xfId="3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4" xfId="0" applyFill="1" applyBorder="1" applyAlignment="1">
      <alignment horizontal="center" vertical="center"/>
    </xf>
    <xf numFmtId="49" fontId="20" fillId="3" borderId="6" xfId="0" applyNumberFormat="1" applyFont="1" applyFill="1" applyBorder="1" applyAlignment="1">
      <alignment horizontal="center" vertical="center" wrapText="1"/>
    </xf>
    <xf numFmtId="49" fontId="20" fillId="3" borderId="32" xfId="0" applyNumberFormat="1" applyFont="1" applyFill="1" applyBorder="1" applyAlignment="1">
      <alignment horizontal="center" vertical="center" wrapText="1"/>
    </xf>
    <xf numFmtId="49" fontId="15" fillId="3" borderId="21" xfId="0" applyNumberFormat="1" applyFont="1" applyFill="1" applyBorder="1" applyAlignment="1">
      <alignment horizontal="center" vertical="center" wrapText="1"/>
    </xf>
    <xf numFmtId="9" fontId="3" fillId="0" borderId="0" xfId="3"/>
    <xf numFmtId="181" fontId="0" fillId="0" borderId="19" xfId="0" applyNumberFormat="1" applyBorder="1" applyAlignment="1">
      <alignment horizontal="center" vertical="center"/>
    </xf>
    <xf numFmtId="181" fontId="0" fillId="0" borderId="19" xfId="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1" fillId="4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2" fontId="31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49" fontId="17" fillId="3" borderId="19" xfId="0" applyNumberFormat="1" applyFont="1" applyFill="1" applyBorder="1" applyAlignment="1">
      <alignment horizontal="center" vertical="center" wrapText="1"/>
    </xf>
    <xf numFmtId="49" fontId="17" fillId="4" borderId="19" xfId="0" applyNumberFormat="1" applyFont="1" applyFill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/>
    </xf>
    <xf numFmtId="169" fontId="0" fillId="0" borderId="19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164" fontId="0" fillId="4" borderId="19" xfId="0" applyNumberForma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4" fillId="2" borderId="54" xfId="0" applyFont="1" applyFill="1" applyBorder="1" applyAlignment="1">
      <alignment horizontal="left"/>
    </xf>
    <xf numFmtId="49" fontId="28" fillId="3" borderId="19" xfId="0" applyNumberFormat="1" applyFont="1" applyFill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0" fillId="2" borderId="2" xfId="0" applyFill="1" applyBorder="1" applyAlignment="1">
      <alignment horizontal="left"/>
    </xf>
    <xf numFmtId="0" fontId="0" fillId="2" borderId="26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0" fontId="0" fillId="0" borderId="0" xfId="0" applyAlignment="1">
      <alignment horizontal="left"/>
    </xf>
    <xf numFmtId="49" fontId="32" fillId="3" borderId="1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0" fontId="6" fillId="2" borderId="107" xfId="0" applyFont="1" applyFill="1" applyBorder="1"/>
    <xf numFmtId="0" fontId="0" fillId="0" borderId="110" xfId="0" applyBorder="1"/>
    <xf numFmtId="0" fontId="0" fillId="0" borderId="70" xfId="0" applyBorder="1" applyAlignment="1">
      <alignment horizontal="center" vertical="center"/>
    </xf>
    <xf numFmtId="9" fontId="3" fillId="0" borderId="19" xfId="3" applyBorder="1"/>
    <xf numFmtId="10" fontId="0" fillId="0" borderId="19" xfId="0" applyNumberFormat="1" applyBorder="1"/>
    <xf numFmtId="0" fontId="25" fillId="2" borderId="26" xfId="0" applyFont="1" applyFill="1" applyBorder="1" applyAlignment="1">
      <alignment horizontal="left" vertical="center"/>
    </xf>
    <xf numFmtId="0" fontId="0" fillId="0" borderId="86" xfId="0" applyBorder="1"/>
    <xf numFmtId="0" fontId="0" fillId="0" borderId="87" xfId="0" applyBorder="1"/>
    <xf numFmtId="49" fontId="29" fillId="2" borderId="65" xfId="0" applyNumberFormat="1" applyFont="1" applyFill="1" applyBorder="1" applyAlignment="1">
      <alignment horizontal="center"/>
    </xf>
    <xf numFmtId="0" fontId="30" fillId="0" borderId="88" xfId="0" applyFont="1" applyBorder="1"/>
    <xf numFmtId="0" fontId="30" fillId="0" borderId="89" xfId="0" applyFont="1" applyBorder="1"/>
    <xf numFmtId="14" fontId="29" fillId="2" borderId="62" xfId="0" applyNumberFormat="1" applyFont="1" applyFill="1" applyBorder="1" applyAlignment="1">
      <alignment horizontal="center"/>
    </xf>
    <xf numFmtId="0" fontId="30" fillId="0" borderId="62" xfId="0" applyFont="1" applyBorder="1"/>
    <xf numFmtId="49" fontId="5" fillId="2" borderId="60" xfId="0" applyNumberFormat="1" applyFont="1" applyFill="1" applyBorder="1" applyAlignment="1">
      <alignment horizontal="center"/>
    </xf>
    <xf numFmtId="0" fontId="0" fillId="0" borderId="90" xfId="0" applyBorder="1"/>
    <xf numFmtId="0" fontId="0" fillId="0" borderId="91" xfId="0" applyBorder="1"/>
    <xf numFmtId="49" fontId="4" fillId="2" borderId="105" xfId="0" applyNumberFormat="1" applyFont="1" applyFill="1" applyBorder="1" applyAlignment="1">
      <alignment horizontal="center" wrapText="1"/>
    </xf>
    <xf numFmtId="0" fontId="0" fillId="0" borderId="62" xfId="0" applyBorder="1"/>
    <xf numFmtId="0" fontId="0" fillId="0" borderId="106" xfId="0" applyBorder="1"/>
    <xf numFmtId="49" fontId="4" fillId="2" borderId="108" xfId="0" applyNumberFormat="1" applyFont="1" applyFill="1" applyBorder="1" applyAlignment="1">
      <alignment horizontal="center"/>
    </xf>
    <xf numFmtId="0" fontId="0" fillId="0" borderId="109" xfId="0" applyBorder="1"/>
    <xf numFmtId="49" fontId="1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9" fontId="20" fillId="3" borderId="34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169" fontId="0" fillId="2" borderId="33" xfId="0" applyNumberForma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9" fontId="20" fillId="3" borderId="100" xfId="0" applyNumberFormat="1" applyFont="1" applyFill="1" applyBorder="1" applyAlignment="1">
      <alignment horizontal="center" vertical="center" wrapText="1"/>
    </xf>
    <xf numFmtId="0" fontId="0" fillId="0" borderId="101" xfId="0" applyBorder="1" applyAlignment="1">
      <alignment horizontal="center" vertical="center"/>
    </xf>
    <xf numFmtId="170" fontId="17" fillId="2" borderId="102" xfId="0" applyNumberFormat="1" applyFont="1" applyFill="1" applyBorder="1" applyAlignment="1">
      <alignment horizontal="center" vertical="center"/>
    </xf>
    <xf numFmtId="0" fontId="0" fillId="0" borderId="103" xfId="0" applyBorder="1" applyAlignment="1">
      <alignment horizontal="center" vertical="center"/>
    </xf>
    <xf numFmtId="49" fontId="20" fillId="3" borderId="29" xfId="0" applyNumberFormat="1" applyFont="1" applyFill="1" applyBorder="1" applyAlignment="1">
      <alignment horizontal="center" vertical="center"/>
    </xf>
    <xf numFmtId="180" fontId="11" fillId="2" borderId="59" xfId="0" applyNumberFormat="1" applyFont="1" applyFill="1" applyBorder="1" applyAlignment="1">
      <alignment horizontal="center" vertical="center"/>
    </xf>
    <xf numFmtId="180" fontId="0" fillId="0" borderId="59" xfId="0" applyNumberFormat="1" applyBorder="1" applyAlignment="1">
      <alignment horizontal="center" vertical="center"/>
    </xf>
    <xf numFmtId="49" fontId="21" fillId="2" borderId="19" xfId="0" applyNumberFormat="1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49" fontId="10" fillId="3" borderId="94" xfId="0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4" fontId="23" fillId="2" borderId="95" xfId="0" applyNumberFormat="1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49" fontId="9" fillId="2" borderId="65" xfId="0" applyNumberFormat="1" applyFont="1" applyFill="1" applyBorder="1" applyAlignment="1">
      <alignment horizontal="center"/>
    </xf>
    <xf numFmtId="0" fontId="0" fillId="0" borderId="88" xfId="0" applyBorder="1"/>
    <xf numFmtId="0" fontId="0" fillId="0" borderId="89" xfId="0" applyBorder="1"/>
    <xf numFmtId="0" fontId="0" fillId="0" borderId="75" xfId="0" applyBorder="1"/>
    <xf numFmtId="0" fontId="0" fillId="0" borderId="77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49" fontId="20" fillId="3" borderId="85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30" xfId="0" applyBorder="1"/>
    <xf numFmtId="0" fontId="0" fillId="0" borderId="29" xfId="0" applyBorder="1"/>
    <xf numFmtId="49" fontId="1" fillId="2" borderId="4" xfId="0" applyNumberFormat="1" applyFont="1" applyFill="1" applyBorder="1" applyAlignment="1">
      <alignment horizontal="left" vertical="top" wrapText="1"/>
    </xf>
    <xf numFmtId="0" fontId="0" fillId="0" borderId="0" xfId="0"/>
    <xf numFmtId="0" fontId="0" fillId="0" borderId="35" xfId="0" applyBorder="1"/>
    <xf numFmtId="0" fontId="0" fillId="0" borderId="71" xfId="0" applyBorder="1"/>
    <xf numFmtId="0" fontId="0" fillId="0" borderId="84" xfId="0" applyBorder="1"/>
    <xf numFmtId="49" fontId="12" fillId="2" borderId="60" xfId="0" applyNumberFormat="1" applyFont="1" applyFill="1" applyBorder="1" applyAlignment="1">
      <alignment horizontal="center"/>
    </xf>
    <xf numFmtId="14" fontId="10" fillId="2" borderId="62" xfId="0" applyNumberFormat="1" applyFont="1" applyFill="1" applyBorder="1" applyAlignment="1">
      <alignment horizontal="center" vertical="center"/>
    </xf>
    <xf numFmtId="170" fontId="17" fillId="2" borderId="99" xfId="0" applyNumberFormat="1" applyFont="1" applyFill="1" applyBorder="1" applyAlignment="1">
      <alignment horizontal="center" vertical="center"/>
    </xf>
    <xf numFmtId="0" fontId="0" fillId="0" borderId="74" xfId="0" applyBorder="1"/>
    <xf numFmtId="49" fontId="20" fillId="3" borderId="98" xfId="0" applyNumberFormat="1" applyFont="1" applyFill="1" applyBorder="1" applyAlignment="1">
      <alignment horizontal="center" vertical="center" wrapText="1"/>
    </xf>
    <xf numFmtId="0" fontId="0" fillId="0" borderId="73" xfId="0" applyBorder="1"/>
    <xf numFmtId="0" fontId="0" fillId="0" borderId="18" xfId="0" applyBorder="1"/>
    <xf numFmtId="49" fontId="10" fillId="2" borderId="17" xfId="0" applyNumberFormat="1" applyFont="1" applyFill="1" applyBorder="1" applyAlignment="1">
      <alignment horizontal="center" vertical="center"/>
    </xf>
    <xf numFmtId="0" fontId="0" fillId="0" borderId="55" xfId="0" applyBorder="1"/>
    <xf numFmtId="0" fontId="0" fillId="0" borderId="85" xfId="0" applyBorder="1"/>
    <xf numFmtId="170" fontId="11" fillId="2" borderId="93" xfId="0" applyNumberFormat="1" applyFont="1" applyFill="1" applyBorder="1" applyAlignment="1">
      <alignment horizontal="center" vertical="center"/>
    </xf>
    <xf numFmtId="0" fontId="0" fillId="0" borderId="28" xfId="0" applyBorder="1"/>
    <xf numFmtId="49" fontId="20" fillId="3" borderId="96" xfId="0" applyNumberFormat="1" applyFont="1" applyFill="1" applyBorder="1" applyAlignment="1">
      <alignment horizontal="center" vertical="center" wrapText="1"/>
    </xf>
    <xf numFmtId="0" fontId="0" fillId="0" borderId="34" xfId="0" applyBorder="1"/>
    <xf numFmtId="49" fontId="10" fillId="2" borderId="57" xfId="0" applyNumberFormat="1" applyFont="1" applyFill="1" applyBorder="1" applyAlignment="1">
      <alignment horizontal="center" vertical="center" wrapText="1"/>
    </xf>
    <xf numFmtId="0" fontId="0" fillId="0" borderId="92" xfId="0" applyBorder="1"/>
    <xf numFmtId="169" fontId="0" fillId="2" borderId="97" xfId="0" applyNumberFormat="1" applyFill="1" applyBorder="1" applyAlignment="1">
      <alignment horizontal="center" vertical="center"/>
    </xf>
    <xf numFmtId="0" fontId="0" fillId="0" borderId="33" xfId="0" applyBorder="1"/>
    <xf numFmtId="49" fontId="4" fillId="2" borderId="57" xfId="0" applyNumberFormat="1" applyFont="1" applyFill="1" applyBorder="1" applyAlignment="1">
      <alignment horizontal="center" wrapText="1"/>
    </xf>
    <xf numFmtId="14" fontId="4" fillId="2" borderId="62" xfId="0" applyNumberFormat="1" applyFont="1" applyFill="1" applyBorder="1" applyAlignment="1">
      <alignment horizontal="center"/>
    </xf>
    <xf numFmtId="49" fontId="4" fillId="2" borderId="17" xfId="0" applyNumberFormat="1" applyFont="1" applyFill="1" applyBorder="1" applyAlignment="1">
      <alignment horizontal="center"/>
    </xf>
    <xf numFmtId="49" fontId="4" fillId="2" borderId="65" xfId="0" applyNumberFormat="1" applyFont="1" applyFill="1" applyBorder="1" applyAlignment="1">
      <alignment horizontal="center"/>
    </xf>
  </cellXfs>
  <cellStyles count="6">
    <cellStyle name="Comma 2" xfId="1" xr:uid="{00000000-0005-0000-0000-000001000000}"/>
    <cellStyle name="Currency" xfId="4" builtinId="4"/>
    <cellStyle name="Normal" xfId="0" builtinId="0"/>
    <cellStyle name="Normal 2" xfId="2" xr:uid="{00000000-0005-0000-0000-000002000000}"/>
    <cellStyle name="Normal 3 2" xfId="5" xr:uid="{00000000-0005-0000-0000-000005000000}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48576"/>
  <sheetViews>
    <sheetView topLeftCell="L1" workbookViewId="0">
      <pane ySplit="1" topLeftCell="A176" activePane="bottomLeft" state="frozen"/>
      <selection pane="bottomLeft" sqref="A1:XFD1048576"/>
    </sheetView>
  </sheetViews>
  <sheetFormatPr baseColWidth="10" defaultColWidth="8.83203125" defaultRowHeight="16" x14ac:dyDescent="0.2"/>
  <cols>
    <col min="1" max="1" width="5.5" customWidth="1"/>
    <col min="2" max="2" width="41.83203125" style="278" customWidth="1"/>
    <col min="3" max="3" width="5.33203125" customWidth="1"/>
    <col min="4" max="4" width="6.6640625" customWidth="1"/>
    <col min="5" max="6" width="7" customWidth="1"/>
    <col min="7" max="7" width="8.83203125" customWidth="1"/>
    <col min="9" max="9" width="8.6640625" customWidth="1"/>
    <col min="10" max="10" width="11.83203125" customWidth="1"/>
    <col min="11" max="11" width="12.83203125" customWidth="1"/>
    <col min="12" max="12" width="8" customWidth="1"/>
    <col min="13" max="13" width="9.5" customWidth="1"/>
    <col min="14" max="14" width="9" customWidth="1"/>
    <col min="15" max="15" width="8.1640625" customWidth="1"/>
    <col min="16" max="16" width="7" customWidth="1"/>
    <col min="17" max="17" width="8" customWidth="1"/>
    <col min="18" max="18" width="8.1640625" customWidth="1"/>
    <col min="19" max="19" width="11.33203125" customWidth="1"/>
    <col min="20" max="20" width="9.5" customWidth="1"/>
    <col min="21" max="21" width="9.5" bestFit="1" customWidth="1"/>
    <col min="22" max="23" width="14.5" style="259"/>
    <col min="24" max="24" width="14.5" style="263"/>
    <col min="25" max="25" width="14.5" style="259"/>
    <col min="26" max="26" width="14.5" style="264"/>
    <col min="27" max="27" width="14.5" style="259"/>
    <col min="28" max="28" width="17.33203125" style="259" customWidth="1"/>
    <col min="29" max="29" width="17" style="259" customWidth="1"/>
    <col min="31" max="31" width="13.6640625" customWidth="1"/>
  </cols>
  <sheetData>
    <row r="1" spans="1:31" ht="20" customHeight="1" x14ac:dyDescent="0.25">
      <c r="A1" s="289" t="s">
        <v>0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1"/>
      <c r="R1" s="229" t="s">
        <v>1</v>
      </c>
      <c r="S1" s="292"/>
      <c r="T1" s="293"/>
      <c r="U1" s="230"/>
      <c r="X1" s="260"/>
      <c r="Y1" s="261"/>
      <c r="Z1" s="262"/>
      <c r="AA1" s="261"/>
      <c r="AB1" s="261"/>
      <c r="AC1" s="261"/>
    </row>
    <row r="2" spans="1:31" ht="19" customHeight="1" thickBot="1" x14ac:dyDescent="0.25">
      <c r="A2" s="294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6"/>
      <c r="R2" s="5" t="s">
        <v>3</v>
      </c>
      <c r="S2" s="6">
        <v>3.1579999999999999</v>
      </c>
      <c r="T2" s="7"/>
      <c r="U2" s="99"/>
      <c r="AB2" s="261"/>
      <c r="AC2" s="261"/>
    </row>
    <row r="3" spans="1:31" ht="21" customHeight="1" thickBot="1" x14ac:dyDescent="0.25">
      <c r="A3" s="10"/>
      <c r="B3" s="272" t="s">
        <v>4</v>
      </c>
      <c r="C3" s="10"/>
      <c r="D3" s="10"/>
      <c r="E3" s="12"/>
      <c r="F3" s="12"/>
      <c r="G3" s="12"/>
      <c r="H3" s="12"/>
      <c r="I3" s="12"/>
      <c r="J3" s="13"/>
      <c r="K3" s="14"/>
      <c r="L3" s="15"/>
      <c r="M3" s="16"/>
      <c r="N3" s="16"/>
      <c r="O3" s="16"/>
      <c r="P3" s="17"/>
      <c r="Q3" s="16"/>
      <c r="R3" s="18"/>
      <c r="S3" s="18"/>
      <c r="T3" s="18"/>
      <c r="U3" s="109"/>
      <c r="W3" s="261"/>
    </row>
    <row r="4" spans="1:31" ht="17" customHeight="1" x14ac:dyDescent="0.2">
      <c r="A4" s="297" t="s">
        <v>5</v>
      </c>
      <c r="B4" s="298"/>
      <c r="C4" s="298"/>
      <c r="D4" s="298"/>
      <c r="E4" s="298"/>
      <c r="F4" s="298"/>
      <c r="G4" s="298"/>
      <c r="H4" s="298"/>
      <c r="I4" s="298"/>
      <c r="J4" s="299"/>
      <c r="K4" s="281"/>
      <c r="L4" s="300" t="s">
        <v>6</v>
      </c>
      <c r="M4" s="301"/>
      <c r="N4" s="301"/>
      <c r="O4" s="301"/>
      <c r="P4" s="301"/>
      <c r="Q4" s="301"/>
      <c r="R4" s="301"/>
      <c r="S4" s="301"/>
      <c r="T4" s="301"/>
      <c r="U4" s="282"/>
    </row>
    <row r="5" spans="1:31" ht="50" customHeight="1" x14ac:dyDescent="0.2">
      <c r="A5" s="224" t="s">
        <v>7</v>
      </c>
      <c r="B5" s="273" t="s">
        <v>8</v>
      </c>
      <c r="C5" s="225" t="s">
        <v>9</v>
      </c>
      <c r="D5" s="225" t="s">
        <v>10</v>
      </c>
      <c r="E5" s="225" t="s">
        <v>11</v>
      </c>
      <c r="F5" s="225" t="s">
        <v>271</v>
      </c>
      <c r="G5" s="225" t="s">
        <v>270</v>
      </c>
      <c r="H5" s="225" t="s">
        <v>12</v>
      </c>
      <c r="I5" s="225" t="s">
        <v>13</v>
      </c>
      <c r="J5" s="224" t="s">
        <v>14</v>
      </c>
      <c r="K5" s="226"/>
      <c r="L5" s="225" t="s">
        <v>15</v>
      </c>
      <c r="M5" s="225" t="s">
        <v>16</v>
      </c>
      <c r="N5" s="225" t="s">
        <v>17</v>
      </c>
      <c r="O5" s="225" t="s">
        <v>18</v>
      </c>
      <c r="P5" s="227" t="s">
        <v>19</v>
      </c>
      <c r="Q5" s="225" t="s">
        <v>20</v>
      </c>
      <c r="R5" s="225" t="s">
        <v>21</v>
      </c>
      <c r="S5" s="225" t="s">
        <v>113</v>
      </c>
      <c r="T5" s="225" t="s">
        <v>23</v>
      </c>
      <c r="U5" s="228" t="s">
        <v>24</v>
      </c>
      <c r="V5" s="265" t="s">
        <v>259</v>
      </c>
      <c r="W5" s="265" t="s">
        <v>260</v>
      </c>
      <c r="X5" s="266" t="s">
        <v>261</v>
      </c>
      <c r="Y5" s="265" t="s">
        <v>262</v>
      </c>
      <c r="Z5" s="267" t="s">
        <v>263</v>
      </c>
      <c r="AA5" s="265" t="s">
        <v>264</v>
      </c>
      <c r="AB5" s="265" t="s">
        <v>265</v>
      </c>
      <c r="AC5" s="265" t="s">
        <v>268</v>
      </c>
      <c r="AD5" s="265" t="s">
        <v>266</v>
      </c>
      <c r="AE5" s="279" t="s">
        <v>267</v>
      </c>
    </row>
    <row r="6" spans="1:31" ht="40" customHeight="1" x14ac:dyDescent="0.2">
      <c r="A6" s="123">
        <v>1</v>
      </c>
      <c r="B6" s="274" t="s">
        <v>25</v>
      </c>
      <c r="C6" s="123">
        <v>1</v>
      </c>
      <c r="D6" s="123" t="s">
        <v>26</v>
      </c>
      <c r="E6" s="123">
        <f>D6*C6</f>
        <v>60</v>
      </c>
      <c r="F6" s="123" t="s">
        <v>269</v>
      </c>
      <c r="G6" s="123" t="s">
        <v>269</v>
      </c>
      <c r="H6" s="257">
        <v>85.2</v>
      </c>
      <c r="I6" s="257">
        <f>H6/D6</f>
        <v>1.4200000000000002</v>
      </c>
      <c r="J6" s="257">
        <f t="shared" ref="J6:J79" si="0">I6*E6</f>
        <v>85.2</v>
      </c>
      <c r="K6" s="257"/>
      <c r="L6" s="257">
        <f>I6/$S$2</f>
        <v>0.44965167827739083</v>
      </c>
      <c r="M6" s="257">
        <f>H6/$S$2</f>
        <v>26.979100696643446</v>
      </c>
      <c r="N6" s="257">
        <f>L6*(1+$O$188+9%)</f>
        <v>0.49012032932235605</v>
      </c>
      <c r="O6" s="257">
        <f>N6*E6</f>
        <v>29.407219759341363</v>
      </c>
      <c r="P6" s="257">
        <v>0.85</v>
      </c>
      <c r="Q6" s="257">
        <f t="shared" ref="Q6:Q127" si="1">P6*E6</f>
        <v>51</v>
      </c>
      <c r="R6" s="257">
        <f t="shared" ref="R6:R122" si="2">P6-N6</f>
        <v>0.35987967067764393</v>
      </c>
      <c r="S6" s="257">
        <f t="shared" ref="S6:S127" si="3">Q6-O6</f>
        <v>21.592780240658637</v>
      </c>
      <c r="T6" s="246">
        <f t="shared" ref="T6:T122" si="4">R6/P6</f>
        <v>0.42338784785605171</v>
      </c>
      <c r="U6" s="135"/>
      <c r="V6" s="268">
        <f>P6</f>
        <v>0.85</v>
      </c>
      <c r="W6" s="269">
        <v>0.18</v>
      </c>
      <c r="X6" s="270">
        <f>V6/(1-18%)</f>
        <v>1.0365853658536583</v>
      </c>
      <c r="Y6" s="271">
        <f>X6*18%</f>
        <v>0.18658536585365851</v>
      </c>
      <c r="Z6" s="267">
        <f>Y6*9%</f>
        <v>1.6792682926829266E-2</v>
      </c>
      <c r="AA6" s="271">
        <f>Y6+Z6</f>
        <v>0.20337804878048776</v>
      </c>
      <c r="AB6" s="271">
        <f>X6-AA6</f>
        <v>0.83320731707317064</v>
      </c>
      <c r="AC6" s="284">
        <f>(AB6-N6)/AB6</f>
        <v>0.41176665245329974</v>
      </c>
      <c r="AD6" s="285">
        <f>AC6-T6</f>
        <v>-1.1621195402751971E-2</v>
      </c>
      <c r="AE6" s="221" t="s">
        <v>269</v>
      </c>
    </row>
    <row r="7" spans="1:31" ht="40" customHeight="1" x14ac:dyDescent="0.2">
      <c r="A7" s="123">
        <v>2</v>
      </c>
      <c r="B7" s="274" t="s">
        <v>177</v>
      </c>
      <c r="C7" s="123">
        <v>1</v>
      </c>
      <c r="D7" s="123" t="s">
        <v>26</v>
      </c>
      <c r="E7" s="123">
        <f>D7*C7</f>
        <v>60</v>
      </c>
      <c r="F7" s="123" t="s">
        <v>269</v>
      </c>
      <c r="G7" s="123" t="s">
        <v>269</v>
      </c>
      <c r="H7" s="257">
        <v>85.2</v>
      </c>
      <c r="I7" s="257">
        <f>H7/D7</f>
        <v>1.4200000000000002</v>
      </c>
      <c r="J7" s="257">
        <f t="shared" ref="J7" si="5">I7*E7</f>
        <v>85.2</v>
      </c>
      <c r="K7" s="257"/>
      <c r="L7" s="257">
        <f t="shared" ref="L7:L125" si="6">I7/$S$2</f>
        <v>0.44965167827739083</v>
      </c>
      <c r="M7" s="257">
        <f>H7/$S$2</f>
        <v>26.979100696643446</v>
      </c>
      <c r="N7" s="257">
        <f t="shared" ref="N7:N37" si="7">L7*(1+$O$188+9%)</f>
        <v>0.49012032932235605</v>
      </c>
      <c r="O7" s="257">
        <f>N7*E7</f>
        <v>29.407219759341363</v>
      </c>
      <c r="P7" s="257">
        <v>0.85</v>
      </c>
      <c r="Q7" s="257">
        <f t="shared" ref="Q7" si="8">P7*E7</f>
        <v>51</v>
      </c>
      <c r="R7" s="257">
        <f t="shared" ref="R7" si="9">P7-N7</f>
        <v>0.35987967067764393</v>
      </c>
      <c r="S7" s="257">
        <f t="shared" ref="S7" si="10">Q7-O7</f>
        <v>21.592780240658637</v>
      </c>
      <c r="T7" s="246">
        <f t="shared" ref="T7" si="11">R7/P7</f>
        <v>0.42338784785605171</v>
      </c>
      <c r="U7" s="135"/>
      <c r="V7" s="268">
        <f t="shared" ref="V7:V70" si="12">P7</f>
        <v>0.85</v>
      </c>
      <c r="W7" s="269">
        <v>0.18</v>
      </c>
      <c r="X7" s="270">
        <f t="shared" ref="X7:X70" si="13">V7/(1-18%)</f>
        <v>1.0365853658536583</v>
      </c>
      <c r="Y7" s="271">
        <f t="shared" ref="Y7:Y70" si="14">X7*18%</f>
        <v>0.18658536585365851</v>
      </c>
      <c r="Z7" s="267">
        <f t="shared" ref="Z7:Z70" si="15">Y7*9%</f>
        <v>1.6792682926829266E-2</v>
      </c>
      <c r="AA7" s="271">
        <f t="shared" ref="AA7:AA70" si="16">Y7+Z7</f>
        <v>0.20337804878048776</v>
      </c>
      <c r="AB7" s="271">
        <f t="shared" ref="AB7:AB70" si="17">X7-AA7</f>
        <v>0.83320731707317064</v>
      </c>
      <c r="AC7" s="284">
        <f t="shared" ref="AC7:AC70" si="18">(AB7-N7)/AB7</f>
        <v>0.41176665245329974</v>
      </c>
      <c r="AD7" s="285">
        <f t="shared" ref="AD7:AD70" si="19">AC7-T7</f>
        <v>-1.1621195402751971E-2</v>
      </c>
      <c r="AE7" s="221" t="s">
        <v>269</v>
      </c>
    </row>
    <row r="8" spans="1:31" ht="40" customHeight="1" x14ac:dyDescent="0.2">
      <c r="A8" s="123">
        <v>3</v>
      </c>
      <c r="B8" s="274" t="s">
        <v>249</v>
      </c>
      <c r="C8" s="123">
        <v>1</v>
      </c>
      <c r="D8" s="123">
        <v>12</v>
      </c>
      <c r="E8" s="123">
        <f t="shared" ref="E8:E10" si="20">D8*C8</f>
        <v>12</v>
      </c>
      <c r="F8" s="123" t="s">
        <v>269</v>
      </c>
      <c r="G8" s="123" t="s">
        <v>269</v>
      </c>
      <c r="H8" s="257">
        <v>54.6</v>
      </c>
      <c r="I8" s="257">
        <f t="shared" ref="I8:I10" si="21">H8/D8</f>
        <v>4.55</v>
      </c>
      <c r="J8" s="257">
        <f t="shared" ref="J8:J10" si="22">I8*E8</f>
        <v>54.599999999999994</v>
      </c>
      <c r="K8" s="257"/>
      <c r="L8" s="257">
        <f t="shared" ref="L8:L10" si="23">I8/$S$2</f>
        <v>1.4407853071564281</v>
      </c>
      <c r="M8" s="257">
        <f t="shared" ref="M8:M10" si="24">H8/$S$2</f>
        <v>17.289423685877139</v>
      </c>
      <c r="N8" s="257">
        <f t="shared" si="7"/>
        <v>1.5704559848005066</v>
      </c>
      <c r="O8" s="257">
        <f t="shared" ref="O8:O10" si="25">N8*E8</f>
        <v>18.845471817606079</v>
      </c>
      <c r="P8" s="257">
        <v>2.5</v>
      </c>
      <c r="Q8" s="257">
        <f t="shared" ref="Q8:Q10" si="26">P8*E8</f>
        <v>30</v>
      </c>
      <c r="R8" s="257">
        <f t="shared" ref="R8:R10" si="27">P8-N8</f>
        <v>0.92954401519949337</v>
      </c>
      <c r="S8" s="257">
        <f t="shared" ref="S8:S10" si="28">Q8-O8</f>
        <v>11.154528182393921</v>
      </c>
      <c r="T8" s="246">
        <f t="shared" ref="T8:T10" si="29">R8/P8</f>
        <v>0.37181760607979736</v>
      </c>
      <c r="U8" s="135"/>
      <c r="V8" s="268">
        <f t="shared" si="12"/>
        <v>2.5</v>
      </c>
      <c r="W8" s="269">
        <v>0.18</v>
      </c>
      <c r="X8" s="270">
        <f t="shared" si="13"/>
        <v>3.0487804878048776</v>
      </c>
      <c r="Y8" s="271">
        <f t="shared" si="14"/>
        <v>0.54878048780487798</v>
      </c>
      <c r="Z8" s="267">
        <f t="shared" si="15"/>
        <v>4.939024390243902E-2</v>
      </c>
      <c r="AA8" s="271">
        <f t="shared" si="16"/>
        <v>0.59817073170731705</v>
      </c>
      <c r="AB8" s="271">
        <f t="shared" si="17"/>
        <v>2.4506097560975606</v>
      </c>
      <c r="AC8" s="284">
        <f t="shared" si="18"/>
        <v>0.35915705024313727</v>
      </c>
      <c r="AD8" s="285">
        <f t="shared" si="19"/>
        <v>-1.2660555836660092E-2</v>
      </c>
      <c r="AE8" s="221" t="s">
        <v>269</v>
      </c>
    </row>
    <row r="9" spans="1:31" ht="40" customHeight="1" x14ac:dyDescent="0.2">
      <c r="A9" s="123">
        <v>4</v>
      </c>
      <c r="B9" s="274" t="s">
        <v>250</v>
      </c>
      <c r="C9" s="123">
        <v>1</v>
      </c>
      <c r="D9" s="123">
        <v>12</v>
      </c>
      <c r="E9" s="123">
        <f t="shared" si="20"/>
        <v>12</v>
      </c>
      <c r="F9" s="123" t="s">
        <v>269</v>
      </c>
      <c r="G9" s="123" t="s">
        <v>269</v>
      </c>
      <c r="H9" s="257">
        <v>54.6</v>
      </c>
      <c r="I9" s="257">
        <f t="shared" si="21"/>
        <v>4.55</v>
      </c>
      <c r="J9" s="257">
        <f t="shared" si="22"/>
        <v>54.599999999999994</v>
      </c>
      <c r="K9" s="257"/>
      <c r="L9" s="257">
        <f t="shared" si="23"/>
        <v>1.4407853071564281</v>
      </c>
      <c r="M9" s="257">
        <f t="shared" si="24"/>
        <v>17.289423685877139</v>
      </c>
      <c r="N9" s="257">
        <f t="shared" si="7"/>
        <v>1.5704559848005066</v>
      </c>
      <c r="O9" s="257">
        <f t="shared" si="25"/>
        <v>18.845471817606079</v>
      </c>
      <c r="P9" s="257">
        <v>2.5</v>
      </c>
      <c r="Q9" s="257">
        <f t="shared" si="26"/>
        <v>30</v>
      </c>
      <c r="R9" s="257">
        <f t="shared" si="27"/>
        <v>0.92954401519949337</v>
      </c>
      <c r="S9" s="257">
        <f t="shared" si="28"/>
        <v>11.154528182393921</v>
      </c>
      <c r="T9" s="246">
        <f t="shared" si="29"/>
        <v>0.37181760607979736</v>
      </c>
      <c r="U9" s="135"/>
      <c r="V9" s="268">
        <f t="shared" si="12"/>
        <v>2.5</v>
      </c>
      <c r="W9" s="269">
        <v>0.18</v>
      </c>
      <c r="X9" s="270">
        <f t="shared" si="13"/>
        <v>3.0487804878048776</v>
      </c>
      <c r="Y9" s="271">
        <f t="shared" si="14"/>
        <v>0.54878048780487798</v>
      </c>
      <c r="Z9" s="267">
        <f t="shared" si="15"/>
        <v>4.939024390243902E-2</v>
      </c>
      <c r="AA9" s="271">
        <f t="shared" si="16"/>
        <v>0.59817073170731705</v>
      </c>
      <c r="AB9" s="271">
        <f t="shared" si="17"/>
        <v>2.4506097560975606</v>
      </c>
      <c r="AC9" s="284">
        <f t="shared" si="18"/>
        <v>0.35915705024313727</v>
      </c>
      <c r="AD9" s="285">
        <f t="shared" si="19"/>
        <v>-1.2660555836660092E-2</v>
      </c>
      <c r="AE9" s="221" t="s">
        <v>269</v>
      </c>
    </row>
    <row r="10" spans="1:31" ht="40" customHeight="1" x14ac:dyDescent="0.2">
      <c r="A10" s="123">
        <v>5</v>
      </c>
      <c r="B10" s="274" t="s">
        <v>251</v>
      </c>
      <c r="C10" s="123">
        <v>1</v>
      </c>
      <c r="D10" s="123">
        <v>12</v>
      </c>
      <c r="E10" s="123">
        <f t="shared" si="20"/>
        <v>12</v>
      </c>
      <c r="F10" s="123" t="s">
        <v>269</v>
      </c>
      <c r="G10" s="123" t="s">
        <v>269</v>
      </c>
      <c r="H10" s="257">
        <v>54.6</v>
      </c>
      <c r="I10" s="257">
        <f t="shared" si="21"/>
        <v>4.55</v>
      </c>
      <c r="J10" s="257">
        <f t="shared" si="22"/>
        <v>54.599999999999994</v>
      </c>
      <c r="K10" s="257"/>
      <c r="L10" s="257">
        <f t="shared" si="23"/>
        <v>1.4407853071564281</v>
      </c>
      <c r="M10" s="257">
        <f t="shared" si="24"/>
        <v>17.289423685877139</v>
      </c>
      <c r="N10" s="257">
        <f t="shared" si="7"/>
        <v>1.5704559848005066</v>
      </c>
      <c r="O10" s="257">
        <f t="shared" si="25"/>
        <v>18.845471817606079</v>
      </c>
      <c r="P10" s="257">
        <v>2.5</v>
      </c>
      <c r="Q10" s="257">
        <f t="shared" si="26"/>
        <v>30</v>
      </c>
      <c r="R10" s="257">
        <f t="shared" si="27"/>
        <v>0.92954401519949337</v>
      </c>
      <c r="S10" s="257">
        <f t="shared" si="28"/>
        <v>11.154528182393921</v>
      </c>
      <c r="T10" s="246">
        <f t="shared" si="29"/>
        <v>0.37181760607979736</v>
      </c>
      <c r="U10" s="135"/>
      <c r="V10" s="268">
        <f t="shared" si="12"/>
        <v>2.5</v>
      </c>
      <c r="W10" s="269">
        <v>0.18</v>
      </c>
      <c r="X10" s="270">
        <f t="shared" si="13"/>
        <v>3.0487804878048776</v>
      </c>
      <c r="Y10" s="271">
        <f t="shared" si="14"/>
        <v>0.54878048780487798</v>
      </c>
      <c r="Z10" s="267">
        <f t="shared" si="15"/>
        <v>4.939024390243902E-2</v>
      </c>
      <c r="AA10" s="271">
        <f t="shared" si="16"/>
        <v>0.59817073170731705</v>
      </c>
      <c r="AB10" s="271">
        <f t="shared" si="17"/>
        <v>2.4506097560975606</v>
      </c>
      <c r="AC10" s="284">
        <f t="shared" si="18"/>
        <v>0.35915705024313727</v>
      </c>
      <c r="AD10" s="285">
        <f t="shared" si="19"/>
        <v>-1.2660555836660092E-2</v>
      </c>
      <c r="AE10" s="221" t="s">
        <v>269</v>
      </c>
    </row>
    <row r="11" spans="1:31" ht="40" customHeight="1" x14ac:dyDescent="0.2">
      <c r="A11" s="123">
        <v>6</v>
      </c>
      <c r="B11" s="274" t="s">
        <v>247</v>
      </c>
      <c r="C11" s="123">
        <v>1</v>
      </c>
      <c r="D11" s="123">
        <v>60</v>
      </c>
      <c r="E11" s="123">
        <f t="shared" ref="E11:E12" si="30">D11*C11</f>
        <v>60</v>
      </c>
      <c r="F11" s="123" t="s">
        <v>269</v>
      </c>
      <c r="G11" s="123" t="s">
        <v>269</v>
      </c>
      <c r="H11" s="257">
        <v>105</v>
      </c>
      <c r="I11" s="257">
        <f t="shared" ref="I11:I12" si="31">H11/D11</f>
        <v>1.75</v>
      </c>
      <c r="J11" s="257">
        <f t="shared" ref="J11:J12" si="32">I11*E11</f>
        <v>105</v>
      </c>
      <c r="K11" s="257"/>
      <c r="L11" s="257">
        <f t="shared" ref="L11:L12" si="33">I11/$S$2</f>
        <v>0.55414819506016466</v>
      </c>
      <c r="M11" s="257">
        <f t="shared" ref="M11:M12" si="34">H11/$S$2</f>
        <v>33.248891703609878</v>
      </c>
      <c r="N11" s="257">
        <f t="shared" si="7"/>
        <v>0.60402153261557956</v>
      </c>
      <c r="O11" s="257">
        <f t="shared" ref="O11:O12" si="35">N11*E11</f>
        <v>36.241291956934774</v>
      </c>
      <c r="P11" s="257">
        <v>1</v>
      </c>
      <c r="Q11" s="257">
        <f t="shared" ref="Q11:Q12" si="36">P11*E11</f>
        <v>60</v>
      </c>
      <c r="R11" s="257">
        <f t="shared" ref="R11:R12" si="37">P11-N11</f>
        <v>0.39597846738442044</v>
      </c>
      <c r="S11" s="257">
        <f t="shared" ref="S11:S12" si="38">Q11-O11</f>
        <v>23.758708043065226</v>
      </c>
      <c r="T11" s="246">
        <f t="shared" ref="T11:T12" si="39">R11/P11</f>
        <v>0.39597846738442044</v>
      </c>
      <c r="U11" s="135"/>
      <c r="V11" s="268">
        <f t="shared" si="12"/>
        <v>1</v>
      </c>
      <c r="W11" s="269">
        <v>0.18</v>
      </c>
      <c r="X11" s="270">
        <f t="shared" si="13"/>
        <v>1.2195121951219512</v>
      </c>
      <c r="Y11" s="271">
        <f t="shared" si="14"/>
        <v>0.21951219512195122</v>
      </c>
      <c r="Z11" s="267">
        <f t="shared" si="15"/>
        <v>1.975609756097561E-2</v>
      </c>
      <c r="AA11" s="271">
        <f t="shared" si="16"/>
        <v>0.23926829268292682</v>
      </c>
      <c r="AB11" s="271">
        <f t="shared" si="17"/>
        <v>0.98024390243902437</v>
      </c>
      <c r="AC11" s="284">
        <f t="shared" si="18"/>
        <v>0.38380485600301661</v>
      </c>
      <c r="AD11" s="285">
        <f t="shared" si="19"/>
        <v>-1.2173611381403826E-2</v>
      </c>
      <c r="AE11" s="221" t="s">
        <v>269</v>
      </c>
    </row>
    <row r="12" spans="1:31" ht="40" customHeight="1" x14ac:dyDescent="0.2">
      <c r="A12" s="123">
        <v>7</v>
      </c>
      <c r="B12" s="274" t="s">
        <v>248</v>
      </c>
      <c r="C12" s="123">
        <v>1</v>
      </c>
      <c r="D12" s="123">
        <v>60</v>
      </c>
      <c r="E12" s="123">
        <f t="shared" si="30"/>
        <v>60</v>
      </c>
      <c r="F12" s="123" t="s">
        <v>269</v>
      </c>
      <c r="G12" s="123" t="s">
        <v>269</v>
      </c>
      <c r="H12" s="257">
        <v>105</v>
      </c>
      <c r="I12" s="257">
        <f t="shared" si="31"/>
        <v>1.75</v>
      </c>
      <c r="J12" s="257">
        <f t="shared" si="32"/>
        <v>105</v>
      </c>
      <c r="K12" s="257"/>
      <c r="L12" s="257">
        <f t="shared" si="33"/>
        <v>0.55414819506016466</v>
      </c>
      <c r="M12" s="257">
        <f t="shared" si="34"/>
        <v>33.248891703609878</v>
      </c>
      <c r="N12" s="257">
        <f t="shared" si="7"/>
        <v>0.60402153261557956</v>
      </c>
      <c r="O12" s="257">
        <f t="shared" si="35"/>
        <v>36.241291956934774</v>
      </c>
      <c r="P12" s="257">
        <v>1</v>
      </c>
      <c r="Q12" s="257">
        <f t="shared" si="36"/>
        <v>60</v>
      </c>
      <c r="R12" s="257">
        <f t="shared" si="37"/>
        <v>0.39597846738442044</v>
      </c>
      <c r="S12" s="257">
        <f t="shared" si="38"/>
        <v>23.758708043065226</v>
      </c>
      <c r="T12" s="246">
        <f t="shared" si="39"/>
        <v>0.39597846738442044</v>
      </c>
      <c r="U12" s="135"/>
      <c r="V12" s="268">
        <f t="shared" si="12"/>
        <v>1</v>
      </c>
      <c r="W12" s="269">
        <v>0.18</v>
      </c>
      <c r="X12" s="270">
        <f t="shared" si="13"/>
        <v>1.2195121951219512</v>
      </c>
      <c r="Y12" s="271">
        <f t="shared" si="14"/>
        <v>0.21951219512195122</v>
      </c>
      <c r="Z12" s="267">
        <f t="shared" si="15"/>
        <v>1.975609756097561E-2</v>
      </c>
      <c r="AA12" s="271">
        <f t="shared" si="16"/>
        <v>0.23926829268292682</v>
      </c>
      <c r="AB12" s="271">
        <f t="shared" si="17"/>
        <v>0.98024390243902437</v>
      </c>
      <c r="AC12" s="284">
        <f t="shared" si="18"/>
        <v>0.38380485600301661</v>
      </c>
      <c r="AD12" s="285">
        <f t="shared" si="19"/>
        <v>-1.2173611381403826E-2</v>
      </c>
      <c r="AE12" s="221" t="s">
        <v>269</v>
      </c>
    </row>
    <row r="13" spans="1:31" ht="40" customHeight="1" x14ac:dyDescent="0.2">
      <c r="A13" s="123">
        <v>8</v>
      </c>
      <c r="B13" s="274" t="s">
        <v>231</v>
      </c>
      <c r="C13" s="123">
        <v>1</v>
      </c>
      <c r="D13" s="123">
        <v>36</v>
      </c>
      <c r="E13" s="123">
        <f t="shared" ref="E13:E14" si="40">D13*C13</f>
        <v>36</v>
      </c>
      <c r="F13" s="123" t="s">
        <v>269</v>
      </c>
      <c r="G13" s="123" t="s">
        <v>269</v>
      </c>
      <c r="H13" s="257">
        <v>106.2</v>
      </c>
      <c r="I13" s="257">
        <f t="shared" ref="I13:I14" si="41">H13/D13</f>
        <v>2.95</v>
      </c>
      <c r="J13" s="257">
        <f t="shared" ref="J13:J14" si="42">I13*E13</f>
        <v>106.2</v>
      </c>
      <c r="K13" s="257"/>
      <c r="L13" s="257">
        <f t="shared" ref="L13:L14" si="43">I13/$S$2</f>
        <v>0.93413552881570627</v>
      </c>
      <c r="M13" s="257">
        <f t="shared" ref="M13:M14" si="44">H13/$S$2</f>
        <v>33.628879037365422</v>
      </c>
      <c r="N13" s="257">
        <f t="shared" si="7"/>
        <v>1.0182077264091198</v>
      </c>
      <c r="O13" s="257">
        <f t="shared" ref="O13:O14" si="45">N13*E13</f>
        <v>36.655478150728314</v>
      </c>
      <c r="P13" s="257">
        <v>1.5</v>
      </c>
      <c r="Q13" s="257">
        <f t="shared" ref="Q13:Q14" si="46">P13*E13</f>
        <v>54</v>
      </c>
      <c r="R13" s="257">
        <f t="shared" ref="R13:R14" si="47">P13-N13</f>
        <v>0.48179227359088017</v>
      </c>
      <c r="S13" s="257">
        <f t="shared" ref="S13:S14" si="48">Q13-O13</f>
        <v>17.344521849271686</v>
      </c>
      <c r="T13" s="246">
        <f t="shared" ref="T13:T14" si="49">R13/P13</f>
        <v>0.32119484906058676</v>
      </c>
      <c r="U13" s="135"/>
      <c r="V13" s="268">
        <f t="shared" si="12"/>
        <v>1.5</v>
      </c>
      <c r="W13" s="269">
        <v>0.18</v>
      </c>
      <c r="X13" s="270">
        <f t="shared" si="13"/>
        <v>1.8292682926829267</v>
      </c>
      <c r="Y13" s="271">
        <f t="shared" si="14"/>
        <v>0.32926829268292679</v>
      </c>
      <c r="Z13" s="267">
        <f t="shared" si="15"/>
        <v>2.963414634146341E-2</v>
      </c>
      <c r="AA13" s="271">
        <f t="shared" si="16"/>
        <v>0.35890243902439017</v>
      </c>
      <c r="AB13" s="271">
        <f t="shared" si="17"/>
        <v>1.4703658536585364</v>
      </c>
      <c r="AC13" s="284">
        <f t="shared" si="18"/>
        <v>0.30751402865100907</v>
      </c>
      <c r="AD13" s="285">
        <f t="shared" si="19"/>
        <v>-1.3680820409577688E-2</v>
      </c>
      <c r="AE13" s="221" t="s">
        <v>269</v>
      </c>
    </row>
    <row r="14" spans="1:31" ht="40" customHeight="1" x14ac:dyDescent="0.2">
      <c r="A14" s="123">
        <v>9</v>
      </c>
      <c r="B14" s="274" t="s">
        <v>232</v>
      </c>
      <c r="C14" s="123">
        <v>1</v>
      </c>
      <c r="D14" s="123">
        <v>36</v>
      </c>
      <c r="E14" s="123">
        <f t="shared" si="40"/>
        <v>36</v>
      </c>
      <c r="F14" s="123" t="s">
        <v>269</v>
      </c>
      <c r="G14" s="123" t="s">
        <v>269</v>
      </c>
      <c r="H14" s="257">
        <v>106.2</v>
      </c>
      <c r="I14" s="257">
        <f t="shared" si="41"/>
        <v>2.95</v>
      </c>
      <c r="J14" s="257">
        <f t="shared" si="42"/>
        <v>106.2</v>
      </c>
      <c r="K14" s="257"/>
      <c r="L14" s="257">
        <f t="shared" si="43"/>
        <v>0.93413552881570627</v>
      </c>
      <c r="M14" s="257">
        <f t="shared" si="44"/>
        <v>33.628879037365422</v>
      </c>
      <c r="N14" s="257">
        <f t="shared" si="7"/>
        <v>1.0182077264091198</v>
      </c>
      <c r="O14" s="257">
        <f t="shared" si="45"/>
        <v>36.655478150728314</v>
      </c>
      <c r="P14" s="257">
        <v>1.5</v>
      </c>
      <c r="Q14" s="257">
        <f t="shared" si="46"/>
        <v>54</v>
      </c>
      <c r="R14" s="257">
        <f t="shared" si="47"/>
        <v>0.48179227359088017</v>
      </c>
      <c r="S14" s="257">
        <f t="shared" si="48"/>
        <v>17.344521849271686</v>
      </c>
      <c r="T14" s="246">
        <f t="shared" si="49"/>
        <v>0.32119484906058676</v>
      </c>
      <c r="U14" s="135"/>
      <c r="V14" s="268">
        <f t="shared" si="12"/>
        <v>1.5</v>
      </c>
      <c r="W14" s="269">
        <v>0.18</v>
      </c>
      <c r="X14" s="270">
        <f t="shared" si="13"/>
        <v>1.8292682926829267</v>
      </c>
      <c r="Y14" s="271">
        <f t="shared" si="14"/>
        <v>0.32926829268292679</v>
      </c>
      <c r="Z14" s="267">
        <f t="shared" si="15"/>
        <v>2.963414634146341E-2</v>
      </c>
      <c r="AA14" s="271">
        <f t="shared" si="16"/>
        <v>0.35890243902439017</v>
      </c>
      <c r="AB14" s="271">
        <f t="shared" si="17"/>
        <v>1.4703658536585364</v>
      </c>
      <c r="AC14" s="284">
        <f t="shared" si="18"/>
        <v>0.30751402865100907</v>
      </c>
      <c r="AD14" s="285">
        <f t="shared" si="19"/>
        <v>-1.3680820409577688E-2</v>
      </c>
      <c r="AE14" s="221" t="s">
        <v>269</v>
      </c>
    </row>
    <row r="15" spans="1:31" ht="40" customHeight="1" x14ac:dyDescent="0.2">
      <c r="A15" s="123">
        <v>10</v>
      </c>
      <c r="B15" s="274" t="s">
        <v>217</v>
      </c>
      <c r="C15" s="123">
        <v>1</v>
      </c>
      <c r="D15" s="123">
        <v>12</v>
      </c>
      <c r="E15" s="123">
        <f t="shared" ref="E15:E19" si="50">D15*C15</f>
        <v>12</v>
      </c>
      <c r="F15" s="123" t="s">
        <v>269</v>
      </c>
      <c r="G15" s="123" t="s">
        <v>269</v>
      </c>
      <c r="H15" s="257">
        <f>73.68*0.85</f>
        <v>62.628000000000007</v>
      </c>
      <c r="I15" s="257">
        <f t="shared" ref="I15:I19" si="51">H15/D15</f>
        <v>5.2190000000000003</v>
      </c>
      <c r="J15" s="257">
        <f t="shared" ref="J15:J19" si="52">I15*E15</f>
        <v>62.628</v>
      </c>
      <c r="K15" s="257"/>
      <c r="L15" s="257">
        <f t="shared" ref="L15:L19" si="53">I15/$S$2</f>
        <v>1.6526282457251427</v>
      </c>
      <c r="M15" s="257">
        <f t="shared" ref="M15:M19" si="54">H15/$S$2</f>
        <v>19.831538948701713</v>
      </c>
      <c r="N15" s="257">
        <f t="shared" si="7"/>
        <v>1.8013647878404055</v>
      </c>
      <c r="O15" s="257">
        <f t="shared" ref="O15:O19" si="55">N15*E15</f>
        <v>21.616377454084866</v>
      </c>
      <c r="P15" s="257">
        <v>2.5</v>
      </c>
      <c r="Q15" s="257">
        <f t="shared" ref="Q15:Q19" si="56">P15*E15</f>
        <v>30</v>
      </c>
      <c r="R15" s="257">
        <f t="shared" ref="R15:R19" si="57">P15-N15</f>
        <v>0.69863521215959445</v>
      </c>
      <c r="S15" s="257">
        <f t="shared" ref="S15:S19" si="58">Q15-O15</f>
        <v>8.3836225459151343</v>
      </c>
      <c r="T15" s="246">
        <f t="shared" ref="T15:T19" si="59">R15/P15</f>
        <v>0.27945408486383777</v>
      </c>
      <c r="U15" s="135"/>
      <c r="V15" s="268">
        <f t="shared" si="12"/>
        <v>2.5</v>
      </c>
      <c r="W15" s="269">
        <v>0.18</v>
      </c>
      <c r="X15" s="270">
        <f t="shared" si="13"/>
        <v>3.0487804878048776</v>
      </c>
      <c r="Y15" s="271">
        <f t="shared" si="14"/>
        <v>0.54878048780487798</v>
      </c>
      <c r="Z15" s="267">
        <f t="shared" si="15"/>
        <v>4.939024390243902E-2</v>
      </c>
      <c r="AA15" s="271">
        <f t="shared" si="16"/>
        <v>0.59817073170731705</v>
      </c>
      <c r="AB15" s="271">
        <f t="shared" si="17"/>
        <v>2.4506097560975606</v>
      </c>
      <c r="AC15" s="284">
        <f t="shared" si="18"/>
        <v>0.26493200993822702</v>
      </c>
      <c r="AD15" s="285">
        <f t="shared" si="19"/>
        <v>-1.4522074925610751E-2</v>
      </c>
      <c r="AE15" s="221" t="s">
        <v>269</v>
      </c>
    </row>
    <row r="16" spans="1:31" ht="40" customHeight="1" x14ac:dyDescent="0.2">
      <c r="A16" s="123">
        <v>11</v>
      </c>
      <c r="B16" s="274" t="s">
        <v>218</v>
      </c>
      <c r="C16" s="123">
        <v>1</v>
      </c>
      <c r="D16" s="123">
        <v>12</v>
      </c>
      <c r="E16" s="123">
        <f t="shared" si="50"/>
        <v>12</v>
      </c>
      <c r="F16" s="123" t="s">
        <v>269</v>
      </c>
      <c r="G16" s="123" t="s">
        <v>269</v>
      </c>
      <c r="H16" s="257">
        <f t="shared" ref="H16:H19" si="60">73.68*0.85</f>
        <v>62.628000000000007</v>
      </c>
      <c r="I16" s="257">
        <f t="shared" si="51"/>
        <v>5.2190000000000003</v>
      </c>
      <c r="J16" s="257">
        <f t="shared" si="52"/>
        <v>62.628</v>
      </c>
      <c r="K16" s="257"/>
      <c r="L16" s="257">
        <f t="shared" si="53"/>
        <v>1.6526282457251427</v>
      </c>
      <c r="M16" s="257">
        <f t="shared" si="54"/>
        <v>19.831538948701713</v>
      </c>
      <c r="N16" s="257">
        <f t="shared" si="7"/>
        <v>1.8013647878404055</v>
      </c>
      <c r="O16" s="257">
        <f t="shared" si="55"/>
        <v>21.616377454084866</v>
      </c>
      <c r="P16" s="257">
        <v>2.5</v>
      </c>
      <c r="Q16" s="257">
        <f t="shared" si="56"/>
        <v>30</v>
      </c>
      <c r="R16" s="257">
        <f t="shared" si="57"/>
        <v>0.69863521215959445</v>
      </c>
      <c r="S16" s="257">
        <f t="shared" si="58"/>
        <v>8.3836225459151343</v>
      </c>
      <c r="T16" s="246">
        <f t="shared" si="59"/>
        <v>0.27945408486383777</v>
      </c>
      <c r="U16" s="135"/>
      <c r="V16" s="268">
        <f t="shared" si="12"/>
        <v>2.5</v>
      </c>
      <c r="W16" s="269">
        <v>0.18</v>
      </c>
      <c r="X16" s="270">
        <f t="shared" si="13"/>
        <v>3.0487804878048776</v>
      </c>
      <c r="Y16" s="271">
        <f t="shared" si="14"/>
        <v>0.54878048780487798</v>
      </c>
      <c r="Z16" s="267">
        <f t="shared" si="15"/>
        <v>4.939024390243902E-2</v>
      </c>
      <c r="AA16" s="271">
        <f t="shared" si="16"/>
        <v>0.59817073170731705</v>
      </c>
      <c r="AB16" s="271">
        <f t="shared" si="17"/>
        <v>2.4506097560975606</v>
      </c>
      <c r="AC16" s="284">
        <f t="shared" si="18"/>
        <v>0.26493200993822702</v>
      </c>
      <c r="AD16" s="285">
        <f t="shared" si="19"/>
        <v>-1.4522074925610751E-2</v>
      </c>
      <c r="AE16" s="221" t="s">
        <v>269</v>
      </c>
    </row>
    <row r="17" spans="1:31" ht="40" customHeight="1" x14ac:dyDescent="0.2">
      <c r="A17" s="123">
        <v>12</v>
      </c>
      <c r="B17" s="274" t="s">
        <v>219</v>
      </c>
      <c r="C17" s="123">
        <v>1</v>
      </c>
      <c r="D17" s="123">
        <v>12</v>
      </c>
      <c r="E17" s="123">
        <f t="shared" si="50"/>
        <v>12</v>
      </c>
      <c r="F17" s="123" t="s">
        <v>269</v>
      </c>
      <c r="G17" s="123" t="s">
        <v>269</v>
      </c>
      <c r="H17" s="257">
        <f t="shared" si="60"/>
        <v>62.628000000000007</v>
      </c>
      <c r="I17" s="257">
        <f t="shared" si="51"/>
        <v>5.2190000000000003</v>
      </c>
      <c r="J17" s="257">
        <f t="shared" si="52"/>
        <v>62.628</v>
      </c>
      <c r="K17" s="257"/>
      <c r="L17" s="257">
        <f t="shared" si="53"/>
        <v>1.6526282457251427</v>
      </c>
      <c r="M17" s="257">
        <f t="shared" si="54"/>
        <v>19.831538948701713</v>
      </c>
      <c r="N17" s="257">
        <f t="shared" si="7"/>
        <v>1.8013647878404055</v>
      </c>
      <c r="O17" s="257">
        <f t="shared" si="55"/>
        <v>21.616377454084866</v>
      </c>
      <c r="P17" s="257">
        <v>2.5</v>
      </c>
      <c r="Q17" s="257">
        <f t="shared" si="56"/>
        <v>30</v>
      </c>
      <c r="R17" s="257">
        <f t="shared" si="57"/>
        <v>0.69863521215959445</v>
      </c>
      <c r="S17" s="257">
        <f t="shared" si="58"/>
        <v>8.3836225459151343</v>
      </c>
      <c r="T17" s="246">
        <f t="shared" si="59"/>
        <v>0.27945408486383777</v>
      </c>
      <c r="U17" s="135"/>
      <c r="V17" s="268">
        <f t="shared" si="12"/>
        <v>2.5</v>
      </c>
      <c r="W17" s="269">
        <v>0.18</v>
      </c>
      <c r="X17" s="270">
        <f t="shared" si="13"/>
        <v>3.0487804878048776</v>
      </c>
      <c r="Y17" s="271">
        <f t="shared" si="14"/>
        <v>0.54878048780487798</v>
      </c>
      <c r="Z17" s="267">
        <f t="shared" si="15"/>
        <v>4.939024390243902E-2</v>
      </c>
      <c r="AA17" s="271">
        <f t="shared" si="16"/>
        <v>0.59817073170731705</v>
      </c>
      <c r="AB17" s="271">
        <f t="shared" si="17"/>
        <v>2.4506097560975606</v>
      </c>
      <c r="AC17" s="284">
        <f t="shared" si="18"/>
        <v>0.26493200993822702</v>
      </c>
      <c r="AD17" s="285">
        <f t="shared" si="19"/>
        <v>-1.4522074925610751E-2</v>
      </c>
      <c r="AE17" s="221" t="s">
        <v>269</v>
      </c>
    </row>
    <row r="18" spans="1:31" ht="40" customHeight="1" x14ac:dyDescent="0.2">
      <c r="A18" s="123">
        <v>13</v>
      </c>
      <c r="B18" s="274" t="s">
        <v>220</v>
      </c>
      <c r="C18" s="123">
        <v>1</v>
      </c>
      <c r="D18" s="123">
        <v>12</v>
      </c>
      <c r="E18" s="123">
        <f t="shared" si="50"/>
        <v>12</v>
      </c>
      <c r="F18" s="123" t="s">
        <v>269</v>
      </c>
      <c r="G18" s="123" t="s">
        <v>269</v>
      </c>
      <c r="H18" s="257">
        <f t="shared" si="60"/>
        <v>62.628000000000007</v>
      </c>
      <c r="I18" s="257">
        <f t="shared" si="51"/>
        <v>5.2190000000000003</v>
      </c>
      <c r="J18" s="257">
        <f t="shared" si="52"/>
        <v>62.628</v>
      </c>
      <c r="K18" s="257"/>
      <c r="L18" s="257">
        <f t="shared" si="53"/>
        <v>1.6526282457251427</v>
      </c>
      <c r="M18" s="257">
        <f t="shared" si="54"/>
        <v>19.831538948701713</v>
      </c>
      <c r="N18" s="257">
        <f t="shared" si="7"/>
        <v>1.8013647878404055</v>
      </c>
      <c r="O18" s="257">
        <f t="shared" si="55"/>
        <v>21.616377454084866</v>
      </c>
      <c r="P18" s="257">
        <v>2.5</v>
      </c>
      <c r="Q18" s="257">
        <f t="shared" si="56"/>
        <v>30</v>
      </c>
      <c r="R18" s="257">
        <f t="shared" si="57"/>
        <v>0.69863521215959445</v>
      </c>
      <c r="S18" s="257">
        <f t="shared" si="58"/>
        <v>8.3836225459151343</v>
      </c>
      <c r="T18" s="246">
        <f t="shared" si="59"/>
        <v>0.27945408486383777</v>
      </c>
      <c r="U18" s="135"/>
      <c r="V18" s="268">
        <f t="shared" si="12"/>
        <v>2.5</v>
      </c>
      <c r="W18" s="269">
        <v>0.18</v>
      </c>
      <c r="X18" s="270">
        <f t="shared" si="13"/>
        <v>3.0487804878048776</v>
      </c>
      <c r="Y18" s="271">
        <f t="shared" si="14"/>
        <v>0.54878048780487798</v>
      </c>
      <c r="Z18" s="267">
        <f t="shared" si="15"/>
        <v>4.939024390243902E-2</v>
      </c>
      <c r="AA18" s="271">
        <f t="shared" si="16"/>
        <v>0.59817073170731705</v>
      </c>
      <c r="AB18" s="271">
        <f t="shared" si="17"/>
        <v>2.4506097560975606</v>
      </c>
      <c r="AC18" s="284">
        <f t="shared" si="18"/>
        <v>0.26493200993822702</v>
      </c>
      <c r="AD18" s="285">
        <f t="shared" si="19"/>
        <v>-1.4522074925610751E-2</v>
      </c>
      <c r="AE18" s="221" t="s">
        <v>269</v>
      </c>
    </row>
    <row r="19" spans="1:31" ht="40" customHeight="1" x14ac:dyDescent="0.2">
      <c r="A19" s="123">
        <v>14</v>
      </c>
      <c r="B19" s="274" t="s">
        <v>221</v>
      </c>
      <c r="C19" s="123">
        <v>1</v>
      </c>
      <c r="D19" s="123">
        <v>12</v>
      </c>
      <c r="E19" s="123">
        <f t="shared" si="50"/>
        <v>12</v>
      </c>
      <c r="F19" s="123" t="s">
        <v>269</v>
      </c>
      <c r="G19" s="123" t="s">
        <v>269</v>
      </c>
      <c r="H19" s="257">
        <f t="shared" si="60"/>
        <v>62.628000000000007</v>
      </c>
      <c r="I19" s="257">
        <f t="shared" si="51"/>
        <v>5.2190000000000003</v>
      </c>
      <c r="J19" s="257">
        <f t="shared" si="52"/>
        <v>62.628</v>
      </c>
      <c r="K19" s="257"/>
      <c r="L19" s="257">
        <f t="shared" si="53"/>
        <v>1.6526282457251427</v>
      </c>
      <c r="M19" s="257">
        <f t="shared" si="54"/>
        <v>19.831538948701713</v>
      </c>
      <c r="N19" s="257">
        <f t="shared" si="7"/>
        <v>1.8013647878404055</v>
      </c>
      <c r="O19" s="257">
        <f t="shared" si="55"/>
        <v>21.616377454084866</v>
      </c>
      <c r="P19" s="257">
        <v>2.5</v>
      </c>
      <c r="Q19" s="257">
        <f t="shared" si="56"/>
        <v>30</v>
      </c>
      <c r="R19" s="257">
        <f t="shared" si="57"/>
        <v>0.69863521215959445</v>
      </c>
      <c r="S19" s="257">
        <f t="shared" si="58"/>
        <v>8.3836225459151343</v>
      </c>
      <c r="T19" s="246">
        <f t="shared" si="59"/>
        <v>0.27945408486383777</v>
      </c>
      <c r="U19" s="135"/>
      <c r="V19" s="268">
        <f t="shared" si="12"/>
        <v>2.5</v>
      </c>
      <c r="W19" s="269">
        <v>0.18</v>
      </c>
      <c r="X19" s="270">
        <f t="shared" si="13"/>
        <v>3.0487804878048776</v>
      </c>
      <c r="Y19" s="271">
        <f t="shared" si="14"/>
        <v>0.54878048780487798</v>
      </c>
      <c r="Z19" s="267">
        <f t="shared" si="15"/>
        <v>4.939024390243902E-2</v>
      </c>
      <c r="AA19" s="271">
        <f t="shared" si="16"/>
        <v>0.59817073170731705</v>
      </c>
      <c r="AB19" s="271">
        <f t="shared" si="17"/>
        <v>2.4506097560975606</v>
      </c>
      <c r="AC19" s="284">
        <f t="shared" si="18"/>
        <v>0.26493200993822702</v>
      </c>
      <c r="AD19" s="285">
        <f t="shared" si="19"/>
        <v>-1.4522074925610751E-2</v>
      </c>
      <c r="AE19" s="221" t="s">
        <v>269</v>
      </c>
    </row>
    <row r="20" spans="1:31" ht="40" customHeight="1" x14ac:dyDescent="0.2">
      <c r="A20" s="123">
        <v>15</v>
      </c>
      <c r="B20" s="274" t="s">
        <v>208</v>
      </c>
      <c r="C20" s="123">
        <v>1</v>
      </c>
      <c r="D20" s="123">
        <v>80</v>
      </c>
      <c r="E20" s="123">
        <f t="shared" ref="E20:E24" si="61">D20*C20</f>
        <v>80</v>
      </c>
      <c r="F20" s="123" t="s">
        <v>269</v>
      </c>
      <c r="G20" s="123" t="s">
        <v>269</v>
      </c>
      <c r="H20" s="257">
        <v>160</v>
      </c>
      <c r="I20" s="257">
        <f t="shared" ref="I20:I24" si="62">H20/D20</f>
        <v>2</v>
      </c>
      <c r="J20" s="257">
        <f t="shared" ref="J20:J24" si="63">I20*E20</f>
        <v>160</v>
      </c>
      <c r="K20" s="257"/>
      <c r="L20" s="257">
        <f t="shared" ref="L20:L24" si="64">I20/$S$2</f>
        <v>0.6333122229259025</v>
      </c>
      <c r="M20" s="257">
        <f t="shared" ref="M20:M24" si="65">H20/$S$2</f>
        <v>50.664977834072197</v>
      </c>
      <c r="N20" s="257">
        <f t="shared" si="7"/>
        <v>0.69031032298923378</v>
      </c>
      <c r="O20" s="257">
        <f t="shared" ref="O20:O24" si="66">N20*E20</f>
        <v>55.224825839138703</v>
      </c>
      <c r="P20" s="257">
        <v>1.25</v>
      </c>
      <c r="Q20" s="257">
        <f t="shared" ref="Q20:Q24" si="67">P20*E20</f>
        <v>100</v>
      </c>
      <c r="R20" s="257">
        <f t="shared" ref="R20:R24" si="68">P20-N20</f>
        <v>0.55968967701076622</v>
      </c>
      <c r="S20" s="257">
        <f t="shared" ref="S20:S24" si="69">Q20-O20</f>
        <v>44.775174160861297</v>
      </c>
      <c r="T20" s="246">
        <f t="shared" ref="T20:T24" si="70">R20/P20</f>
        <v>0.44775174160861297</v>
      </c>
      <c r="U20" s="135"/>
      <c r="V20" s="268">
        <f t="shared" si="12"/>
        <v>1.25</v>
      </c>
      <c r="W20" s="269">
        <v>0.18</v>
      </c>
      <c r="X20" s="270">
        <f t="shared" si="13"/>
        <v>1.5243902439024388</v>
      </c>
      <c r="Y20" s="271">
        <f t="shared" si="14"/>
        <v>0.27439024390243899</v>
      </c>
      <c r="Z20" s="267">
        <f t="shared" si="15"/>
        <v>2.469512195121951E-2</v>
      </c>
      <c r="AA20" s="271">
        <f t="shared" si="16"/>
        <v>0.29908536585365852</v>
      </c>
      <c r="AB20" s="271">
        <f t="shared" si="17"/>
        <v>1.2253048780487803</v>
      </c>
      <c r="AC20" s="284">
        <f t="shared" si="18"/>
        <v>0.43662158263132939</v>
      </c>
      <c r="AD20" s="285">
        <f t="shared" si="19"/>
        <v>-1.1130158977283588E-2</v>
      </c>
      <c r="AE20" s="221" t="s">
        <v>269</v>
      </c>
    </row>
    <row r="21" spans="1:31" ht="40" customHeight="1" x14ac:dyDescent="0.2">
      <c r="A21" s="123">
        <v>16</v>
      </c>
      <c r="B21" s="274" t="s">
        <v>230</v>
      </c>
      <c r="C21" s="123">
        <v>1</v>
      </c>
      <c r="D21" s="123">
        <v>40</v>
      </c>
      <c r="E21" s="123">
        <f t="shared" si="61"/>
        <v>40</v>
      </c>
      <c r="F21" s="123" t="s">
        <v>269</v>
      </c>
      <c r="G21" s="123" t="s">
        <v>269</v>
      </c>
      <c r="H21" s="257">
        <v>78</v>
      </c>
      <c r="I21" s="257">
        <f t="shared" ref="I21" si="71">H21/D21</f>
        <v>1.95</v>
      </c>
      <c r="J21" s="257">
        <f t="shared" ref="J21" si="72">I21*E21</f>
        <v>78</v>
      </c>
      <c r="K21" s="257"/>
      <c r="L21" s="257">
        <f t="shared" ref="L21" si="73">I21/$S$2</f>
        <v>0.61747941735275491</v>
      </c>
      <c r="M21" s="257">
        <f t="shared" ref="M21" si="74">H21/$S$2</f>
        <v>24.699176694110196</v>
      </c>
      <c r="N21" s="257">
        <f t="shared" si="7"/>
        <v>0.67305256491450294</v>
      </c>
      <c r="O21" s="257">
        <f t="shared" ref="O21" si="75">N21*E21</f>
        <v>26.922102596580118</v>
      </c>
      <c r="P21" s="257">
        <v>1.25</v>
      </c>
      <c r="Q21" s="257">
        <f t="shared" ref="Q21" si="76">P21*E21</f>
        <v>50</v>
      </c>
      <c r="R21" s="257">
        <f t="shared" ref="R21" si="77">P21-N21</f>
        <v>0.57694743508549706</v>
      </c>
      <c r="S21" s="257">
        <f t="shared" ref="S21" si="78">Q21-O21</f>
        <v>23.077897403419882</v>
      </c>
      <c r="T21" s="246">
        <f t="shared" ref="T21" si="79">R21/P21</f>
        <v>0.46155794806839767</v>
      </c>
      <c r="U21" s="135"/>
      <c r="V21" s="268">
        <f t="shared" si="12"/>
        <v>1.25</v>
      </c>
      <c r="W21" s="269">
        <v>0.18</v>
      </c>
      <c r="X21" s="270">
        <f t="shared" si="13"/>
        <v>1.5243902439024388</v>
      </c>
      <c r="Y21" s="271">
        <f t="shared" si="14"/>
        <v>0.27439024390243899</v>
      </c>
      <c r="Z21" s="267">
        <f t="shared" si="15"/>
        <v>2.469512195121951E-2</v>
      </c>
      <c r="AA21" s="271">
        <f t="shared" si="16"/>
        <v>0.29908536585365852</v>
      </c>
      <c r="AB21" s="271">
        <f t="shared" si="17"/>
        <v>1.2253048780487803</v>
      </c>
      <c r="AC21" s="284">
        <f t="shared" si="18"/>
        <v>0.45070604306554618</v>
      </c>
      <c r="AD21" s="285">
        <f t="shared" si="19"/>
        <v>-1.0851905002851492E-2</v>
      </c>
      <c r="AE21" s="221" t="s">
        <v>269</v>
      </c>
    </row>
    <row r="22" spans="1:31" ht="40" customHeight="1" x14ac:dyDescent="0.2">
      <c r="A22" s="123">
        <v>17</v>
      </c>
      <c r="B22" s="274" t="s">
        <v>209</v>
      </c>
      <c r="C22" s="123">
        <v>1</v>
      </c>
      <c r="D22" s="123">
        <v>50</v>
      </c>
      <c r="E22" s="123">
        <f t="shared" si="61"/>
        <v>50</v>
      </c>
      <c r="F22" s="123" t="s">
        <v>269</v>
      </c>
      <c r="G22" s="123" t="s">
        <v>269</v>
      </c>
      <c r="H22" s="257">
        <v>97.5</v>
      </c>
      <c r="I22" s="257">
        <f t="shared" si="62"/>
        <v>1.95</v>
      </c>
      <c r="J22" s="257">
        <f t="shared" si="63"/>
        <v>97.5</v>
      </c>
      <c r="K22" s="257"/>
      <c r="L22" s="257">
        <f t="shared" si="64"/>
        <v>0.61747941735275491</v>
      </c>
      <c r="M22" s="257">
        <f t="shared" si="65"/>
        <v>30.873970867637745</v>
      </c>
      <c r="N22" s="257">
        <f t="shared" si="7"/>
        <v>0.67305256491450294</v>
      </c>
      <c r="O22" s="257">
        <f t="shared" si="66"/>
        <v>33.652628245725147</v>
      </c>
      <c r="P22" s="257">
        <v>1.25</v>
      </c>
      <c r="Q22" s="257">
        <f t="shared" si="67"/>
        <v>62.5</v>
      </c>
      <c r="R22" s="257">
        <f t="shared" si="68"/>
        <v>0.57694743508549706</v>
      </c>
      <c r="S22" s="257">
        <f t="shared" si="69"/>
        <v>28.847371754274853</v>
      </c>
      <c r="T22" s="246">
        <f t="shared" si="70"/>
        <v>0.46155794806839767</v>
      </c>
      <c r="U22" s="135"/>
      <c r="V22" s="268">
        <f t="shared" si="12"/>
        <v>1.25</v>
      </c>
      <c r="W22" s="269">
        <v>0.18</v>
      </c>
      <c r="X22" s="270">
        <f t="shared" si="13"/>
        <v>1.5243902439024388</v>
      </c>
      <c r="Y22" s="271">
        <f t="shared" si="14"/>
        <v>0.27439024390243899</v>
      </c>
      <c r="Z22" s="267">
        <f t="shared" si="15"/>
        <v>2.469512195121951E-2</v>
      </c>
      <c r="AA22" s="271">
        <f t="shared" si="16"/>
        <v>0.29908536585365852</v>
      </c>
      <c r="AB22" s="271">
        <f t="shared" si="17"/>
        <v>1.2253048780487803</v>
      </c>
      <c r="AC22" s="284">
        <f t="shared" si="18"/>
        <v>0.45070604306554618</v>
      </c>
      <c r="AD22" s="285">
        <f t="shared" si="19"/>
        <v>-1.0851905002851492E-2</v>
      </c>
      <c r="AE22" s="221" t="s">
        <v>269</v>
      </c>
    </row>
    <row r="23" spans="1:31" ht="40" customHeight="1" x14ac:dyDescent="0.2">
      <c r="A23" s="123">
        <v>18</v>
      </c>
      <c r="B23" s="274" t="s">
        <v>210</v>
      </c>
      <c r="C23" s="123">
        <v>1</v>
      </c>
      <c r="D23" s="123">
        <v>48</v>
      </c>
      <c r="E23" s="123">
        <f t="shared" si="61"/>
        <v>48</v>
      </c>
      <c r="F23" s="123" t="s">
        <v>269</v>
      </c>
      <c r="G23" s="123" t="s">
        <v>269</v>
      </c>
      <c r="H23" s="257">
        <v>96</v>
      </c>
      <c r="I23" s="257">
        <f t="shared" si="62"/>
        <v>2</v>
      </c>
      <c r="J23" s="257">
        <f t="shared" si="63"/>
        <v>96</v>
      </c>
      <c r="K23" s="257"/>
      <c r="L23" s="257">
        <f t="shared" si="64"/>
        <v>0.6333122229259025</v>
      </c>
      <c r="M23" s="257">
        <f t="shared" si="65"/>
        <v>30.39898670044332</v>
      </c>
      <c r="N23" s="257">
        <f t="shared" si="7"/>
        <v>0.69031032298923378</v>
      </c>
      <c r="O23" s="257">
        <f t="shared" si="66"/>
        <v>33.134895503483222</v>
      </c>
      <c r="P23" s="257">
        <v>1.25</v>
      </c>
      <c r="Q23" s="257">
        <f t="shared" si="67"/>
        <v>60</v>
      </c>
      <c r="R23" s="257">
        <f t="shared" si="68"/>
        <v>0.55968967701076622</v>
      </c>
      <c r="S23" s="257">
        <f t="shared" si="69"/>
        <v>26.865104496516778</v>
      </c>
      <c r="T23" s="246">
        <f t="shared" si="70"/>
        <v>0.44775174160861297</v>
      </c>
      <c r="U23" s="135"/>
      <c r="V23" s="268">
        <f t="shared" si="12"/>
        <v>1.25</v>
      </c>
      <c r="W23" s="269">
        <v>0.18</v>
      </c>
      <c r="X23" s="270">
        <f t="shared" si="13"/>
        <v>1.5243902439024388</v>
      </c>
      <c r="Y23" s="271">
        <f t="shared" si="14"/>
        <v>0.27439024390243899</v>
      </c>
      <c r="Z23" s="267">
        <f t="shared" si="15"/>
        <v>2.469512195121951E-2</v>
      </c>
      <c r="AA23" s="271">
        <f t="shared" si="16"/>
        <v>0.29908536585365852</v>
      </c>
      <c r="AB23" s="271">
        <f t="shared" si="17"/>
        <v>1.2253048780487803</v>
      </c>
      <c r="AC23" s="284">
        <f t="shared" si="18"/>
        <v>0.43662158263132939</v>
      </c>
      <c r="AD23" s="285">
        <f t="shared" si="19"/>
        <v>-1.1130158977283588E-2</v>
      </c>
      <c r="AE23" s="221" t="s">
        <v>269</v>
      </c>
    </row>
    <row r="24" spans="1:31" ht="40" customHeight="1" x14ac:dyDescent="0.2">
      <c r="A24" s="123">
        <v>19</v>
      </c>
      <c r="B24" s="274" t="s">
        <v>211</v>
      </c>
      <c r="C24" s="123">
        <v>1</v>
      </c>
      <c r="D24" s="123">
        <v>400</v>
      </c>
      <c r="E24" s="123">
        <f t="shared" si="61"/>
        <v>400</v>
      </c>
      <c r="F24" s="123" t="s">
        <v>269</v>
      </c>
      <c r="G24" s="123" t="s">
        <v>269</v>
      </c>
      <c r="H24" s="257">
        <v>860</v>
      </c>
      <c r="I24" s="257">
        <f t="shared" si="62"/>
        <v>2.15</v>
      </c>
      <c r="J24" s="257">
        <f t="shared" si="63"/>
        <v>860</v>
      </c>
      <c r="K24" s="257"/>
      <c r="L24" s="257">
        <f t="shared" si="64"/>
        <v>0.68081063964534516</v>
      </c>
      <c r="M24" s="257">
        <f t="shared" si="65"/>
        <v>272.32425585813809</v>
      </c>
      <c r="N24" s="257">
        <f t="shared" si="7"/>
        <v>0.74208359721342632</v>
      </c>
      <c r="O24" s="257">
        <f t="shared" si="66"/>
        <v>296.83343888537053</v>
      </c>
      <c r="P24" s="257">
        <v>1.25</v>
      </c>
      <c r="Q24" s="257">
        <f t="shared" si="67"/>
        <v>500</v>
      </c>
      <c r="R24" s="257">
        <f t="shared" si="68"/>
        <v>0.50791640278657368</v>
      </c>
      <c r="S24" s="257">
        <f t="shared" si="69"/>
        <v>203.16656111462947</v>
      </c>
      <c r="T24" s="246">
        <f t="shared" si="70"/>
        <v>0.40633312222925894</v>
      </c>
      <c r="U24" s="135"/>
      <c r="V24" s="268">
        <f t="shared" si="12"/>
        <v>1.25</v>
      </c>
      <c r="W24" s="269">
        <v>0.18</v>
      </c>
      <c r="X24" s="270">
        <f t="shared" si="13"/>
        <v>1.5243902439024388</v>
      </c>
      <c r="Y24" s="271">
        <f t="shared" si="14"/>
        <v>0.27439024390243899</v>
      </c>
      <c r="Z24" s="267">
        <f t="shared" si="15"/>
        <v>2.469512195121951E-2</v>
      </c>
      <c r="AA24" s="271">
        <f t="shared" si="16"/>
        <v>0.29908536585365852</v>
      </c>
      <c r="AB24" s="271">
        <f t="shared" si="17"/>
        <v>1.2253048780487803</v>
      </c>
      <c r="AC24" s="284">
        <f t="shared" si="18"/>
        <v>0.39436820132867911</v>
      </c>
      <c r="AD24" s="285">
        <f t="shared" si="19"/>
        <v>-1.1964920900579823E-2</v>
      </c>
      <c r="AE24" s="221" t="s">
        <v>269</v>
      </c>
    </row>
    <row r="25" spans="1:31" ht="40" customHeight="1" x14ac:dyDescent="0.2">
      <c r="A25" s="123">
        <v>20</v>
      </c>
      <c r="B25" s="274" t="s">
        <v>204</v>
      </c>
      <c r="C25" s="123">
        <v>1</v>
      </c>
      <c r="D25" s="123">
        <v>80</v>
      </c>
      <c r="E25" s="123">
        <f t="shared" ref="E25:E28" si="80">D25*C25</f>
        <v>80</v>
      </c>
      <c r="F25" s="123" t="s">
        <v>269</v>
      </c>
      <c r="G25" s="123" t="s">
        <v>269</v>
      </c>
      <c r="H25" s="257">
        <f>100*0.95</f>
        <v>95</v>
      </c>
      <c r="I25" s="257">
        <f t="shared" ref="I25:I27" si="81">H25/D25</f>
        <v>1.1875</v>
      </c>
      <c r="J25" s="257">
        <f>I25*E25</f>
        <v>95</v>
      </c>
      <c r="K25" s="257"/>
      <c r="L25" s="257">
        <f>I25/$S$2</f>
        <v>0.3760291323622546</v>
      </c>
      <c r="M25" s="257">
        <f t="shared" ref="M25:M33" si="82">H25/$S$2</f>
        <v>30.082330588980369</v>
      </c>
      <c r="N25" s="257">
        <f t="shared" si="7"/>
        <v>0.40987175427485756</v>
      </c>
      <c r="O25" s="257">
        <f t="shared" ref="O25:O27" si="83">N25*E25</f>
        <v>32.789740341988605</v>
      </c>
      <c r="P25" s="257">
        <v>0.8</v>
      </c>
      <c r="Q25" s="257">
        <f t="shared" ref="Q25:Q27" si="84">P25*E25</f>
        <v>64</v>
      </c>
      <c r="R25" s="257">
        <f t="shared" ref="R25:R27" si="85">P25-N25</f>
        <v>0.39012824572514249</v>
      </c>
      <c r="S25" s="257">
        <f t="shared" ref="S25:S27" si="86">Q25-O25</f>
        <v>31.210259658011395</v>
      </c>
      <c r="T25" s="246">
        <f t="shared" ref="T25:T27" si="87">R25/P25</f>
        <v>0.48766030715642811</v>
      </c>
      <c r="U25" s="135"/>
      <c r="V25" s="268">
        <f t="shared" si="12"/>
        <v>0.8</v>
      </c>
      <c r="W25" s="269">
        <v>0.18</v>
      </c>
      <c r="X25" s="270">
        <f t="shared" si="13"/>
        <v>0.97560975609756095</v>
      </c>
      <c r="Y25" s="271">
        <f t="shared" si="14"/>
        <v>0.17560975609756097</v>
      </c>
      <c r="Z25" s="267">
        <f t="shared" si="15"/>
        <v>1.5804878048780488E-2</v>
      </c>
      <c r="AA25" s="271">
        <f t="shared" si="16"/>
        <v>0.19141463414634147</v>
      </c>
      <c r="AB25" s="271">
        <f t="shared" si="17"/>
        <v>0.78419512195121954</v>
      </c>
      <c r="AC25" s="284">
        <f t="shared" si="18"/>
        <v>0.47733447607398732</v>
      </c>
      <c r="AD25" s="285">
        <f t="shared" si="19"/>
        <v>-1.0325831082440784E-2</v>
      </c>
      <c r="AE25" s="221" t="s">
        <v>269</v>
      </c>
    </row>
    <row r="26" spans="1:31" ht="40" customHeight="1" x14ac:dyDescent="0.2">
      <c r="A26" s="123">
        <v>21</v>
      </c>
      <c r="B26" s="274" t="s">
        <v>205</v>
      </c>
      <c r="C26" s="123">
        <v>1</v>
      </c>
      <c r="D26" s="123">
        <v>80</v>
      </c>
      <c r="E26" s="123">
        <f t="shared" si="80"/>
        <v>80</v>
      </c>
      <c r="F26" s="123" t="s">
        <v>269</v>
      </c>
      <c r="G26" s="123" t="s">
        <v>269</v>
      </c>
      <c r="H26" s="257">
        <f t="shared" ref="H26:H28" si="88">100*0.95</f>
        <v>95</v>
      </c>
      <c r="I26" s="257">
        <f t="shared" si="81"/>
        <v>1.1875</v>
      </c>
      <c r="J26" s="257">
        <f>I26*E26</f>
        <v>95</v>
      </c>
      <c r="K26" s="257"/>
      <c r="L26" s="257">
        <f>I26/$S$2</f>
        <v>0.3760291323622546</v>
      </c>
      <c r="M26" s="257">
        <f t="shared" si="82"/>
        <v>30.082330588980369</v>
      </c>
      <c r="N26" s="257">
        <f t="shared" si="7"/>
        <v>0.40987175427485756</v>
      </c>
      <c r="O26" s="257">
        <f t="shared" si="83"/>
        <v>32.789740341988605</v>
      </c>
      <c r="P26" s="257">
        <v>0.8</v>
      </c>
      <c r="Q26" s="257">
        <f t="shared" si="84"/>
        <v>64</v>
      </c>
      <c r="R26" s="257">
        <f t="shared" si="85"/>
        <v>0.39012824572514249</v>
      </c>
      <c r="S26" s="257">
        <f t="shared" si="86"/>
        <v>31.210259658011395</v>
      </c>
      <c r="T26" s="246">
        <f t="shared" si="87"/>
        <v>0.48766030715642811</v>
      </c>
      <c r="U26" s="135"/>
      <c r="V26" s="268">
        <f t="shared" si="12"/>
        <v>0.8</v>
      </c>
      <c r="W26" s="269">
        <v>0.18</v>
      </c>
      <c r="X26" s="270">
        <f t="shared" si="13"/>
        <v>0.97560975609756095</v>
      </c>
      <c r="Y26" s="271">
        <f t="shared" si="14"/>
        <v>0.17560975609756097</v>
      </c>
      <c r="Z26" s="267">
        <f t="shared" si="15"/>
        <v>1.5804878048780488E-2</v>
      </c>
      <c r="AA26" s="271">
        <f t="shared" si="16"/>
        <v>0.19141463414634147</v>
      </c>
      <c r="AB26" s="271">
        <f t="shared" si="17"/>
        <v>0.78419512195121954</v>
      </c>
      <c r="AC26" s="284">
        <f t="shared" si="18"/>
        <v>0.47733447607398732</v>
      </c>
      <c r="AD26" s="285">
        <f t="shared" si="19"/>
        <v>-1.0325831082440784E-2</v>
      </c>
      <c r="AE26" s="221" t="s">
        <v>269</v>
      </c>
    </row>
    <row r="27" spans="1:31" ht="40" customHeight="1" x14ac:dyDescent="0.2">
      <c r="A27" s="123">
        <v>22</v>
      </c>
      <c r="B27" s="274" t="s">
        <v>206</v>
      </c>
      <c r="C27" s="123">
        <v>1</v>
      </c>
      <c r="D27" s="123">
        <v>80</v>
      </c>
      <c r="E27" s="123">
        <f t="shared" si="80"/>
        <v>80</v>
      </c>
      <c r="F27" s="123" t="s">
        <v>269</v>
      </c>
      <c r="G27" s="123" t="s">
        <v>269</v>
      </c>
      <c r="H27" s="257">
        <f t="shared" si="88"/>
        <v>95</v>
      </c>
      <c r="I27" s="257">
        <f t="shared" si="81"/>
        <v>1.1875</v>
      </c>
      <c r="J27" s="257">
        <f>I27*E27</f>
        <v>95</v>
      </c>
      <c r="K27" s="257"/>
      <c r="L27" s="257">
        <f>I27/$S$2</f>
        <v>0.3760291323622546</v>
      </c>
      <c r="M27" s="257">
        <f t="shared" si="82"/>
        <v>30.082330588980369</v>
      </c>
      <c r="N27" s="257">
        <f t="shared" si="7"/>
        <v>0.40987175427485756</v>
      </c>
      <c r="O27" s="257">
        <f t="shared" si="83"/>
        <v>32.789740341988605</v>
      </c>
      <c r="P27" s="257">
        <v>0.8</v>
      </c>
      <c r="Q27" s="257">
        <f t="shared" si="84"/>
        <v>64</v>
      </c>
      <c r="R27" s="257">
        <f t="shared" si="85"/>
        <v>0.39012824572514249</v>
      </c>
      <c r="S27" s="257">
        <f t="shared" si="86"/>
        <v>31.210259658011395</v>
      </c>
      <c r="T27" s="246">
        <f t="shared" si="87"/>
        <v>0.48766030715642811</v>
      </c>
      <c r="U27" s="123"/>
      <c r="V27" s="268">
        <f t="shared" si="12"/>
        <v>0.8</v>
      </c>
      <c r="W27" s="269">
        <v>0.18</v>
      </c>
      <c r="X27" s="270">
        <f t="shared" si="13"/>
        <v>0.97560975609756095</v>
      </c>
      <c r="Y27" s="271">
        <f t="shared" si="14"/>
        <v>0.17560975609756097</v>
      </c>
      <c r="Z27" s="267">
        <f t="shared" si="15"/>
        <v>1.5804878048780488E-2</v>
      </c>
      <c r="AA27" s="271">
        <f t="shared" si="16"/>
        <v>0.19141463414634147</v>
      </c>
      <c r="AB27" s="271">
        <f t="shared" si="17"/>
        <v>0.78419512195121954</v>
      </c>
      <c r="AC27" s="284">
        <f t="shared" si="18"/>
        <v>0.47733447607398732</v>
      </c>
      <c r="AD27" s="285">
        <f t="shared" si="19"/>
        <v>-1.0325831082440784E-2</v>
      </c>
      <c r="AE27" s="221" t="s">
        <v>269</v>
      </c>
    </row>
    <row r="28" spans="1:31" ht="40" customHeight="1" x14ac:dyDescent="0.2">
      <c r="A28" s="123">
        <v>23</v>
      </c>
      <c r="B28" s="274" t="s">
        <v>207</v>
      </c>
      <c r="C28" s="123">
        <v>1</v>
      </c>
      <c r="D28" s="123">
        <v>80</v>
      </c>
      <c r="E28" s="123">
        <f t="shared" si="80"/>
        <v>80</v>
      </c>
      <c r="F28" s="123" t="s">
        <v>269</v>
      </c>
      <c r="G28" s="123" t="s">
        <v>269</v>
      </c>
      <c r="H28" s="257">
        <f t="shared" si="88"/>
        <v>95</v>
      </c>
      <c r="I28" s="257">
        <f t="shared" ref="I28" si="89">H28/D28</f>
        <v>1.1875</v>
      </c>
      <c r="J28" s="257">
        <f>I28*E28</f>
        <v>95</v>
      </c>
      <c r="K28" s="257"/>
      <c r="L28" s="257">
        <f>I28/$S$2</f>
        <v>0.3760291323622546</v>
      </c>
      <c r="M28" s="257">
        <f t="shared" si="82"/>
        <v>30.082330588980369</v>
      </c>
      <c r="N28" s="257">
        <f t="shared" si="7"/>
        <v>0.40987175427485756</v>
      </c>
      <c r="O28" s="257">
        <f t="shared" ref="O28" si="90">N28*E28</f>
        <v>32.789740341988605</v>
      </c>
      <c r="P28" s="257">
        <v>0.8</v>
      </c>
      <c r="Q28" s="257">
        <f t="shared" ref="Q28" si="91">P28*E28</f>
        <v>64</v>
      </c>
      <c r="R28" s="257">
        <f t="shared" ref="R28" si="92">P28-N28</f>
        <v>0.39012824572514249</v>
      </c>
      <c r="S28" s="257">
        <f t="shared" ref="S28" si="93">Q28-O28</f>
        <v>31.210259658011395</v>
      </c>
      <c r="T28" s="246">
        <f t="shared" ref="T28" si="94">R28/P28</f>
        <v>0.48766030715642811</v>
      </c>
      <c r="U28" s="123"/>
      <c r="V28" s="268">
        <f t="shared" si="12"/>
        <v>0.8</v>
      </c>
      <c r="W28" s="269">
        <v>0.18</v>
      </c>
      <c r="X28" s="270">
        <f t="shared" si="13"/>
        <v>0.97560975609756095</v>
      </c>
      <c r="Y28" s="271">
        <f t="shared" si="14"/>
        <v>0.17560975609756097</v>
      </c>
      <c r="Z28" s="267">
        <f t="shared" si="15"/>
        <v>1.5804878048780488E-2</v>
      </c>
      <c r="AA28" s="271">
        <f t="shared" si="16"/>
        <v>0.19141463414634147</v>
      </c>
      <c r="AB28" s="271">
        <f t="shared" si="17"/>
        <v>0.78419512195121954</v>
      </c>
      <c r="AC28" s="284">
        <f t="shared" si="18"/>
        <v>0.47733447607398732</v>
      </c>
      <c r="AD28" s="285">
        <f t="shared" si="19"/>
        <v>-1.0325831082440784E-2</v>
      </c>
      <c r="AE28" s="221" t="s">
        <v>269</v>
      </c>
    </row>
    <row r="29" spans="1:31" ht="40" customHeight="1" x14ac:dyDescent="0.2">
      <c r="A29" s="123">
        <v>24</v>
      </c>
      <c r="B29" s="274" t="s">
        <v>245</v>
      </c>
      <c r="C29" s="123">
        <v>1</v>
      </c>
      <c r="D29" s="123">
        <v>60</v>
      </c>
      <c r="E29" s="123">
        <f>D29*C29</f>
        <v>60</v>
      </c>
      <c r="F29" s="123" t="s">
        <v>269</v>
      </c>
      <c r="G29" s="123" t="s">
        <v>269</v>
      </c>
      <c r="H29" s="257">
        <v>120</v>
      </c>
      <c r="I29" s="257">
        <f>H29/D29</f>
        <v>2</v>
      </c>
      <c r="J29" s="257">
        <f t="shared" ref="J29:J31" si="95">I29*E29</f>
        <v>120</v>
      </c>
      <c r="K29" s="257"/>
      <c r="L29" s="257">
        <f t="shared" ref="L29:L31" si="96">I29/$S$2</f>
        <v>0.6333122229259025</v>
      </c>
      <c r="M29" s="257">
        <f t="shared" si="82"/>
        <v>37.998733375554146</v>
      </c>
      <c r="N29" s="257">
        <f t="shared" si="7"/>
        <v>0.69031032298923378</v>
      </c>
      <c r="O29" s="257">
        <f>N29*E29</f>
        <v>41.418619379354027</v>
      </c>
      <c r="P29" s="257">
        <v>1</v>
      </c>
      <c r="Q29" s="257">
        <f t="shared" ref="Q29:Q31" si="97">P29*E29</f>
        <v>60</v>
      </c>
      <c r="R29" s="257">
        <f t="shared" ref="R29:R31" si="98">P29-N29</f>
        <v>0.30968967701076622</v>
      </c>
      <c r="S29" s="257">
        <f t="shared" ref="S29:S31" si="99">Q29-O29</f>
        <v>18.581380620645973</v>
      </c>
      <c r="T29" s="246">
        <f t="shared" ref="T29:T31" si="100">R29/P29</f>
        <v>0.30968967701076622</v>
      </c>
      <c r="U29" s="135"/>
      <c r="V29" s="268">
        <f t="shared" si="12"/>
        <v>1</v>
      </c>
      <c r="W29" s="269">
        <v>0.18</v>
      </c>
      <c r="X29" s="270">
        <f t="shared" si="13"/>
        <v>1.2195121951219512</v>
      </c>
      <c r="Y29" s="271">
        <f t="shared" si="14"/>
        <v>0.21951219512195122</v>
      </c>
      <c r="Z29" s="267">
        <f t="shared" si="15"/>
        <v>1.975609756097561E-2</v>
      </c>
      <c r="AA29" s="271">
        <f t="shared" si="16"/>
        <v>0.23926829268292682</v>
      </c>
      <c r="AB29" s="271">
        <f t="shared" si="17"/>
        <v>0.98024390243902437</v>
      </c>
      <c r="AC29" s="284">
        <f t="shared" si="18"/>
        <v>0.29577697828916183</v>
      </c>
      <c r="AD29" s="285">
        <f t="shared" si="19"/>
        <v>-1.3912698721604388E-2</v>
      </c>
      <c r="AE29" s="221" t="s">
        <v>269</v>
      </c>
    </row>
    <row r="30" spans="1:31" ht="40" customHeight="1" x14ac:dyDescent="0.2">
      <c r="A30" s="123">
        <v>25</v>
      </c>
      <c r="B30" s="274" t="s">
        <v>215</v>
      </c>
      <c r="C30" s="123">
        <v>1</v>
      </c>
      <c r="D30" s="123">
        <v>30</v>
      </c>
      <c r="E30" s="123">
        <f>D30*C30</f>
        <v>30</v>
      </c>
      <c r="F30" s="123" t="s">
        <v>269</v>
      </c>
      <c r="G30" s="123" t="s">
        <v>269</v>
      </c>
      <c r="H30" s="257">
        <v>226.5</v>
      </c>
      <c r="I30" s="257">
        <f>H30/D30</f>
        <v>7.55</v>
      </c>
      <c r="J30" s="257">
        <f t="shared" si="95"/>
        <v>226.5</v>
      </c>
      <c r="K30" s="257"/>
      <c r="L30" s="257">
        <f t="shared" si="96"/>
        <v>2.3907536415452819</v>
      </c>
      <c r="M30" s="257">
        <f t="shared" si="82"/>
        <v>71.722609246358459</v>
      </c>
      <c r="N30" s="257">
        <f t="shared" si="7"/>
        <v>2.6059214692843575</v>
      </c>
      <c r="O30" s="257">
        <f>N30*E30</f>
        <v>78.177644078530733</v>
      </c>
      <c r="P30" s="257">
        <v>3.95</v>
      </c>
      <c r="Q30" s="257">
        <f t="shared" si="97"/>
        <v>118.5</v>
      </c>
      <c r="R30" s="257">
        <f t="shared" si="98"/>
        <v>1.3440785307156426</v>
      </c>
      <c r="S30" s="257">
        <f t="shared" si="99"/>
        <v>40.322355921469267</v>
      </c>
      <c r="T30" s="246">
        <f t="shared" si="100"/>
        <v>0.34027304575079559</v>
      </c>
      <c r="U30" s="135"/>
      <c r="V30" s="268">
        <f t="shared" si="12"/>
        <v>3.95</v>
      </c>
      <c r="W30" s="269">
        <v>0.18</v>
      </c>
      <c r="X30" s="270">
        <f t="shared" si="13"/>
        <v>4.8170731707317076</v>
      </c>
      <c r="Y30" s="271">
        <f t="shared" si="14"/>
        <v>0.86707317073170731</v>
      </c>
      <c r="Z30" s="267">
        <f t="shared" si="15"/>
        <v>7.8036585365853658E-2</v>
      </c>
      <c r="AA30" s="271">
        <f t="shared" si="16"/>
        <v>0.94510975609756098</v>
      </c>
      <c r="AB30" s="271">
        <f t="shared" si="17"/>
        <v>3.8719634146341466</v>
      </c>
      <c r="AC30" s="284">
        <f t="shared" si="18"/>
        <v>0.32697673241559144</v>
      </c>
      <c r="AD30" s="285">
        <f t="shared" si="19"/>
        <v>-1.3296313335204146E-2</v>
      </c>
      <c r="AE30" s="221" t="s">
        <v>269</v>
      </c>
    </row>
    <row r="31" spans="1:31" ht="40" customHeight="1" x14ac:dyDescent="0.2">
      <c r="A31" s="123">
        <v>26</v>
      </c>
      <c r="B31" s="274" t="s">
        <v>214</v>
      </c>
      <c r="C31" s="123">
        <v>1</v>
      </c>
      <c r="D31" s="123">
        <v>30</v>
      </c>
      <c r="E31" s="123">
        <f>D31*C31</f>
        <v>30</v>
      </c>
      <c r="F31" s="123" t="s">
        <v>269</v>
      </c>
      <c r="G31" s="123" t="s">
        <v>269</v>
      </c>
      <c r="H31" s="257">
        <v>226.5</v>
      </c>
      <c r="I31" s="257">
        <f>H31/D31</f>
        <v>7.55</v>
      </c>
      <c r="J31" s="257">
        <f t="shared" si="95"/>
        <v>226.5</v>
      </c>
      <c r="K31" s="257"/>
      <c r="L31" s="257">
        <f t="shared" si="96"/>
        <v>2.3907536415452819</v>
      </c>
      <c r="M31" s="257">
        <f t="shared" si="82"/>
        <v>71.722609246358459</v>
      </c>
      <c r="N31" s="257">
        <f t="shared" si="7"/>
        <v>2.6059214692843575</v>
      </c>
      <c r="O31" s="257">
        <f>N31*E31</f>
        <v>78.177644078530733</v>
      </c>
      <c r="P31" s="257">
        <v>3.95</v>
      </c>
      <c r="Q31" s="257">
        <f t="shared" si="97"/>
        <v>118.5</v>
      </c>
      <c r="R31" s="257">
        <f t="shared" si="98"/>
        <v>1.3440785307156426</v>
      </c>
      <c r="S31" s="257">
        <f t="shared" si="99"/>
        <v>40.322355921469267</v>
      </c>
      <c r="T31" s="246">
        <f t="shared" si="100"/>
        <v>0.34027304575079559</v>
      </c>
      <c r="U31" s="135"/>
      <c r="V31" s="268">
        <f t="shared" si="12"/>
        <v>3.95</v>
      </c>
      <c r="W31" s="269">
        <v>0.18</v>
      </c>
      <c r="X31" s="270">
        <f t="shared" si="13"/>
        <v>4.8170731707317076</v>
      </c>
      <c r="Y31" s="271">
        <f t="shared" si="14"/>
        <v>0.86707317073170731</v>
      </c>
      <c r="Z31" s="267">
        <f t="shared" si="15"/>
        <v>7.8036585365853658E-2</v>
      </c>
      <c r="AA31" s="271">
        <f t="shared" si="16"/>
        <v>0.94510975609756098</v>
      </c>
      <c r="AB31" s="271">
        <f t="shared" si="17"/>
        <v>3.8719634146341466</v>
      </c>
      <c r="AC31" s="284">
        <f t="shared" si="18"/>
        <v>0.32697673241559144</v>
      </c>
      <c r="AD31" s="285">
        <f t="shared" si="19"/>
        <v>-1.3296313335204146E-2</v>
      </c>
      <c r="AE31" s="221" t="s">
        <v>269</v>
      </c>
    </row>
    <row r="32" spans="1:31" ht="40" customHeight="1" x14ac:dyDescent="0.2">
      <c r="A32" s="123">
        <v>27</v>
      </c>
      <c r="B32" s="274" t="s">
        <v>246</v>
      </c>
      <c r="C32" s="123">
        <v>1</v>
      </c>
      <c r="D32" s="123">
        <v>60</v>
      </c>
      <c r="E32" s="123">
        <f>D32*C32</f>
        <v>60</v>
      </c>
      <c r="F32" s="123" t="s">
        <v>269</v>
      </c>
      <c r="G32" s="123" t="s">
        <v>269</v>
      </c>
      <c r="H32" s="257">
        <v>120</v>
      </c>
      <c r="I32" s="257">
        <f>H32/D32</f>
        <v>2</v>
      </c>
      <c r="J32" s="257">
        <f t="shared" ref="J32" si="101">I32*E32</f>
        <v>120</v>
      </c>
      <c r="K32" s="257"/>
      <c r="L32" s="257">
        <f t="shared" ref="L32" si="102">I32/$S$2</f>
        <v>0.6333122229259025</v>
      </c>
      <c r="M32" s="257">
        <f t="shared" si="82"/>
        <v>37.998733375554146</v>
      </c>
      <c r="N32" s="257">
        <f t="shared" si="7"/>
        <v>0.69031032298923378</v>
      </c>
      <c r="O32" s="257">
        <f>N32*E32</f>
        <v>41.418619379354027</v>
      </c>
      <c r="P32" s="257">
        <v>1</v>
      </c>
      <c r="Q32" s="257">
        <f t="shared" ref="Q32" si="103">P32*E32</f>
        <v>60</v>
      </c>
      <c r="R32" s="257">
        <f t="shared" ref="R32" si="104">P32-N32</f>
        <v>0.30968967701076622</v>
      </c>
      <c r="S32" s="257">
        <f t="shared" ref="S32" si="105">Q32-O32</f>
        <v>18.581380620645973</v>
      </c>
      <c r="T32" s="246">
        <f t="shared" ref="T32" si="106">R32/P32</f>
        <v>0.30968967701076622</v>
      </c>
      <c r="U32" s="135"/>
      <c r="V32" s="268">
        <f t="shared" si="12"/>
        <v>1</v>
      </c>
      <c r="W32" s="269">
        <v>0.18</v>
      </c>
      <c r="X32" s="270">
        <f t="shared" si="13"/>
        <v>1.2195121951219512</v>
      </c>
      <c r="Y32" s="271">
        <f t="shared" si="14"/>
        <v>0.21951219512195122</v>
      </c>
      <c r="Z32" s="267">
        <f t="shared" si="15"/>
        <v>1.975609756097561E-2</v>
      </c>
      <c r="AA32" s="271">
        <f t="shared" si="16"/>
        <v>0.23926829268292682</v>
      </c>
      <c r="AB32" s="271">
        <f t="shared" si="17"/>
        <v>0.98024390243902437</v>
      </c>
      <c r="AC32" s="284">
        <f t="shared" si="18"/>
        <v>0.29577697828916183</v>
      </c>
      <c r="AD32" s="285">
        <f t="shared" si="19"/>
        <v>-1.3912698721604388E-2</v>
      </c>
      <c r="AE32" s="221" t="s">
        <v>269</v>
      </c>
    </row>
    <row r="33" spans="1:31" ht="40" customHeight="1" x14ac:dyDescent="0.2">
      <c r="A33" s="123">
        <v>28</v>
      </c>
      <c r="B33" s="274" t="s">
        <v>239</v>
      </c>
      <c r="C33" s="123">
        <v>1</v>
      </c>
      <c r="D33" s="123">
        <v>36</v>
      </c>
      <c r="E33" s="123">
        <f>D33*C33</f>
        <v>36</v>
      </c>
      <c r="F33" s="123" t="s">
        <v>269</v>
      </c>
      <c r="G33" s="123" t="s">
        <v>269</v>
      </c>
      <c r="H33" s="257">
        <f>77.4*0.97</f>
        <v>75.078000000000003</v>
      </c>
      <c r="I33" s="257">
        <f>H33/D33</f>
        <v>2.0855000000000001</v>
      </c>
      <c r="J33" s="257">
        <f t="shared" ref="J33" si="107">I33*E33</f>
        <v>75.078000000000003</v>
      </c>
      <c r="K33" s="257"/>
      <c r="L33" s="257">
        <f t="shared" ref="L33" si="108">I33/$S$2</f>
        <v>0.66038632045598489</v>
      </c>
      <c r="M33" s="257">
        <f t="shared" si="82"/>
        <v>23.773907536415454</v>
      </c>
      <c r="N33" s="257">
        <f t="shared" si="7"/>
        <v>0.7198210892970236</v>
      </c>
      <c r="O33" s="257">
        <f>N33*E33</f>
        <v>25.91355921469285</v>
      </c>
      <c r="P33" s="257">
        <v>1.5</v>
      </c>
      <c r="Q33" s="257">
        <f t="shared" ref="Q33" si="109">P33*E33</f>
        <v>54</v>
      </c>
      <c r="R33" s="257">
        <f t="shared" ref="R33" si="110">P33-N33</f>
        <v>0.7801789107029764</v>
      </c>
      <c r="S33" s="257">
        <f t="shared" ref="S33" si="111">Q33-O33</f>
        <v>28.08644078530715</v>
      </c>
      <c r="T33" s="246">
        <f t="shared" ref="T33" si="112">R33/P33</f>
        <v>0.52011927380198431</v>
      </c>
      <c r="U33" s="135"/>
      <c r="V33" s="268">
        <f t="shared" si="12"/>
        <v>1.5</v>
      </c>
      <c r="W33" s="269">
        <v>0.18</v>
      </c>
      <c r="X33" s="270">
        <f t="shared" si="13"/>
        <v>1.8292682926829267</v>
      </c>
      <c r="Y33" s="271">
        <f t="shared" si="14"/>
        <v>0.32926829268292679</v>
      </c>
      <c r="Z33" s="267">
        <f t="shared" si="15"/>
        <v>2.963414634146341E-2</v>
      </c>
      <c r="AA33" s="271">
        <f t="shared" si="16"/>
        <v>0.35890243902439017</v>
      </c>
      <c r="AB33" s="271">
        <f t="shared" si="17"/>
        <v>1.4703658536585364</v>
      </c>
      <c r="AC33" s="284">
        <f t="shared" si="18"/>
        <v>0.51044762940734889</v>
      </c>
      <c r="AD33" s="285">
        <f t="shared" si="19"/>
        <v>-9.6716443946354147E-3</v>
      </c>
      <c r="AE33" s="221" t="s">
        <v>269</v>
      </c>
    </row>
    <row r="34" spans="1:31" ht="40" customHeight="1" x14ac:dyDescent="0.2">
      <c r="A34" s="123">
        <v>29</v>
      </c>
      <c r="B34" s="274" t="s">
        <v>240</v>
      </c>
      <c r="C34" s="123">
        <v>1</v>
      </c>
      <c r="D34" s="123">
        <v>36</v>
      </c>
      <c r="E34" s="123">
        <f t="shared" ref="E34:E38" si="113">D34*C34</f>
        <v>36</v>
      </c>
      <c r="F34" s="123" t="s">
        <v>269</v>
      </c>
      <c r="G34" s="123" t="s">
        <v>269</v>
      </c>
      <c r="H34" s="257">
        <f t="shared" ref="H34:H38" si="114">77.4*0.97</f>
        <v>75.078000000000003</v>
      </c>
      <c r="I34" s="257">
        <f t="shared" ref="I34:I38" si="115">H34/D34</f>
        <v>2.0855000000000001</v>
      </c>
      <c r="J34" s="257">
        <f t="shared" ref="J34:J38" si="116">I34*E34</f>
        <v>75.078000000000003</v>
      </c>
      <c r="K34" s="257"/>
      <c r="L34" s="257">
        <f t="shared" ref="L34:L38" si="117">I34/$S$2</f>
        <v>0.66038632045598489</v>
      </c>
      <c r="M34" s="257">
        <f t="shared" ref="M34:M38" si="118">H34/$S$2</f>
        <v>23.773907536415454</v>
      </c>
      <c r="N34" s="257">
        <f t="shared" si="7"/>
        <v>0.7198210892970236</v>
      </c>
      <c r="O34" s="257">
        <f t="shared" ref="O34:O38" si="119">N34*E34</f>
        <v>25.91355921469285</v>
      </c>
      <c r="P34" s="257">
        <v>1.5</v>
      </c>
      <c r="Q34" s="257">
        <f t="shared" ref="Q34:Q38" si="120">P34*E34</f>
        <v>54</v>
      </c>
      <c r="R34" s="257">
        <f t="shared" ref="R34:R38" si="121">P34-N34</f>
        <v>0.7801789107029764</v>
      </c>
      <c r="S34" s="257">
        <f t="shared" ref="S34:S38" si="122">Q34-O34</f>
        <v>28.08644078530715</v>
      </c>
      <c r="T34" s="246">
        <f t="shared" ref="T34:T38" si="123">R34/P34</f>
        <v>0.52011927380198431</v>
      </c>
      <c r="U34" s="135"/>
      <c r="V34" s="268">
        <f t="shared" si="12"/>
        <v>1.5</v>
      </c>
      <c r="W34" s="269">
        <v>0.18</v>
      </c>
      <c r="X34" s="270">
        <f t="shared" si="13"/>
        <v>1.8292682926829267</v>
      </c>
      <c r="Y34" s="271">
        <f t="shared" si="14"/>
        <v>0.32926829268292679</v>
      </c>
      <c r="Z34" s="267">
        <f t="shared" si="15"/>
        <v>2.963414634146341E-2</v>
      </c>
      <c r="AA34" s="271">
        <f t="shared" si="16"/>
        <v>0.35890243902439017</v>
      </c>
      <c r="AB34" s="271">
        <f t="shared" si="17"/>
        <v>1.4703658536585364</v>
      </c>
      <c r="AC34" s="284">
        <f t="shared" si="18"/>
        <v>0.51044762940734889</v>
      </c>
      <c r="AD34" s="285">
        <f t="shared" si="19"/>
        <v>-9.6716443946354147E-3</v>
      </c>
      <c r="AE34" s="221" t="s">
        <v>269</v>
      </c>
    </row>
    <row r="35" spans="1:31" ht="40" customHeight="1" x14ac:dyDescent="0.2">
      <c r="A35" s="123">
        <v>30</v>
      </c>
      <c r="B35" s="274" t="s">
        <v>241</v>
      </c>
      <c r="C35" s="123">
        <v>1</v>
      </c>
      <c r="D35" s="123">
        <v>36</v>
      </c>
      <c r="E35" s="123">
        <f t="shared" si="113"/>
        <v>36</v>
      </c>
      <c r="F35" s="123" t="s">
        <v>269</v>
      </c>
      <c r="G35" s="123" t="s">
        <v>269</v>
      </c>
      <c r="H35" s="257">
        <f t="shared" si="114"/>
        <v>75.078000000000003</v>
      </c>
      <c r="I35" s="257">
        <f t="shared" si="115"/>
        <v>2.0855000000000001</v>
      </c>
      <c r="J35" s="257">
        <f t="shared" si="116"/>
        <v>75.078000000000003</v>
      </c>
      <c r="K35" s="257"/>
      <c r="L35" s="257">
        <f t="shared" si="117"/>
        <v>0.66038632045598489</v>
      </c>
      <c r="M35" s="257">
        <f t="shared" si="118"/>
        <v>23.773907536415454</v>
      </c>
      <c r="N35" s="257">
        <f t="shared" si="7"/>
        <v>0.7198210892970236</v>
      </c>
      <c r="O35" s="257">
        <f t="shared" si="119"/>
        <v>25.91355921469285</v>
      </c>
      <c r="P35" s="257">
        <v>1.5</v>
      </c>
      <c r="Q35" s="257">
        <f t="shared" si="120"/>
        <v>54</v>
      </c>
      <c r="R35" s="257">
        <f t="shared" si="121"/>
        <v>0.7801789107029764</v>
      </c>
      <c r="S35" s="257">
        <f t="shared" si="122"/>
        <v>28.08644078530715</v>
      </c>
      <c r="T35" s="246">
        <f t="shared" si="123"/>
        <v>0.52011927380198431</v>
      </c>
      <c r="U35" s="135"/>
      <c r="V35" s="268">
        <f t="shared" si="12"/>
        <v>1.5</v>
      </c>
      <c r="W35" s="269">
        <v>0.18</v>
      </c>
      <c r="X35" s="270">
        <f t="shared" si="13"/>
        <v>1.8292682926829267</v>
      </c>
      <c r="Y35" s="271">
        <f t="shared" si="14"/>
        <v>0.32926829268292679</v>
      </c>
      <c r="Z35" s="267">
        <f t="shared" si="15"/>
        <v>2.963414634146341E-2</v>
      </c>
      <c r="AA35" s="271">
        <f t="shared" si="16"/>
        <v>0.35890243902439017</v>
      </c>
      <c r="AB35" s="271">
        <f t="shared" si="17"/>
        <v>1.4703658536585364</v>
      </c>
      <c r="AC35" s="284">
        <f t="shared" si="18"/>
        <v>0.51044762940734889</v>
      </c>
      <c r="AD35" s="285">
        <f t="shared" si="19"/>
        <v>-9.6716443946354147E-3</v>
      </c>
      <c r="AE35" s="221" t="s">
        <v>269</v>
      </c>
    </row>
    <row r="36" spans="1:31" ht="40" customHeight="1" x14ac:dyDescent="0.2">
      <c r="A36" s="123">
        <v>31</v>
      </c>
      <c r="B36" s="274" t="s">
        <v>242</v>
      </c>
      <c r="C36" s="123">
        <v>1</v>
      </c>
      <c r="D36" s="123">
        <v>36</v>
      </c>
      <c r="E36" s="123">
        <f t="shared" si="113"/>
        <v>36</v>
      </c>
      <c r="F36" s="123" t="s">
        <v>269</v>
      </c>
      <c r="G36" s="123" t="s">
        <v>269</v>
      </c>
      <c r="H36" s="257">
        <f t="shared" si="114"/>
        <v>75.078000000000003</v>
      </c>
      <c r="I36" s="257">
        <f t="shared" si="115"/>
        <v>2.0855000000000001</v>
      </c>
      <c r="J36" s="257">
        <f t="shared" si="116"/>
        <v>75.078000000000003</v>
      </c>
      <c r="K36" s="257"/>
      <c r="L36" s="257">
        <f t="shared" si="117"/>
        <v>0.66038632045598489</v>
      </c>
      <c r="M36" s="257">
        <f t="shared" si="118"/>
        <v>23.773907536415454</v>
      </c>
      <c r="N36" s="257">
        <f t="shared" si="7"/>
        <v>0.7198210892970236</v>
      </c>
      <c r="O36" s="257">
        <f t="shared" si="119"/>
        <v>25.91355921469285</v>
      </c>
      <c r="P36" s="257">
        <v>1.5</v>
      </c>
      <c r="Q36" s="257">
        <f t="shared" si="120"/>
        <v>54</v>
      </c>
      <c r="R36" s="257">
        <f t="shared" si="121"/>
        <v>0.7801789107029764</v>
      </c>
      <c r="S36" s="257">
        <f t="shared" si="122"/>
        <v>28.08644078530715</v>
      </c>
      <c r="T36" s="246">
        <f t="shared" si="123"/>
        <v>0.52011927380198431</v>
      </c>
      <c r="U36" s="135"/>
      <c r="V36" s="268">
        <f t="shared" si="12"/>
        <v>1.5</v>
      </c>
      <c r="W36" s="269">
        <v>0.18</v>
      </c>
      <c r="X36" s="270">
        <f t="shared" si="13"/>
        <v>1.8292682926829267</v>
      </c>
      <c r="Y36" s="271">
        <f t="shared" si="14"/>
        <v>0.32926829268292679</v>
      </c>
      <c r="Z36" s="267">
        <f t="shared" si="15"/>
        <v>2.963414634146341E-2</v>
      </c>
      <c r="AA36" s="271">
        <f t="shared" si="16"/>
        <v>0.35890243902439017</v>
      </c>
      <c r="AB36" s="271">
        <f t="shared" si="17"/>
        <v>1.4703658536585364</v>
      </c>
      <c r="AC36" s="284">
        <f t="shared" si="18"/>
        <v>0.51044762940734889</v>
      </c>
      <c r="AD36" s="285">
        <f t="shared" si="19"/>
        <v>-9.6716443946354147E-3</v>
      </c>
      <c r="AE36" s="221" t="s">
        <v>269</v>
      </c>
    </row>
    <row r="37" spans="1:31" ht="40" customHeight="1" x14ac:dyDescent="0.2">
      <c r="A37" s="123">
        <v>32</v>
      </c>
      <c r="B37" s="274" t="s">
        <v>243</v>
      </c>
      <c r="C37" s="123">
        <v>1</v>
      </c>
      <c r="D37" s="123">
        <v>36</v>
      </c>
      <c r="E37" s="123">
        <f t="shared" si="113"/>
        <v>36</v>
      </c>
      <c r="F37" s="123" t="s">
        <v>269</v>
      </c>
      <c r="G37" s="123" t="s">
        <v>269</v>
      </c>
      <c r="H37" s="257">
        <f t="shared" si="114"/>
        <v>75.078000000000003</v>
      </c>
      <c r="I37" s="257">
        <f t="shared" si="115"/>
        <v>2.0855000000000001</v>
      </c>
      <c r="J37" s="257">
        <f t="shared" si="116"/>
        <v>75.078000000000003</v>
      </c>
      <c r="K37" s="257"/>
      <c r="L37" s="257">
        <f t="shared" si="117"/>
        <v>0.66038632045598489</v>
      </c>
      <c r="M37" s="257">
        <f t="shared" si="118"/>
        <v>23.773907536415454</v>
      </c>
      <c r="N37" s="257">
        <f t="shared" si="7"/>
        <v>0.7198210892970236</v>
      </c>
      <c r="O37" s="257">
        <f t="shared" si="119"/>
        <v>25.91355921469285</v>
      </c>
      <c r="P37" s="257">
        <v>1.5</v>
      </c>
      <c r="Q37" s="257">
        <f t="shared" si="120"/>
        <v>54</v>
      </c>
      <c r="R37" s="257">
        <f t="shared" si="121"/>
        <v>0.7801789107029764</v>
      </c>
      <c r="S37" s="257">
        <f t="shared" si="122"/>
        <v>28.08644078530715</v>
      </c>
      <c r="T37" s="246">
        <f t="shared" si="123"/>
        <v>0.52011927380198431</v>
      </c>
      <c r="U37" s="135"/>
      <c r="V37" s="268">
        <f t="shared" si="12"/>
        <v>1.5</v>
      </c>
      <c r="W37" s="269">
        <v>0.18</v>
      </c>
      <c r="X37" s="270">
        <f t="shared" si="13"/>
        <v>1.8292682926829267</v>
      </c>
      <c r="Y37" s="271">
        <f t="shared" si="14"/>
        <v>0.32926829268292679</v>
      </c>
      <c r="Z37" s="267">
        <f t="shared" si="15"/>
        <v>2.963414634146341E-2</v>
      </c>
      <c r="AA37" s="271">
        <f t="shared" si="16"/>
        <v>0.35890243902439017</v>
      </c>
      <c r="AB37" s="271">
        <f t="shared" si="17"/>
        <v>1.4703658536585364</v>
      </c>
      <c r="AC37" s="284">
        <f t="shared" si="18"/>
        <v>0.51044762940734889</v>
      </c>
      <c r="AD37" s="285">
        <f t="shared" si="19"/>
        <v>-9.6716443946354147E-3</v>
      </c>
      <c r="AE37" s="221" t="s">
        <v>269</v>
      </c>
    </row>
    <row r="38" spans="1:31" ht="40" customHeight="1" x14ac:dyDescent="0.2">
      <c r="A38" s="123">
        <v>33</v>
      </c>
      <c r="B38" s="274" t="s">
        <v>244</v>
      </c>
      <c r="C38" s="123">
        <v>1</v>
      </c>
      <c r="D38" s="123">
        <v>36</v>
      </c>
      <c r="E38" s="123">
        <f t="shared" si="113"/>
        <v>36</v>
      </c>
      <c r="F38" s="123" t="s">
        <v>269</v>
      </c>
      <c r="G38" s="123" t="s">
        <v>269</v>
      </c>
      <c r="H38" s="257">
        <f t="shared" si="114"/>
        <v>75.078000000000003</v>
      </c>
      <c r="I38" s="257">
        <f t="shared" si="115"/>
        <v>2.0855000000000001</v>
      </c>
      <c r="J38" s="257">
        <f t="shared" si="116"/>
        <v>75.078000000000003</v>
      </c>
      <c r="K38" s="257"/>
      <c r="L38" s="257">
        <f t="shared" si="117"/>
        <v>0.66038632045598489</v>
      </c>
      <c r="M38" s="257">
        <f t="shared" si="118"/>
        <v>23.773907536415454</v>
      </c>
      <c r="N38" s="257">
        <f t="shared" ref="N38:N69" si="124">L38*(1+$O$188+9%)</f>
        <v>0.7198210892970236</v>
      </c>
      <c r="O38" s="257">
        <f t="shared" si="119"/>
        <v>25.91355921469285</v>
      </c>
      <c r="P38" s="257">
        <v>1.5</v>
      </c>
      <c r="Q38" s="257">
        <f t="shared" si="120"/>
        <v>54</v>
      </c>
      <c r="R38" s="257">
        <f t="shared" si="121"/>
        <v>0.7801789107029764</v>
      </c>
      <c r="S38" s="257">
        <f t="shared" si="122"/>
        <v>28.08644078530715</v>
      </c>
      <c r="T38" s="246">
        <f t="shared" si="123"/>
        <v>0.52011927380198431</v>
      </c>
      <c r="U38" s="135"/>
      <c r="V38" s="268">
        <f t="shared" si="12"/>
        <v>1.5</v>
      </c>
      <c r="W38" s="269">
        <v>0.18</v>
      </c>
      <c r="X38" s="270">
        <f t="shared" si="13"/>
        <v>1.8292682926829267</v>
      </c>
      <c r="Y38" s="271">
        <f t="shared" si="14"/>
        <v>0.32926829268292679</v>
      </c>
      <c r="Z38" s="267">
        <f t="shared" si="15"/>
        <v>2.963414634146341E-2</v>
      </c>
      <c r="AA38" s="271">
        <f t="shared" si="16"/>
        <v>0.35890243902439017</v>
      </c>
      <c r="AB38" s="271">
        <f t="shared" si="17"/>
        <v>1.4703658536585364</v>
      </c>
      <c r="AC38" s="284">
        <f t="shared" si="18"/>
        <v>0.51044762940734889</v>
      </c>
      <c r="AD38" s="285">
        <f t="shared" si="19"/>
        <v>-9.6716443946354147E-3</v>
      </c>
      <c r="AE38" s="221" t="s">
        <v>269</v>
      </c>
    </row>
    <row r="39" spans="1:31" ht="40" customHeight="1" x14ac:dyDescent="0.2">
      <c r="A39" s="123">
        <v>34</v>
      </c>
      <c r="B39" s="274" t="s">
        <v>193</v>
      </c>
      <c r="C39" s="123">
        <v>1</v>
      </c>
      <c r="D39" s="123">
        <v>36</v>
      </c>
      <c r="E39" s="123">
        <f t="shared" ref="E39:E41" si="125">D39*C39</f>
        <v>36</v>
      </c>
      <c r="F39" s="123" t="s">
        <v>269</v>
      </c>
      <c r="G39" s="123" t="s">
        <v>269</v>
      </c>
      <c r="H39" s="257">
        <f t="shared" ref="H39:H41" si="126">77.4*0.97</f>
        <v>75.078000000000003</v>
      </c>
      <c r="I39" s="257">
        <f t="shared" ref="I39:I41" si="127">H39/D39</f>
        <v>2.0855000000000001</v>
      </c>
      <c r="J39" s="257">
        <f t="shared" ref="J39:J41" si="128">I39*E39</f>
        <v>75.078000000000003</v>
      </c>
      <c r="K39" s="257"/>
      <c r="L39" s="257">
        <f t="shared" ref="L39:L41" si="129">I39/$S$2</f>
        <v>0.66038632045598489</v>
      </c>
      <c r="M39" s="257">
        <f t="shared" ref="M39:M41" si="130">H39/$S$2</f>
        <v>23.773907536415454</v>
      </c>
      <c r="N39" s="257">
        <f t="shared" si="124"/>
        <v>0.7198210892970236</v>
      </c>
      <c r="O39" s="257">
        <f t="shared" ref="O39:O41" si="131">N39*E39</f>
        <v>25.91355921469285</v>
      </c>
      <c r="P39" s="257">
        <v>1.5</v>
      </c>
      <c r="Q39" s="257">
        <f t="shared" ref="Q39:Q41" si="132">P39*E39</f>
        <v>54</v>
      </c>
      <c r="R39" s="257">
        <f t="shared" ref="R39:R41" si="133">P39-N39</f>
        <v>0.7801789107029764</v>
      </c>
      <c r="S39" s="257">
        <f t="shared" ref="S39:S41" si="134">Q39-O39</f>
        <v>28.08644078530715</v>
      </c>
      <c r="T39" s="246">
        <f t="shared" ref="T39:T41" si="135">R39/P39</f>
        <v>0.52011927380198431</v>
      </c>
      <c r="U39" s="135"/>
      <c r="V39" s="268">
        <f t="shared" si="12"/>
        <v>1.5</v>
      </c>
      <c r="W39" s="269">
        <v>0.18</v>
      </c>
      <c r="X39" s="270">
        <f t="shared" si="13"/>
        <v>1.8292682926829267</v>
      </c>
      <c r="Y39" s="271">
        <f t="shared" si="14"/>
        <v>0.32926829268292679</v>
      </c>
      <c r="Z39" s="267">
        <f t="shared" si="15"/>
        <v>2.963414634146341E-2</v>
      </c>
      <c r="AA39" s="271">
        <f t="shared" si="16"/>
        <v>0.35890243902439017</v>
      </c>
      <c r="AB39" s="271">
        <f t="shared" si="17"/>
        <v>1.4703658536585364</v>
      </c>
      <c r="AC39" s="284">
        <f t="shared" si="18"/>
        <v>0.51044762940734889</v>
      </c>
      <c r="AD39" s="285">
        <f t="shared" si="19"/>
        <v>-9.6716443946354147E-3</v>
      </c>
      <c r="AE39" s="221" t="s">
        <v>269</v>
      </c>
    </row>
    <row r="40" spans="1:31" ht="40" customHeight="1" x14ac:dyDescent="0.2">
      <c r="A40" s="123">
        <v>35</v>
      </c>
      <c r="B40" s="274" t="s">
        <v>194</v>
      </c>
      <c r="C40" s="123">
        <v>1</v>
      </c>
      <c r="D40" s="123">
        <v>36</v>
      </c>
      <c r="E40" s="123">
        <f t="shared" si="125"/>
        <v>36</v>
      </c>
      <c r="F40" s="123" t="s">
        <v>269</v>
      </c>
      <c r="G40" s="123" t="s">
        <v>269</v>
      </c>
      <c r="H40" s="257">
        <f t="shared" si="126"/>
        <v>75.078000000000003</v>
      </c>
      <c r="I40" s="257">
        <f t="shared" si="127"/>
        <v>2.0855000000000001</v>
      </c>
      <c r="J40" s="257">
        <f t="shared" si="128"/>
        <v>75.078000000000003</v>
      </c>
      <c r="K40" s="257"/>
      <c r="L40" s="257">
        <f t="shared" si="129"/>
        <v>0.66038632045598489</v>
      </c>
      <c r="M40" s="257">
        <f t="shared" si="130"/>
        <v>23.773907536415454</v>
      </c>
      <c r="N40" s="257">
        <f t="shared" si="124"/>
        <v>0.7198210892970236</v>
      </c>
      <c r="O40" s="257">
        <f t="shared" si="131"/>
        <v>25.91355921469285</v>
      </c>
      <c r="P40" s="257">
        <v>1.5</v>
      </c>
      <c r="Q40" s="257">
        <f t="shared" si="132"/>
        <v>54</v>
      </c>
      <c r="R40" s="257">
        <f t="shared" si="133"/>
        <v>0.7801789107029764</v>
      </c>
      <c r="S40" s="257">
        <f t="shared" si="134"/>
        <v>28.08644078530715</v>
      </c>
      <c r="T40" s="246">
        <f t="shared" si="135"/>
        <v>0.52011927380198431</v>
      </c>
      <c r="U40" s="135"/>
      <c r="V40" s="268">
        <f t="shared" si="12"/>
        <v>1.5</v>
      </c>
      <c r="W40" s="269">
        <v>0.18</v>
      </c>
      <c r="X40" s="270">
        <f t="shared" si="13"/>
        <v>1.8292682926829267</v>
      </c>
      <c r="Y40" s="271">
        <f t="shared" si="14"/>
        <v>0.32926829268292679</v>
      </c>
      <c r="Z40" s="267">
        <f t="shared" si="15"/>
        <v>2.963414634146341E-2</v>
      </c>
      <c r="AA40" s="271">
        <f t="shared" si="16"/>
        <v>0.35890243902439017</v>
      </c>
      <c r="AB40" s="271">
        <f t="shared" si="17"/>
        <v>1.4703658536585364</v>
      </c>
      <c r="AC40" s="284">
        <f t="shared" si="18"/>
        <v>0.51044762940734889</v>
      </c>
      <c r="AD40" s="285">
        <f t="shared" si="19"/>
        <v>-9.6716443946354147E-3</v>
      </c>
      <c r="AE40" s="221" t="s">
        <v>269</v>
      </c>
    </row>
    <row r="41" spans="1:31" ht="40" customHeight="1" x14ac:dyDescent="0.2">
      <c r="A41" s="123">
        <v>36</v>
      </c>
      <c r="B41" s="274" t="s">
        <v>195</v>
      </c>
      <c r="C41" s="123">
        <v>1</v>
      </c>
      <c r="D41" s="123">
        <v>36</v>
      </c>
      <c r="E41" s="123">
        <f t="shared" si="125"/>
        <v>36</v>
      </c>
      <c r="F41" s="123" t="s">
        <v>269</v>
      </c>
      <c r="G41" s="123" t="s">
        <v>269</v>
      </c>
      <c r="H41" s="257">
        <f t="shared" si="126"/>
        <v>75.078000000000003</v>
      </c>
      <c r="I41" s="257">
        <f t="shared" si="127"/>
        <v>2.0855000000000001</v>
      </c>
      <c r="J41" s="257">
        <f t="shared" si="128"/>
        <v>75.078000000000003</v>
      </c>
      <c r="K41" s="257"/>
      <c r="L41" s="257">
        <f t="shared" si="129"/>
        <v>0.66038632045598489</v>
      </c>
      <c r="M41" s="257">
        <f t="shared" si="130"/>
        <v>23.773907536415454</v>
      </c>
      <c r="N41" s="257">
        <f t="shared" si="124"/>
        <v>0.7198210892970236</v>
      </c>
      <c r="O41" s="257">
        <f t="shared" si="131"/>
        <v>25.91355921469285</v>
      </c>
      <c r="P41" s="257">
        <v>1.5</v>
      </c>
      <c r="Q41" s="257">
        <f t="shared" si="132"/>
        <v>54</v>
      </c>
      <c r="R41" s="257">
        <f t="shared" si="133"/>
        <v>0.7801789107029764</v>
      </c>
      <c r="S41" s="257">
        <f t="shared" si="134"/>
        <v>28.08644078530715</v>
      </c>
      <c r="T41" s="246">
        <f t="shared" si="135"/>
        <v>0.52011927380198431</v>
      </c>
      <c r="U41" s="135"/>
      <c r="V41" s="268">
        <f t="shared" si="12"/>
        <v>1.5</v>
      </c>
      <c r="W41" s="269">
        <v>0.18</v>
      </c>
      <c r="X41" s="270">
        <f t="shared" si="13"/>
        <v>1.8292682926829267</v>
      </c>
      <c r="Y41" s="271">
        <f t="shared" si="14"/>
        <v>0.32926829268292679</v>
      </c>
      <c r="Z41" s="267">
        <f t="shared" si="15"/>
        <v>2.963414634146341E-2</v>
      </c>
      <c r="AA41" s="271">
        <f t="shared" si="16"/>
        <v>0.35890243902439017</v>
      </c>
      <c r="AB41" s="271">
        <f t="shared" si="17"/>
        <v>1.4703658536585364</v>
      </c>
      <c r="AC41" s="284">
        <f t="shared" si="18"/>
        <v>0.51044762940734889</v>
      </c>
      <c r="AD41" s="285">
        <f t="shared" si="19"/>
        <v>-9.6716443946354147E-3</v>
      </c>
      <c r="AE41" s="221" t="s">
        <v>269</v>
      </c>
    </row>
    <row r="42" spans="1:31" ht="40" customHeight="1" x14ac:dyDescent="0.2">
      <c r="A42" s="123">
        <v>37</v>
      </c>
      <c r="B42" s="274" t="s">
        <v>188</v>
      </c>
      <c r="C42" s="123">
        <v>1</v>
      </c>
      <c r="D42" s="123">
        <v>48</v>
      </c>
      <c r="E42" s="123">
        <f>D42*C42</f>
        <v>48</v>
      </c>
      <c r="F42" s="123" t="s">
        <v>269</v>
      </c>
      <c r="G42" s="123" t="s">
        <v>269</v>
      </c>
      <c r="H42" s="257">
        <v>98.4</v>
      </c>
      <c r="I42" s="257">
        <f>H42/D42</f>
        <v>2.0500000000000003</v>
      </c>
      <c r="J42" s="257">
        <f t="shared" ref="J42" si="136">I42*E42</f>
        <v>98.4</v>
      </c>
      <c r="K42" s="257"/>
      <c r="L42" s="257">
        <f t="shared" ref="L42" si="137">I42/$S$2</f>
        <v>0.64914502849905009</v>
      </c>
      <c r="M42" s="257">
        <f>H42/$S$2</f>
        <v>31.158961367954404</v>
      </c>
      <c r="N42" s="257">
        <f t="shared" si="124"/>
        <v>0.70756808106396463</v>
      </c>
      <c r="O42" s="257">
        <f>N42*E42</f>
        <v>33.963267891070302</v>
      </c>
      <c r="P42" s="257">
        <v>1</v>
      </c>
      <c r="Q42" s="257">
        <f t="shared" ref="Q42" si="138">P42*E42</f>
        <v>48</v>
      </c>
      <c r="R42" s="257">
        <f t="shared" ref="R42" si="139">P42-N42</f>
        <v>0.29243191893603537</v>
      </c>
      <c r="S42" s="257">
        <f t="shared" ref="S42" si="140">Q42-O42</f>
        <v>14.036732108929698</v>
      </c>
      <c r="T42" s="246">
        <f t="shared" ref="T42" si="141">R42/P42</f>
        <v>0.29243191893603537</v>
      </c>
      <c r="U42" s="135"/>
      <c r="V42" s="268">
        <f t="shared" si="12"/>
        <v>1</v>
      </c>
      <c r="W42" s="269">
        <v>0.18</v>
      </c>
      <c r="X42" s="270">
        <f t="shared" si="13"/>
        <v>1.2195121951219512</v>
      </c>
      <c r="Y42" s="271">
        <f t="shared" si="14"/>
        <v>0.21951219512195122</v>
      </c>
      <c r="Z42" s="267">
        <f t="shared" si="15"/>
        <v>1.975609756097561E-2</v>
      </c>
      <c r="AA42" s="271">
        <f t="shared" si="16"/>
        <v>0.23926829268292682</v>
      </c>
      <c r="AB42" s="271">
        <f t="shared" si="17"/>
        <v>0.98024390243902437</v>
      </c>
      <c r="AC42" s="284">
        <f t="shared" si="18"/>
        <v>0.27817140274639091</v>
      </c>
      <c r="AD42" s="285">
        <f t="shared" si="19"/>
        <v>-1.4260516189644468E-2</v>
      </c>
      <c r="AE42" s="221" t="s">
        <v>269</v>
      </c>
    </row>
    <row r="43" spans="1:31" ht="40" customHeight="1" x14ac:dyDescent="0.2">
      <c r="A43" s="123">
        <v>38</v>
      </c>
      <c r="B43" s="274" t="s">
        <v>27</v>
      </c>
      <c r="C43" s="123">
        <v>1</v>
      </c>
      <c r="D43" s="123" t="s">
        <v>28</v>
      </c>
      <c r="E43" s="123">
        <f t="shared" ref="E43:E131" si="142">D43*C43</f>
        <v>50</v>
      </c>
      <c r="F43" s="123">
        <v>83</v>
      </c>
      <c r="G43" s="123">
        <v>80.510000000000005</v>
      </c>
      <c r="H43" s="123">
        <v>80.510000000000005</v>
      </c>
      <c r="I43" s="257">
        <f t="shared" ref="I43:I131" si="143">H43/D43</f>
        <v>1.6102000000000001</v>
      </c>
      <c r="J43" s="257">
        <f t="shared" si="0"/>
        <v>80.510000000000005</v>
      </c>
      <c r="K43" s="257"/>
      <c r="L43" s="257">
        <f t="shared" si="6"/>
        <v>0.50987967067764417</v>
      </c>
      <c r="M43" s="257">
        <f t="shared" ref="M43:M131" si="144">H43/$S$2</f>
        <v>25.493983533882208</v>
      </c>
      <c r="N43" s="257">
        <f t="shared" si="124"/>
        <v>0.55576884103863222</v>
      </c>
      <c r="O43" s="257">
        <f>N43*E43</f>
        <v>27.788442051931611</v>
      </c>
      <c r="P43" s="257">
        <v>1</v>
      </c>
      <c r="Q43" s="257">
        <f>P43*E43</f>
        <v>50</v>
      </c>
      <c r="R43" s="257">
        <f t="shared" si="2"/>
        <v>0.44423115896136778</v>
      </c>
      <c r="S43" s="257">
        <f t="shared" si="3"/>
        <v>22.211557948068389</v>
      </c>
      <c r="T43" s="246">
        <f t="shared" si="4"/>
        <v>0.44423115896136778</v>
      </c>
      <c r="U43" s="137"/>
      <c r="V43" s="268">
        <f t="shared" si="12"/>
        <v>1</v>
      </c>
      <c r="W43" s="269">
        <v>0.18</v>
      </c>
      <c r="X43" s="270">
        <f t="shared" si="13"/>
        <v>1.2195121951219512</v>
      </c>
      <c r="Y43" s="271">
        <f t="shared" si="14"/>
        <v>0.21951219512195122</v>
      </c>
      <c r="Z43" s="267">
        <f t="shared" si="15"/>
        <v>1.975609756097561E-2</v>
      </c>
      <c r="AA43" s="271">
        <f t="shared" si="16"/>
        <v>0.23926829268292682</v>
      </c>
      <c r="AB43" s="271">
        <f t="shared" si="17"/>
        <v>0.98024390243902437</v>
      </c>
      <c r="AC43" s="284">
        <f t="shared" si="18"/>
        <v>0.43303004522060407</v>
      </c>
      <c r="AD43" s="285">
        <f t="shared" si="19"/>
        <v>-1.1201113740763713E-2</v>
      </c>
      <c r="AE43" s="221" t="s">
        <v>269</v>
      </c>
    </row>
    <row r="44" spans="1:31" ht="40" customHeight="1" x14ac:dyDescent="0.2">
      <c r="A44" s="123">
        <v>39</v>
      </c>
      <c r="B44" s="274" t="s">
        <v>182</v>
      </c>
      <c r="C44" s="123">
        <v>1</v>
      </c>
      <c r="D44" s="123" t="s">
        <v>28</v>
      </c>
      <c r="E44" s="123">
        <v>50</v>
      </c>
      <c r="F44" s="123">
        <v>83</v>
      </c>
      <c r="G44" s="123">
        <v>80.510000000000005</v>
      </c>
      <c r="H44" s="123">
        <v>80.510000000000005</v>
      </c>
      <c r="I44" s="257">
        <f t="shared" si="143"/>
        <v>1.6102000000000001</v>
      </c>
      <c r="J44" s="257">
        <f>83</f>
        <v>83</v>
      </c>
      <c r="K44" s="257"/>
      <c r="L44" s="257">
        <f t="shared" si="6"/>
        <v>0.50987967067764417</v>
      </c>
      <c r="M44" s="257">
        <v>0.55576884103863222</v>
      </c>
      <c r="N44" s="257">
        <f t="shared" si="124"/>
        <v>0.55576884103863222</v>
      </c>
      <c r="O44" s="257">
        <f t="shared" ref="O44:O131" si="145">N44*E44</f>
        <v>27.788442051931611</v>
      </c>
      <c r="P44" s="257">
        <v>1</v>
      </c>
      <c r="Q44" s="257">
        <f t="shared" ref="Q44" si="146">P44*E44</f>
        <v>50</v>
      </c>
      <c r="R44" s="257">
        <f>P44-N44</f>
        <v>0.44423115896136778</v>
      </c>
      <c r="S44" s="257">
        <f t="shared" ref="S44" si="147">Q44-O44</f>
        <v>22.211557948068389</v>
      </c>
      <c r="T44" s="246">
        <f t="shared" ref="T44" si="148">R44/P44</f>
        <v>0.44423115896136778</v>
      </c>
      <c r="U44" s="137"/>
      <c r="V44" s="268">
        <f t="shared" si="12"/>
        <v>1</v>
      </c>
      <c r="W44" s="269">
        <v>0.18</v>
      </c>
      <c r="X44" s="270">
        <f t="shared" si="13"/>
        <v>1.2195121951219512</v>
      </c>
      <c r="Y44" s="271">
        <f t="shared" si="14"/>
        <v>0.21951219512195122</v>
      </c>
      <c r="Z44" s="267">
        <f t="shared" si="15"/>
        <v>1.975609756097561E-2</v>
      </c>
      <c r="AA44" s="271">
        <f t="shared" si="16"/>
        <v>0.23926829268292682</v>
      </c>
      <c r="AB44" s="271">
        <f t="shared" si="17"/>
        <v>0.98024390243902437</v>
      </c>
      <c r="AC44" s="284">
        <f t="shared" si="18"/>
        <v>0.43303004522060407</v>
      </c>
      <c r="AD44" s="285">
        <f t="shared" si="19"/>
        <v>-1.1201113740763713E-2</v>
      </c>
      <c r="AE44" s="221" t="s">
        <v>269</v>
      </c>
    </row>
    <row r="45" spans="1:31" ht="40" customHeight="1" x14ac:dyDescent="0.2">
      <c r="A45" s="123">
        <v>40</v>
      </c>
      <c r="B45" s="274" t="s">
        <v>29</v>
      </c>
      <c r="C45" s="123">
        <v>1</v>
      </c>
      <c r="D45" s="123" t="s">
        <v>28</v>
      </c>
      <c r="E45" s="123">
        <f t="shared" si="142"/>
        <v>50</v>
      </c>
      <c r="F45" s="123">
        <v>83</v>
      </c>
      <c r="G45" s="123">
        <v>80.510000000000005</v>
      </c>
      <c r="H45" s="123">
        <v>80.510000000000005</v>
      </c>
      <c r="I45" s="257">
        <f t="shared" si="143"/>
        <v>1.6102000000000001</v>
      </c>
      <c r="J45" s="257">
        <f t="shared" si="0"/>
        <v>80.510000000000005</v>
      </c>
      <c r="K45" s="257"/>
      <c r="L45" s="257">
        <f t="shared" si="6"/>
        <v>0.50987967067764417</v>
      </c>
      <c r="M45" s="257">
        <f t="shared" si="144"/>
        <v>25.493983533882208</v>
      </c>
      <c r="N45" s="257">
        <f t="shared" si="124"/>
        <v>0.55576884103863222</v>
      </c>
      <c r="O45" s="257">
        <f t="shared" si="145"/>
        <v>27.788442051931611</v>
      </c>
      <c r="P45" s="257">
        <v>1</v>
      </c>
      <c r="Q45" s="257">
        <f t="shared" si="1"/>
        <v>50</v>
      </c>
      <c r="R45" s="257">
        <f>P45-N45</f>
        <v>0.44423115896136778</v>
      </c>
      <c r="S45" s="257">
        <f t="shared" si="3"/>
        <v>22.211557948068389</v>
      </c>
      <c r="T45" s="246">
        <f t="shared" si="4"/>
        <v>0.44423115896136778</v>
      </c>
      <c r="U45" s="138"/>
      <c r="V45" s="268">
        <f t="shared" si="12"/>
        <v>1</v>
      </c>
      <c r="W45" s="269">
        <v>0.18</v>
      </c>
      <c r="X45" s="270">
        <f t="shared" si="13"/>
        <v>1.2195121951219512</v>
      </c>
      <c r="Y45" s="271">
        <f t="shared" si="14"/>
        <v>0.21951219512195122</v>
      </c>
      <c r="Z45" s="267">
        <f t="shared" si="15"/>
        <v>1.975609756097561E-2</v>
      </c>
      <c r="AA45" s="271">
        <f t="shared" si="16"/>
        <v>0.23926829268292682</v>
      </c>
      <c r="AB45" s="271">
        <f t="shared" si="17"/>
        <v>0.98024390243902437</v>
      </c>
      <c r="AC45" s="284">
        <f t="shared" si="18"/>
        <v>0.43303004522060407</v>
      </c>
      <c r="AD45" s="285">
        <f t="shared" si="19"/>
        <v>-1.1201113740763713E-2</v>
      </c>
      <c r="AE45" s="221" t="s">
        <v>269</v>
      </c>
    </row>
    <row r="46" spans="1:31" ht="40" customHeight="1" x14ac:dyDescent="0.2">
      <c r="A46" s="123">
        <v>41</v>
      </c>
      <c r="B46" s="274" t="s">
        <v>30</v>
      </c>
      <c r="C46" s="123">
        <v>1</v>
      </c>
      <c r="D46" s="123" t="s">
        <v>28</v>
      </c>
      <c r="E46" s="123">
        <f t="shared" si="142"/>
        <v>50</v>
      </c>
      <c r="F46" s="123">
        <v>83</v>
      </c>
      <c r="G46" s="123">
        <v>80.510000000000005</v>
      </c>
      <c r="H46" s="123">
        <v>80.510000000000005</v>
      </c>
      <c r="I46" s="257">
        <f t="shared" si="143"/>
        <v>1.6102000000000001</v>
      </c>
      <c r="J46" s="257">
        <f t="shared" si="0"/>
        <v>80.510000000000005</v>
      </c>
      <c r="K46" s="257"/>
      <c r="L46" s="257">
        <f t="shared" si="6"/>
        <v>0.50987967067764417</v>
      </c>
      <c r="M46" s="257">
        <f t="shared" si="144"/>
        <v>25.493983533882208</v>
      </c>
      <c r="N46" s="257">
        <f t="shared" si="124"/>
        <v>0.55576884103863222</v>
      </c>
      <c r="O46" s="257">
        <f t="shared" si="145"/>
        <v>27.788442051931611</v>
      </c>
      <c r="P46" s="257">
        <v>1</v>
      </c>
      <c r="Q46" s="257">
        <f t="shared" si="1"/>
        <v>50</v>
      </c>
      <c r="R46" s="257">
        <f t="shared" si="2"/>
        <v>0.44423115896136778</v>
      </c>
      <c r="S46" s="257">
        <f t="shared" si="3"/>
        <v>22.211557948068389</v>
      </c>
      <c r="T46" s="246">
        <f t="shared" si="4"/>
        <v>0.44423115896136778</v>
      </c>
      <c r="U46" s="138"/>
      <c r="V46" s="268">
        <f t="shared" si="12"/>
        <v>1</v>
      </c>
      <c r="W46" s="269">
        <v>0.18</v>
      </c>
      <c r="X46" s="270">
        <f t="shared" si="13"/>
        <v>1.2195121951219512</v>
      </c>
      <c r="Y46" s="271">
        <f t="shared" si="14"/>
        <v>0.21951219512195122</v>
      </c>
      <c r="Z46" s="267">
        <f t="shared" si="15"/>
        <v>1.975609756097561E-2</v>
      </c>
      <c r="AA46" s="271">
        <f t="shared" si="16"/>
        <v>0.23926829268292682</v>
      </c>
      <c r="AB46" s="271">
        <f t="shared" si="17"/>
        <v>0.98024390243902437</v>
      </c>
      <c r="AC46" s="284">
        <f t="shared" si="18"/>
        <v>0.43303004522060407</v>
      </c>
      <c r="AD46" s="285">
        <f t="shared" si="19"/>
        <v>-1.1201113740763713E-2</v>
      </c>
      <c r="AE46" s="221" t="s">
        <v>269</v>
      </c>
    </row>
    <row r="47" spans="1:31" ht="40" customHeight="1" x14ac:dyDescent="0.2">
      <c r="A47" s="123">
        <v>42</v>
      </c>
      <c r="B47" s="274" t="s">
        <v>33</v>
      </c>
      <c r="C47" s="123">
        <v>1</v>
      </c>
      <c r="D47" s="123" t="s">
        <v>28</v>
      </c>
      <c r="E47" s="123">
        <f t="shared" si="142"/>
        <v>50</v>
      </c>
      <c r="F47" s="123" t="s">
        <v>269</v>
      </c>
      <c r="G47" s="123" t="s">
        <v>269</v>
      </c>
      <c r="H47" s="257">
        <v>79.055000000000007</v>
      </c>
      <c r="I47" s="257">
        <f t="shared" si="143"/>
        <v>1.5811000000000002</v>
      </c>
      <c r="J47" s="257">
        <f t="shared" si="0"/>
        <v>79.055000000000007</v>
      </c>
      <c r="K47" s="257"/>
      <c r="L47" s="257">
        <f t="shared" si="6"/>
        <v>0.50066497783407227</v>
      </c>
      <c r="M47" s="257">
        <f t="shared" si="144"/>
        <v>25.033248891703614</v>
      </c>
      <c r="N47" s="257">
        <f t="shared" si="124"/>
        <v>0.54572482583913884</v>
      </c>
      <c r="O47" s="257">
        <f t="shared" si="145"/>
        <v>27.286241291956941</v>
      </c>
      <c r="P47" s="257">
        <v>0.85</v>
      </c>
      <c r="Q47" s="257">
        <f t="shared" si="1"/>
        <v>42.5</v>
      </c>
      <c r="R47" s="257">
        <f t="shared" si="2"/>
        <v>0.30427517416086114</v>
      </c>
      <c r="S47" s="257">
        <f t="shared" si="3"/>
        <v>15.213758708043059</v>
      </c>
      <c r="T47" s="246">
        <f t="shared" si="4"/>
        <v>0.3579707931304249</v>
      </c>
      <c r="U47" s="138"/>
      <c r="V47" s="268">
        <f t="shared" si="12"/>
        <v>0.85</v>
      </c>
      <c r="W47" s="269">
        <v>0.18</v>
      </c>
      <c r="X47" s="270">
        <f t="shared" si="13"/>
        <v>1.0365853658536583</v>
      </c>
      <c r="Y47" s="271">
        <f t="shared" si="14"/>
        <v>0.18658536585365851</v>
      </c>
      <c r="Z47" s="267">
        <f t="shared" si="15"/>
        <v>1.6792682926829266E-2</v>
      </c>
      <c r="AA47" s="271">
        <f t="shared" si="16"/>
        <v>0.20337804878048776</v>
      </c>
      <c r="AB47" s="271">
        <f t="shared" si="17"/>
        <v>0.83320731707317064</v>
      </c>
      <c r="AC47" s="284">
        <f t="shared" si="18"/>
        <v>0.34503116492529029</v>
      </c>
      <c r="AD47" s="285">
        <f t="shared" si="19"/>
        <v>-1.2939628205134612E-2</v>
      </c>
      <c r="AE47" s="221" t="s">
        <v>269</v>
      </c>
    </row>
    <row r="48" spans="1:31" ht="40" customHeight="1" x14ac:dyDescent="0.2">
      <c r="A48" s="123">
        <v>43</v>
      </c>
      <c r="B48" s="274" t="s">
        <v>34</v>
      </c>
      <c r="C48" s="123">
        <v>1</v>
      </c>
      <c r="D48" s="123" t="s">
        <v>28</v>
      </c>
      <c r="E48" s="123">
        <f t="shared" si="142"/>
        <v>50</v>
      </c>
      <c r="F48" s="123" t="s">
        <v>269</v>
      </c>
      <c r="G48" s="123" t="s">
        <v>269</v>
      </c>
      <c r="H48" s="257">
        <v>79.055000000000007</v>
      </c>
      <c r="I48" s="257">
        <f t="shared" si="143"/>
        <v>1.5811000000000002</v>
      </c>
      <c r="J48" s="257">
        <f t="shared" si="0"/>
        <v>79.055000000000007</v>
      </c>
      <c r="K48" s="257"/>
      <c r="L48" s="257">
        <f t="shared" si="6"/>
        <v>0.50066497783407227</v>
      </c>
      <c r="M48" s="257">
        <f t="shared" si="144"/>
        <v>25.033248891703614</v>
      </c>
      <c r="N48" s="257">
        <f t="shared" si="124"/>
        <v>0.54572482583913884</v>
      </c>
      <c r="O48" s="257">
        <f t="shared" si="145"/>
        <v>27.286241291956941</v>
      </c>
      <c r="P48" s="257">
        <v>0.85</v>
      </c>
      <c r="Q48" s="257">
        <f t="shared" si="1"/>
        <v>42.5</v>
      </c>
      <c r="R48" s="257">
        <f t="shared" si="2"/>
        <v>0.30427517416086114</v>
      </c>
      <c r="S48" s="257">
        <f t="shared" si="3"/>
        <v>15.213758708043059</v>
      </c>
      <c r="T48" s="246">
        <f t="shared" si="4"/>
        <v>0.3579707931304249</v>
      </c>
      <c r="U48" s="135"/>
      <c r="V48" s="268">
        <f t="shared" si="12"/>
        <v>0.85</v>
      </c>
      <c r="W48" s="269">
        <v>0.18</v>
      </c>
      <c r="X48" s="270">
        <f t="shared" si="13"/>
        <v>1.0365853658536583</v>
      </c>
      <c r="Y48" s="271">
        <f t="shared" si="14"/>
        <v>0.18658536585365851</v>
      </c>
      <c r="Z48" s="267">
        <f t="shared" si="15"/>
        <v>1.6792682926829266E-2</v>
      </c>
      <c r="AA48" s="271">
        <f t="shared" si="16"/>
        <v>0.20337804878048776</v>
      </c>
      <c r="AB48" s="271">
        <f t="shared" si="17"/>
        <v>0.83320731707317064</v>
      </c>
      <c r="AC48" s="284">
        <f t="shared" si="18"/>
        <v>0.34503116492529029</v>
      </c>
      <c r="AD48" s="285">
        <f t="shared" si="19"/>
        <v>-1.2939628205134612E-2</v>
      </c>
      <c r="AE48" s="221" t="s">
        <v>269</v>
      </c>
    </row>
    <row r="49" spans="1:31" ht="40" customHeight="1" x14ac:dyDescent="0.2">
      <c r="A49" s="123">
        <v>44</v>
      </c>
      <c r="B49" s="274" t="s">
        <v>35</v>
      </c>
      <c r="C49" s="123">
        <v>1</v>
      </c>
      <c r="D49" s="123" t="s">
        <v>28</v>
      </c>
      <c r="E49" s="123">
        <f t="shared" si="142"/>
        <v>50</v>
      </c>
      <c r="F49" s="123" t="s">
        <v>269</v>
      </c>
      <c r="G49" s="123" t="s">
        <v>269</v>
      </c>
      <c r="H49" s="257">
        <v>79.055000000000007</v>
      </c>
      <c r="I49" s="257">
        <f t="shared" si="143"/>
        <v>1.5811000000000002</v>
      </c>
      <c r="J49" s="257">
        <f t="shared" si="0"/>
        <v>79.055000000000007</v>
      </c>
      <c r="K49" s="257"/>
      <c r="L49" s="257">
        <f t="shared" si="6"/>
        <v>0.50066497783407227</v>
      </c>
      <c r="M49" s="257">
        <f t="shared" si="144"/>
        <v>25.033248891703614</v>
      </c>
      <c r="N49" s="257">
        <f t="shared" si="124"/>
        <v>0.54572482583913884</v>
      </c>
      <c r="O49" s="257">
        <f t="shared" si="145"/>
        <v>27.286241291956941</v>
      </c>
      <c r="P49" s="257">
        <v>0.85</v>
      </c>
      <c r="Q49" s="257">
        <f t="shared" si="1"/>
        <v>42.5</v>
      </c>
      <c r="R49" s="257">
        <f t="shared" si="2"/>
        <v>0.30427517416086114</v>
      </c>
      <c r="S49" s="257">
        <f t="shared" si="3"/>
        <v>15.213758708043059</v>
      </c>
      <c r="T49" s="246">
        <f t="shared" si="4"/>
        <v>0.3579707931304249</v>
      </c>
      <c r="U49" s="138"/>
      <c r="V49" s="268">
        <f t="shared" si="12"/>
        <v>0.85</v>
      </c>
      <c r="W49" s="269">
        <v>0.18</v>
      </c>
      <c r="X49" s="270">
        <f t="shared" si="13"/>
        <v>1.0365853658536583</v>
      </c>
      <c r="Y49" s="271">
        <f t="shared" si="14"/>
        <v>0.18658536585365851</v>
      </c>
      <c r="Z49" s="267">
        <f t="shared" si="15"/>
        <v>1.6792682926829266E-2</v>
      </c>
      <c r="AA49" s="271">
        <f t="shared" si="16"/>
        <v>0.20337804878048776</v>
      </c>
      <c r="AB49" s="271">
        <f t="shared" si="17"/>
        <v>0.83320731707317064</v>
      </c>
      <c r="AC49" s="284">
        <f t="shared" si="18"/>
        <v>0.34503116492529029</v>
      </c>
      <c r="AD49" s="285">
        <f t="shared" si="19"/>
        <v>-1.2939628205134612E-2</v>
      </c>
      <c r="AE49" s="221" t="s">
        <v>269</v>
      </c>
    </row>
    <row r="50" spans="1:31" ht="40" customHeight="1" x14ac:dyDescent="0.2">
      <c r="A50" s="123">
        <v>45</v>
      </c>
      <c r="B50" s="274" t="s">
        <v>36</v>
      </c>
      <c r="C50" s="123">
        <v>1</v>
      </c>
      <c r="D50" s="123">
        <v>8</v>
      </c>
      <c r="E50" s="123">
        <f t="shared" si="142"/>
        <v>8</v>
      </c>
      <c r="F50" s="123" t="s">
        <v>269</v>
      </c>
      <c r="G50" s="123" t="s">
        <v>269</v>
      </c>
      <c r="H50" s="257">
        <v>72.75</v>
      </c>
      <c r="I50" s="257">
        <f t="shared" si="143"/>
        <v>9.09375</v>
      </c>
      <c r="J50" s="257">
        <f t="shared" si="0"/>
        <v>72.75</v>
      </c>
      <c r="K50" s="257"/>
      <c r="L50" s="257">
        <f t="shared" si="6"/>
        <v>2.8795915136162127</v>
      </c>
      <c r="M50" s="257">
        <f t="shared" si="144"/>
        <v>23.036732108929701</v>
      </c>
      <c r="N50" s="257">
        <f t="shared" si="124"/>
        <v>3.1387547498416719</v>
      </c>
      <c r="O50" s="257">
        <f t="shared" si="145"/>
        <v>25.110037998733375</v>
      </c>
      <c r="P50" s="257">
        <v>4.5</v>
      </c>
      <c r="Q50" s="257">
        <f t="shared" si="1"/>
        <v>36</v>
      </c>
      <c r="R50" s="257">
        <f t="shared" si="2"/>
        <v>1.3612452501583281</v>
      </c>
      <c r="S50" s="257">
        <f t="shared" si="3"/>
        <v>10.889962001266625</v>
      </c>
      <c r="T50" s="246">
        <f t="shared" si="4"/>
        <v>0.30249894447962844</v>
      </c>
      <c r="U50" s="138"/>
      <c r="V50" s="268">
        <f t="shared" si="12"/>
        <v>4.5</v>
      </c>
      <c r="W50" s="269">
        <v>0.18</v>
      </c>
      <c r="X50" s="270">
        <f t="shared" si="13"/>
        <v>5.48780487804878</v>
      </c>
      <c r="Y50" s="271">
        <f t="shared" si="14"/>
        <v>0.98780487804878037</v>
      </c>
      <c r="Z50" s="267">
        <f t="shared" si="15"/>
        <v>8.8902439024390226E-2</v>
      </c>
      <c r="AA50" s="271">
        <f t="shared" si="16"/>
        <v>1.0767073170731707</v>
      </c>
      <c r="AB50" s="271">
        <f t="shared" si="17"/>
        <v>4.4110975609756089</v>
      </c>
      <c r="AC50" s="284">
        <f t="shared" si="18"/>
        <v>0.28844132181300725</v>
      </c>
      <c r="AD50" s="285">
        <f t="shared" si="19"/>
        <v>-1.4057622666621195E-2</v>
      </c>
      <c r="AE50" s="221">
        <v>0.7</v>
      </c>
    </row>
    <row r="51" spans="1:31" ht="40" customHeight="1" x14ac:dyDescent="0.2">
      <c r="A51" s="123">
        <v>46</v>
      </c>
      <c r="B51" s="274" t="s">
        <v>38</v>
      </c>
      <c r="C51" s="123">
        <v>1</v>
      </c>
      <c r="D51" s="123">
        <v>8</v>
      </c>
      <c r="E51" s="123">
        <f t="shared" si="142"/>
        <v>8</v>
      </c>
      <c r="F51" s="123" t="s">
        <v>269</v>
      </c>
      <c r="G51" s="123" t="s">
        <v>269</v>
      </c>
      <c r="H51" s="257">
        <v>72.75</v>
      </c>
      <c r="I51" s="257">
        <f t="shared" si="143"/>
        <v>9.09375</v>
      </c>
      <c r="J51" s="257">
        <f t="shared" si="0"/>
        <v>72.75</v>
      </c>
      <c r="K51" s="257"/>
      <c r="L51" s="257">
        <f t="shared" si="6"/>
        <v>2.8795915136162127</v>
      </c>
      <c r="M51" s="257">
        <f t="shared" si="144"/>
        <v>23.036732108929701</v>
      </c>
      <c r="N51" s="257">
        <f t="shared" si="124"/>
        <v>3.1387547498416719</v>
      </c>
      <c r="O51" s="257">
        <f t="shared" si="145"/>
        <v>25.110037998733375</v>
      </c>
      <c r="P51" s="257">
        <v>4.5</v>
      </c>
      <c r="Q51" s="257">
        <f t="shared" si="1"/>
        <v>36</v>
      </c>
      <c r="R51" s="257">
        <f t="shared" si="2"/>
        <v>1.3612452501583281</v>
      </c>
      <c r="S51" s="257">
        <f t="shared" si="3"/>
        <v>10.889962001266625</v>
      </c>
      <c r="T51" s="246">
        <f t="shared" si="4"/>
        <v>0.30249894447962844</v>
      </c>
      <c r="U51" s="138"/>
      <c r="V51" s="268">
        <f t="shared" si="12"/>
        <v>4.5</v>
      </c>
      <c r="W51" s="269">
        <v>0.18</v>
      </c>
      <c r="X51" s="270">
        <f t="shared" si="13"/>
        <v>5.48780487804878</v>
      </c>
      <c r="Y51" s="271">
        <f t="shared" si="14"/>
        <v>0.98780487804878037</v>
      </c>
      <c r="Z51" s="267">
        <f t="shared" si="15"/>
        <v>8.8902439024390226E-2</v>
      </c>
      <c r="AA51" s="271">
        <f t="shared" si="16"/>
        <v>1.0767073170731707</v>
      </c>
      <c r="AB51" s="271">
        <f t="shared" si="17"/>
        <v>4.4110975609756089</v>
      </c>
      <c r="AC51" s="284">
        <f t="shared" si="18"/>
        <v>0.28844132181300725</v>
      </c>
      <c r="AD51" s="285">
        <f t="shared" si="19"/>
        <v>-1.4057622666621195E-2</v>
      </c>
      <c r="AE51" s="221">
        <v>0.7</v>
      </c>
    </row>
    <row r="52" spans="1:31" ht="40" customHeight="1" x14ac:dyDescent="0.2">
      <c r="A52" s="123">
        <v>47</v>
      </c>
      <c r="B52" s="274" t="s">
        <v>39</v>
      </c>
      <c r="C52" s="123">
        <v>1</v>
      </c>
      <c r="D52" s="123">
        <v>8</v>
      </c>
      <c r="E52" s="123">
        <f t="shared" si="142"/>
        <v>8</v>
      </c>
      <c r="F52" s="123" t="s">
        <v>269</v>
      </c>
      <c r="G52" s="123" t="s">
        <v>269</v>
      </c>
      <c r="H52" s="257">
        <v>72.75</v>
      </c>
      <c r="I52" s="257">
        <f t="shared" si="143"/>
        <v>9.09375</v>
      </c>
      <c r="J52" s="257">
        <f t="shared" si="0"/>
        <v>72.75</v>
      </c>
      <c r="K52" s="257"/>
      <c r="L52" s="257">
        <f t="shared" si="6"/>
        <v>2.8795915136162127</v>
      </c>
      <c r="M52" s="257">
        <f t="shared" si="144"/>
        <v>23.036732108929701</v>
      </c>
      <c r="N52" s="257">
        <f t="shared" si="124"/>
        <v>3.1387547498416719</v>
      </c>
      <c r="O52" s="257">
        <f t="shared" si="145"/>
        <v>25.110037998733375</v>
      </c>
      <c r="P52" s="257">
        <v>4.5</v>
      </c>
      <c r="Q52" s="257">
        <f t="shared" si="1"/>
        <v>36</v>
      </c>
      <c r="R52" s="257">
        <f t="shared" si="2"/>
        <v>1.3612452501583281</v>
      </c>
      <c r="S52" s="257">
        <f t="shared" si="3"/>
        <v>10.889962001266625</v>
      </c>
      <c r="T52" s="246">
        <f t="shared" si="4"/>
        <v>0.30249894447962844</v>
      </c>
      <c r="U52" s="138"/>
      <c r="V52" s="268">
        <f t="shared" si="12"/>
        <v>4.5</v>
      </c>
      <c r="W52" s="269">
        <v>0.18</v>
      </c>
      <c r="X52" s="270">
        <f t="shared" si="13"/>
        <v>5.48780487804878</v>
      </c>
      <c r="Y52" s="271">
        <f t="shared" si="14"/>
        <v>0.98780487804878037</v>
      </c>
      <c r="Z52" s="267">
        <f t="shared" si="15"/>
        <v>8.8902439024390226E-2</v>
      </c>
      <c r="AA52" s="271">
        <f t="shared" si="16"/>
        <v>1.0767073170731707</v>
      </c>
      <c r="AB52" s="271">
        <f t="shared" si="17"/>
        <v>4.4110975609756089</v>
      </c>
      <c r="AC52" s="284">
        <f t="shared" si="18"/>
        <v>0.28844132181300725</v>
      </c>
      <c r="AD52" s="285">
        <f t="shared" si="19"/>
        <v>-1.4057622666621195E-2</v>
      </c>
      <c r="AE52" s="221">
        <v>0.7</v>
      </c>
    </row>
    <row r="53" spans="1:31" ht="40" customHeight="1" x14ac:dyDescent="0.2">
      <c r="A53" s="123">
        <v>48</v>
      </c>
      <c r="B53" s="274" t="s">
        <v>40</v>
      </c>
      <c r="C53" s="123">
        <v>1</v>
      </c>
      <c r="D53" s="123">
        <v>8</v>
      </c>
      <c r="E53" s="123">
        <f t="shared" si="142"/>
        <v>8</v>
      </c>
      <c r="F53" s="123" t="s">
        <v>269</v>
      </c>
      <c r="G53" s="123" t="s">
        <v>269</v>
      </c>
      <c r="H53" s="257">
        <v>72.75</v>
      </c>
      <c r="I53" s="257">
        <f t="shared" si="143"/>
        <v>9.09375</v>
      </c>
      <c r="J53" s="257">
        <f t="shared" si="0"/>
        <v>72.75</v>
      </c>
      <c r="K53" s="257"/>
      <c r="L53" s="257">
        <f t="shared" si="6"/>
        <v>2.8795915136162127</v>
      </c>
      <c r="M53" s="257">
        <f t="shared" si="144"/>
        <v>23.036732108929701</v>
      </c>
      <c r="N53" s="257">
        <f t="shared" si="124"/>
        <v>3.1387547498416719</v>
      </c>
      <c r="O53" s="257">
        <f t="shared" si="145"/>
        <v>25.110037998733375</v>
      </c>
      <c r="P53" s="257">
        <v>4.5</v>
      </c>
      <c r="Q53" s="257">
        <f t="shared" si="1"/>
        <v>36</v>
      </c>
      <c r="R53" s="257">
        <f t="shared" si="2"/>
        <v>1.3612452501583281</v>
      </c>
      <c r="S53" s="257">
        <f t="shared" si="3"/>
        <v>10.889962001266625</v>
      </c>
      <c r="T53" s="246">
        <f t="shared" si="4"/>
        <v>0.30249894447962844</v>
      </c>
      <c r="U53" s="135"/>
      <c r="V53" s="268">
        <f t="shared" si="12"/>
        <v>4.5</v>
      </c>
      <c r="W53" s="269">
        <v>0.18</v>
      </c>
      <c r="X53" s="270">
        <f t="shared" si="13"/>
        <v>5.48780487804878</v>
      </c>
      <c r="Y53" s="271">
        <f t="shared" si="14"/>
        <v>0.98780487804878037</v>
      </c>
      <c r="Z53" s="267">
        <f t="shared" si="15"/>
        <v>8.8902439024390226E-2</v>
      </c>
      <c r="AA53" s="271">
        <f t="shared" si="16"/>
        <v>1.0767073170731707</v>
      </c>
      <c r="AB53" s="271">
        <f t="shared" si="17"/>
        <v>4.4110975609756089</v>
      </c>
      <c r="AC53" s="284">
        <f t="shared" si="18"/>
        <v>0.28844132181300725</v>
      </c>
      <c r="AD53" s="285">
        <f t="shared" si="19"/>
        <v>-1.4057622666621195E-2</v>
      </c>
      <c r="AE53" s="221">
        <v>0.7</v>
      </c>
    </row>
    <row r="54" spans="1:31" ht="40" customHeight="1" x14ac:dyDescent="0.2">
      <c r="A54" s="123">
        <v>49</v>
      </c>
      <c r="B54" s="274" t="s">
        <v>43</v>
      </c>
      <c r="C54" s="123">
        <v>1</v>
      </c>
      <c r="D54" s="123" t="s">
        <v>44</v>
      </c>
      <c r="E54" s="123">
        <f t="shared" si="142"/>
        <v>144</v>
      </c>
      <c r="F54" s="123" t="s">
        <v>269</v>
      </c>
      <c r="G54" s="123" t="s">
        <v>269</v>
      </c>
      <c r="H54" s="257">
        <v>262.2</v>
      </c>
      <c r="I54" s="257">
        <f t="shared" si="143"/>
        <v>1.8208333333333333</v>
      </c>
      <c r="J54" s="257">
        <f t="shared" si="0"/>
        <v>262.2</v>
      </c>
      <c r="K54" s="257"/>
      <c r="L54" s="257">
        <f t="shared" si="6"/>
        <v>0.57657800295545703</v>
      </c>
      <c r="M54" s="257">
        <f t="shared" si="144"/>
        <v>83.027232425585808</v>
      </c>
      <c r="N54" s="257">
        <f t="shared" si="124"/>
        <v>0.62847002322144818</v>
      </c>
      <c r="O54" s="257">
        <f t="shared" si="145"/>
        <v>90.499683343888535</v>
      </c>
      <c r="P54" s="257"/>
      <c r="Q54" s="257">
        <f t="shared" si="1"/>
        <v>0</v>
      </c>
      <c r="R54" s="257">
        <f t="shared" si="2"/>
        <v>-0.62847002322144818</v>
      </c>
      <c r="S54" s="257">
        <f t="shared" si="3"/>
        <v>-90.499683343888535</v>
      </c>
      <c r="T54" s="246" t="e">
        <f t="shared" si="4"/>
        <v>#DIV/0!</v>
      </c>
      <c r="U54" s="138"/>
      <c r="V54" s="268">
        <f t="shared" si="12"/>
        <v>0</v>
      </c>
      <c r="W54" s="269">
        <v>0.18</v>
      </c>
      <c r="X54" s="270">
        <f t="shared" si="13"/>
        <v>0</v>
      </c>
      <c r="Y54" s="271">
        <f t="shared" si="14"/>
        <v>0</v>
      </c>
      <c r="Z54" s="267">
        <f t="shared" si="15"/>
        <v>0</v>
      </c>
      <c r="AA54" s="271">
        <f t="shared" si="16"/>
        <v>0</v>
      </c>
      <c r="AB54" s="271">
        <f t="shared" si="17"/>
        <v>0</v>
      </c>
      <c r="AC54" s="284" t="e">
        <f t="shared" si="18"/>
        <v>#DIV/0!</v>
      </c>
      <c r="AD54" s="285" t="e">
        <f t="shared" si="19"/>
        <v>#DIV/0!</v>
      </c>
      <c r="AE54" s="221" t="s">
        <v>269</v>
      </c>
    </row>
    <row r="55" spans="1:31" ht="40" customHeight="1" x14ac:dyDescent="0.2">
      <c r="A55" s="257">
        <f>-J55</f>
        <v>-136.80000000000001</v>
      </c>
      <c r="B55" s="274" t="s">
        <v>45</v>
      </c>
      <c r="C55" s="123">
        <v>1</v>
      </c>
      <c r="D55" s="123" t="s">
        <v>26</v>
      </c>
      <c r="E55" s="123">
        <f t="shared" si="142"/>
        <v>60</v>
      </c>
      <c r="F55" s="123" t="s">
        <v>269</v>
      </c>
      <c r="G55" s="123" t="s">
        <v>269</v>
      </c>
      <c r="H55" s="257">
        <v>136.80000000000001</v>
      </c>
      <c r="I55" s="257">
        <f t="shared" si="143"/>
        <v>2.2800000000000002</v>
      </c>
      <c r="J55" s="257">
        <f t="shared" si="0"/>
        <v>136.80000000000001</v>
      </c>
      <c r="K55" s="257"/>
      <c r="L55" s="257">
        <f t="shared" si="6"/>
        <v>0.72197593413552896</v>
      </c>
      <c r="M55" s="257">
        <f t="shared" si="144"/>
        <v>43.318556048131732</v>
      </c>
      <c r="N55" s="257">
        <f t="shared" si="124"/>
        <v>0.78695376820772667</v>
      </c>
      <c r="O55" s="257">
        <f t="shared" si="145"/>
        <v>47.217226092463598</v>
      </c>
      <c r="P55" s="257">
        <v>1.25</v>
      </c>
      <c r="Q55" s="257">
        <f t="shared" si="1"/>
        <v>75</v>
      </c>
      <c r="R55" s="257">
        <f t="shared" si="2"/>
        <v>0.46304623179227333</v>
      </c>
      <c r="S55" s="257">
        <f t="shared" si="3"/>
        <v>27.782773907536402</v>
      </c>
      <c r="T55" s="246">
        <f t="shared" si="4"/>
        <v>0.37043698543381864</v>
      </c>
      <c r="U55" s="138"/>
      <c r="V55" s="268">
        <f t="shared" si="12"/>
        <v>1.25</v>
      </c>
      <c r="W55" s="269">
        <v>0.18</v>
      </c>
      <c r="X55" s="270">
        <f t="shared" si="13"/>
        <v>1.5243902439024388</v>
      </c>
      <c r="Y55" s="271">
        <f t="shared" si="14"/>
        <v>0.27439024390243899</v>
      </c>
      <c r="Z55" s="267">
        <f t="shared" si="15"/>
        <v>2.469512195121951E-2</v>
      </c>
      <c r="AA55" s="271">
        <f t="shared" si="16"/>
        <v>0.29908536585365852</v>
      </c>
      <c r="AB55" s="271">
        <f t="shared" si="17"/>
        <v>1.2253048780487803</v>
      </c>
      <c r="AC55" s="284">
        <f t="shared" si="18"/>
        <v>0.35774860419971538</v>
      </c>
      <c r="AD55" s="285">
        <f t="shared" si="19"/>
        <v>-1.2688381234103263E-2</v>
      </c>
      <c r="AE55" s="221" t="s">
        <v>269</v>
      </c>
    </row>
    <row r="56" spans="1:31" ht="40" customHeight="1" x14ac:dyDescent="0.2">
      <c r="A56" s="123">
        <v>51</v>
      </c>
      <c r="B56" s="274" t="s">
        <v>46</v>
      </c>
      <c r="C56" s="123">
        <v>1</v>
      </c>
      <c r="D56" s="123" t="s">
        <v>47</v>
      </c>
      <c r="E56" s="123">
        <f t="shared" si="142"/>
        <v>14</v>
      </c>
      <c r="F56" s="123" t="s">
        <v>269</v>
      </c>
      <c r="G56" s="123" t="s">
        <v>269</v>
      </c>
      <c r="H56" s="257">
        <v>43.4</v>
      </c>
      <c r="I56" s="257">
        <f t="shared" si="143"/>
        <v>3.1</v>
      </c>
      <c r="J56" s="257">
        <f t="shared" si="0"/>
        <v>43.4</v>
      </c>
      <c r="K56" s="257"/>
      <c r="L56" s="257">
        <f t="shared" si="6"/>
        <v>0.98163394553514893</v>
      </c>
      <c r="M56" s="257">
        <f t="shared" si="144"/>
        <v>13.742875237492083</v>
      </c>
      <c r="N56" s="257">
        <f t="shared" si="124"/>
        <v>1.0699810006333124</v>
      </c>
      <c r="O56" s="257">
        <f t="shared" si="145"/>
        <v>14.979734008866373</v>
      </c>
      <c r="P56" s="257">
        <v>1.8</v>
      </c>
      <c r="Q56" s="257">
        <f t="shared" si="1"/>
        <v>25.2</v>
      </c>
      <c r="R56" s="257">
        <f t="shared" si="2"/>
        <v>0.73001899936668768</v>
      </c>
      <c r="S56" s="257">
        <f t="shared" si="3"/>
        <v>10.220265991133626</v>
      </c>
      <c r="T56" s="246">
        <f t="shared" si="4"/>
        <v>0.4055661107592709</v>
      </c>
      <c r="U56" s="138"/>
      <c r="V56" s="268">
        <f t="shared" si="12"/>
        <v>1.8</v>
      </c>
      <c r="W56" s="269">
        <v>0.18</v>
      </c>
      <c r="X56" s="270">
        <f t="shared" si="13"/>
        <v>2.1951219512195119</v>
      </c>
      <c r="Y56" s="271">
        <f t="shared" si="14"/>
        <v>0.39512195121951216</v>
      </c>
      <c r="Z56" s="267">
        <f t="shared" si="15"/>
        <v>3.5560975609756094E-2</v>
      </c>
      <c r="AA56" s="271">
        <f t="shared" si="16"/>
        <v>0.43068292682926823</v>
      </c>
      <c r="AB56" s="271">
        <f t="shared" si="17"/>
        <v>1.7644390243902437</v>
      </c>
      <c r="AC56" s="284">
        <f t="shared" si="18"/>
        <v>0.39358573130455599</v>
      </c>
      <c r="AD56" s="285">
        <f t="shared" si="19"/>
        <v>-1.1980379454714918E-2</v>
      </c>
      <c r="AE56" s="221" t="s">
        <v>269</v>
      </c>
    </row>
    <row r="57" spans="1:31" ht="40" customHeight="1" x14ac:dyDescent="0.2">
      <c r="A57" s="123">
        <v>52</v>
      </c>
      <c r="B57" s="274" t="s">
        <v>48</v>
      </c>
      <c r="C57" s="123">
        <v>1</v>
      </c>
      <c r="D57" s="123" t="s">
        <v>47</v>
      </c>
      <c r="E57" s="123">
        <f t="shared" si="142"/>
        <v>14</v>
      </c>
      <c r="F57" s="123" t="s">
        <v>269</v>
      </c>
      <c r="G57" s="123" t="s">
        <v>269</v>
      </c>
      <c r="H57" s="257">
        <v>43.4</v>
      </c>
      <c r="I57" s="257">
        <f t="shared" si="143"/>
        <v>3.1</v>
      </c>
      <c r="J57" s="257">
        <f t="shared" si="0"/>
        <v>43.4</v>
      </c>
      <c r="K57" s="257"/>
      <c r="L57" s="257">
        <f t="shared" si="6"/>
        <v>0.98163394553514893</v>
      </c>
      <c r="M57" s="257">
        <f t="shared" si="144"/>
        <v>13.742875237492083</v>
      </c>
      <c r="N57" s="257">
        <f t="shared" si="124"/>
        <v>1.0699810006333124</v>
      </c>
      <c r="O57" s="257">
        <f t="shared" si="145"/>
        <v>14.979734008866373</v>
      </c>
      <c r="P57" s="257">
        <v>1.8</v>
      </c>
      <c r="Q57" s="257">
        <f t="shared" si="1"/>
        <v>25.2</v>
      </c>
      <c r="R57" s="257">
        <f t="shared" si="2"/>
        <v>0.73001899936668768</v>
      </c>
      <c r="S57" s="257">
        <f t="shared" si="3"/>
        <v>10.220265991133626</v>
      </c>
      <c r="T57" s="246">
        <f t="shared" si="4"/>
        <v>0.4055661107592709</v>
      </c>
      <c r="U57" s="138"/>
      <c r="V57" s="268">
        <f t="shared" si="12"/>
        <v>1.8</v>
      </c>
      <c r="W57" s="269">
        <v>0.18</v>
      </c>
      <c r="X57" s="270">
        <f t="shared" si="13"/>
        <v>2.1951219512195119</v>
      </c>
      <c r="Y57" s="271">
        <f t="shared" si="14"/>
        <v>0.39512195121951216</v>
      </c>
      <c r="Z57" s="267">
        <f t="shared" si="15"/>
        <v>3.5560975609756094E-2</v>
      </c>
      <c r="AA57" s="271">
        <f t="shared" si="16"/>
        <v>0.43068292682926823</v>
      </c>
      <c r="AB57" s="271">
        <f t="shared" si="17"/>
        <v>1.7644390243902437</v>
      </c>
      <c r="AC57" s="284">
        <f t="shared" si="18"/>
        <v>0.39358573130455599</v>
      </c>
      <c r="AD57" s="285">
        <f t="shared" si="19"/>
        <v>-1.1980379454714918E-2</v>
      </c>
      <c r="AE57" s="221" t="s">
        <v>269</v>
      </c>
    </row>
    <row r="58" spans="1:31" ht="40" customHeight="1" x14ac:dyDescent="0.2">
      <c r="A58" s="123">
        <v>53</v>
      </c>
      <c r="B58" s="274" t="s">
        <v>196</v>
      </c>
      <c r="C58" s="123">
        <v>1</v>
      </c>
      <c r="D58" s="123" t="s">
        <v>47</v>
      </c>
      <c r="E58" s="123">
        <f t="shared" ref="E58:E61" si="149">D58*C58</f>
        <v>14</v>
      </c>
      <c r="F58" s="123" t="s">
        <v>269</v>
      </c>
      <c r="G58" s="123" t="s">
        <v>269</v>
      </c>
      <c r="H58" s="257">
        <v>43.4</v>
      </c>
      <c r="I58" s="257">
        <f t="shared" ref="I58:I61" si="150">H58/D58</f>
        <v>3.1</v>
      </c>
      <c r="J58" s="257">
        <f t="shared" ref="J58:J61" si="151">I58*E58</f>
        <v>43.4</v>
      </c>
      <c r="K58" s="257"/>
      <c r="L58" s="257">
        <f t="shared" ref="L58:L61" si="152">I58/$S$2</f>
        <v>0.98163394553514893</v>
      </c>
      <c r="M58" s="257">
        <f t="shared" ref="M58:M61" si="153">H58/$S$2</f>
        <v>13.742875237492083</v>
      </c>
      <c r="N58" s="257">
        <f t="shared" si="124"/>
        <v>1.0699810006333124</v>
      </c>
      <c r="O58" s="257">
        <f t="shared" ref="O58:O61" si="154">N58*E58</f>
        <v>14.979734008866373</v>
      </c>
      <c r="P58" s="257">
        <v>1.8</v>
      </c>
      <c r="Q58" s="257">
        <f t="shared" ref="Q58:Q61" si="155">P58*E58</f>
        <v>25.2</v>
      </c>
      <c r="R58" s="257">
        <f t="shared" ref="R58:R61" si="156">P58-N58</f>
        <v>0.73001899936668768</v>
      </c>
      <c r="S58" s="257">
        <f t="shared" ref="S58:S61" si="157">Q58-O58</f>
        <v>10.220265991133626</v>
      </c>
      <c r="T58" s="246">
        <f t="shared" ref="T58:T61" si="158">R58/P58</f>
        <v>0.4055661107592709</v>
      </c>
      <c r="U58" s="138"/>
      <c r="V58" s="268">
        <f t="shared" si="12"/>
        <v>1.8</v>
      </c>
      <c r="W58" s="269">
        <v>0.18</v>
      </c>
      <c r="X58" s="270">
        <f t="shared" si="13"/>
        <v>2.1951219512195119</v>
      </c>
      <c r="Y58" s="271">
        <f t="shared" si="14"/>
        <v>0.39512195121951216</v>
      </c>
      <c r="Z58" s="267">
        <f t="shared" si="15"/>
        <v>3.5560975609756094E-2</v>
      </c>
      <c r="AA58" s="271">
        <f t="shared" si="16"/>
        <v>0.43068292682926823</v>
      </c>
      <c r="AB58" s="271">
        <f t="shared" si="17"/>
        <v>1.7644390243902437</v>
      </c>
      <c r="AC58" s="284">
        <f t="shared" si="18"/>
        <v>0.39358573130455599</v>
      </c>
      <c r="AD58" s="285">
        <f t="shared" si="19"/>
        <v>-1.1980379454714918E-2</v>
      </c>
      <c r="AE58" s="221" t="s">
        <v>269</v>
      </c>
    </row>
    <row r="59" spans="1:31" ht="40" customHeight="1" x14ac:dyDescent="0.2">
      <c r="A59" s="123">
        <v>54</v>
      </c>
      <c r="B59" s="274" t="s">
        <v>197</v>
      </c>
      <c r="C59" s="123">
        <v>1</v>
      </c>
      <c r="D59" s="123" t="s">
        <v>47</v>
      </c>
      <c r="E59" s="123">
        <f t="shared" si="149"/>
        <v>14</v>
      </c>
      <c r="F59" s="123" t="s">
        <v>269</v>
      </c>
      <c r="G59" s="123" t="s">
        <v>269</v>
      </c>
      <c r="H59" s="257">
        <v>43.4</v>
      </c>
      <c r="I59" s="257">
        <f t="shared" si="150"/>
        <v>3.1</v>
      </c>
      <c r="J59" s="257">
        <f t="shared" si="151"/>
        <v>43.4</v>
      </c>
      <c r="K59" s="257"/>
      <c r="L59" s="257">
        <f t="shared" si="152"/>
        <v>0.98163394553514893</v>
      </c>
      <c r="M59" s="257">
        <f t="shared" si="153"/>
        <v>13.742875237492083</v>
      </c>
      <c r="N59" s="257">
        <f t="shared" si="124"/>
        <v>1.0699810006333124</v>
      </c>
      <c r="O59" s="257">
        <f t="shared" si="154"/>
        <v>14.979734008866373</v>
      </c>
      <c r="P59" s="257">
        <v>1.8</v>
      </c>
      <c r="Q59" s="257">
        <f t="shared" si="155"/>
        <v>25.2</v>
      </c>
      <c r="R59" s="257">
        <f t="shared" si="156"/>
        <v>0.73001899936668768</v>
      </c>
      <c r="S59" s="257">
        <f t="shared" si="157"/>
        <v>10.220265991133626</v>
      </c>
      <c r="T59" s="246">
        <f t="shared" si="158"/>
        <v>0.4055661107592709</v>
      </c>
      <c r="U59" s="138"/>
      <c r="V59" s="268">
        <f t="shared" si="12"/>
        <v>1.8</v>
      </c>
      <c r="W59" s="269">
        <v>0.18</v>
      </c>
      <c r="X59" s="270">
        <f t="shared" si="13"/>
        <v>2.1951219512195119</v>
      </c>
      <c r="Y59" s="271">
        <f t="shared" si="14"/>
        <v>0.39512195121951216</v>
      </c>
      <c r="Z59" s="267">
        <f t="shared" si="15"/>
        <v>3.5560975609756094E-2</v>
      </c>
      <c r="AA59" s="271">
        <f t="shared" si="16"/>
        <v>0.43068292682926823</v>
      </c>
      <c r="AB59" s="271">
        <f t="shared" si="17"/>
        <v>1.7644390243902437</v>
      </c>
      <c r="AC59" s="284">
        <f t="shared" si="18"/>
        <v>0.39358573130455599</v>
      </c>
      <c r="AD59" s="285">
        <f t="shared" si="19"/>
        <v>-1.1980379454714918E-2</v>
      </c>
      <c r="AE59" s="221" t="s">
        <v>269</v>
      </c>
    </row>
    <row r="60" spans="1:31" ht="40" customHeight="1" x14ac:dyDescent="0.2">
      <c r="A60" s="123">
        <v>55</v>
      </c>
      <c r="B60" s="274" t="s">
        <v>198</v>
      </c>
      <c r="C60" s="123">
        <v>1</v>
      </c>
      <c r="D60" s="123" t="s">
        <v>47</v>
      </c>
      <c r="E60" s="123">
        <f t="shared" si="149"/>
        <v>14</v>
      </c>
      <c r="F60" s="123" t="s">
        <v>269</v>
      </c>
      <c r="G60" s="123" t="s">
        <v>269</v>
      </c>
      <c r="H60" s="257">
        <v>43.4</v>
      </c>
      <c r="I60" s="257">
        <f t="shared" si="150"/>
        <v>3.1</v>
      </c>
      <c r="J60" s="257">
        <f t="shared" si="151"/>
        <v>43.4</v>
      </c>
      <c r="K60" s="257"/>
      <c r="L60" s="257">
        <f t="shared" si="152"/>
        <v>0.98163394553514893</v>
      </c>
      <c r="M60" s="257">
        <f t="shared" si="153"/>
        <v>13.742875237492083</v>
      </c>
      <c r="N60" s="257">
        <f t="shared" si="124"/>
        <v>1.0699810006333124</v>
      </c>
      <c r="O60" s="257">
        <f t="shared" si="154"/>
        <v>14.979734008866373</v>
      </c>
      <c r="P60" s="257">
        <v>1.8</v>
      </c>
      <c r="Q60" s="257">
        <f t="shared" si="155"/>
        <v>25.2</v>
      </c>
      <c r="R60" s="257">
        <f t="shared" si="156"/>
        <v>0.73001899936668768</v>
      </c>
      <c r="S60" s="257">
        <f t="shared" si="157"/>
        <v>10.220265991133626</v>
      </c>
      <c r="T60" s="246">
        <f t="shared" si="158"/>
        <v>0.4055661107592709</v>
      </c>
      <c r="U60" s="138"/>
      <c r="V60" s="268">
        <f t="shared" si="12"/>
        <v>1.8</v>
      </c>
      <c r="W60" s="269">
        <v>0.18</v>
      </c>
      <c r="X60" s="270">
        <f t="shared" si="13"/>
        <v>2.1951219512195119</v>
      </c>
      <c r="Y60" s="271">
        <f t="shared" si="14"/>
        <v>0.39512195121951216</v>
      </c>
      <c r="Z60" s="267">
        <f t="shared" si="15"/>
        <v>3.5560975609756094E-2</v>
      </c>
      <c r="AA60" s="271">
        <f t="shared" si="16"/>
        <v>0.43068292682926823</v>
      </c>
      <c r="AB60" s="271">
        <f t="shared" si="17"/>
        <v>1.7644390243902437</v>
      </c>
      <c r="AC60" s="284">
        <f t="shared" si="18"/>
        <v>0.39358573130455599</v>
      </c>
      <c r="AD60" s="285">
        <f t="shared" si="19"/>
        <v>-1.1980379454714918E-2</v>
      </c>
      <c r="AE60" s="221" t="s">
        <v>269</v>
      </c>
    </row>
    <row r="61" spans="1:31" ht="40" customHeight="1" x14ac:dyDescent="0.2">
      <c r="A61" s="123">
        <v>56</v>
      </c>
      <c r="B61" s="274" t="s">
        <v>199</v>
      </c>
      <c r="C61" s="123">
        <v>1</v>
      </c>
      <c r="D61" s="123" t="s">
        <v>47</v>
      </c>
      <c r="E61" s="123">
        <f t="shared" si="149"/>
        <v>14</v>
      </c>
      <c r="F61" s="123" t="s">
        <v>269</v>
      </c>
      <c r="G61" s="123" t="s">
        <v>269</v>
      </c>
      <c r="H61" s="257">
        <v>43.4</v>
      </c>
      <c r="I61" s="257">
        <f t="shared" si="150"/>
        <v>3.1</v>
      </c>
      <c r="J61" s="257">
        <f t="shared" si="151"/>
        <v>43.4</v>
      </c>
      <c r="K61" s="257"/>
      <c r="L61" s="257">
        <f t="shared" si="152"/>
        <v>0.98163394553514893</v>
      </c>
      <c r="M61" s="257">
        <f t="shared" si="153"/>
        <v>13.742875237492083</v>
      </c>
      <c r="N61" s="257">
        <f t="shared" si="124"/>
        <v>1.0699810006333124</v>
      </c>
      <c r="O61" s="257">
        <f t="shared" si="154"/>
        <v>14.979734008866373</v>
      </c>
      <c r="P61" s="257">
        <v>1.8</v>
      </c>
      <c r="Q61" s="257">
        <f t="shared" si="155"/>
        <v>25.2</v>
      </c>
      <c r="R61" s="257">
        <f t="shared" si="156"/>
        <v>0.73001899936668768</v>
      </c>
      <c r="S61" s="257">
        <f t="shared" si="157"/>
        <v>10.220265991133626</v>
      </c>
      <c r="T61" s="246">
        <f t="shared" si="158"/>
        <v>0.4055661107592709</v>
      </c>
      <c r="U61" s="138"/>
      <c r="V61" s="268">
        <f t="shared" si="12"/>
        <v>1.8</v>
      </c>
      <c r="W61" s="269">
        <v>0.18</v>
      </c>
      <c r="X61" s="270">
        <f t="shared" si="13"/>
        <v>2.1951219512195119</v>
      </c>
      <c r="Y61" s="271">
        <f t="shared" si="14"/>
        <v>0.39512195121951216</v>
      </c>
      <c r="Z61" s="267">
        <f t="shared" si="15"/>
        <v>3.5560975609756094E-2</v>
      </c>
      <c r="AA61" s="271">
        <f t="shared" si="16"/>
        <v>0.43068292682926823</v>
      </c>
      <c r="AB61" s="271">
        <f t="shared" si="17"/>
        <v>1.7644390243902437</v>
      </c>
      <c r="AC61" s="284">
        <f t="shared" si="18"/>
        <v>0.39358573130455599</v>
      </c>
      <c r="AD61" s="285">
        <f t="shared" si="19"/>
        <v>-1.1980379454714918E-2</v>
      </c>
      <c r="AE61" s="221" t="s">
        <v>269</v>
      </c>
    </row>
    <row r="62" spans="1:31" ht="40" customHeight="1" x14ac:dyDescent="0.2">
      <c r="A62" s="123">
        <v>57</v>
      </c>
      <c r="B62" s="274" t="s">
        <v>49</v>
      </c>
      <c r="C62" s="123">
        <v>1</v>
      </c>
      <c r="D62" s="123" t="s">
        <v>47</v>
      </c>
      <c r="E62" s="123">
        <f t="shared" si="142"/>
        <v>14</v>
      </c>
      <c r="F62" s="123" t="s">
        <v>269</v>
      </c>
      <c r="G62" s="123" t="s">
        <v>269</v>
      </c>
      <c r="H62" s="257">
        <v>43.4</v>
      </c>
      <c r="I62" s="257">
        <f t="shared" si="143"/>
        <v>3.1</v>
      </c>
      <c r="J62" s="257">
        <f t="shared" si="0"/>
        <v>43.4</v>
      </c>
      <c r="K62" s="257"/>
      <c r="L62" s="257">
        <f t="shared" si="6"/>
        <v>0.98163394553514893</v>
      </c>
      <c r="M62" s="257">
        <f t="shared" si="144"/>
        <v>13.742875237492083</v>
      </c>
      <c r="N62" s="257">
        <f t="shared" si="124"/>
        <v>1.0699810006333124</v>
      </c>
      <c r="O62" s="257">
        <f t="shared" si="145"/>
        <v>14.979734008866373</v>
      </c>
      <c r="P62" s="257">
        <v>1.8</v>
      </c>
      <c r="Q62" s="257">
        <f t="shared" si="1"/>
        <v>25.2</v>
      </c>
      <c r="R62" s="257">
        <f t="shared" si="2"/>
        <v>0.73001899936668768</v>
      </c>
      <c r="S62" s="257">
        <f t="shared" si="3"/>
        <v>10.220265991133626</v>
      </c>
      <c r="T62" s="246">
        <f t="shared" si="4"/>
        <v>0.4055661107592709</v>
      </c>
      <c r="U62" s="135"/>
      <c r="V62" s="268">
        <f t="shared" si="12"/>
        <v>1.8</v>
      </c>
      <c r="W62" s="269">
        <v>0.18</v>
      </c>
      <c r="X62" s="270">
        <f t="shared" si="13"/>
        <v>2.1951219512195119</v>
      </c>
      <c r="Y62" s="271">
        <f t="shared" si="14"/>
        <v>0.39512195121951216</v>
      </c>
      <c r="Z62" s="267">
        <f t="shared" si="15"/>
        <v>3.5560975609756094E-2</v>
      </c>
      <c r="AA62" s="271">
        <f t="shared" si="16"/>
        <v>0.43068292682926823</v>
      </c>
      <c r="AB62" s="271">
        <f t="shared" si="17"/>
        <v>1.7644390243902437</v>
      </c>
      <c r="AC62" s="284">
        <f t="shared" si="18"/>
        <v>0.39358573130455599</v>
      </c>
      <c r="AD62" s="285">
        <f t="shared" si="19"/>
        <v>-1.1980379454714918E-2</v>
      </c>
      <c r="AE62" s="221" t="s">
        <v>269</v>
      </c>
    </row>
    <row r="63" spans="1:31" ht="40" customHeight="1" x14ac:dyDescent="0.2">
      <c r="A63" s="123">
        <v>58</v>
      </c>
      <c r="B63" s="274" t="s">
        <v>50</v>
      </c>
      <c r="C63" s="123">
        <v>1</v>
      </c>
      <c r="D63" s="123" t="s">
        <v>44</v>
      </c>
      <c r="E63" s="123">
        <f t="shared" si="142"/>
        <v>144</v>
      </c>
      <c r="F63" s="123" t="s">
        <v>269</v>
      </c>
      <c r="G63" s="123" t="s">
        <v>269</v>
      </c>
      <c r="H63" s="257">
        <v>92.4</v>
      </c>
      <c r="I63" s="257">
        <f t="shared" si="143"/>
        <v>0.64166666666666672</v>
      </c>
      <c r="J63" s="257">
        <f t="shared" si="0"/>
        <v>92.4</v>
      </c>
      <c r="K63" s="257"/>
      <c r="L63" s="257">
        <f t="shared" si="6"/>
        <v>0.20318767152206041</v>
      </c>
      <c r="M63" s="257">
        <f t="shared" si="144"/>
        <v>29.259024699176695</v>
      </c>
      <c r="N63" s="257">
        <f t="shared" si="124"/>
        <v>0.22147456195904586</v>
      </c>
      <c r="O63" s="257">
        <f t="shared" si="145"/>
        <v>31.892336922102604</v>
      </c>
      <c r="P63" s="257">
        <v>0.5</v>
      </c>
      <c r="Q63" s="257">
        <f t="shared" si="1"/>
        <v>72</v>
      </c>
      <c r="R63" s="257">
        <f t="shared" si="2"/>
        <v>0.27852543804095414</v>
      </c>
      <c r="S63" s="257">
        <f t="shared" si="3"/>
        <v>40.107663077897399</v>
      </c>
      <c r="T63" s="246">
        <f t="shared" si="4"/>
        <v>0.55705087608190829</v>
      </c>
      <c r="U63" s="138"/>
      <c r="V63" s="268">
        <f t="shared" si="12"/>
        <v>0.5</v>
      </c>
      <c r="W63" s="269">
        <v>0.18</v>
      </c>
      <c r="X63" s="270">
        <f t="shared" si="13"/>
        <v>0.6097560975609756</v>
      </c>
      <c r="Y63" s="271">
        <f t="shared" si="14"/>
        <v>0.10975609756097561</v>
      </c>
      <c r="Z63" s="267">
        <f t="shared" si="15"/>
        <v>9.878048780487805E-3</v>
      </c>
      <c r="AA63" s="271">
        <f t="shared" si="16"/>
        <v>0.11963414634146341</v>
      </c>
      <c r="AB63" s="271">
        <f t="shared" si="17"/>
        <v>0.49012195121951219</v>
      </c>
      <c r="AC63" s="284">
        <f t="shared" si="18"/>
        <v>0.54812356106887883</v>
      </c>
      <c r="AD63" s="285">
        <f t="shared" si="19"/>
        <v>-8.9273150130294576E-3</v>
      </c>
      <c r="AE63" s="221" t="s">
        <v>269</v>
      </c>
    </row>
    <row r="64" spans="1:31" ht="40" customHeight="1" x14ac:dyDescent="0.2">
      <c r="A64" s="123">
        <v>59</v>
      </c>
      <c r="B64" s="274" t="s">
        <v>51</v>
      </c>
      <c r="C64" s="123">
        <v>1</v>
      </c>
      <c r="D64" s="123" t="s">
        <v>44</v>
      </c>
      <c r="E64" s="123">
        <f t="shared" si="142"/>
        <v>144</v>
      </c>
      <c r="F64" s="123">
        <v>186</v>
      </c>
      <c r="G64" s="257">
        <v>167.4</v>
      </c>
      <c r="H64" s="257">
        <v>167.4</v>
      </c>
      <c r="I64" s="257">
        <f t="shared" si="143"/>
        <v>1.1625000000000001</v>
      </c>
      <c r="J64" s="257">
        <f t="shared" si="0"/>
        <v>167.4</v>
      </c>
      <c r="K64" s="257"/>
      <c r="L64" s="257">
        <f t="shared" si="6"/>
        <v>0.36811272957568086</v>
      </c>
      <c r="M64" s="257">
        <f t="shared" si="144"/>
        <v>53.008233058898043</v>
      </c>
      <c r="N64" s="257">
        <f t="shared" si="124"/>
        <v>0.40124287523749219</v>
      </c>
      <c r="O64" s="257">
        <f t="shared" si="145"/>
        <v>57.778974034198875</v>
      </c>
      <c r="P64" s="257">
        <v>0.8</v>
      </c>
      <c r="Q64" s="257">
        <f t="shared" si="1"/>
        <v>115.2</v>
      </c>
      <c r="R64" s="257">
        <f t="shared" si="2"/>
        <v>0.39875712476250785</v>
      </c>
      <c r="S64" s="257">
        <f t="shared" si="3"/>
        <v>57.421025965801128</v>
      </c>
      <c r="T64" s="246">
        <f t="shared" si="4"/>
        <v>0.49844640595313477</v>
      </c>
      <c r="U64" s="138"/>
      <c r="V64" s="268">
        <f t="shared" si="12"/>
        <v>0.8</v>
      </c>
      <c r="W64" s="269">
        <v>0.18</v>
      </c>
      <c r="X64" s="270">
        <f t="shared" si="13"/>
        <v>0.97560975609756095</v>
      </c>
      <c r="Y64" s="271">
        <f t="shared" si="14"/>
        <v>0.17560975609756097</v>
      </c>
      <c r="Z64" s="267">
        <f t="shared" si="15"/>
        <v>1.5804878048780488E-2</v>
      </c>
      <c r="AA64" s="271">
        <f t="shared" si="16"/>
        <v>0.19141463414634147</v>
      </c>
      <c r="AB64" s="271">
        <f t="shared" si="17"/>
        <v>0.78419512195121954</v>
      </c>
      <c r="AC64" s="284">
        <f t="shared" si="18"/>
        <v>0.48833796078821912</v>
      </c>
      <c r="AD64" s="285">
        <f t="shared" si="19"/>
        <v>-1.0108445164915658E-2</v>
      </c>
      <c r="AE64" s="221">
        <v>1</v>
      </c>
    </row>
    <row r="65" spans="1:31" ht="40" customHeight="1" x14ac:dyDescent="0.2">
      <c r="A65" s="123">
        <v>60</v>
      </c>
      <c r="B65" s="274" t="s">
        <v>52</v>
      </c>
      <c r="C65" s="123">
        <v>1</v>
      </c>
      <c r="D65" s="123" t="s">
        <v>44</v>
      </c>
      <c r="E65" s="123">
        <f t="shared" si="142"/>
        <v>144</v>
      </c>
      <c r="F65" s="123">
        <v>186</v>
      </c>
      <c r="G65" s="257">
        <v>167.4</v>
      </c>
      <c r="H65" s="257">
        <v>167.4</v>
      </c>
      <c r="I65" s="257">
        <f t="shared" si="143"/>
        <v>1.1625000000000001</v>
      </c>
      <c r="J65" s="257">
        <f t="shared" si="0"/>
        <v>167.4</v>
      </c>
      <c r="K65" s="257"/>
      <c r="L65" s="257">
        <f t="shared" si="6"/>
        <v>0.36811272957568086</v>
      </c>
      <c r="M65" s="257">
        <f t="shared" si="144"/>
        <v>53.008233058898043</v>
      </c>
      <c r="N65" s="257">
        <f t="shared" si="124"/>
        <v>0.40124287523749219</v>
      </c>
      <c r="O65" s="257">
        <f t="shared" si="145"/>
        <v>57.778974034198875</v>
      </c>
      <c r="P65" s="257">
        <v>0.8</v>
      </c>
      <c r="Q65" s="257">
        <f t="shared" si="1"/>
        <v>115.2</v>
      </c>
      <c r="R65" s="257">
        <f t="shared" si="2"/>
        <v>0.39875712476250785</v>
      </c>
      <c r="S65" s="257">
        <f t="shared" si="3"/>
        <v>57.421025965801128</v>
      </c>
      <c r="T65" s="246">
        <f t="shared" si="4"/>
        <v>0.49844640595313477</v>
      </c>
      <c r="U65" s="138"/>
      <c r="V65" s="268">
        <f t="shared" si="12"/>
        <v>0.8</v>
      </c>
      <c r="W65" s="269">
        <v>0.18</v>
      </c>
      <c r="X65" s="270">
        <f t="shared" si="13"/>
        <v>0.97560975609756095</v>
      </c>
      <c r="Y65" s="271">
        <f t="shared" si="14"/>
        <v>0.17560975609756097</v>
      </c>
      <c r="Z65" s="267">
        <f t="shared" si="15"/>
        <v>1.5804878048780488E-2</v>
      </c>
      <c r="AA65" s="271">
        <f t="shared" si="16"/>
        <v>0.19141463414634147</v>
      </c>
      <c r="AB65" s="271">
        <f t="shared" si="17"/>
        <v>0.78419512195121954</v>
      </c>
      <c r="AC65" s="284">
        <f t="shared" si="18"/>
        <v>0.48833796078821912</v>
      </c>
      <c r="AD65" s="285">
        <f t="shared" si="19"/>
        <v>-1.0108445164915658E-2</v>
      </c>
      <c r="AE65" s="221">
        <v>1</v>
      </c>
    </row>
    <row r="66" spans="1:31" ht="40" customHeight="1" x14ac:dyDescent="0.2">
      <c r="A66" s="123">
        <v>61</v>
      </c>
      <c r="B66" s="274" t="s">
        <v>53</v>
      </c>
      <c r="C66" s="123">
        <v>1</v>
      </c>
      <c r="D66" s="123" t="s">
        <v>44</v>
      </c>
      <c r="E66" s="123">
        <f t="shared" si="142"/>
        <v>144</v>
      </c>
      <c r="F66" s="123">
        <v>186</v>
      </c>
      <c r="G66" s="257">
        <v>167.4</v>
      </c>
      <c r="H66" s="257">
        <v>167.4</v>
      </c>
      <c r="I66" s="257">
        <f t="shared" si="143"/>
        <v>1.1625000000000001</v>
      </c>
      <c r="J66" s="257">
        <f t="shared" si="0"/>
        <v>167.4</v>
      </c>
      <c r="K66" s="257"/>
      <c r="L66" s="257">
        <f t="shared" si="6"/>
        <v>0.36811272957568086</v>
      </c>
      <c r="M66" s="257">
        <f t="shared" si="144"/>
        <v>53.008233058898043</v>
      </c>
      <c r="N66" s="257">
        <f t="shared" si="124"/>
        <v>0.40124287523749219</v>
      </c>
      <c r="O66" s="257">
        <f t="shared" si="145"/>
        <v>57.778974034198875</v>
      </c>
      <c r="P66" s="257">
        <v>0.8</v>
      </c>
      <c r="Q66" s="257">
        <f t="shared" si="1"/>
        <v>115.2</v>
      </c>
      <c r="R66" s="257">
        <f t="shared" si="2"/>
        <v>0.39875712476250785</v>
      </c>
      <c r="S66" s="257">
        <f t="shared" si="3"/>
        <v>57.421025965801128</v>
      </c>
      <c r="T66" s="246">
        <f t="shared" si="4"/>
        <v>0.49844640595313477</v>
      </c>
      <c r="U66" s="138"/>
      <c r="V66" s="268">
        <f t="shared" si="12"/>
        <v>0.8</v>
      </c>
      <c r="W66" s="269">
        <v>0.18</v>
      </c>
      <c r="X66" s="270">
        <f t="shared" si="13"/>
        <v>0.97560975609756095</v>
      </c>
      <c r="Y66" s="271">
        <f t="shared" si="14"/>
        <v>0.17560975609756097</v>
      </c>
      <c r="Z66" s="267">
        <f t="shared" si="15"/>
        <v>1.5804878048780488E-2</v>
      </c>
      <c r="AA66" s="271">
        <f t="shared" si="16"/>
        <v>0.19141463414634147</v>
      </c>
      <c r="AB66" s="271">
        <f t="shared" si="17"/>
        <v>0.78419512195121954</v>
      </c>
      <c r="AC66" s="284">
        <f t="shared" si="18"/>
        <v>0.48833796078821912</v>
      </c>
      <c r="AD66" s="285">
        <f t="shared" si="19"/>
        <v>-1.0108445164915658E-2</v>
      </c>
      <c r="AE66" s="221">
        <v>1</v>
      </c>
    </row>
    <row r="67" spans="1:31" ht="40" customHeight="1" x14ac:dyDescent="0.2">
      <c r="A67" s="123">
        <v>62</v>
      </c>
      <c r="B67" s="274" t="s">
        <v>54</v>
      </c>
      <c r="C67" s="123">
        <v>1</v>
      </c>
      <c r="D67" s="123" t="s">
        <v>55</v>
      </c>
      <c r="E67" s="123">
        <f t="shared" si="142"/>
        <v>270</v>
      </c>
      <c r="F67" s="123" t="s">
        <v>269</v>
      </c>
      <c r="G67" s="123" t="s">
        <v>269</v>
      </c>
      <c r="H67" s="257">
        <v>374.4</v>
      </c>
      <c r="I67" s="257">
        <f t="shared" si="143"/>
        <v>1.3866666666666665</v>
      </c>
      <c r="J67" s="257">
        <f t="shared" si="0"/>
        <v>374.4</v>
      </c>
      <c r="K67" s="257"/>
      <c r="L67" s="257">
        <f t="shared" si="6"/>
        <v>0.43909647456195899</v>
      </c>
      <c r="M67" s="257">
        <f t="shared" si="144"/>
        <v>118.55604813172894</v>
      </c>
      <c r="N67" s="257">
        <f t="shared" si="124"/>
        <v>0.47861515727253534</v>
      </c>
      <c r="O67" s="257">
        <f t="shared" si="145"/>
        <v>129.22609246358454</v>
      </c>
      <c r="P67" s="257">
        <v>0.8</v>
      </c>
      <c r="Q67" s="257">
        <f t="shared" si="1"/>
        <v>216</v>
      </c>
      <c r="R67" s="257">
        <f t="shared" si="2"/>
        <v>0.3213848427274647</v>
      </c>
      <c r="S67" s="257">
        <f t="shared" si="3"/>
        <v>86.773907536415464</v>
      </c>
      <c r="T67" s="246">
        <f t="shared" si="4"/>
        <v>0.40173105340933085</v>
      </c>
      <c r="U67" s="135"/>
      <c r="V67" s="268">
        <f t="shared" si="12"/>
        <v>0.8</v>
      </c>
      <c r="W67" s="269">
        <v>0.18</v>
      </c>
      <c r="X67" s="270">
        <f t="shared" si="13"/>
        <v>0.97560975609756095</v>
      </c>
      <c r="Y67" s="271">
        <f t="shared" si="14"/>
        <v>0.17560975609756097</v>
      </c>
      <c r="Z67" s="267">
        <f t="shared" si="15"/>
        <v>1.5804878048780488E-2</v>
      </c>
      <c r="AA67" s="271">
        <f t="shared" si="16"/>
        <v>0.19141463414634147</v>
      </c>
      <c r="AB67" s="271">
        <f t="shared" si="17"/>
        <v>0.78419512195121954</v>
      </c>
      <c r="AC67" s="284">
        <f t="shared" si="18"/>
        <v>0.3896733811839404</v>
      </c>
      <c r="AD67" s="285">
        <f t="shared" si="19"/>
        <v>-1.2057672225390448E-2</v>
      </c>
      <c r="AE67" s="221" t="s">
        <v>269</v>
      </c>
    </row>
    <row r="68" spans="1:31" ht="40" customHeight="1" x14ac:dyDescent="0.2">
      <c r="A68" s="123">
        <v>63</v>
      </c>
      <c r="B68" s="274" t="s">
        <v>56</v>
      </c>
      <c r="C68" s="123">
        <v>1</v>
      </c>
      <c r="D68" s="123" t="s">
        <v>55</v>
      </c>
      <c r="E68" s="123">
        <f t="shared" si="142"/>
        <v>270</v>
      </c>
      <c r="F68" s="123" t="s">
        <v>269</v>
      </c>
      <c r="G68" s="123" t="s">
        <v>269</v>
      </c>
      <c r="H68" s="257">
        <v>374.4</v>
      </c>
      <c r="I68" s="257">
        <f t="shared" si="143"/>
        <v>1.3866666666666665</v>
      </c>
      <c r="J68" s="257">
        <f t="shared" si="0"/>
        <v>374.4</v>
      </c>
      <c r="K68" s="257"/>
      <c r="L68" s="257">
        <f t="shared" si="6"/>
        <v>0.43909647456195899</v>
      </c>
      <c r="M68" s="257">
        <f t="shared" si="144"/>
        <v>118.55604813172894</v>
      </c>
      <c r="N68" s="257">
        <f t="shared" si="124"/>
        <v>0.47861515727253534</v>
      </c>
      <c r="O68" s="257">
        <f t="shared" si="145"/>
        <v>129.22609246358454</v>
      </c>
      <c r="P68" s="257">
        <v>0.8</v>
      </c>
      <c r="Q68" s="257">
        <f t="shared" si="1"/>
        <v>216</v>
      </c>
      <c r="R68" s="257">
        <f t="shared" si="2"/>
        <v>0.3213848427274647</v>
      </c>
      <c r="S68" s="257">
        <f t="shared" si="3"/>
        <v>86.773907536415464</v>
      </c>
      <c r="T68" s="246">
        <f t="shared" si="4"/>
        <v>0.40173105340933085</v>
      </c>
      <c r="U68" s="135"/>
      <c r="V68" s="268">
        <f t="shared" si="12"/>
        <v>0.8</v>
      </c>
      <c r="W68" s="269">
        <v>0.18</v>
      </c>
      <c r="X68" s="270">
        <f t="shared" si="13"/>
        <v>0.97560975609756095</v>
      </c>
      <c r="Y68" s="271">
        <f t="shared" si="14"/>
        <v>0.17560975609756097</v>
      </c>
      <c r="Z68" s="267">
        <f t="shared" si="15"/>
        <v>1.5804878048780488E-2</v>
      </c>
      <c r="AA68" s="271">
        <f t="shared" si="16"/>
        <v>0.19141463414634147</v>
      </c>
      <c r="AB68" s="271">
        <f t="shared" si="17"/>
        <v>0.78419512195121954</v>
      </c>
      <c r="AC68" s="284">
        <f t="shared" si="18"/>
        <v>0.3896733811839404</v>
      </c>
      <c r="AD68" s="285">
        <f t="shared" si="19"/>
        <v>-1.2057672225390448E-2</v>
      </c>
      <c r="AE68" s="221" t="s">
        <v>269</v>
      </c>
    </row>
    <row r="69" spans="1:31" ht="40" customHeight="1" x14ac:dyDescent="0.2">
      <c r="A69" s="123">
        <v>64</v>
      </c>
      <c r="B69" s="274" t="s">
        <v>57</v>
      </c>
      <c r="C69" s="123">
        <v>1</v>
      </c>
      <c r="D69" s="123" t="s">
        <v>55</v>
      </c>
      <c r="E69" s="123">
        <f t="shared" si="142"/>
        <v>270</v>
      </c>
      <c r="F69" s="123" t="s">
        <v>269</v>
      </c>
      <c r="G69" s="123" t="s">
        <v>269</v>
      </c>
      <c r="H69" s="257">
        <v>374.4</v>
      </c>
      <c r="I69" s="257">
        <f t="shared" si="143"/>
        <v>1.3866666666666665</v>
      </c>
      <c r="J69" s="257">
        <f t="shared" si="0"/>
        <v>374.4</v>
      </c>
      <c r="K69" s="257"/>
      <c r="L69" s="257">
        <f t="shared" si="6"/>
        <v>0.43909647456195899</v>
      </c>
      <c r="M69" s="257">
        <f t="shared" si="144"/>
        <v>118.55604813172894</v>
      </c>
      <c r="N69" s="257">
        <f t="shared" si="124"/>
        <v>0.47861515727253534</v>
      </c>
      <c r="O69" s="257">
        <f t="shared" si="145"/>
        <v>129.22609246358454</v>
      </c>
      <c r="P69" s="257">
        <v>0.8</v>
      </c>
      <c r="Q69" s="257">
        <f t="shared" si="1"/>
        <v>216</v>
      </c>
      <c r="R69" s="257">
        <f t="shared" si="2"/>
        <v>0.3213848427274647</v>
      </c>
      <c r="S69" s="257">
        <f t="shared" si="3"/>
        <v>86.773907536415464</v>
      </c>
      <c r="T69" s="246">
        <f t="shared" si="4"/>
        <v>0.40173105340933085</v>
      </c>
      <c r="U69" s="137"/>
      <c r="V69" s="268">
        <f t="shared" si="12"/>
        <v>0.8</v>
      </c>
      <c r="W69" s="269">
        <v>0.18</v>
      </c>
      <c r="X69" s="270">
        <f t="shared" si="13"/>
        <v>0.97560975609756095</v>
      </c>
      <c r="Y69" s="271">
        <f t="shared" si="14"/>
        <v>0.17560975609756097</v>
      </c>
      <c r="Z69" s="267">
        <f t="shared" si="15"/>
        <v>1.5804878048780488E-2</v>
      </c>
      <c r="AA69" s="271">
        <f t="shared" si="16"/>
        <v>0.19141463414634147</v>
      </c>
      <c r="AB69" s="271">
        <f t="shared" si="17"/>
        <v>0.78419512195121954</v>
      </c>
      <c r="AC69" s="284">
        <f t="shared" si="18"/>
        <v>0.3896733811839404</v>
      </c>
      <c r="AD69" s="285">
        <f t="shared" si="19"/>
        <v>-1.2057672225390448E-2</v>
      </c>
      <c r="AE69" s="221" t="s">
        <v>269</v>
      </c>
    </row>
    <row r="70" spans="1:31" ht="40" customHeight="1" x14ac:dyDescent="0.2">
      <c r="A70" s="123">
        <v>65</v>
      </c>
      <c r="B70" s="274" t="s">
        <v>58</v>
      </c>
      <c r="C70" s="123">
        <v>1</v>
      </c>
      <c r="D70" s="123">
        <v>20</v>
      </c>
      <c r="E70" s="123">
        <f t="shared" si="142"/>
        <v>20</v>
      </c>
      <c r="F70" s="123" t="s">
        <v>269</v>
      </c>
      <c r="G70" s="123" t="s">
        <v>269</v>
      </c>
      <c r="H70" s="257">
        <v>296</v>
      </c>
      <c r="I70" s="257">
        <f t="shared" si="143"/>
        <v>14.8</v>
      </c>
      <c r="J70" s="257">
        <f t="shared" si="0"/>
        <v>296</v>
      </c>
      <c r="K70" s="257"/>
      <c r="L70" s="257">
        <f t="shared" si="6"/>
        <v>4.6865104496516787</v>
      </c>
      <c r="M70" s="257">
        <f t="shared" si="144"/>
        <v>93.730208993033571</v>
      </c>
      <c r="N70" s="257">
        <f t="shared" ref="N70:N101" si="159">L70*(1+$O$188+9%)</f>
        <v>5.10829639012033</v>
      </c>
      <c r="O70" s="257">
        <f t="shared" si="145"/>
        <v>102.1659278024066</v>
      </c>
      <c r="P70" s="257">
        <v>7.5</v>
      </c>
      <c r="Q70" s="257">
        <f t="shared" si="1"/>
        <v>150</v>
      </c>
      <c r="R70" s="257">
        <f t="shared" si="2"/>
        <v>2.39170360987967</v>
      </c>
      <c r="S70" s="257">
        <f t="shared" si="3"/>
        <v>47.8340721975934</v>
      </c>
      <c r="T70" s="246">
        <f t="shared" si="4"/>
        <v>0.31889381465062266</v>
      </c>
      <c r="U70" s="138"/>
      <c r="V70" s="268">
        <f t="shared" si="12"/>
        <v>7.5</v>
      </c>
      <c r="W70" s="269">
        <v>0.18</v>
      </c>
      <c r="X70" s="270">
        <f t="shared" si="13"/>
        <v>9.1463414634146343</v>
      </c>
      <c r="Y70" s="271">
        <f t="shared" si="14"/>
        <v>1.6463414634146341</v>
      </c>
      <c r="Z70" s="267">
        <f t="shared" si="15"/>
        <v>0.14817073170731707</v>
      </c>
      <c r="AA70" s="271">
        <f t="shared" si="16"/>
        <v>1.7945121951219511</v>
      </c>
      <c r="AB70" s="271">
        <f t="shared" si="17"/>
        <v>7.3518292682926827</v>
      </c>
      <c r="AC70" s="284">
        <f t="shared" si="18"/>
        <v>0.30516661857863969</v>
      </c>
      <c r="AD70" s="285">
        <f t="shared" si="19"/>
        <v>-1.3727196071982972E-2</v>
      </c>
      <c r="AE70" s="221" t="s">
        <v>269</v>
      </c>
    </row>
    <row r="71" spans="1:31" ht="40" customHeight="1" x14ac:dyDescent="0.2">
      <c r="A71" s="123">
        <v>66</v>
      </c>
      <c r="B71" s="274" t="s">
        <v>60</v>
      </c>
      <c r="C71" s="123">
        <v>1</v>
      </c>
      <c r="D71" s="123">
        <v>80</v>
      </c>
      <c r="E71" s="123">
        <f t="shared" si="142"/>
        <v>80</v>
      </c>
      <c r="F71" s="123" t="s">
        <v>269</v>
      </c>
      <c r="G71" s="123" t="s">
        <v>269</v>
      </c>
      <c r="H71" s="257">
        <v>289.60000000000002</v>
      </c>
      <c r="I71" s="257">
        <f t="shared" si="143"/>
        <v>3.62</v>
      </c>
      <c r="J71" s="257">
        <f t="shared" si="0"/>
        <v>289.60000000000002</v>
      </c>
      <c r="K71" s="257"/>
      <c r="L71" s="257">
        <f t="shared" si="6"/>
        <v>1.1462951234958836</v>
      </c>
      <c r="M71" s="257">
        <f t="shared" si="144"/>
        <v>91.703609879670694</v>
      </c>
      <c r="N71" s="257">
        <f t="shared" si="159"/>
        <v>1.2494616846105131</v>
      </c>
      <c r="O71" s="257">
        <f t="shared" si="145"/>
        <v>99.956934768841052</v>
      </c>
      <c r="P71" s="257"/>
      <c r="Q71" s="257">
        <f t="shared" si="1"/>
        <v>0</v>
      </c>
      <c r="R71" s="257">
        <f t="shared" si="2"/>
        <v>-1.2494616846105131</v>
      </c>
      <c r="S71" s="257">
        <f t="shared" si="3"/>
        <v>-99.956934768841052</v>
      </c>
      <c r="T71" s="246" t="e">
        <f t="shared" si="4"/>
        <v>#DIV/0!</v>
      </c>
      <c r="U71" s="138"/>
      <c r="V71" s="268">
        <f t="shared" ref="V71:V134" si="160">P71</f>
        <v>0</v>
      </c>
      <c r="W71" s="269">
        <v>0.18</v>
      </c>
      <c r="X71" s="270">
        <f t="shared" ref="X71:X134" si="161">V71/(1-18%)</f>
        <v>0</v>
      </c>
      <c r="Y71" s="271">
        <f t="shared" ref="Y71:Y134" si="162">X71*18%</f>
        <v>0</v>
      </c>
      <c r="Z71" s="267">
        <f t="shared" ref="Z71:Z134" si="163">Y71*9%</f>
        <v>0</v>
      </c>
      <c r="AA71" s="271">
        <f t="shared" ref="AA71:AA134" si="164">Y71+Z71</f>
        <v>0</v>
      </c>
      <c r="AB71" s="271">
        <f t="shared" ref="AB71:AB134" si="165">X71-AA71</f>
        <v>0</v>
      </c>
      <c r="AC71" s="284" t="e">
        <f t="shared" ref="AC71:AC134" si="166">(AB71-N71)/AB71</f>
        <v>#DIV/0!</v>
      </c>
      <c r="AD71" s="285" t="e">
        <f t="shared" ref="AD71:AD134" si="167">AC71-T71</f>
        <v>#DIV/0!</v>
      </c>
      <c r="AE71" s="221" t="s">
        <v>269</v>
      </c>
    </row>
    <row r="72" spans="1:31" ht="40" customHeight="1" x14ac:dyDescent="0.2">
      <c r="A72" s="123">
        <v>67</v>
      </c>
      <c r="B72" s="274" t="s">
        <v>62</v>
      </c>
      <c r="C72" s="123">
        <v>1</v>
      </c>
      <c r="D72" s="123">
        <v>10</v>
      </c>
      <c r="E72" s="123">
        <f t="shared" si="142"/>
        <v>10</v>
      </c>
      <c r="F72" s="123" t="s">
        <v>269</v>
      </c>
      <c r="G72" s="123" t="s">
        <v>269</v>
      </c>
      <c r="H72" s="257">
        <v>24.25</v>
      </c>
      <c r="I72" s="257">
        <f t="shared" si="143"/>
        <v>2.4249999999999998</v>
      </c>
      <c r="J72" s="257">
        <f t="shared" si="0"/>
        <v>24.25</v>
      </c>
      <c r="K72" s="257"/>
      <c r="L72" s="257">
        <f t="shared" si="6"/>
        <v>0.76789107029765669</v>
      </c>
      <c r="M72" s="257">
        <f t="shared" si="144"/>
        <v>7.6789107029765677</v>
      </c>
      <c r="N72" s="257">
        <f t="shared" si="159"/>
        <v>0.83700126662444585</v>
      </c>
      <c r="O72" s="257">
        <f t="shared" si="145"/>
        <v>8.3700126662444578</v>
      </c>
      <c r="P72" s="257">
        <v>1.95</v>
      </c>
      <c r="Q72" s="257">
        <f t="shared" si="1"/>
        <v>19.5</v>
      </c>
      <c r="R72" s="257">
        <f t="shared" si="2"/>
        <v>1.1129987333755542</v>
      </c>
      <c r="S72" s="257">
        <f t="shared" si="3"/>
        <v>11.129987333755542</v>
      </c>
      <c r="T72" s="246">
        <f t="shared" si="4"/>
        <v>0.57076858121823293</v>
      </c>
      <c r="U72" s="138"/>
      <c r="V72" s="268">
        <f t="shared" si="160"/>
        <v>1.95</v>
      </c>
      <c r="W72" s="269">
        <v>0.18</v>
      </c>
      <c r="X72" s="270">
        <f t="shared" si="161"/>
        <v>2.3780487804878048</v>
      </c>
      <c r="Y72" s="271">
        <f t="shared" si="162"/>
        <v>0.42804878048780487</v>
      </c>
      <c r="Z72" s="267">
        <f t="shared" si="163"/>
        <v>3.8524390243902439E-2</v>
      </c>
      <c r="AA72" s="271">
        <f t="shared" si="164"/>
        <v>0.46657317073170729</v>
      </c>
      <c r="AB72" s="271">
        <f t="shared" si="165"/>
        <v>1.9114756097560974</v>
      </c>
      <c r="AC72" s="284">
        <f t="shared" si="166"/>
        <v>0.56211773650031216</v>
      </c>
      <c r="AD72" s="285">
        <f t="shared" si="167"/>
        <v>-8.6508447179207693E-3</v>
      </c>
      <c r="AE72" s="221" t="s">
        <v>269</v>
      </c>
    </row>
    <row r="73" spans="1:31" ht="40" customHeight="1" x14ac:dyDescent="0.2">
      <c r="A73" s="123">
        <v>68</v>
      </c>
      <c r="B73" s="274" t="s">
        <v>233</v>
      </c>
      <c r="C73" s="123">
        <v>1</v>
      </c>
      <c r="D73" s="123">
        <v>10</v>
      </c>
      <c r="E73" s="123">
        <f t="shared" ref="E73" si="168">D73*C73</f>
        <v>10</v>
      </c>
      <c r="F73" s="123" t="s">
        <v>269</v>
      </c>
      <c r="G73" s="123" t="s">
        <v>269</v>
      </c>
      <c r="H73" s="257">
        <v>24.25</v>
      </c>
      <c r="I73" s="257">
        <f t="shared" ref="I73" si="169">H73/D73</f>
        <v>2.4249999999999998</v>
      </c>
      <c r="J73" s="257">
        <f t="shared" ref="J73" si="170">I73*E73</f>
        <v>24.25</v>
      </c>
      <c r="K73" s="257"/>
      <c r="L73" s="257">
        <f t="shared" ref="L73" si="171">I73/$S$2</f>
        <v>0.76789107029765669</v>
      </c>
      <c r="M73" s="257">
        <f t="shared" ref="M73" si="172">H73/$S$2</f>
        <v>7.6789107029765677</v>
      </c>
      <c r="N73" s="257">
        <f t="shared" si="159"/>
        <v>0.83700126662444585</v>
      </c>
      <c r="O73" s="257">
        <f t="shared" ref="O73" si="173">N73*E73</f>
        <v>8.3700126662444578</v>
      </c>
      <c r="P73" s="257">
        <v>1.95</v>
      </c>
      <c r="Q73" s="257">
        <f t="shared" ref="Q73" si="174">P73*E73</f>
        <v>19.5</v>
      </c>
      <c r="R73" s="257">
        <f t="shared" ref="R73" si="175">P73-N73</f>
        <v>1.1129987333755542</v>
      </c>
      <c r="S73" s="257">
        <f t="shared" ref="S73" si="176">Q73-O73</f>
        <v>11.129987333755542</v>
      </c>
      <c r="T73" s="246">
        <f t="shared" ref="T73" si="177">R73/P73</f>
        <v>0.57076858121823293</v>
      </c>
      <c r="U73" s="138"/>
      <c r="V73" s="268">
        <f t="shared" si="160"/>
        <v>1.95</v>
      </c>
      <c r="W73" s="269">
        <v>0.18</v>
      </c>
      <c r="X73" s="270">
        <f t="shared" si="161"/>
        <v>2.3780487804878048</v>
      </c>
      <c r="Y73" s="271">
        <f t="shared" si="162"/>
        <v>0.42804878048780487</v>
      </c>
      <c r="Z73" s="267">
        <f t="shared" si="163"/>
        <v>3.8524390243902439E-2</v>
      </c>
      <c r="AA73" s="271">
        <f t="shared" si="164"/>
        <v>0.46657317073170729</v>
      </c>
      <c r="AB73" s="271">
        <f t="shared" si="165"/>
        <v>1.9114756097560974</v>
      </c>
      <c r="AC73" s="284">
        <f t="shared" si="166"/>
        <v>0.56211773650031216</v>
      </c>
      <c r="AD73" s="285">
        <f t="shared" si="167"/>
        <v>-8.6508447179207693E-3</v>
      </c>
      <c r="AE73" s="221" t="s">
        <v>269</v>
      </c>
    </row>
    <row r="74" spans="1:31" ht="40" customHeight="1" x14ac:dyDescent="0.2">
      <c r="A74" s="123">
        <v>69</v>
      </c>
      <c r="B74" s="274" t="s">
        <v>63</v>
      </c>
      <c r="C74" s="123">
        <v>1</v>
      </c>
      <c r="D74" s="123">
        <v>10</v>
      </c>
      <c r="E74" s="123">
        <f t="shared" si="142"/>
        <v>10</v>
      </c>
      <c r="F74" s="123" t="s">
        <v>269</v>
      </c>
      <c r="G74" s="123" t="s">
        <v>269</v>
      </c>
      <c r="H74" s="257">
        <v>24.25</v>
      </c>
      <c r="I74" s="257">
        <f t="shared" si="143"/>
        <v>2.4249999999999998</v>
      </c>
      <c r="J74" s="257">
        <f t="shared" si="0"/>
        <v>24.25</v>
      </c>
      <c r="K74" s="257"/>
      <c r="L74" s="257">
        <f t="shared" si="6"/>
        <v>0.76789107029765669</v>
      </c>
      <c r="M74" s="257">
        <f t="shared" si="144"/>
        <v>7.6789107029765677</v>
      </c>
      <c r="N74" s="257">
        <f t="shared" si="159"/>
        <v>0.83700126662444585</v>
      </c>
      <c r="O74" s="257">
        <f t="shared" si="145"/>
        <v>8.3700126662444578</v>
      </c>
      <c r="P74" s="257">
        <v>1.95</v>
      </c>
      <c r="Q74" s="257">
        <f t="shared" si="1"/>
        <v>19.5</v>
      </c>
      <c r="R74" s="257">
        <f t="shared" si="2"/>
        <v>1.1129987333755542</v>
      </c>
      <c r="S74" s="257">
        <f t="shared" si="3"/>
        <v>11.129987333755542</v>
      </c>
      <c r="T74" s="246">
        <f t="shared" si="4"/>
        <v>0.57076858121823293</v>
      </c>
      <c r="U74" s="138"/>
      <c r="V74" s="268">
        <f t="shared" si="160"/>
        <v>1.95</v>
      </c>
      <c r="W74" s="269">
        <v>0.18</v>
      </c>
      <c r="X74" s="270">
        <f t="shared" si="161"/>
        <v>2.3780487804878048</v>
      </c>
      <c r="Y74" s="271">
        <f t="shared" si="162"/>
        <v>0.42804878048780487</v>
      </c>
      <c r="Z74" s="267">
        <f t="shared" si="163"/>
        <v>3.8524390243902439E-2</v>
      </c>
      <c r="AA74" s="271">
        <f t="shared" si="164"/>
        <v>0.46657317073170729</v>
      </c>
      <c r="AB74" s="271">
        <f t="shared" si="165"/>
        <v>1.9114756097560974</v>
      </c>
      <c r="AC74" s="284">
        <f t="shared" si="166"/>
        <v>0.56211773650031216</v>
      </c>
      <c r="AD74" s="285">
        <f t="shared" si="167"/>
        <v>-8.6508447179207693E-3</v>
      </c>
      <c r="AE74" s="221" t="s">
        <v>269</v>
      </c>
    </row>
    <row r="75" spans="1:31" ht="40" customHeight="1" x14ac:dyDescent="0.2">
      <c r="A75" s="123">
        <v>70</v>
      </c>
      <c r="B75" s="274" t="s">
        <v>64</v>
      </c>
      <c r="C75" s="123">
        <v>1</v>
      </c>
      <c r="D75" s="123" t="s">
        <v>59</v>
      </c>
      <c r="E75" s="123">
        <f t="shared" si="142"/>
        <v>40</v>
      </c>
      <c r="F75" s="123" t="s">
        <v>269</v>
      </c>
      <c r="G75" s="123" t="s">
        <v>269</v>
      </c>
      <c r="H75" s="257">
        <v>56</v>
      </c>
      <c r="I75" s="257">
        <f t="shared" si="143"/>
        <v>1.4</v>
      </c>
      <c r="J75" s="257">
        <f t="shared" si="0"/>
        <v>56</v>
      </c>
      <c r="K75" s="257"/>
      <c r="L75" s="257">
        <f t="shared" si="6"/>
        <v>0.4433185560481317</v>
      </c>
      <c r="M75" s="257">
        <f t="shared" si="144"/>
        <v>17.732742241925269</v>
      </c>
      <c r="N75" s="257">
        <f t="shared" si="159"/>
        <v>0.48321722609246359</v>
      </c>
      <c r="O75" s="257">
        <f t="shared" si="145"/>
        <v>19.328689043698542</v>
      </c>
      <c r="P75" s="257">
        <v>1</v>
      </c>
      <c r="Q75" s="257">
        <f t="shared" si="1"/>
        <v>40</v>
      </c>
      <c r="R75" s="257">
        <f t="shared" si="2"/>
        <v>0.51678277390753635</v>
      </c>
      <c r="S75" s="257">
        <f t="shared" si="3"/>
        <v>20.671310956301458</v>
      </c>
      <c r="T75" s="246">
        <f t="shared" si="4"/>
        <v>0.51678277390753635</v>
      </c>
      <c r="U75" s="135"/>
      <c r="V75" s="268">
        <f t="shared" si="160"/>
        <v>1</v>
      </c>
      <c r="W75" s="269">
        <v>0.18</v>
      </c>
      <c r="X75" s="270">
        <f t="shared" si="161"/>
        <v>1.2195121951219512</v>
      </c>
      <c r="Y75" s="271">
        <f t="shared" si="162"/>
        <v>0.21951219512195122</v>
      </c>
      <c r="Z75" s="267">
        <f t="shared" si="163"/>
        <v>1.975609756097561E-2</v>
      </c>
      <c r="AA75" s="271">
        <f t="shared" si="164"/>
        <v>0.23926829268292682</v>
      </c>
      <c r="AB75" s="271">
        <f t="shared" si="165"/>
        <v>0.98024390243902437</v>
      </c>
      <c r="AC75" s="284">
        <f t="shared" si="166"/>
        <v>0.50704388480241336</v>
      </c>
      <c r="AD75" s="285">
        <f t="shared" si="167"/>
        <v>-9.7388891051229942E-3</v>
      </c>
      <c r="AE75" s="221" t="s">
        <v>269</v>
      </c>
    </row>
    <row r="76" spans="1:31" ht="40" customHeight="1" x14ac:dyDescent="0.2">
      <c r="A76" s="123">
        <v>71</v>
      </c>
      <c r="B76" s="274" t="s">
        <v>235</v>
      </c>
      <c r="C76" s="123">
        <v>1</v>
      </c>
      <c r="D76" s="123" t="s">
        <v>59</v>
      </c>
      <c r="E76" s="123">
        <f t="shared" ref="E76" si="178">D76*C76</f>
        <v>40</v>
      </c>
      <c r="F76" s="123" t="s">
        <v>269</v>
      </c>
      <c r="G76" s="123" t="s">
        <v>269</v>
      </c>
      <c r="H76" s="257">
        <v>56</v>
      </c>
      <c r="I76" s="257">
        <f t="shared" ref="I76" si="179">H76/D76</f>
        <v>1.4</v>
      </c>
      <c r="J76" s="257">
        <f t="shared" ref="J76" si="180">I76*E76</f>
        <v>56</v>
      </c>
      <c r="K76" s="257"/>
      <c r="L76" s="257">
        <f t="shared" ref="L76" si="181">I76/$S$2</f>
        <v>0.4433185560481317</v>
      </c>
      <c r="M76" s="257">
        <f t="shared" ref="M76" si="182">H76/$S$2</f>
        <v>17.732742241925269</v>
      </c>
      <c r="N76" s="257">
        <f t="shared" si="159"/>
        <v>0.48321722609246359</v>
      </c>
      <c r="O76" s="257">
        <f t="shared" ref="O76" si="183">N76*E76</f>
        <v>19.328689043698542</v>
      </c>
      <c r="P76" s="257">
        <v>1</v>
      </c>
      <c r="Q76" s="257">
        <f t="shared" ref="Q76" si="184">P76*E76</f>
        <v>40</v>
      </c>
      <c r="R76" s="257">
        <f t="shared" ref="R76" si="185">P76-N76</f>
        <v>0.51678277390753635</v>
      </c>
      <c r="S76" s="257">
        <f t="shared" ref="S76" si="186">Q76-O76</f>
        <v>20.671310956301458</v>
      </c>
      <c r="T76" s="246">
        <f t="shared" ref="T76" si="187">R76/P76</f>
        <v>0.51678277390753635</v>
      </c>
      <c r="U76" s="138"/>
      <c r="V76" s="268">
        <f t="shared" si="160"/>
        <v>1</v>
      </c>
      <c r="W76" s="269">
        <v>0.18</v>
      </c>
      <c r="X76" s="270">
        <f t="shared" si="161"/>
        <v>1.2195121951219512</v>
      </c>
      <c r="Y76" s="271">
        <f t="shared" si="162"/>
        <v>0.21951219512195122</v>
      </c>
      <c r="Z76" s="267">
        <f t="shared" si="163"/>
        <v>1.975609756097561E-2</v>
      </c>
      <c r="AA76" s="271">
        <f t="shared" si="164"/>
        <v>0.23926829268292682</v>
      </c>
      <c r="AB76" s="271">
        <f t="shared" si="165"/>
        <v>0.98024390243902437</v>
      </c>
      <c r="AC76" s="284">
        <f t="shared" si="166"/>
        <v>0.50704388480241336</v>
      </c>
      <c r="AD76" s="285">
        <f t="shared" si="167"/>
        <v>-9.7388891051229942E-3</v>
      </c>
      <c r="AE76" s="221" t="s">
        <v>269</v>
      </c>
    </row>
    <row r="77" spans="1:31" ht="40" customHeight="1" x14ac:dyDescent="0.2">
      <c r="A77" s="123">
        <v>72</v>
      </c>
      <c r="B77" s="274" t="s">
        <v>65</v>
      </c>
      <c r="C77" s="123">
        <v>1</v>
      </c>
      <c r="D77" s="123" t="s">
        <v>59</v>
      </c>
      <c r="E77" s="123">
        <f t="shared" si="142"/>
        <v>40</v>
      </c>
      <c r="F77" s="123" t="s">
        <v>269</v>
      </c>
      <c r="G77" s="123" t="s">
        <v>269</v>
      </c>
      <c r="H77" s="257">
        <v>56</v>
      </c>
      <c r="I77" s="257">
        <f t="shared" si="143"/>
        <v>1.4</v>
      </c>
      <c r="J77" s="257">
        <f t="shared" si="0"/>
        <v>56</v>
      </c>
      <c r="K77" s="257"/>
      <c r="L77" s="257">
        <f t="shared" si="6"/>
        <v>0.4433185560481317</v>
      </c>
      <c r="M77" s="257">
        <f t="shared" si="144"/>
        <v>17.732742241925269</v>
      </c>
      <c r="N77" s="257">
        <f t="shared" si="159"/>
        <v>0.48321722609246359</v>
      </c>
      <c r="O77" s="257">
        <f t="shared" si="145"/>
        <v>19.328689043698542</v>
      </c>
      <c r="P77" s="257">
        <v>1</v>
      </c>
      <c r="Q77" s="257">
        <f t="shared" si="1"/>
        <v>40</v>
      </c>
      <c r="R77" s="257">
        <f t="shared" si="2"/>
        <v>0.51678277390753635</v>
      </c>
      <c r="S77" s="257">
        <f t="shared" si="3"/>
        <v>20.671310956301458</v>
      </c>
      <c r="T77" s="246">
        <f t="shared" si="4"/>
        <v>0.51678277390753635</v>
      </c>
      <c r="U77" s="138"/>
      <c r="V77" s="268">
        <f t="shared" si="160"/>
        <v>1</v>
      </c>
      <c r="W77" s="269">
        <v>0.18</v>
      </c>
      <c r="X77" s="270">
        <f t="shared" si="161"/>
        <v>1.2195121951219512</v>
      </c>
      <c r="Y77" s="271">
        <f t="shared" si="162"/>
        <v>0.21951219512195122</v>
      </c>
      <c r="Z77" s="267">
        <f t="shared" si="163"/>
        <v>1.975609756097561E-2</v>
      </c>
      <c r="AA77" s="271">
        <f t="shared" si="164"/>
        <v>0.23926829268292682</v>
      </c>
      <c r="AB77" s="271">
        <f t="shared" si="165"/>
        <v>0.98024390243902437</v>
      </c>
      <c r="AC77" s="284">
        <f t="shared" si="166"/>
        <v>0.50704388480241336</v>
      </c>
      <c r="AD77" s="285">
        <f t="shared" si="167"/>
        <v>-9.7388891051229942E-3</v>
      </c>
      <c r="AE77" s="221" t="s">
        <v>269</v>
      </c>
    </row>
    <row r="78" spans="1:31" ht="40" customHeight="1" x14ac:dyDescent="0.2">
      <c r="A78" s="123">
        <v>73</v>
      </c>
      <c r="B78" s="274" t="s">
        <v>234</v>
      </c>
      <c r="C78" s="123">
        <v>1</v>
      </c>
      <c r="D78" s="123">
        <v>24</v>
      </c>
      <c r="E78" s="123">
        <f t="shared" si="142"/>
        <v>24</v>
      </c>
      <c r="F78" s="123" t="s">
        <v>269</v>
      </c>
      <c r="G78" s="123" t="s">
        <v>269</v>
      </c>
      <c r="H78" s="257">
        <v>56.4</v>
      </c>
      <c r="I78" s="257">
        <f t="shared" ref="I78" si="188">H78/D78</f>
        <v>2.35</v>
      </c>
      <c r="J78" s="257">
        <f t="shared" ref="J78" si="189">I78*E78</f>
        <v>56.400000000000006</v>
      </c>
      <c r="K78" s="257"/>
      <c r="L78" s="257">
        <f t="shared" ref="L78" si="190">I78/$S$2</f>
        <v>0.74414186193793541</v>
      </c>
      <c r="M78" s="257">
        <f t="shared" ref="M78" si="191">H78/$S$2</f>
        <v>17.859404686510448</v>
      </c>
      <c r="N78" s="257">
        <f t="shared" si="159"/>
        <v>0.81111462951234969</v>
      </c>
      <c r="O78" s="257">
        <f t="shared" ref="O78" si="192">N78*E78</f>
        <v>19.466751108296393</v>
      </c>
      <c r="P78" s="257">
        <v>1.5</v>
      </c>
      <c r="Q78" s="257">
        <f t="shared" ref="Q78" si="193">P78*E78</f>
        <v>36</v>
      </c>
      <c r="R78" s="257">
        <f t="shared" ref="R78" si="194">P78-N78</f>
        <v>0.68888537048765031</v>
      </c>
      <c r="S78" s="257">
        <f t="shared" ref="S78" si="195">Q78-O78</f>
        <v>16.533248891703607</v>
      </c>
      <c r="T78" s="246">
        <f t="shared" ref="T78" si="196">R78/P78</f>
        <v>0.45925691365843352</v>
      </c>
      <c r="U78" s="138"/>
      <c r="V78" s="268">
        <f t="shared" si="160"/>
        <v>1.5</v>
      </c>
      <c r="W78" s="269">
        <v>0.18</v>
      </c>
      <c r="X78" s="270">
        <f t="shared" si="161"/>
        <v>1.8292682926829267</v>
      </c>
      <c r="Y78" s="271">
        <f t="shared" si="162"/>
        <v>0.32926829268292679</v>
      </c>
      <c r="Z78" s="267">
        <f t="shared" si="163"/>
        <v>2.963414634146341E-2</v>
      </c>
      <c r="AA78" s="271">
        <f t="shared" si="164"/>
        <v>0.35890243902439017</v>
      </c>
      <c r="AB78" s="271">
        <f t="shared" si="165"/>
        <v>1.4703658536585364</v>
      </c>
      <c r="AC78" s="284">
        <f t="shared" si="166"/>
        <v>0.44835863299317674</v>
      </c>
      <c r="AD78" s="285">
        <f t="shared" si="167"/>
        <v>-1.0898280665256777E-2</v>
      </c>
      <c r="AE78" s="221" t="s">
        <v>269</v>
      </c>
    </row>
    <row r="79" spans="1:31" ht="40" customHeight="1" x14ac:dyDescent="0.2">
      <c r="A79" s="123">
        <v>74</v>
      </c>
      <c r="B79" s="274" t="s">
        <v>187</v>
      </c>
      <c r="C79" s="123">
        <v>1</v>
      </c>
      <c r="D79" s="123">
        <v>24</v>
      </c>
      <c r="E79" s="123">
        <f t="shared" ref="E79" si="197">D79*C79</f>
        <v>24</v>
      </c>
      <c r="F79" s="123" t="s">
        <v>269</v>
      </c>
      <c r="G79" s="123" t="s">
        <v>269</v>
      </c>
      <c r="H79" s="257">
        <v>56.4</v>
      </c>
      <c r="I79" s="257">
        <f t="shared" si="143"/>
        <v>2.35</v>
      </c>
      <c r="J79" s="257">
        <f t="shared" si="0"/>
        <v>56.400000000000006</v>
      </c>
      <c r="K79" s="257"/>
      <c r="L79" s="257">
        <f t="shared" si="6"/>
        <v>0.74414186193793541</v>
      </c>
      <c r="M79" s="257">
        <f t="shared" si="144"/>
        <v>17.859404686510448</v>
      </c>
      <c r="N79" s="257">
        <f t="shared" si="159"/>
        <v>0.81111462951234969</v>
      </c>
      <c r="O79" s="257">
        <f t="shared" si="145"/>
        <v>19.466751108296393</v>
      </c>
      <c r="P79" s="257">
        <v>1.5</v>
      </c>
      <c r="Q79" s="257">
        <f t="shared" si="1"/>
        <v>36</v>
      </c>
      <c r="R79" s="257">
        <f t="shared" si="2"/>
        <v>0.68888537048765031</v>
      </c>
      <c r="S79" s="257">
        <f t="shared" si="3"/>
        <v>16.533248891703607</v>
      </c>
      <c r="T79" s="246">
        <f t="shared" si="4"/>
        <v>0.45925691365843352</v>
      </c>
      <c r="U79" s="138"/>
      <c r="V79" s="268">
        <f t="shared" si="160"/>
        <v>1.5</v>
      </c>
      <c r="W79" s="269">
        <v>0.18</v>
      </c>
      <c r="X79" s="270">
        <f t="shared" si="161"/>
        <v>1.8292682926829267</v>
      </c>
      <c r="Y79" s="271">
        <f t="shared" si="162"/>
        <v>0.32926829268292679</v>
      </c>
      <c r="Z79" s="267">
        <f t="shared" si="163"/>
        <v>2.963414634146341E-2</v>
      </c>
      <c r="AA79" s="271">
        <f t="shared" si="164"/>
        <v>0.35890243902439017</v>
      </c>
      <c r="AB79" s="271">
        <f t="shared" si="165"/>
        <v>1.4703658536585364</v>
      </c>
      <c r="AC79" s="284">
        <f t="shared" si="166"/>
        <v>0.44835863299317674</v>
      </c>
      <c r="AD79" s="285">
        <f t="shared" si="167"/>
        <v>-1.0898280665256777E-2</v>
      </c>
      <c r="AE79" s="221" t="s">
        <v>269</v>
      </c>
    </row>
    <row r="80" spans="1:31" ht="40" customHeight="1" x14ac:dyDescent="0.2">
      <c r="A80" s="123">
        <v>75</v>
      </c>
      <c r="B80" s="274" t="s">
        <v>183</v>
      </c>
      <c r="C80" s="123">
        <v>1</v>
      </c>
      <c r="D80" s="123">
        <v>24</v>
      </c>
      <c r="E80" s="123">
        <f t="shared" si="142"/>
        <v>24</v>
      </c>
      <c r="F80" s="123" t="s">
        <v>269</v>
      </c>
      <c r="G80" s="123" t="s">
        <v>269</v>
      </c>
      <c r="H80" s="257">
        <v>94.8</v>
      </c>
      <c r="I80" s="257">
        <f t="shared" ref="I80:I83" si="198">H80/D80</f>
        <v>3.9499999999999997</v>
      </c>
      <c r="J80" s="257">
        <f t="shared" ref="J80:J83" si="199">I80*E80</f>
        <v>94.8</v>
      </c>
      <c r="K80" s="257"/>
      <c r="L80" s="257">
        <f t="shared" ref="L80:L83" si="200">I80/$S$2</f>
        <v>1.2507916402786574</v>
      </c>
      <c r="M80" s="257">
        <f t="shared" ref="M80:M83" si="201">H80/$S$2</f>
        <v>30.018999366687776</v>
      </c>
      <c r="N80" s="257">
        <f t="shared" si="159"/>
        <v>1.3633628879037367</v>
      </c>
      <c r="O80" s="257">
        <f t="shared" ref="O80:O83" si="202">N80*E80</f>
        <v>32.720709309689681</v>
      </c>
      <c r="P80" s="257">
        <v>2.5</v>
      </c>
      <c r="Q80" s="257">
        <f t="shared" ref="Q80:Q83" si="203">P80*E80</f>
        <v>60</v>
      </c>
      <c r="R80" s="257">
        <f t="shared" ref="R80:R83" si="204">P80-N80</f>
        <v>1.1366371120962633</v>
      </c>
      <c r="S80" s="257">
        <f t="shared" ref="S80:S83" si="205">Q80-O80</f>
        <v>27.279290690310319</v>
      </c>
      <c r="T80" s="246">
        <f t="shared" ref="T80:T83" si="206">R80/P80</f>
        <v>0.45465484483850532</v>
      </c>
      <c r="U80" s="138"/>
      <c r="V80" s="268">
        <f t="shared" si="160"/>
        <v>2.5</v>
      </c>
      <c r="W80" s="269">
        <v>0.18</v>
      </c>
      <c r="X80" s="270">
        <f t="shared" si="161"/>
        <v>3.0487804878048776</v>
      </c>
      <c r="Y80" s="271">
        <f t="shared" si="162"/>
        <v>0.54878048780487798</v>
      </c>
      <c r="Z80" s="267">
        <f t="shared" si="163"/>
        <v>4.939024390243902E-2</v>
      </c>
      <c r="AA80" s="271">
        <f t="shared" si="164"/>
        <v>0.59817073170731705</v>
      </c>
      <c r="AB80" s="271">
        <f t="shared" si="165"/>
        <v>2.4506097560975606</v>
      </c>
      <c r="AC80" s="284">
        <f t="shared" si="166"/>
        <v>0.44366381284843776</v>
      </c>
      <c r="AD80" s="285">
        <f t="shared" si="167"/>
        <v>-1.0991031990067568E-2</v>
      </c>
      <c r="AE80" s="221" t="s">
        <v>269</v>
      </c>
    </row>
    <row r="81" spans="1:31" ht="40" customHeight="1" x14ac:dyDescent="0.2">
      <c r="A81" s="123">
        <v>76</v>
      </c>
      <c r="B81" s="274" t="s">
        <v>184</v>
      </c>
      <c r="C81" s="123">
        <v>1</v>
      </c>
      <c r="D81" s="123">
        <v>24</v>
      </c>
      <c r="E81" s="123">
        <f t="shared" si="142"/>
        <v>24</v>
      </c>
      <c r="F81" s="123" t="s">
        <v>269</v>
      </c>
      <c r="G81" s="123" t="s">
        <v>269</v>
      </c>
      <c r="H81" s="257">
        <v>94.8</v>
      </c>
      <c r="I81" s="257">
        <f t="shared" si="198"/>
        <v>3.9499999999999997</v>
      </c>
      <c r="J81" s="257">
        <f t="shared" si="199"/>
        <v>94.8</v>
      </c>
      <c r="K81" s="257"/>
      <c r="L81" s="257">
        <f t="shared" si="200"/>
        <v>1.2507916402786574</v>
      </c>
      <c r="M81" s="257">
        <f t="shared" si="201"/>
        <v>30.018999366687776</v>
      </c>
      <c r="N81" s="257">
        <f t="shared" si="159"/>
        <v>1.3633628879037367</v>
      </c>
      <c r="O81" s="257">
        <f t="shared" si="202"/>
        <v>32.720709309689681</v>
      </c>
      <c r="P81" s="257">
        <v>2.5</v>
      </c>
      <c r="Q81" s="257">
        <f t="shared" si="203"/>
        <v>60</v>
      </c>
      <c r="R81" s="257">
        <f t="shared" si="204"/>
        <v>1.1366371120962633</v>
      </c>
      <c r="S81" s="257">
        <f t="shared" si="205"/>
        <v>27.279290690310319</v>
      </c>
      <c r="T81" s="246">
        <f t="shared" si="206"/>
        <v>0.45465484483850532</v>
      </c>
      <c r="U81" s="138"/>
      <c r="V81" s="268">
        <f t="shared" si="160"/>
        <v>2.5</v>
      </c>
      <c r="W81" s="269">
        <v>0.18</v>
      </c>
      <c r="X81" s="270">
        <f t="shared" si="161"/>
        <v>3.0487804878048776</v>
      </c>
      <c r="Y81" s="271">
        <f t="shared" si="162"/>
        <v>0.54878048780487798</v>
      </c>
      <c r="Z81" s="267">
        <f t="shared" si="163"/>
        <v>4.939024390243902E-2</v>
      </c>
      <c r="AA81" s="271">
        <f t="shared" si="164"/>
        <v>0.59817073170731705</v>
      </c>
      <c r="AB81" s="271">
        <f t="shared" si="165"/>
        <v>2.4506097560975606</v>
      </c>
      <c r="AC81" s="284">
        <f t="shared" si="166"/>
        <v>0.44366381284843776</v>
      </c>
      <c r="AD81" s="285">
        <f t="shared" si="167"/>
        <v>-1.0991031990067568E-2</v>
      </c>
      <c r="AE81" s="221" t="s">
        <v>269</v>
      </c>
    </row>
    <row r="82" spans="1:31" ht="40" customHeight="1" x14ac:dyDescent="0.2">
      <c r="A82" s="123">
        <v>77</v>
      </c>
      <c r="B82" s="274" t="s">
        <v>185</v>
      </c>
      <c r="C82" s="123">
        <v>1</v>
      </c>
      <c r="D82" s="123">
        <v>24</v>
      </c>
      <c r="E82" s="123">
        <f t="shared" si="142"/>
        <v>24</v>
      </c>
      <c r="F82" s="123" t="s">
        <v>269</v>
      </c>
      <c r="G82" s="123" t="s">
        <v>269</v>
      </c>
      <c r="H82" s="257">
        <v>94.8</v>
      </c>
      <c r="I82" s="257">
        <f t="shared" si="198"/>
        <v>3.9499999999999997</v>
      </c>
      <c r="J82" s="257">
        <f t="shared" si="199"/>
        <v>94.8</v>
      </c>
      <c r="K82" s="257"/>
      <c r="L82" s="257">
        <f t="shared" si="200"/>
        <v>1.2507916402786574</v>
      </c>
      <c r="M82" s="257">
        <f t="shared" si="201"/>
        <v>30.018999366687776</v>
      </c>
      <c r="N82" s="257">
        <f t="shared" si="159"/>
        <v>1.3633628879037367</v>
      </c>
      <c r="O82" s="257">
        <f t="shared" si="202"/>
        <v>32.720709309689681</v>
      </c>
      <c r="P82" s="257">
        <v>2.5</v>
      </c>
      <c r="Q82" s="257">
        <f t="shared" si="203"/>
        <v>60</v>
      </c>
      <c r="R82" s="257">
        <f t="shared" si="204"/>
        <v>1.1366371120962633</v>
      </c>
      <c r="S82" s="257">
        <f t="shared" si="205"/>
        <v>27.279290690310319</v>
      </c>
      <c r="T82" s="246">
        <f t="shared" si="206"/>
        <v>0.45465484483850532</v>
      </c>
      <c r="U82" s="138"/>
      <c r="V82" s="268">
        <f t="shared" si="160"/>
        <v>2.5</v>
      </c>
      <c r="W82" s="269">
        <v>0.18</v>
      </c>
      <c r="X82" s="270">
        <f t="shared" si="161"/>
        <v>3.0487804878048776</v>
      </c>
      <c r="Y82" s="271">
        <f t="shared" si="162"/>
        <v>0.54878048780487798</v>
      </c>
      <c r="Z82" s="267">
        <f t="shared" si="163"/>
        <v>4.939024390243902E-2</v>
      </c>
      <c r="AA82" s="271">
        <f t="shared" si="164"/>
        <v>0.59817073170731705</v>
      </c>
      <c r="AB82" s="271">
        <f t="shared" si="165"/>
        <v>2.4506097560975606</v>
      </c>
      <c r="AC82" s="284">
        <f t="shared" si="166"/>
        <v>0.44366381284843776</v>
      </c>
      <c r="AD82" s="285">
        <f t="shared" si="167"/>
        <v>-1.0991031990067568E-2</v>
      </c>
      <c r="AE82" s="221" t="s">
        <v>269</v>
      </c>
    </row>
    <row r="83" spans="1:31" ht="40" customHeight="1" x14ac:dyDescent="0.2">
      <c r="A83" s="123">
        <v>78</v>
      </c>
      <c r="B83" s="274" t="s">
        <v>186</v>
      </c>
      <c r="C83" s="123">
        <v>1</v>
      </c>
      <c r="D83" s="123">
        <v>24</v>
      </c>
      <c r="E83" s="123">
        <f t="shared" si="142"/>
        <v>24</v>
      </c>
      <c r="F83" s="123" t="s">
        <v>269</v>
      </c>
      <c r="G83" s="123" t="s">
        <v>269</v>
      </c>
      <c r="H83" s="257">
        <v>94.8</v>
      </c>
      <c r="I83" s="257">
        <f t="shared" si="198"/>
        <v>3.9499999999999997</v>
      </c>
      <c r="J83" s="257">
        <f t="shared" si="199"/>
        <v>94.8</v>
      </c>
      <c r="K83" s="257"/>
      <c r="L83" s="257">
        <f t="shared" si="200"/>
        <v>1.2507916402786574</v>
      </c>
      <c r="M83" s="257">
        <f t="shared" si="201"/>
        <v>30.018999366687776</v>
      </c>
      <c r="N83" s="257">
        <f t="shared" si="159"/>
        <v>1.3633628879037367</v>
      </c>
      <c r="O83" s="257">
        <f t="shared" si="202"/>
        <v>32.720709309689681</v>
      </c>
      <c r="P83" s="257">
        <v>2.5</v>
      </c>
      <c r="Q83" s="257">
        <f t="shared" si="203"/>
        <v>60</v>
      </c>
      <c r="R83" s="257">
        <f t="shared" si="204"/>
        <v>1.1366371120962633</v>
      </c>
      <c r="S83" s="257">
        <f t="shared" si="205"/>
        <v>27.279290690310319</v>
      </c>
      <c r="T83" s="246">
        <f t="shared" si="206"/>
        <v>0.45465484483850532</v>
      </c>
      <c r="U83" s="138"/>
      <c r="V83" s="268">
        <f t="shared" si="160"/>
        <v>2.5</v>
      </c>
      <c r="W83" s="269">
        <v>0.18</v>
      </c>
      <c r="X83" s="270">
        <f t="shared" si="161"/>
        <v>3.0487804878048776</v>
      </c>
      <c r="Y83" s="271">
        <f t="shared" si="162"/>
        <v>0.54878048780487798</v>
      </c>
      <c r="Z83" s="267">
        <f t="shared" si="163"/>
        <v>4.939024390243902E-2</v>
      </c>
      <c r="AA83" s="271">
        <f t="shared" si="164"/>
        <v>0.59817073170731705</v>
      </c>
      <c r="AB83" s="271">
        <f t="shared" si="165"/>
        <v>2.4506097560975606</v>
      </c>
      <c r="AC83" s="284">
        <f t="shared" si="166"/>
        <v>0.44366381284843776</v>
      </c>
      <c r="AD83" s="285">
        <f t="shared" si="167"/>
        <v>-1.0991031990067568E-2</v>
      </c>
      <c r="AE83" s="221" t="s">
        <v>269</v>
      </c>
    </row>
    <row r="84" spans="1:31" ht="40" customHeight="1" x14ac:dyDescent="0.2">
      <c r="A84" s="123">
        <v>79</v>
      </c>
      <c r="B84" s="274" t="s">
        <v>66</v>
      </c>
      <c r="C84" s="123">
        <v>1</v>
      </c>
      <c r="D84" s="123" t="s">
        <v>59</v>
      </c>
      <c r="E84" s="123">
        <f t="shared" si="142"/>
        <v>40</v>
      </c>
      <c r="F84" s="123" t="s">
        <v>269</v>
      </c>
      <c r="G84" s="123" t="s">
        <v>269</v>
      </c>
      <c r="H84" s="257">
        <v>56</v>
      </c>
      <c r="I84" s="257">
        <f t="shared" si="143"/>
        <v>1.4</v>
      </c>
      <c r="J84" s="257">
        <f t="shared" ref="J84:J130" si="207">I84*E84</f>
        <v>56</v>
      </c>
      <c r="K84" s="257"/>
      <c r="L84" s="257">
        <f t="shared" si="6"/>
        <v>0.4433185560481317</v>
      </c>
      <c r="M84" s="257">
        <f t="shared" si="144"/>
        <v>17.732742241925269</v>
      </c>
      <c r="N84" s="257">
        <f t="shared" si="159"/>
        <v>0.48321722609246359</v>
      </c>
      <c r="O84" s="257">
        <f t="shared" si="145"/>
        <v>19.328689043698542</v>
      </c>
      <c r="P84" s="257">
        <v>1</v>
      </c>
      <c r="Q84" s="257">
        <f t="shared" si="1"/>
        <v>40</v>
      </c>
      <c r="R84" s="257">
        <f t="shared" si="2"/>
        <v>0.51678277390753635</v>
      </c>
      <c r="S84" s="257">
        <f t="shared" si="3"/>
        <v>20.671310956301458</v>
      </c>
      <c r="T84" s="246">
        <f t="shared" si="4"/>
        <v>0.51678277390753635</v>
      </c>
      <c r="U84" s="138"/>
      <c r="V84" s="268">
        <f t="shared" si="160"/>
        <v>1</v>
      </c>
      <c r="W84" s="269">
        <v>0.18</v>
      </c>
      <c r="X84" s="270">
        <f t="shared" si="161"/>
        <v>1.2195121951219512</v>
      </c>
      <c r="Y84" s="271">
        <f t="shared" si="162"/>
        <v>0.21951219512195122</v>
      </c>
      <c r="Z84" s="267">
        <f t="shared" si="163"/>
        <v>1.975609756097561E-2</v>
      </c>
      <c r="AA84" s="271">
        <f t="shared" si="164"/>
        <v>0.23926829268292682</v>
      </c>
      <c r="AB84" s="271">
        <f t="shared" si="165"/>
        <v>0.98024390243902437</v>
      </c>
      <c r="AC84" s="284">
        <f t="shared" si="166"/>
        <v>0.50704388480241336</v>
      </c>
      <c r="AD84" s="285">
        <f t="shared" si="167"/>
        <v>-9.7388891051229942E-3</v>
      </c>
      <c r="AE84" s="221" t="s">
        <v>269</v>
      </c>
    </row>
    <row r="85" spans="1:31" ht="40" customHeight="1" x14ac:dyDescent="0.2">
      <c r="A85" s="123">
        <v>80</v>
      </c>
      <c r="B85" s="274" t="s">
        <v>67</v>
      </c>
      <c r="C85" s="123">
        <v>1</v>
      </c>
      <c r="D85" s="123" t="s">
        <v>59</v>
      </c>
      <c r="E85" s="123">
        <f t="shared" si="142"/>
        <v>40</v>
      </c>
      <c r="F85" s="123" t="s">
        <v>269</v>
      </c>
      <c r="G85" s="123" t="s">
        <v>269</v>
      </c>
      <c r="H85" s="257">
        <v>56</v>
      </c>
      <c r="I85" s="257">
        <f t="shared" si="143"/>
        <v>1.4</v>
      </c>
      <c r="J85" s="257">
        <f t="shared" si="207"/>
        <v>56</v>
      </c>
      <c r="K85" s="257"/>
      <c r="L85" s="257">
        <f t="shared" si="6"/>
        <v>0.4433185560481317</v>
      </c>
      <c r="M85" s="257">
        <f t="shared" si="144"/>
        <v>17.732742241925269</v>
      </c>
      <c r="N85" s="257">
        <f t="shared" si="159"/>
        <v>0.48321722609246359</v>
      </c>
      <c r="O85" s="257">
        <f t="shared" si="145"/>
        <v>19.328689043698542</v>
      </c>
      <c r="P85" s="257">
        <v>1</v>
      </c>
      <c r="Q85" s="257">
        <f t="shared" si="1"/>
        <v>40</v>
      </c>
      <c r="R85" s="257">
        <f t="shared" si="2"/>
        <v>0.51678277390753635</v>
      </c>
      <c r="S85" s="257">
        <f t="shared" si="3"/>
        <v>20.671310956301458</v>
      </c>
      <c r="T85" s="246">
        <f t="shared" si="4"/>
        <v>0.51678277390753635</v>
      </c>
      <c r="U85" s="138"/>
      <c r="V85" s="268">
        <f t="shared" si="160"/>
        <v>1</v>
      </c>
      <c r="W85" s="269">
        <v>0.18</v>
      </c>
      <c r="X85" s="270">
        <f t="shared" si="161"/>
        <v>1.2195121951219512</v>
      </c>
      <c r="Y85" s="271">
        <f t="shared" si="162"/>
        <v>0.21951219512195122</v>
      </c>
      <c r="Z85" s="267">
        <f t="shared" si="163"/>
        <v>1.975609756097561E-2</v>
      </c>
      <c r="AA85" s="271">
        <f t="shared" si="164"/>
        <v>0.23926829268292682</v>
      </c>
      <c r="AB85" s="271">
        <f t="shared" si="165"/>
        <v>0.98024390243902437</v>
      </c>
      <c r="AC85" s="284">
        <f t="shared" si="166"/>
        <v>0.50704388480241336</v>
      </c>
      <c r="AD85" s="285">
        <f t="shared" si="167"/>
        <v>-9.7388891051229942E-3</v>
      </c>
      <c r="AE85" s="221" t="s">
        <v>269</v>
      </c>
    </row>
    <row r="86" spans="1:31" ht="40" customHeight="1" x14ac:dyDescent="0.2">
      <c r="A86" s="123">
        <v>81</v>
      </c>
      <c r="B86" s="274" t="s">
        <v>68</v>
      </c>
      <c r="C86" s="123">
        <v>1</v>
      </c>
      <c r="D86" s="123" t="s">
        <v>44</v>
      </c>
      <c r="E86" s="123">
        <f t="shared" si="142"/>
        <v>144</v>
      </c>
      <c r="F86" s="123" t="s">
        <v>269</v>
      </c>
      <c r="G86" s="123" t="s">
        <v>269</v>
      </c>
      <c r="H86" s="257">
        <v>223.2</v>
      </c>
      <c r="I86" s="257">
        <f t="shared" si="143"/>
        <v>1.5499999999999998</v>
      </c>
      <c r="J86" s="257">
        <f t="shared" si="207"/>
        <v>223.2</v>
      </c>
      <c r="K86" s="257"/>
      <c r="L86" s="257">
        <f t="shared" si="6"/>
        <v>0.49081697276757436</v>
      </c>
      <c r="M86" s="257">
        <f t="shared" si="144"/>
        <v>70.677644078530719</v>
      </c>
      <c r="N86" s="257">
        <f t="shared" si="159"/>
        <v>0.53499050031665607</v>
      </c>
      <c r="O86" s="257">
        <f t="shared" si="145"/>
        <v>77.038632045598476</v>
      </c>
      <c r="P86" s="257">
        <v>0.8</v>
      </c>
      <c r="Q86" s="257">
        <f t="shared" si="1"/>
        <v>115.2</v>
      </c>
      <c r="R86" s="257">
        <f t="shared" si="2"/>
        <v>0.26500949968334397</v>
      </c>
      <c r="S86" s="257">
        <f t="shared" si="3"/>
        <v>38.161367954401527</v>
      </c>
      <c r="T86" s="246">
        <f t="shared" si="4"/>
        <v>0.33126187460417994</v>
      </c>
      <c r="U86" s="138"/>
      <c r="V86" s="268">
        <f t="shared" si="160"/>
        <v>0.8</v>
      </c>
      <c r="W86" s="269">
        <v>0.18</v>
      </c>
      <c r="X86" s="270">
        <f t="shared" si="161"/>
        <v>0.97560975609756095</v>
      </c>
      <c r="Y86" s="271">
        <f t="shared" si="162"/>
        <v>0.17560975609756097</v>
      </c>
      <c r="Z86" s="267">
        <f t="shared" si="163"/>
        <v>1.5804878048780488E-2</v>
      </c>
      <c r="AA86" s="271">
        <f t="shared" si="164"/>
        <v>0.19141463414634147</v>
      </c>
      <c r="AB86" s="271">
        <f t="shared" si="165"/>
        <v>0.78419512195121954</v>
      </c>
      <c r="AC86" s="284">
        <f t="shared" si="166"/>
        <v>0.31778394771762569</v>
      </c>
      <c r="AD86" s="285">
        <f t="shared" si="167"/>
        <v>-1.3477926886554248E-2</v>
      </c>
      <c r="AE86" s="221" t="s">
        <v>269</v>
      </c>
    </row>
    <row r="87" spans="1:31" ht="40" customHeight="1" x14ac:dyDescent="0.2">
      <c r="A87" s="123">
        <v>82</v>
      </c>
      <c r="B87" s="274" t="s">
        <v>69</v>
      </c>
      <c r="C87" s="123">
        <v>1</v>
      </c>
      <c r="D87" s="123" t="s">
        <v>44</v>
      </c>
      <c r="E87" s="123">
        <f t="shared" si="142"/>
        <v>144</v>
      </c>
      <c r="F87" s="123" t="s">
        <v>269</v>
      </c>
      <c r="G87" s="123" t="s">
        <v>269</v>
      </c>
      <c r="H87" s="257">
        <v>230.4</v>
      </c>
      <c r="I87" s="257">
        <f t="shared" si="143"/>
        <v>1.6</v>
      </c>
      <c r="J87" s="257">
        <f t="shared" si="207"/>
        <v>230.4</v>
      </c>
      <c r="K87" s="257"/>
      <c r="L87" s="257">
        <f t="shared" si="6"/>
        <v>0.506649778340722</v>
      </c>
      <c r="M87" s="257">
        <f t="shared" si="144"/>
        <v>72.957568081063968</v>
      </c>
      <c r="N87" s="257">
        <f t="shared" si="159"/>
        <v>0.55224825839138703</v>
      </c>
      <c r="O87" s="257">
        <f t="shared" si="145"/>
        <v>79.523749208359732</v>
      </c>
      <c r="P87" s="257">
        <v>0.8</v>
      </c>
      <c r="Q87" s="257">
        <f t="shared" si="1"/>
        <v>115.2</v>
      </c>
      <c r="R87" s="257">
        <f t="shared" si="2"/>
        <v>0.24775174160861302</v>
      </c>
      <c r="S87" s="257">
        <f t="shared" si="3"/>
        <v>35.676250791640271</v>
      </c>
      <c r="T87" s="246">
        <f t="shared" si="4"/>
        <v>0.30968967701076627</v>
      </c>
      <c r="U87" s="135"/>
      <c r="V87" s="268">
        <f t="shared" si="160"/>
        <v>0.8</v>
      </c>
      <c r="W87" s="269">
        <v>0.18</v>
      </c>
      <c r="X87" s="270">
        <f t="shared" si="161"/>
        <v>0.97560975609756095</v>
      </c>
      <c r="Y87" s="271">
        <f t="shared" si="162"/>
        <v>0.17560975609756097</v>
      </c>
      <c r="Z87" s="267">
        <f t="shared" si="163"/>
        <v>1.5804878048780488E-2</v>
      </c>
      <c r="AA87" s="271">
        <f t="shared" si="164"/>
        <v>0.19141463414634147</v>
      </c>
      <c r="AB87" s="271">
        <f t="shared" si="165"/>
        <v>0.78419512195121954</v>
      </c>
      <c r="AC87" s="284">
        <f t="shared" si="166"/>
        <v>0.29577697828916188</v>
      </c>
      <c r="AD87" s="285">
        <f t="shared" si="167"/>
        <v>-1.3912698721604388E-2</v>
      </c>
      <c r="AE87" s="221" t="s">
        <v>269</v>
      </c>
    </row>
    <row r="88" spans="1:31" ht="40" customHeight="1" x14ac:dyDescent="0.2">
      <c r="A88" s="123">
        <v>83</v>
      </c>
      <c r="B88" s="274" t="s">
        <v>70</v>
      </c>
      <c r="C88" s="123">
        <v>1</v>
      </c>
      <c r="D88" s="123" t="s">
        <v>71</v>
      </c>
      <c r="E88" s="123">
        <f t="shared" si="142"/>
        <v>24</v>
      </c>
      <c r="F88" s="123" t="s">
        <v>269</v>
      </c>
      <c r="G88" s="123" t="s">
        <v>269</v>
      </c>
      <c r="H88" s="257">
        <v>110.4</v>
      </c>
      <c r="I88" s="257">
        <f t="shared" si="143"/>
        <v>4.6000000000000005</v>
      </c>
      <c r="J88" s="257">
        <f t="shared" si="207"/>
        <v>110.4</v>
      </c>
      <c r="K88" s="257"/>
      <c r="L88" s="257">
        <f t="shared" si="6"/>
        <v>1.4566181127295759</v>
      </c>
      <c r="M88" s="257">
        <f t="shared" si="144"/>
        <v>34.958834705509823</v>
      </c>
      <c r="N88" s="257">
        <f t="shared" si="159"/>
        <v>1.5877137428752377</v>
      </c>
      <c r="O88" s="257">
        <f t="shared" si="145"/>
        <v>38.105129829005705</v>
      </c>
      <c r="P88" s="257">
        <v>2.5</v>
      </c>
      <c r="Q88" s="257">
        <f t="shared" si="1"/>
        <v>60</v>
      </c>
      <c r="R88" s="257">
        <f t="shared" si="2"/>
        <v>0.9122862571247623</v>
      </c>
      <c r="S88" s="257">
        <f t="shared" si="3"/>
        <v>21.894870170994295</v>
      </c>
      <c r="T88" s="246">
        <f t="shared" si="4"/>
        <v>0.3649145028499049</v>
      </c>
      <c r="U88" s="135"/>
      <c r="V88" s="268">
        <f t="shared" si="160"/>
        <v>2.5</v>
      </c>
      <c r="W88" s="269">
        <v>0.18</v>
      </c>
      <c r="X88" s="270">
        <f t="shared" si="161"/>
        <v>3.0487804878048776</v>
      </c>
      <c r="Y88" s="271">
        <f t="shared" si="162"/>
        <v>0.54878048780487798</v>
      </c>
      <c r="Z88" s="267">
        <f t="shared" si="163"/>
        <v>4.939024390243902E-2</v>
      </c>
      <c r="AA88" s="271">
        <f t="shared" si="164"/>
        <v>0.59817073170731705</v>
      </c>
      <c r="AB88" s="271">
        <f t="shared" si="165"/>
        <v>2.4506097560975606</v>
      </c>
      <c r="AC88" s="284">
        <f t="shared" si="166"/>
        <v>0.35211482002602879</v>
      </c>
      <c r="AD88" s="285">
        <f t="shared" si="167"/>
        <v>-1.2799682823876113E-2</v>
      </c>
      <c r="AE88" s="221" t="s">
        <v>269</v>
      </c>
    </row>
    <row r="89" spans="1:31" ht="40" customHeight="1" x14ac:dyDescent="0.2">
      <c r="A89" s="123">
        <v>84</v>
      </c>
      <c r="B89" s="274" t="s">
        <v>216</v>
      </c>
      <c r="C89" s="123">
        <v>1</v>
      </c>
      <c r="D89" s="123" t="s">
        <v>71</v>
      </c>
      <c r="E89" s="123">
        <f t="shared" ref="E89" si="208">D89*C89</f>
        <v>24</v>
      </c>
      <c r="F89" s="123" t="s">
        <v>269</v>
      </c>
      <c r="G89" s="123" t="s">
        <v>269</v>
      </c>
      <c r="H89" s="257">
        <v>110.4</v>
      </c>
      <c r="I89" s="257">
        <f t="shared" ref="I89" si="209">H89/D89</f>
        <v>4.6000000000000005</v>
      </c>
      <c r="J89" s="257">
        <f t="shared" ref="J89" si="210">I89*E89</f>
        <v>110.4</v>
      </c>
      <c r="K89" s="257"/>
      <c r="L89" s="257">
        <f t="shared" ref="L89" si="211">I89/$S$2</f>
        <v>1.4566181127295759</v>
      </c>
      <c r="M89" s="257">
        <f t="shared" ref="M89" si="212">H89/$S$2</f>
        <v>34.958834705509823</v>
      </c>
      <c r="N89" s="257">
        <f t="shared" si="159"/>
        <v>1.5877137428752377</v>
      </c>
      <c r="O89" s="257">
        <f t="shared" ref="O89" si="213">N89*E89</f>
        <v>38.105129829005705</v>
      </c>
      <c r="P89" s="257">
        <v>2.5</v>
      </c>
      <c r="Q89" s="257">
        <f t="shared" ref="Q89" si="214">P89*E89</f>
        <v>60</v>
      </c>
      <c r="R89" s="257">
        <f t="shared" ref="R89" si="215">P89-N89</f>
        <v>0.9122862571247623</v>
      </c>
      <c r="S89" s="257">
        <f t="shared" ref="S89" si="216">Q89-O89</f>
        <v>21.894870170994295</v>
      </c>
      <c r="T89" s="246">
        <f t="shared" ref="T89" si="217">R89/P89</f>
        <v>0.3649145028499049</v>
      </c>
      <c r="U89" s="137"/>
      <c r="V89" s="268">
        <f t="shared" si="160"/>
        <v>2.5</v>
      </c>
      <c r="W89" s="269">
        <v>0.18</v>
      </c>
      <c r="X89" s="270">
        <f t="shared" si="161"/>
        <v>3.0487804878048776</v>
      </c>
      <c r="Y89" s="271">
        <f t="shared" si="162"/>
        <v>0.54878048780487798</v>
      </c>
      <c r="Z89" s="267">
        <f t="shared" si="163"/>
        <v>4.939024390243902E-2</v>
      </c>
      <c r="AA89" s="271">
        <f t="shared" si="164"/>
        <v>0.59817073170731705</v>
      </c>
      <c r="AB89" s="271">
        <f t="shared" si="165"/>
        <v>2.4506097560975606</v>
      </c>
      <c r="AC89" s="284">
        <f t="shared" si="166"/>
        <v>0.35211482002602879</v>
      </c>
      <c r="AD89" s="285">
        <f t="shared" si="167"/>
        <v>-1.2799682823876113E-2</v>
      </c>
      <c r="AE89" s="221" t="s">
        <v>269</v>
      </c>
    </row>
    <row r="90" spans="1:31" ht="40" customHeight="1" x14ac:dyDescent="0.2">
      <c r="A90" s="123">
        <v>85</v>
      </c>
      <c r="B90" s="274" t="s">
        <v>72</v>
      </c>
      <c r="C90" s="123">
        <v>1</v>
      </c>
      <c r="D90" s="123" t="s">
        <v>71</v>
      </c>
      <c r="E90" s="123">
        <f t="shared" si="142"/>
        <v>24</v>
      </c>
      <c r="F90" s="123" t="s">
        <v>269</v>
      </c>
      <c r="G90" s="123" t="s">
        <v>269</v>
      </c>
      <c r="H90" s="257">
        <v>110.4</v>
      </c>
      <c r="I90" s="257">
        <f t="shared" si="143"/>
        <v>4.6000000000000005</v>
      </c>
      <c r="J90" s="257">
        <f t="shared" si="207"/>
        <v>110.4</v>
      </c>
      <c r="K90" s="257"/>
      <c r="L90" s="257">
        <f t="shared" si="6"/>
        <v>1.4566181127295759</v>
      </c>
      <c r="M90" s="257">
        <f t="shared" si="144"/>
        <v>34.958834705509823</v>
      </c>
      <c r="N90" s="257">
        <f t="shared" si="159"/>
        <v>1.5877137428752377</v>
      </c>
      <c r="O90" s="257">
        <f t="shared" si="145"/>
        <v>38.105129829005705</v>
      </c>
      <c r="P90" s="257">
        <v>2.5</v>
      </c>
      <c r="Q90" s="257">
        <f t="shared" si="1"/>
        <v>60</v>
      </c>
      <c r="R90" s="257">
        <f t="shared" si="2"/>
        <v>0.9122862571247623</v>
      </c>
      <c r="S90" s="257">
        <f t="shared" si="3"/>
        <v>21.894870170994295</v>
      </c>
      <c r="T90" s="246">
        <f t="shared" si="4"/>
        <v>0.3649145028499049</v>
      </c>
      <c r="U90" s="137"/>
      <c r="V90" s="268">
        <f t="shared" si="160"/>
        <v>2.5</v>
      </c>
      <c r="W90" s="269">
        <v>0.18</v>
      </c>
      <c r="X90" s="270">
        <f t="shared" si="161"/>
        <v>3.0487804878048776</v>
      </c>
      <c r="Y90" s="271">
        <f t="shared" si="162"/>
        <v>0.54878048780487798</v>
      </c>
      <c r="Z90" s="267">
        <f t="shared" si="163"/>
        <v>4.939024390243902E-2</v>
      </c>
      <c r="AA90" s="271">
        <f t="shared" si="164"/>
        <v>0.59817073170731705</v>
      </c>
      <c r="AB90" s="271">
        <f t="shared" si="165"/>
        <v>2.4506097560975606</v>
      </c>
      <c r="AC90" s="284">
        <f t="shared" si="166"/>
        <v>0.35211482002602879</v>
      </c>
      <c r="AD90" s="285">
        <f t="shared" si="167"/>
        <v>-1.2799682823876113E-2</v>
      </c>
      <c r="AE90" s="221" t="s">
        <v>269</v>
      </c>
    </row>
    <row r="91" spans="1:31" ht="40" customHeight="1" x14ac:dyDescent="0.2">
      <c r="A91" s="123">
        <v>86</v>
      </c>
      <c r="B91" s="274" t="s">
        <v>73</v>
      </c>
      <c r="C91" s="123">
        <v>1</v>
      </c>
      <c r="D91" s="123" t="s">
        <v>71</v>
      </c>
      <c r="E91" s="123">
        <f t="shared" si="142"/>
        <v>24</v>
      </c>
      <c r="F91" s="123" t="s">
        <v>269</v>
      </c>
      <c r="G91" s="123" t="s">
        <v>269</v>
      </c>
      <c r="H91" s="258">
        <v>87.6</v>
      </c>
      <c r="I91" s="257">
        <f t="shared" si="143"/>
        <v>3.65</v>
      </c>
      <c r="J91" s="257">
        <f t="shared" si="207"/>
        <v>87.6</v>
      </c>
      <c r="K91" s="257"/>
      <c r="L91" s="257">
        <f t="shared" si="6"/>
        <v>1.1557948068397721</v>
      </c>
      <c r="M91" s="257">
        <f t="shared" si="144"/>
        <v>27.739075364154527</v>
      </c>
      <c r="N91" s="257">
        <f t="shared" si="159"/>
        <v>1.2598163394553517</v>
      </c>
      <c r="O91" s="257">
        <f t="shared" si="145"/>
        <v>30.23559214692844</v>
      </c>
      <c r="P91" s="257">
        <v>1.95</v>
      </c>
      <c r="Q91" s="257">
        <f t="shared" si="1"/>
        <v>46.8</v>
      </c>
      <c r="R91" s="257">
        <f t="shared" si="2"/>
        <v>0.6901836605446483</v>
      </c>
      <c r="S91" s="257">
        <f t="shared" si="3"/>
        <v>16.564407853071557</v>
      </c>
      <c r="T91" s="246">
        <f t="shared" si="4"/>
        <v>0.3539403387408453</v>
      </c>
      <c r="U91" s="138"/>
      <c r="V91" s="268">
        <f t="shared" si="160"/>
        <v>1.95</v>
      </c>
      <c r="W91" s="269">
        <v>0.18</v>
      </c>
      <c r="X91" s="270">
        <f t="shared" si="161"/>
        <v>2.3780487804878048</v>
      </c>
      <c r="Y91" s="271">
        <f t="shared" si="162"/>
        <v>0.42804878048780487</v>
      </c>
      <c r="Z91" s="267">
        <f t="shared" si="163"/>
        <v>3.8524390243902439E-2</v>
      </c>
      <c r="AA91" s="271">
        <f t="shared" si="164"/>
        <v>0.46657317073170729</v>
      </c>
      <c r="AB91" s="271">
        <f t="shared" si="165"/>
        <v>1.9114756097560974</v>
      </c>
      <c r="AC91" s="284">
        <f t="shared" si="166"/>
        <v>0.34091947968088221</v>
      </c>
      <c r="AD91" s="285">
        <f t="shared" si="167"/>
        <v>-1.3020859059963086E-2</v>
      </c>
      <c r="AE91" s="221" t="s">
        <v>269</v>
      </c>
    </row>
    <row r="92" spans="1:31" ht="40" customHeight="1" x14ac:dyDescent="0.2">
      <c r="A92" s="123">
        <v>87</v>
      </c>
      <c r="B92" s="274" t="s">
        <v>74</v>
      </c>
      <c r="C92" s="123">
        <v>1</v>
      </c>
      <c r="D92" s="123" t="s">
        <v>71</v>
      </c>
      <c r="E92" s="123">
        <f t="shared" si="142"/>
        <v>24</v>
      </c>
      <c r="F92" s="123" t="s">
        <v>269</v>
      </c>
      <c r="G92" s="123" t="s">
        <v>269</v>
      </c>
      <c r="H92" s="258">
        <v>87.6</v>
      </c>
      <c r="I92" s="257">
        <f t="shared" si="143"/>
        <v>3.65</v>
      </c>
      <c r="J92" s="257">
        <f t="shared" si="207"/>
        <v>87.6</v>
      </c>
      <c r="K92" s="257"/>
      <c r="L92" s="257">
        <f t="shared" si="6"/>
        <v>1.1557948068397721</v>
      </c>
      <c r="M92" s="257">
        <f t="shared" si="144"/>
        <v>27.739075364154527</v>
      </c>
      <c r="N92" s="257">
        <f t="shared" si="159"/>
        <v>1.2598163394553517</v>
      </c>
      <c r="O92" s="257">
        <f t="shared" si="145"/>
        <v>30.23559214692844</v>
      </c>
      <c r="P92" s="257">
        <v>1.95</v>
      </c>
      <c r="Q92" s="257">
        <f t="shared" si="1"/>
        <v>46.8</v>
      </c>
      <c r="R92" s="257">
        <f t="shared" si="2"/>
        <v>0.6901836605446483</v>
      </c>
      <c r="S92" s="257">
        <f t="shared" si="3"/>
        <v>16.564407853071557</v>
      </c>
      <c r="T92" s="246">
        <f t="shared" si="4"/>
        <v>0.3539403387408453</v>
      </c>
      <c r="U92" s="138"/>
      <c r="V92" s="268">
        <f t="shared" si="160"/>
        <v>1.95</v>
      </c>
      <c r="W92" s="269">
        <v>0.18</v>
      </c>
      <c r="X92" s="270">
        <f t="shared" si="161"/>
        <v>2.3780487804878048</v>
      </c>
      <c r="Y92" s="271">
        <f t="shared" si="162"/>
        <v>0.42804878048780487</v>
      </c>
      <c r="Z92" s="267">
        <f t="shared" si="163"/>
        <v>3.8524390243902439E-2</v>
      </c>
      <c r="AA92" s="271">
        <f t="shared" si="164"/>
        <v>0.46657317073170729</v>
      </c>
      <c r="AB92" s="271">
        <f t="shared" si="165"/>
        <v>1.9114756097560974</v>
      </c>
      <c r="AC92" s="284">
        <f t="shared" si="166"/>
        <v>0.34091947968088221</v>
      </c>
      <c r="AD92" s="285">
        <f t="shared" si="167"/>
        <v>-1.3020859059963086E-2</v>
      </c>
      <c r="AE92" s="221" t="s">
        <v>269</v>
      </c>
    </row>
    <row r="93" spans="1:31" ht="40" customHeight="1" x14ac:dyDescent="0.2">
      <c r="A93" s="123">
        <v>88</v>
      </c>
      <c r="B93" s="274" t="s">
        <v>75</v>
      </c>
      <c r="C93" s="123">
        <v>1</v>
      </c>
      <c r="D93" s="123" t="s">
        <v>71</v>
      </c>
      <c r="E93" s="123">
        <f t="shared" si="142"/>
        <v>24</v>
      </c>
      <c r="F93" s="123" t="s">
        <v>269</v>
      </c>
      <c r="G93" s="123" t="s">
        <v>269</v>
      </c>
      <c r="H93" s="258">
        <v>87.6</v>
      </c>
      <c r="I93" s="257">
        <f t="shared" si="143"/>
        <v>3.65</v>
      </c>
      <c r="J93" s="257">
        <f t="shared" si="207"/>
        <v>87.6</v>
      </c>
      <c r="K93" s="257"/>
      <c r="L93" s="257">
        <f t="shared" si="6"/>
        <v>1.1557948068397721</v>
      </c>
      <c r="M93" s="257">
        <f t="shared" si="144"/>
        <v>27.739075364154527</v>
      </c>
      <c r="N93" s="257">
        <f t="shared" si="159"/>
        <v>1.2598163394553517</v>
      </c>
      <c r="O93" s="257">
        <f t="shared" si="145"/>
        <v>30.23559214692844</v>
      </c>
      <c r="P93" s="257">
        <v>1.95</v>
      </c>
      <c r="Q93" s="257">
        <f t="shared" si="1"/>
        <v>46.8</v>
      </c>
      <c r="R93" s="257">
        <f t="shared" si="2"/>
        <v>0.6901836605446483</v>
      </c>
      <c r="S93" s="257">
        <f t="shared" si="3"/>
        <v>16.564407853071557</v>
      </c>
      <c r="T93" s="246">
        <f t="shared" si="4"/>
        <v>0.3539403387408453</v>
      </c>
      <c r="U93" s="138"/>
      <c r="V93" s="268">
        <f t="shared" si="160"/>
        <v>1.95</v>
      </c>
      <c r="W93" s="269">
        <v>0.18</v>
      </c>
      <c r="X93" s="270">
        <f t="shared" si="161"/>
        <v>2.3780487804878048</v>
      </c>
      <c r="Y93" s="271">
        <f t="shared" si="162"/>
        <v>0.42804878048780487</v>
      </c>
      <c r="Z93" s="267">
        <f t="shared" si="163"/>
        <v>3.8524390243902439E-2</v>
      </c>
      <c r="AA93" s="271">
        <f t="shared" si="164"/>
        <v>0.46657317073170729</v>
      </c>
      <c r="AB93" s="271">
        <f t="shared" si="165"/>
        <v>1.9114756097560974</v>
      </c>
      <c r="AC93" s="284">
        <f t="shared" si="166"/>
        <v>0.34091947968088221</v>
      </c>
      <c r="AD93" s="285">
        <f t="shared" si="167"/>
        <v>-1.3020859059963086E-2</v>
      </c>
      <c r="AE93" s="221" t="s">
        <v>269</v>
      </c>
    </row>
    <row r="94" spans="1:31" ht="40" customHeight="1" x14ac:dyDescent="0.2">
      <c r="A94" s="123">
        <v>89</v>
      </c>
      <c r="B94" s="274" t="s">
        <v>76</v>
      </c>
      <c r="C94" s="123">
        <v>1</v>
      </c>
      <c r="D94" s="123" t="s">
        <v>71</v>
      </c>
      <c r="E94" s="123">
        <f t="shared" si="142"/>
        <v>24</v>
      </c>
      <c r="F94" s="123" t="s">
        <v>269</v>
      </c>
      <c r="G94" s="123" t="s">
        <v>269</v>
      </c>
      <c r="H94" s="258">
        <v>87.6</v>
      </c>
      <c r="I94" s="257">
        <f t="shared" si="143"/>
        <v>3.65</v>
      </c>
      <c r="J94" s="257">
        <f t="shared" si="207"/>
        <v>87.6</v>
      </c>
      <c r="K94" s="257"/>
      <c r="L94" s="257">
        <f t="shared" si="6"/>
        <v>1.1557948068397721</v>
      </c>
      <c r="M94" s="257">
        <f t="shared" si="144"/>
        <v>27.739075364154527</v>
      </c>
      <c r="N94" s="257">
        <f t="shared" si="159"/>
        <v>1.2598163394553517</v>
      </c>
      <c r="O94" s="257">
        <f t="shared" si="145"/>
        <v>30.23559214692844</v>
      </c>
      <c r="P94" s="257">
        <v>1.95</v>
      </c>
      <c r="Q94" s="257">
        <f t="shared" si="1"/>
        <v>46.8</v>
      </c>
      <c r="R94" s="257">
        <f t="shared" si="2"/>
        <v>0.6901836605446483</v>
      </c>
      <c r="S94" s="257">
        <f t="shared" si="3"/>
        <v>16.564407853071557</v>
      </c>
      <c r="T94" s="246">
        <f t="shared" si="4"/>
        <v>0.3539403387408453</v>
      </c>
      <c r="U94" s="138"/>
      <c r="V94" s="268">
        <f t="shared" si="160"/>
        <v>1.95</v>
      </c>
      <c r="W94" s="269">
        <v>0.18</v>
      </c>
      <c r="X94" s="270">
        <f t="shared" si="161"/>
        <v>2.3780487804878048</v>
      </c>
      <c r="Y94" s="271">
        <f t="shared" si="162"/>
        <v>0.42804878048780487</v>
      </c>
      <c r="Z94" s="267">
        <f t="shared" si="163"/>
        <v>3.8524390243902439E-2</v>
      </c>
      <c r="AA94" s="271">
        <f t="shared" si="164"/>
        <v>0.46657317073170729</v>
      </c>
      <c r="AB94" s="271">
        <f t="shared" si="165"/>
        <v>1.9114756097560974</v>
      </c>
      <c r="AC94" s="284">
        <f t="shared" si="166"/>
        <v>0.34091947968088221</v>
      </c>
      <c r="AD94" s="285">
        <f t="shared" si="167"/>
        <v>-1.3020859059963086E-2</v>
      </c>
      <c r="AE94" s="221" t="s">
        <v>269</v>
      </c>
    </row>
    <row r="95" spans="1:31" ht="40" customHeight="1" x14ac:dyDescent="0.2">
      <c r="A95" s="123">
        <v>90</v>
      </c>
      <c r="B95" s="274" t="s">
        <v>77</v>
      </c>
      <c r="C95" s="123">
        <v>1</v>
      </c>
      <c r="D95" s="123" t="s">
        <v>71</v>
      </c>
      <c r="E95" s="123">
        <f t="shared" si="142"/>
        <v>24</v>
      </c>
      <c r="F95" s="123" t="s">
        <v>269</v>
      </c>
      <c r="G95" s="123" t="s">
        <v>269</v>
      </c>
      <c r="H95" s="258">
        <v>87.6</v>
      </c>
      <c r="I95" s="257">
        <f t="shared" si="143"/>
        <v>3.65</v>
      </c>
      <c r="J95" s="257">
        <f t="shared" si="207"/>
        <v>87.6</v>
      </c>
      <c r="K95" s="257"/>
      <c r="L95" s="257">
        <f t="shared" si="6"/>
        <v>1.1557948068397721</v>
      </c>
      <c r="M95" s="257">
        <f t="shared" si="144"/>
        <v>27.739075364154527</v>
      </c>
      <c r="N95" s="257">
        <f t="shared" si="159"/>
        <v>1.2598163394553517</v>
      </c>
      <c r="O95" s="257">
        <f t="shared" si="145"/>
        <v>30.23559214692844</v>
      </c>
      <c r="P95" s="257">
        <v>1.95</v>
      </c>
      <c r="Q95" s="257">
        <f t="shared" si="1"/>
        <v>46.8</v>
      </c>
      <c r="R95" s="257">
        <f t="shared" si="2"/>
        <v>0.6901836605446483</v>
      </c>
      <c r="S95" s="257">
        <f t="shared" si="3"/>
        <v>16.564407853071557</v>
      </c>
      <c r="T95" s="246">
        <f t="shared" si="4"/>
        <v>0.3539403387408453</v>
      </c>
      <c r="U95" s="135"/>
      <c r="V95" s="268">
        <f t="shared" si="160"/>
        <v>1.95</v>
      </c>
      <c r="W95" s="269">
        <v>0.18</v>
      </c>
      <c r="X95" s="270">
        <f t="shared" si="161"/>
        <v>2.3780487804878048</v>
      </c>
      <c r="Y95" s="271">
        <f t="shared" si="162"/>
        <v>0.42804878048780487</v>
      </c>
      <c r="Z95" s="267">
        <f t="shared" si="163"/>
        <v>3.8524390243902439E-2</v>
      </c>
      <c r="AA95" s="271">
        <f t="shared" si="164"/>
        <v>0.46657317073170729</v>
      </c>
      <c r="AB95" s="271">
        <f t="shared" si="165"/>
        <v>1.9114756097560974</v>
      </c>
      <c r="AC95" s="284">
        <f t="shared" si="166"/>
        <v>0.34091947968088221</v>
      </c>
      <c r="AD95" s="285">
        <f t="shared" si="167"/>
        <v>-1.3020859059963086E-2</v>
      </c>
      <c r="AE95" s="221" t="s">
        <v>269</v>
      </c>
    </row>
    <row r="96" spans="1:31" ht="40" customHeight="1" x14ac:dyDescent="0.2">
      <c r="A96" s="123">
        <v>91</v>
      </c>
      <c r="B96" s="274" t="s">
        <v>78</v>
      </c>
      <c r="C96" s="123">
        <v>1</v>
      </c>
      <c r="D96" s="123">
        <v>30</v>
      </c>
      <c r="E96" s="123">
        <f t="shared" si="142"/>
        <v>30</v>
      </c>
      <c r="F96" s="123" t="s">
        <v>269</v>
      </c>
      <c r="G96" s="123" t="s">
        <v>269</v>
      </c>
      <c r="H96" s="257">
        <v>168</v>
      </c>
      <c r="I96" s="257">
        <f t="shared" si="143"/>
        <v>5.6</v>
      </c>
      <c r="J96" s="257">
        <f t="shared" si="207"/>
        <v>168</v>
      </c>
      <c r="K96" s="257"/>
      <c r="L96" s="257">
        <f t="shared" si="6"/>
        <v>1.7732742241925268</v>
      </c>
      <c r="M96" s="257">
        <f t="shared" si="144"/>
        <v>53.198226725775811</v>
      </c>
      <c r="N96" s="257">
        <f t="shared" si="159"/>
        <v>1.9328689043698544</v>
      </c>
      <c r="O96" s="257">
        <f t="shared" si="145"/>
        <v>57.986067131095631</v>
      </c>
      <c r="P96" s="257">
        <v>2.95</v>
      </c>
      <c r="Q96" s="257">
        <f t="shared" si="1"/>
        <v>88.5</v>
      </c>
      <c r="R96" s="257">
        <f t="shared" si="2"/>
        <v>1.0171310956301458</v>
      </c>
      <c r="S96" s="257">
        <f t="shared" si="3"/>
        <v>30.513932868904369</v>
      </c>
      <c r="T96" s="246">
        <f t="shared" si="4"/>
        <v>0.344790201908524</v>
      </c>
      <c r="U96" s="138"/>
      <c r="V96" s="268">
        <f t="shared" si="160"/>
        <v>2.95</v>
      </c>
      <c r="W96" s="269">
        <v>0.18</v>
      </c>
      <c r="X96" s="270">
        <f t="shared" si="161"/>
        <v>3.5975609756097562</v>
      </c>
      <c r="Y96" s="271">
        <f t="shared" si="162"/>
        <v>0.64756097560975612</v>
      </c>
      <c r="Z96" s="267">
        <f t="shared" si="163"/>
        <v>5.8280487804878045E-2</v>
      </c>
      <c r="AA96" s="271">
        <f t="shared" si="164"/>
        <v>0.70584146341463416</v>
      </c>
      <c r="AB96" s="271">
        <f t="shared" si="165"/>
        <v>2.891719512195122</v>
      </c>
      <c r="AC96" s="284">
        <f t="shared" si="166"/>
        <v>0.33158492854564525</v>
      </c>
      <c r="AD96" s="285">
        <f t="shared" si="167"/>
        <v>-1.3205273362878744E-2</v>
      </c>
      <c r="AE96" s="221" t="s">
        <v>269</v>
      </c>
    </row>
    <row r="97" spans="1:31" ht="40" customHeight="1" x14ac:dyDescent="0.2">
      <c r="A97" s="123">
        <v>92</v>
      </c>
      <c r="B97" s="274" t="s">
        <v>236</v>
      </c>
      <c r="C97" s="123">
        <v>1</v>
      </c>
      <c r="D97" s="123">
        <v>24</v>
      </c>
      <c r="E97" s="123">
        <f t="shared" si="142"/>
        <v>24</v>
      </c>
      <c r="F97" s="123" t="s">
        <v>269</v>
      </c>
      <c r="G97" s="123" t="s">
        <v>269</v>
      </c>
      <c r="H97" s="257">
        <v>18.8</v>
      </c>
      <c r="I97" s="257">
        <f t="shared" ref="I97" si="218">H97/D97</f>
        <v>0.78333333333333333</v>
      </c>
      <c r="J97" s="257">
        <f t="shared" ref="J97" si="219">I97*E97</f>
        <v>18.8</v>
      </c>
      <c r="K97" s="257"/>
      <c r="L97" s="257">
        <f t="shared" ref="L97" si="220">I97/$S$2</f>
        <v>0.24804728731264514</v>
      </c>
      <c r="M97" s="257">
        <f t="shared" ref="M97" si="221">H97/$S$2</f>
        <v>5.9531348955034833</v>
      </c>
      <c r="N97" s="257">
        <f t="shared" si="159"/>
        <v>0.27037154317078321</v>
      </c>
      <c r="O97" s="257">
        <f t="shared" ref="O97" si="222">N97*E97</f>
        <v>6.4889170360987976</v>
      </c>
      <c r="P97" s="257">
        <v>0.75</v>
      </c>
      <c r="Q97" s="257">
        <f t="shared" ref="Q97" si="223">P97*E97</f>
        <v>18</v>
      </c>
      <c r="R97" s="257">
        <f t="shared" ref="R97" si="224">P97-N97</f>
        <v>0.47962845682921679</v>
      </c>
      <c r="S97" s="257">
        <f t="shared" ref="S97" si="225">Q97-O97</f>
        <v>11.511082963901202</v>
      </c>
      <c r="T97" s="246">
        <f t="shared" ref="T97" si="226">R97/P97</f>
        <v>0.63950460910562235</v>
      </c>
      <c r="U97" s="138"/>
      <c r="V97" s="268">
        <f t="shared" si="160"/>
        <v>0.75</v>
      </c>
      <c r="W97" s="269">
        <v>0.18</v>
      </c>
      <c r="X97" s="270">
        <f t="shared" si="161"/>
        <v>0.91463414634146334</v>
      </c>
      <c r="Y97" s="271">
        <f t="shared" si="162"/>
        <v>0.16463414634146339</v>
      </c>
      <c r="Z97" s="267">
        <f t="shared" si="163"/>
        <v>1.4817073170731705E-2</v>
      </c>
      <c r="AA97" s="271">
        <f t="shared" si="164"/>
        <v>0.17945121951219509</v>
      </c>
      <c r="AB97" s="271">
        <f t="shared" si="165"/>
        <v>0.73518292682926822</v>
      </c>
      <c r="AC97" s="284">
        <f t="shared" si="166"/>
        <v>0.63223908866211787</v>
      </c>
      <c r="AD97" s="285">
        <f t="shared" si="167"/>
        <v>-7.2655204435044807E-3</v>
      </c>
      <c r="AE97" s="221" t="s">
        <v>269</v>
      </c>
    </row>
    <row r="98" spans="1:31" ht="40" customHeight="1" x14ac:dyDescent="0.2">
      <c r="A98" s="123">
        <v>93</v>
      </c>
      <c r="B98" s="274" t="s">
        <v>80</v>
      </c>
      <c r="C98" s="123">
        <v>1</v>
      </c>
      <c r="D98" s="123" t="s">
        <v>44</v>
      </c>
      <c r="E98" s="123">
        <f t="shared" si="142"/>
        <v>144</v>
      </c>
      <c r="F98" s="123" t="s">
        <v>269</v>
      </c>
      <c r="G98" s="123" t="s">
        <v>269</v>
      </c>
      <c r="H98" s="257">
        <v>220.8</v>
      </c>
      <c r="I98" s="257">
        <f t="shared" si="143"/>
        <v>1.5333333333333334</v>
      </c>
      <c r="J98" s="257">
        <f t="shared" si="207"/>
        <v>220.8</v>
      </c>
      <c r="K98" s="257"/>
      <c r="L98" s="257">
        <f t="shared" si="6"/>
        <v>0.4855393709098586</v>
      </c>
      <c r="M98" s="257">
        <f t="shared" si="144"/>
        <v>69.917669411019645</v>
      </c>
      <c r="N98" s="257">
        <f t="shared" si="159"/>
        <v>0.52923791429174594</v>
      </c>
      <c r="O98" s="257">
        <f t="shared" si="145"/>
        <v>76.21025965801141</v>
      </c>
      <c r="P98" s="257"/>
      <c r="Q98" s="257">
        <f t="shared" si="1"/>
        <v>0</v>
      </c>
      <c r="R98" s="257">
        <f t="shared" si="2"/>
        <v>-0.52923791429174594</v>
      </c>
      <c r="S98" s="257">
        <f t="shared" si="3"/>
        <v>-76.21025965801141</v>
      </c>
      <c r="T98" s="246" t="e">
        <f t="shared" si="4"/>
        <v>#DIV/0!</v>
      </c>
      <c r="U98" s="138"/>
      <c r="V98" s="268">
        <f t="shared" si="160"/>
        <v>0</v>
      </c>
      <c r="W98" s="269">
        <v>0.18</v>
      </c>
      <c r="X98" s="270">
        <f t="shared" si="161"/>
        <v>0</v>
      </c>
      <c r="Y98" s="271">
        <f t="shared" si="162"/>
        <v>0</v>
      </c>
      <c r="Z98" s="267">
        <f t="shared" si="163"/>
        <v>0</v>
      </c>
      <c r="AA98" s="271">
        <f t="shared" si="164"/>
        <v>0</v>
      </c>
      <c r="AB98" s="271">
        <f t="shared" si="165"/>
        <v>0</v>
      </c>
      <c r="AC98" s="284" t="e">
        <f t="shared" si="166"/>
        <v>#DIV/0!</v>
      </c>
      <c r="AD98" s="285" t="e">
        <f t="shared" si="167"/>
        <v>#DIV/0!</v>
      </c>
      <c r="AE98" s="221" t="s">
        <v>269</v>
      </c>
    </row>
    <row r="99" spans="1:31" ht="40" customHeight="1" x14ac:dyDescent="0.2">
      <c r="A99" s="123">
        <v>94</v>
      </c>
      <c r="B99" s="274" t="s">
        <v>189</v>
      </c>
      <c r="C99" s="123">
        <v>1</v>
      </c>
      <c r="D99" s="123">
        <v>48</v>
      </c>
      <c r="E99" s="123">
        <f t="shared" si="142"/>
        <v>48</v>
      </c>
      <c r="F99" s="123" t="s">
        <v>269</v>
      </c>
      <c r="G99" s="123" t="s">
        <v>269</v>
      </c>
      <c r="H99" s="257">
        <v>98.4</v>
      </c>
      <c r="I99" s="257">
        <f t="shared" si="143"/>
        <v>2.0500000000000003</v>
      </c>
      <c r="J99" s="257">
        <f t="shared" si="207"/>
        <v>98.4</v>
      </c>
      <c r="K99" s="257"/>
      <c r="L99" s="257">
        <f t="shared" si="6"/>
        <v>0.64914502849905009</v>
      </c>
      <c r="M99" s="257">
        <f t="shared" si="144"/>
        <v>31.158961367954404</v>
      </c>
      <c r="N99" s="257">
        <f t="shared" si="159"/>
        <v>0.70756808106396463</v>
      </c>
      <c r="O99" s="257">
        <f t="shared" ref="O99:O104" si="227">N99*E99</f>
        <v>33.963267891070302</v>
      </c>
      <c r="P99" s="257">
        <v>1.25</v>
      </c>
      <c r="Q99" s="257">
        <f t="shared" ref="Q99:Q104" si="228">P99*E99</f>
        <v>60</v>
      </c>
      <c r="R99" s="257">
        <f t="shared" ref="R99:R104" si="229">P99-N99</f>
        <v>0.54243191893603537</v>
      </c>
      <c r="S99" s="257">
        <f t="shared" ref="S99:S104" si="230">Q99-O99</f>
        <v>26.036732108929698</v>
      </c>
      <c r="T99" s="246">
        <f t="shared" ref="T99:T104" si="231">R99/P99</f>
        <v>0.43394553514882828</v>
      </c>
      <c r="U99" s="138"/>
      <c r="V99" s="268">
        <f t="shared" si="160"/>
        <v>1.25</v>
      </c>
      <c r="W99" s="269">
        <v>0.18</v>
      </c>
      <c r="X99" s="270">
        <f t="shared" si="161"/>
        <v>1.5243902439024388</v>
      </c>
      <c r="Y99" s="271">
        <f t="shared" si="162"/>
        <v>0.27439024390243899</v>
      </c>
      <c r="Z99" s="267">
        <f t="shared" si="163"/>
        <v>2.469512195121951E-2</v>
      </c>
      <c r="AA99" s="271">
        <f t="shared" si="164"/>
        <v>0.29908536585365852</v>
      </c>
      <c r="AB99" s="271">
        <f t="shared" si="165"/>
        <v>1.2253048780487803</v>
      </c>
      <c r="AC99" s="284">
        <f t="shared" si="166"/>
        <v>0.42253712219711265</v>
      </c>
      <c r="AD99" s="285">
        <f t="shared" si="167"/>
        <v>-1.140841295171563E-2</v>
      </c>
      <c r="AE99" s="221">
        <v>1.05</v>
      </c>
    </row>
    <row r="100" spans="1:31" ht="40" customHeight="1" x14ac:dyDescent="0.2">
      <c r="A100" s="123">
        <v>95</v>
      </c>
      <c r="B100" s="274" t="s">
        <v>190</v>
      </c>
      <c r="C100" s="123">
        <v>1</v>
      </c>
      <c r="D100" s="123">
        <v>48</v>
      </c>
      <c r="E100" s="123">
        <f t="shared" si="142"/>
        <v>48</v>
      </c>
      <c r="F100" s="123" t="s">
        <v>269</v>
      </c>
      <c r="G100" s="123" t="s">
        <v>269</v>
      </c>
      <c r="H100" s="257">
        <v>98.4</v>
      </c>
      <c r="I100" s="257">
        <f t="shared" si="143"/>
        <v>2.0500000000000003</v>
      </c>
      <c r="J100" s="257">
        <f t="shared" si="207"/>
        <v>98.4</v>
      </c>
      <c r="K100" s="257"/>
      <c r="L100" s="257">
        <f t="shared" si="6"/>
        <v>0.64914502849905009</v>
      </c>
      <c r="M100" s="257">
        <f t="shared" si="144"/>
        <v>31.158961367954404</v>
      </c>
      <c r="N100" s="257">
        <f t="shared" si="159"/>
        <v>0.70756808106396463</v>
      </c>
      <c r="O100" s="257">
        <f t="shared" si="227"/>
        <v>33.963267891070302</v>
      </c>
      <c r="P100" s="257">
        <v>1.25</v>
      </c>
      <c r="Q100" s="257">
        <f t="shared" si="228"/>
        <v>60</v>
      </c>
      <c r="R100" s="257">
        <f t="shared" si="229"/>
        <v>0.54243191893603537</v>
      </c>
      <c r="S100" s="257">
        <f t="shared" si="230"/>
        <v>26.036732108929698</v>
      </c>
      <c r="T100" s="246">
        <f t="shared" si="231"/>
        <v>0.43394553514882828</v>
      </c>
      <c r="U100" s="138"/>
      <c r="V100" s="268">
        <f t="shared" si="160"/>
        <v>1.25</v>
      </c>
      <c r="W100" s="269">
        <v>0.18</v>
      </c>
      <c r="X100" s="270">
        <f t="shared" si="161"/>
        <v>1.5243902439024388</v>
      </c>
      <c r="Y100" s="271">
        <f t="shared" si="162"/>
        <v>0.27439024390243899</v>
      </c>
      <c r="Z100" s="267">
        <f t="shared" si="163"/>
        <v>2.469512195121951E-2</v>
      </c>
      <c r="AA100" s="271">
        <f t="shared" si="164"/>
        <v>0.29908536585365852</v>
      </c>
      <c r="AB100" s="271">
        <f t="shared" si="165"/>
        <v>1.2253048780487803</v>
      </c>
      <c r="AC100" s="284">
        <f t="shared" si="166"/>
        <v>0.42253712219711265</v>
      </c>
      <c r="AD100" s="285">
        <f t="shared" si="167"/>
        <v>-1.140841295171563E-2</v>
      </c>
      <c r="AE100" s="221">
        <v>1.05</v>
      </c>
    </row>
    <row r="101" spans="1:31" ht="40" customHeight="1" x14ac:dyDescent="0.2">
      <c r="A101" s="123">
        <v>96</v>
      </c>
      <c r="B101" s="274" t="s">
        <v>192</v>
      </c>
      <c r="C101" s="123">
        <v>1</v>
      </c>
      <c r="D101" s="123">
        <v>48</v>
      </c>
      <c r="E101" s="123">
        <f t="shared" si="142"/>
        <v>48</v>
      </c>
      <c r="F101" s="123" t="s">
        <v>269</v>
      </c>
      <c r="G101" s="123" t="s">
        <v>269</v>
      </c>
      <c r="H101" s="257">
        <v>98.4</v>
      </c>
      <c r="I101" s="257">
        <f t="shared" si="143"/>
        <v>2.0500000000000003</v>
      </c>
      <c r="J101" s="257">
        <f t="shared" si="207"/>
        <v>98.4</v>
      </c>
      <c r="K101" s="257"/>
      <c r="L101" s="257">
        <f t="shared" si="6"/>
        <v>0.64914502849905009</v>
      </c>
      <c r="M101" s="257">
        <f t="shared" si="144"/>
        <v>31.158961367954404</v>
      </c>
      <c r="N101" s="257">
        <f t="shared" si="159"/>
        <v>0.70756808106396463</v>
      </c>
      <c r="O101" s="257">
        <f t="shared" si="227"/>
        <v>33.963267891070302</v>
      </c>
      <c r="P101" s="257">
        <v>1.25</v>
      </c>
      <c r="Q101" s="257">
        <f t="shared" si="228"/>
        <v>60</v>
      </c>
      <c r="R101" s="257">
        <f t="shared" si="229"/>
        <v>0.54243191893603537</v>
      </c>
      <c r="S101" s="257">
        <f t="shared" si="230"/>
        <v>26.036732108929698</v>
      </c>
      <c r="T101" s="246">
        <f t="shared" si="231"/>
        <v>0.43394553514882828</v>
      </c>
      <c r="U101" s="138"/>
      <c r="V101" s="268">
        <f t="shared" si="160"/>
        <v>1.25</v>
      </c>
      <c r="W101" s="269">
        <v>0.18</v>
      </c>
      <c r="X101" s="270">
        <f t="shared" si="161"/>
        <v>1.5243902439024388</v>
      </c>
      <c r="Y101" s="271">
        <f t="shared" si="162"/>
        <v>0.27439024390243899</v>
      </c>
      <c r="Z101" s="267">
        <f t="shared" si="163"/>
        <v>2.469512195121951E-2</v>
      </c>
      <c r="AA101" s="271">
        <f t="shared" si="164"/>
        <v>0.29908536585365852</v>
      </c>
      <c r="AB101" s="271">
        <f t="shared" si="165"/>
        <v>1.2253048780487803</v>
      </c>
      <c r="AC101" s="284">
        <f t="shared" si="166"/>
        <v>0.42253712219711265</v>
      </c>
      <c r="AD101" s="285">
        <f t="shared" si="167"/>
        <v>-1.140841295171563E-2</v>
      </c>
      <c r="AE101" s="221">
        <v>1.05</v>
      </c>
    </row>
    <row r="102" spans="1:31" ht="40" customHeight="1" x14ac:dyDescent="0.2">
      <c r="A102" s="123">
        <v>98</v>
      </c>
      <c r="B102" s="274" t="s">
        <v>212</v>
      </c>
      <c r="C102" s="123">
        <v>1</v>
      </c>
      <c r="D102" s="123">
        <v>48</v>
      </c>
      <c r="E102" s="123">
        <f t="shared" ref="E102:E103" si="232">D102*C102</f>
        <v>48</v>
      </c>
      <c r="F102" s="123" t="s">
        <v>269</v>
      </c>
      <c r="G102" s="123" t="s">
        <v>269</v>
      </c>
      <c r="H102" s="257">
        <v>98.4</v>
      </c>
      <c r="I102" s="257">
        <f t="shared" ref="I102:I103" si="233">H102/D102</f>
        <v>2.0500000000000003</v>
      </c>
      <c r="J102" s="257">
        <f t="shared" ref="J102:J103" si="234">I102*E102</f>
        <v>98.4</v>
      </c>
      <c r="K102" s="257"/>
      <c r="L102" s="257">
        <f t="shared" ref="L102:L103" si="235">I102/$S$2</f>
        <v>0.64914502849905009</v>
      </c>
      <c r="M102" s="257">
        <f t="shared" ref="M102:M103" si="236">H102/$S$2</f>
        <v>31.158961367954404</v>
      </c>
      <c r="N102" s="257">
        <f t="shared" ref="N102:N133" si="237">L102*(1+$O$188+9%)</f>
        <v>0.70756808106396463</v>
      </c>
      <c r="O102" s="257">
        <f t="shared" ref="O102:O103" si="238">N102*E102</f>
        <v>33.963267891070302</v>
      </c>
      <c r="P102" s="257">
        <v>1.25</v>
      </c>
      <c r="Q102" s="257">
        <f t="shared" ref="Q102:Q103" si="239">P102*E102</f>
        <v>60</v>
      </c>
      <c r="R102" s="257">
        <f t="shared" ref="R102:R103" si="240">P102-N102</f>
        <v>0.54243191893603537</v>
      </c>
      <c r="S102" s="257">
        <f t="shared" ref="S102:S103" si="241">Q102-O102</f>
        <v>26.036732108929698</v>
      </c>
      <c r="T102" s="246">
        <f t="shared" ref="T102:T103" si="242">R102/P102</f>
        <v>0.43394553514882828</v>
      </c>
      <c r="U102" s="138"/>
      <c r="V102" s="268">
        <f t="shared" si="160"/>
        <v>1.25</v>
      </c>
      <c r="W102" s="269">
        <v>0.18</v>
      </c>
      <c r="X102" s="270">
        <f t="shared" si="161"/>
        <v>1.5243902439024388</v>
      </c>
      <c r="Y102" s="271">
        <f t="shared" si="162"/>
        <v>0.27439024390243899</v>
      </c>
      <c r="Z102" s="267">
        <f t="shared" si="163"/>
        <v>2.469512195121951E-2</v>
      </c>
      <c r="AA102" s="271">
        <f t="shared" si="164"/>
        <v>0.29908536585365852</v>
      </c>
      <c r="AB102" s="271">
        <f t="shared" si="165"/>
        <v>1.2253048780487803</v>
      </c>
      <c r="AC102" s="284">
        <f t="shared" si="166"/>
        <v>0.42253712219711265</v>
      </c>
      <c r="AD102" s="285">
        <f t="shared" si="167"/>
        <v>-1.140841295171563E-2</v>
      </c>
      <c r="AE102" s="221">
        <v>1.05</v>
      </c>
    </row>
    <row r="103" spans="1:31" ht="40" customHeight="1" x14ac:dyDescent="0.2">
      <c r="A103" s="123">
        <v>99</v>
      </c>
      <c r="B103" s="274" t="s">
        <v>213</v>
      </c>
      <c r="C103" s="123">
        <v>1</v>
      </c>
      <c r="D103" s="123">
        <v>48</v>
      </c>
      <c r="E103" s="123">
        <f t="shared" si="232"/>
        <v>48</v>
      </c>
      <c r="F103" s="123" t="s">
        <v>269</v>
      </c>
      <c r="G103" s="123" t="s">
        <v>269</v>
      </c>
      <c r="H103" s="257">
        <v>98.4</v>
      </c>
      <c r="I103" s="257">
        <f t="shared" si="233"/>
        <v>2.0500000000000003</v>
      </c>
      <c r="J103" s="257">
        <f t="shared" si="234"/>
        <v>98.4</v>
      </c>
      <c r="K103" s="257"/>
      <c r="L103" s="257">
        <f t="shared" si="235"/>
        <v>0.64914502849905009</v>
      </c>
      <c r="M103" s="257">
        <f t="shared" si="236"/>
        <v>31.158961367954404</v>
      </c>
      <c r="N103" s="257">
        <f t="shared" si="237"/>
        <v>0.70756808106396463</v>
      </c>
      <c r="O103" s="257">
        <f t="shared" si="238"/>
        <v>33.963267891070302</v>
      </c>
      <c r="P103" s="257">
        <v>1.25</v>
      </c>
      <c r="Q103" s="257">
        <f t="shared" si="239"/>
        <v>60</v>
      </c>
      <c r="R103" s="257">
        <f t="shared" si="240"/>
        <v>0.54243191893603537</v>
      </c>
      <c r="S103" s="257">
        <f t="shared" si="241"/>
        <v>26.036732108929698</v>
      </c>
      <c r="T103" s="246">
        <f t="shared" si="242"/>
        <v>0.43394553514882828</v>
      </c>
      <c r="U103" s="138"/>
      <c r="V103" s="268">
        <f t="shared" si="160"/>
        <v>1.25</v>
      </c>
      <c r="W103" s="269">
        <v>0.18</v>
      </c>
      <c r="X103" s="270">
        <f t="shared" si="161"/>
        <v>1.5243902439024388</v>
      </c>
      <c r="Y103" s="271">
        <f t="shared" si="162"/>
        <v>0.27439024390243899</v>
      </c>
      <c r="Z103" s="267">
        <f t="shared" si="163"/>
        <v>2.469512195121951E-2</v>
      </c>
      <c r="AA103" s="271">
        <f t="shared" si="164"/>
        <v>0.29908536585365852</v>
      </c>
      <c r="AB103" s="271">
        <f t="shared" si="165"/>
        <v>1.2253048780487803</v>
      </c>
      <c r="AC103" s="284">
        <f t="shared" si="166"/>
        <v>0.42253712219711265</v>
      </c>
      <c r="AD103" s="285">
        <f t="shared" si="167"/>
        <v>-1.140841295171563E-2</v>
      </c>
      <c r="AE103" s="221">
        <v>1.05</v>
      </c>
    </row>
    <row r="104" spans="1:31" ht="40" customHeight="1" x14ac:dyDescent="0.2">
      <c r="A104" s="123">
        <v>100</v>
      </c>
      <c r="B104" s="274" t="s">
        <v>191</v>
      </c>
      <c r="C104" s="123">
        <v>1</v>
      </c>
      <c r="D104" s="123">
        <v>48</v>
      </c>
      <c r="E104" s="123">
        <f t="shared" si="142"/>
        <v>48</v>
      </c>
      <c r="F104" s="123" t="s">
        <v>269</v>
      </c>
      <c r="G104" s="123" t="s">
        <v>269</v>
      </c>
      <c r="H104" s="257">
        <v>98.4</v>
      </c>
      <c r="I104" s="257">
        <f t="shared" si="143"/>
        <v>2.0500000000000003</v>
      </c>
      <c r="J104" s="257">
        <f t="shared" si="207"/>
        <v>98.4</v>
      </c>
      <c r="K104" s="257"/>
      <c r="L104" s="257">
        <f t="shared" si="6"/>
        <v>0.64914502849905009</v>
      </c>
      <c r="M104" s="257">
        <f t="shared" si="144"/>
        <v>31.158961367954404</v>
      </c>
      <c r="N104" s="257">
        <f t="shared" si="237"/>
        <v>0.70756808106396463</v>
      </c>
      <c r="O104" s="257">
        <f t="shared" si="227"/>
        <v>33.963267891070302</v>
      </c>
      <c r="P104" s="257">
        <v>1.25</v>
      </c>
      <c r="Q104" s="257">
        <f t="shared" si="228"/>
        <v>60</v>
      </c>
      <c r="R104" s="257">
        <f t="shared" si="229"/>
        <v>0.54243191893603537</v>
      </c>
      <c r="S104" s="257">
        <f t="shared" si="230"/>
        <v>26.036732108929698</v>
      </c>
      <c r="T104" s="246">
        <f t="shared" si="231"/>
        <v>0.43394553514882828</v>
      </c>
      <c r="U104" s="138"/>
      <c r="V104" s="268">
        <f t="shared" si="160"/>
        <v>1.25</v>
      </c>
      <c r="W104" s="269">
        <v>0.18</v>
      </c>
      <c r="X104" s="270">
        <f t="shared" si="161"/>
        <v>1.5243902439024388</v>
      </c>
      <c r="Y104" s="271">
        <f t="shared" si="162"/>
        <v>0.27439024390243899</v>
      </c>
      <c r="Z104" s="267">
        <f t="shared" si="163"/>
        <v>2.469512195121951E-2</v>
      </c>
      <c r="AA104" s="271">
        <f t="shared" si="164"/>
        <v>0.29908536585365852</v>
      </c>
      <c r="AB104" s="271">
        <f t="shared" si="165"/>
        <v>1.2253048780487803</v>
      </c>
      <c r="AC104" s="284">
        <f t="shared" si="166"/>
        <v>0.42253712219711265</v>
      </c>
      <c r="AD104" s="285">
        <f t="shared" si="167"/>
        <v>-1.140841295171563E-2</v>
      </c>
      <c r="AE104" s="221">
        <v>1.05</v>
      </c>
    </row>
    <row r="105" spans="1:31" ht="40" customHeight="1" x14ac:dyDescent="0.2">
      <c r="A105" s="123">
        <v>101</v>
      </c>
      <c r="B105" s="274" t="s">
        <v>81</v>
      </c>
      <c r="C105" s="123">
        <v>1</v>
      </c>
      <c r="D105" s="123" t="s">
        <v>71</v>
      </c>
      <c r="E105" s="123">
        <f t="shared" si="142"/>
        <v>24</v>
      </c>
      <c r="F105" s="123" t="s">
        <v>269</v>
      </c>
      <c r="G105" s="123" t="s">
        <v>269</v>
      </c>
      <c r="H105" s="257">
        <v>118.56</v>
      </c>
      <c r="I105" s="257">
        <f t="shared" si="143"/>
        <v>4.9400000000000004</v>
      </c>
      <c r="J105" s="257">
        <f t="shared" si="207"/>
        <v>118.56</v>
      </c>
      <c r="K105" s="257"/>
      <c r="L105" s="257">
        <f t="shared" si="6"/>
        <v>1.5642811906269793</v>
      </c>
      <c r="M105" s="257">
        <f t="shared" si="144"/>
        <v>37.542748575047497</v>
      </c>
      <c r="N105" s="257">
        <f t="shared" si="237"/>
        <v>1.7050664977834076</v>
      </c>
      <c r="O105" s="257">
        <f t="shared" si="145"/>
        <v>40.92159594680178</v>
      </c>
      <c r="P105" s="257">
        <v>2.5</v>
      </c>
      <c r="Q105" s="257">
        <f t="shared" si="1"/>
        <v>60</v>
      </c>
      <c r="R105" s="257">
        <f t="shared" si="2"/>
        <v>0.79493350221659242</v>
      </c>
      <c r="S105" s="257">
        <f t="shared" si="3"/>
        <v>19.07840405319822</v>
      </c>
      <c r="T105" s="246">
        <f t="shared" si="4"/>
        <v>0.31797340088663695</v>
      </c>
      <c r="U105" s="138"/>
      <c r="V105" s="268">
        <f t="shared" si="160"/>
        <v>2.5</v>
      </c>
      <c r="W105" s="269">
        <v>0.18</v>
      </c>
      <c r="X105" s="270">
        <f t="shared" si="161"/>
        <v>3.0487804878048776</v>
      </c>
      <c r="Y105" s="271">
        <f t="shared" si="162"/>
        <v>0.54878048780487798</v>
      </c>
      <c r="Z105" s="267">
        <f t="shared" si="163"/>
        <v>4.939024390243902E-2</v>
      </c>
      <c r="AA105" s="271">
        <f t="shared" si="164"/>
        <v>0.59817073170731705</v>
      </c>
      <c r="AB105" s="271">
        <f t="shared" si="165"/>
        <v>2.4506097560975606</v>
      </c>
      <c r="AC105" s="284">
        <f t="shared" si="166"/>
        <v>0.30422765454969175</v>
      </c>
      <c r="AD105" s="285">
        <f t="shared" si="167"/>
        <v>-1.3745746336945197E-2</v>
      </c>
      <c r="AE105" s="221" t="s">
        <v>269</v>
      </c>
    </row>
    <row r="106" spans="1:31" ht="40" customHeight="1" x14ac:dyDescent="0.2">
      <c r="A106" s="123">
        <v>102</v>
      </c>
      <c r="B106" s="274" t="s">
        <v>82</v>
      </c>
      <c r="C106" s="123">
        <v>1</v>
      </c>
      <c r="D106" s="123" t="s">
        <v>71</v>
      </c>
      <c r="E106" s="123">
        <f t="shared" si="142"/>
        <v>24</v>
      </c>
      <c r="F106" s="123" t="s">
        <v>269</v>
      </c>
      <c r="G106" s="123" t="s">
        <v>269</v>
      </c>
      <c r="H106" s="257">
        <v>118.56</v>
      </c>
      <c r="I106" s="257">
        <f t="shared" si="143"/>
        <v>4.9400000000000004</v>
      </c>
      <c r="J106" s="257">
        <f t="shared" si="207"/>
        <v>118.56</v>
      </c>
      <c r="K106" s="257"/>
      <c r="L106" s="257">
        <f t="shared" si="6"/>
        <v>1.5642811906269793</v>
      </c>
      <c r="M106" s="257">
        <f t="shared" si="144"/>
        <v>37.542748575047497</v>
      </c>
      <c r="N106" s="257">
        <f t="shared" si="237"/>
        <v>1.7050664977834076</v>
      </c>
      <c r="O106" s="257">
        <f t="shared" si="145"/>
        <v>40.92159594680178</v>
      </c>
      <c r="P106" s="257">
        <v>2.5</v>
      </c>
      <c r="Q106" s="257">
        <f t="shared" si="1"/>
        <v>60</v>
      </c>
      <c r="R106" s="257">
        <f t="shared" si="2"/>
        <v>0.79493350221659242</v>
      </c>
      <c r="S106" s="257">
        <f t="shared" si="3"/>
        <v>19.07840405319822</v>
      </c>
      <c r="T106" s="246">
        <f t="shared" si="4"/>
        <v>0.31797340088663695</v>
      </c>
      <c r="U106" s="138"/>
      <c r="V106" s="268">
        <f t="shared" si="160"/>
        <v>2.5</v>
      </c>
      <c r="W106" s="269">
        <v>0.18</v>
      </c>
      <c r="X106" s="270">
        <f t="shared" si="161"/>
        <v>3.0487804878048776</v>
      </c>
      <c r="Y106" s="271">
        <f t="shared" si="162"/>
        <v>0.54878048780487798</v>
      </c>
      <c r="Z106" s="267">
        <f t="shared" si="163"/>
        <v>4.939024390243902E-2</v>
      </c>
      <c r="AA106" s="271">
        <f t="shared" si="164"/>
        <v>0.59817073170731705</v>
      </c>
      <c r="AB106" s="271">
        <f t="shared" si="165"/>
        <v>2.4506097560975606</v>
      </c>
      <c r="AC106" s="284">
        <f t="shared" si="166"/>
        <v>0.30422765454969175</v>
      </c>
      <c r="AD106" s="285">
        <f t="shared" si="167"/>
        <v>-1.3745746336945197E-2</v>
      </c>
      <c r="AE106" s="221" t="s">
        <v>269</v>
      </c>
    </row>
    <row r="107" spans="1:31" ht="40" customHeight="1" x14ac:dyDescent="0.2">
      <c r="A107" s="123">
        <v>103</v>
      </c>
      <c r="B107" s="274" t="s">
        <v>83</v>
      </c>
      <c r="C107" s="123">
        <v>1</v>
      </c>
      <c r="D107" s="123" t="s">
        <v>71</v>
      </c>
      <c r="E107" s="123">
        <f t="shared" si="142"/>
        <v>24</v>
      </c>
      <c r="F107" s="123" t="s">
        <v>269</v>
      </c>
      <c r="G107" s="123" t="s">
        <v>269</v>
      </c>
      <c r="H107" s="257">
        <v>118.56</v>
      </c>
      <c r="I107" s="257">
        <f t="shared" si="143"/>
        <v>4.9400000000000004</v>
      </c>
      <c r="J107" s="257">
        <f t="shared" si="207"/>
        <v>118.56</v>
      </c>
      <c r="K107" s="257"/>
      <c r="L107" s="257">
        <f t="shared" si="6"/>
        <v>1.5642811906269793</v>
      </c>
      <c r="M107" s="257">
        <f t="shared" si="144"/>
        <v>37.542748575047497</v>
      </c>
      <c r="N107" s="257">
        <f t="shared" si="237"/>
        <v>1.7050664977834076</v>
      </c>
      <c r="O107" s="257">
        <f t="shared" si="145"/>
        <v>40.92159594680178</v>
      </c>
      <c r="P107" s="257">
        <v>2.5</v>
      </c>
      <c r="Q107" s="257">
        <f t="shared" si="1"/>
        <v>60</v>
      </c>
      <c r="R107" s="257">
        <f t="shared" si="2"/>
        <v>0.79493350221659242</v>
      </c>
      <c r="S107" s="257">
        <f t="shared" si="3"/>
        <v>19.07840405319822</v>
      </c>
      <c r="T107" s="246">
        <f t="shared" si="4"/>
        <v>0.31797340088663695</v>
      </c>
      <c r="U107" s="135"/>
      <c r="V107" s="268">
        <f t="shared" si="160"/>
        <v>2.5</v>
      </c>
      <c r="W107" s="269">
        <v>0.18</v>
      </c>
      <c r="X107" s="270">
        <f t="shared" si="161"/>
        <v>3.0487804878048776</v>
      </c>
      <c r="Y107" s="271">
        <f t="shared" si="162"/>
        <v>0.54878048780487798</v>
      </c>
      <c r="Z107" s="267">
        <f t="shared" si="163"/>
        <v>4.939024390243902E-2</v>
      </c>
      <c r="AA107" s="271">
        <f t="shared" si="164"/>
        <v>0.59817073170731705</v>
      </c>
      <c r="AB107" s="271">
        <f t="shared" si="165"/>
        <v>2.4506097560975606</v>
      </c>
      <c r="AC107" s="284">
        <f t="shared" si="166"/>
        <v>0.30422765454969175</v>
      </c>
      <c r="AD107" s="285">
        <f t="shared" si="167"/>
        <v>-1.3745746336945197E-2</v>
      </c>
      <c r="AE107" s="221" t="s">
        <v>269</v>
      </c>
    </row>
    <row r="108" spans="1:31" ht="40" customHeight="1" x14ac:dyDescent="0.2">
      <c r="A108" s="123">
        <v>104</v>
      </c>
      <c r="B108" s="274" t="s">
        <v>84</v>
      </c>
      <c r="C108" s="123">
        <v>1</v>
      </c>
      <c r="D108" s="123" t="s">
        <v>71</v>
      </c>
      <c r="E108" s="123">
        <f t="shared" si="142"/>
        <v>24</v>
      </c>
      <c r="F108" s="123" t="s">
        <v>269</v>
      </c>
      <c r="G108" s="123" t="s">
        <v>269</v>
      </c>
      <c r="H108" s="257">
        <v>118.56</v>
      </c>
      <c r="I108" s="257">
        <f t="shared" si="143"/>
        <v>4.9400000000000004</v>
      </c>
      <c r="J108" s="257">
        <f t="shared" si="207"/>
        <v>118.56</v>
      </c>
      <c r="K108" s="257"/>
      <c r="L108" s="257">
        <f t="shared" si="6"/>
        <v>1.5642811906269793</v>
      </c>
      <c r="M108" s="257">
        <f t="shared" si="144"/>
        <v>37.542748575047497</v>
      </c>
      <c r="N108" s="257">
        <f t="shared" si="237"/>
        <v>1.7050664977834076</v>
      </c>
      <c r="O108" s="257">
        <f t="shared" si="145"/>
        <v>40.92159594680178</v>
      </c>
      <c r="P108" s="257">
        <v>2.5</v>
      </c>
      <c r="Q108" s="257">
        <f t="shared" si="1"/>
        <v>60</v>
      </c>
      <c r="R108" s="257">
        <f t="shared" si="2"/>
        <v>0.79493350221659242</v>
      </c>
      <c r="S108" s="257">
        <f t="shared" si="3"/>
        <v>19.07840405319822</v>
      </c>
      <c r="T108" s="246">
        <f t="shared" si="4"/>
        <v>0.31797340088663695</v>
      </c>
      <c r="U108" s="135"/>
      <c r="V108" s="268">
        <f t="shared" si="160"/>
        <v>2.5</v>
      </c>
      <c r="W108" s="269">
        <v>0.18</v>
      </c>
      <c r="X108" s="270">
        <f t="shared" si="161"/>
        <v>3.0487804878048776</v>
      </c>
      <c r="Y108" s="271">
        <f t="shared" si="162"/>
        <v>0.54878048780487798</v>
      </c>
      <c r="Z108" s="267">
        <f t="shared" si="163"/>
        <v>4.939024390243902E-2</v>
      </c>
      <c r="AA108" s="271">
        <f t="shared" si="164"/>
        <v>0.59817073170731705</v>
      </c>
      <c r="AB108" s="271">
        <f t="shared" si="165"/>
        <v>2.4506097560975606</v>
      </c>
      <c r="AC108" s="284">
        <f t="shared" si="166"/>
        <v>0.30422765454969175</v>
      </c>
      <c r="AD108" s="285">
        <f t="shared" si="167"/>
        <v>-1.3745746336945197E-2</v>
      </c>
      <c r="AE108" s="221" t="s">
        <v>269</v>
      </c>
    </row>
    <row r="109" spans="1:31" ht="40" customHeight="1" x14ac:dyDescent="0.2">
      <c r="A109" s="123">
        <v>105</v>
      </c>
      <c r="B109" s="274" t="s">
        <v>85</v>
      </c>
      <c r="C109" s="123">
        <v>1</v>
      </c>
      <c r="D109" s="123" t="s">
        <v>71</v>
      </c>
      <c r="E109" s="123">
        <f t="shared" si="142"/>
        <v>24</v>
      </c>
      <c r="F109" s="123" t="s">
        <v>269</v>
      </c>
      <c r="G109" s="123" t="s">
        <v>269</v>
      </c>
      <c r="H109" s="257">
        <v>118.56</v>
      </c>
      <c r="I109" s="257">
        <f t="shared" si="143"/>
        <v>4.9400000000000004</v>
      </c>
      <c r="J109" s="257">
        <f t="shared" si="207"/>
        <v>118.56</v>
      </c>
      <c r="K109" s="257"/>
      <c r="L109" s="257">
        <f t="shared" si="6"/>
        <v>1.5642811906269793</v>
      </c>
      <c r="M109" s="257">
        <f t="shared" si="144"/>
        <v>37.542748575047497</v>
      </c>
      <c r="N109" s="257">
        <f t="shared" si="237"/>
        <v>1.7050664977834076</v>
      </c>
      <c r="O109" s="257">
        <f t="shared" si="145"/>
        <v>40.92159594680178</v>
      </c>
      <c r="P109" s="257">
        <v>2.5</v>
      </c>
      <c r="Q109" s="257">
        <f t="shared" si="1"/>
        <v>60</v>
      </c>
      <c r="R109" s="257">
        <f t="shared" si="2"/>
        <v>0.79493350221659242</v>
      </c>
      <c r="S109" s="257">
        <f t="shared" si="3"/>
        <v>19.07840405319822</v>
      </c>
      <c r="T109" s="246">
        <f t="shared" si="4"/>
        <v>0.31797340088663695</v>
      </c>
      <c r="U109" s="137"/>
      <c r="V109" s="268">
        <f t="shared" si="160"/>
        <v>2.5</v>
      </c>
      <c r="W109" s="269">
        <v>0.18</v>
      </c>
      <c r="X109" s="270">
        <f t="shared" si="161"/>
        <v>3.0487804878048776</v>
      </c>
      <c r="Y109" s="271">
        <f t="shared" si="162"/>
        <v>0.54878048780487798</v>
      </c>
      <c r="Z109" s="267">
        <f t="shared" si="163"/>
        <v>4.939024390243902E-2</v>
      </c>
      <c r="AA109" s="271">
        <f t="shared" si="164"/>
        <v>0.59817073170731705</v>
      </c>
      <c r="AB109" s="271">
        <f t="shared" si="165"/>
        <v>2.4506097560975606</v>
      </c>
      <c r="AC109" s="284">
        <f t="shared" si="166"/>
        <v>0.30422765454969175</v>
      </c>
      <c r="AD109" s="285">
        <f t="shared" si="167"/>
        <v>-1.3745746336945197E-2</v>
      </c>
      <c r="AE109" s="221" t="s">
        <v>269</v>
      </c>
    </row>
    <row r="110" spans="1:31" ht="40" customHeight="1" x14ac:dyDescent="0.2">
      <c r="A110" s="123">
        <v>106</v>
      </c>
      <c r="B110" s="274" t="s">
        <v>86</v>
      </c>
      <c r="C110" s="123">
        <v>1</v>
      </c>
      <c r="D110" s="123" t="s">
        <v>71</v>
      </c>
      <c r="E110" s="123">
        <f t="shared" si="142"/>
        <v>24</v>
      </c>
      <c r="F110" s="123" t="s">
        <v>269</v>
      </c>
      <c r="G110" s="123" t="s">
        <v>269</v>
      </c>
      <c r="H110" s="257">
        <v>118.56</v>
      </c>
      <c r="I110" s="257">
        <f t="shared" si="143"/>
        <v>4.9400000000000004</v>
      </c>
      <c r="J110" s="257">
        <f t="shared" si="207"/>
        <v>118.56</v>
      </c>
      <c r="K110" s="257"/>
      <c r="L110" s="257">
        <f t="shared" si="6"/>
        <v>1.5642811906269793</v>
      </c>
      <c r="M110" s="257">
        <f t="shared" si="144"/>
        <v>37.542748575047497</v>
      </c>
      <c r="N110" s="257">
        <f t="shared" si="237"/>
        <v>1.7050664977834076</v>
      </c>
      <c r="O110" s="257">
        <f t="shared" si="145"/>
        <v>40.92159594680178</v>
      </c>
      <c r="P110" s="257">
        <v>2.5</v>
      </c>
      <c r="Q110" s="257">
        <f t="shared" si="1"/>
        <v>60</v>
      </c>
      <c r="R110" s="257">
        <f t="shared" si="2"/>
        <v>0.79493350221659242</v>
      </c>
      <c r="S110" s="257">
        <f t="shared" si="3"/>
        <v>19.07840405319822</v>
      </c>
      <c r="T110" s="246">
        <f t="shared" si="4"/>
        <v>0.31797340088663695</v>
      </c>
      <c r="U110" s="138"/>
      <c r="V110" s="268">
        <f t="shared" si="160"/>
        <v>2.5</v>
      </c>
      <c r="W110" s="269">
        <v>0.18</v>
      </c>
      <c r="X110" s="270">
        <f t="shared" si="161"/>
        <v>3.0487804878048776</v>
      </c>
      <c r="Y110" s="271">
        <f t="shared" si="162"/>
        <v>0.54878048780487798</v>
      </c>
      <c r="Z110" s="267">
        <f t="shared" si="163"/>
        <v>4.939024390243902E-2</v>
      </c>
      <c r="AA110" s="271">
        <f t="shared" si="164"/>
        <v>0.59817073170731705</v>
      </c>
      <c r="AB110" s="271">
        <f t="shared" si="165"/>
        <v>2.4506097560975606</v>
      </c>
      <c r="AC110" s="284">
        <f t="shared" si="166"/>
        <v>0.30422765454969175</v>
      </c>
      <c r="AD110" s="285">
        <f t="shared" si="167"/>
        <v>-1.3745746336945197E-2</v>
      </c>
      <c r="AE110" s="221" t="s">
        <v>269</v>
      </c>
    </row>
    <row r="111" spans="1:31" ht="40" customHeight="1" x14ac:dyDescent="0.2">
      <c r="A111" s="123">
        <v>107</v>
      </c>
      <c r="B111" s="274" t="s">
        <v>87</v>
      </c>
      <c r="C111" s="123">
        <v>1</v>
      </c>
      <c r="D111" s="123">
        <v>16</v>
      </c>
      <c r="E111" s="123">
        <f t="shared" si="142"/>
        <v>16</v>
      </c>
      <c r="F111" s="123" t="s">
        <v>269</v>
      </c>
      <c r="G111" s="123" t="s">
        <v>269</v>
      </c>
      <c r="H111" s="257">
        <v>60</v>
      </c>
      <c r="I111" s="257">
        <f t="shared" si="143"/>
        <v>3.75</v>
      </c>
      <c r="J111" s="257">
        <f t="shared" si="207"/>
        <v>60</v>
      </c>
      <c r="K111" s="257"/>
      <c r="L111" s="257">
        <f t="shared" si="6"/>
        <v>1.1874604179860671</v>
      </c>
      <c r="M111" s="257">
        <f t="shared" si="144"/>
        <v>18.999366687777073</v>
      </c>
      <c r="N111" s="257">
        <f t="shared" si="237"/>
        <v>1.2943318556048131</v>
      </c>
      <c r="O111" s="257">
        <f t="shared" si="145"/>
        <v>20.70930968967701</v>
      </c>
      <c r="P111" s="257">
        <v>2</v>
      </c>
      <c r="Q111" s="257">
        <f t="shared" si="1"/>
        <v>32</v>
      </c>
      <c r="R111" s="257">
        <f t="shared" si="2"/>
        <v>0.70566814439518688</v>
      </c>
      <c r="S111" s="257">
        <f t="shared" si="3"/>
        <v>11.29069031032299</v>
      </c>
      <c r="T111" s="246">
        <f t="shared" si="4"/>
        <v>0.35283407219759344</v>
      </c>
      <c r="U111" s="138"/>
      <c r="V111" s="268">
        <f t="shared" si="160"/>
        <v>2</v>
      </c>
      <c r="W111" s="269">
        <v>0.18</v>
      </c>
      <c r="X111" s="270">
        <f t="shared" si="161"/>
        <v>2.4390243902439024</v>
      </c>
      <c r="Y111" s="271">
        <f t="shared" si="162"/>
        <v>0.43902439024390244</v>
      </c>
      <c r="Z111" s="267">
        <f t="shared" si="163"/>
        <v>3.951219512195122E-2</v>
      </c>
      <c r="AA111" s="271">
        <f t="shared" si="164"/>
        <v>0.47853658536585364</v>
      </c>
      <c r="AB111" s="271">
        <f t="shared" si="165"/>
        <v>1.9604878048780487</v>
      </c>
      <c r="AC111" s="284">
        <f t="shared" si="166"/>
        <v>0.33979091714608933</v>
      </c>
      <c r="AD111" s="285">
        <f t="shared" si="167"/>
        <v>-1.3043155051504107E-2</v>
      </c>
      <c r="AE111" s="221" t="s">
        <v>269</v>
      </c>
    </row>
    <row r="112" spans="1:31" ht="40" customHeight="1" x14ac:dyDescent="0.2">
      <c r="A112" s="123">
        <v>108</v>
      </c>
      <c r="B112" s="274" t="s">
        <v>200</v>
      </c>
      <c r="C112" s="123">
        <v>1</v>
      </c>
      <c r="D112" s="123">
        <v>30</v>
      </c>
      <c r="E112" s="123">
        <f t="shared" si="142"/>
        <v>30</v>
      </c>
      <c r="F112" s="123" t="s">
        <v>269</v>
      </c>
      <c r="G112" s="123" t="s">
        <v>269</v>
      </c>
      <c r="H112" s="257">
        <v>84</v>
      </c>
      <c r="I112" s="257">
        <f t="shared" si="143"/>
        <v>2.8</v>
      </c>
      <c r="J112" s="257">
        <f t="shared" si="207"/>
        <v>84</v>
      </c>
      <c r="K112" s="257"/>
      <c r="L112" s="257">
        <f t="shared" si="6"/>
        <v>0.88663711209626339</v>
      </c>
      <c r="M112" s="257">
        <f t="shared" si="144"/>
        <v>26.599113362887906</v>
      </c>
      <c r="N112" s="257">
        <f t="shared" si="237"/>
        <v>0.96643445218492718</v>
      </c>
      <c r="O112" s="257">
        <f t="shared" si="145"/>
        <v>28.993033565547815</v>
      </c>
      <c r="P112" s="257">
        <v>1.35</v>
      </c>
      <c r="Q112" s="257">
        <f t="shared" si="1"/>
        <v>40.5</v>
      </c>
      <c r="R112" s="257">
        <f t="shared" si="2"/>
        <v>0.3835655478150729</v>
      </c>
      <c r="S112" s="257">
        <f t="shared" si="3"/>
        <v>11.506966434452185</v>
      </c>
      <c r="T112" s="246">
        <f t="shared" si="4"/>
        <v>0.28412262801116511</v>
      </c>
      <c r="U112" s="138"/>
      <c r="V112" s="268">
        <f t="shared" si="160"/>
        <v>1.35</v>
      </c>
      <c r="W112" s="269">
        <v>0.18</v>
      </c>
      <c r="X112" s="270">
        <f t="shared" si="161"/>
        <v>1.6463414634146341</v>
      </c>
      <c r="Y112" s="271">
        <f t="shared" si="162"/>
        <v>0.29634146341463413</v>
      </c>
      <c r="Z112" s="267">
        <f t="shared" si="163"/>
        <v>2.6670731707317073E-2</v>
      </c>
      <c r="AA112" s="271">
        <f t="shared" si="164"/>
        <v>0.32301219512195123</v>
      </c>
      <c r="AB112" s="271">
        <f t="shared" si="165"/>
        <v>1.3233292682926829</v>
      </c>
      <c r="AC112" s="284">
        <f t="shared" si="166"/>
        <v>0.26969464415172351</v>
      </c>
      <c r="AD112" s="285">
        <f t="shared" si="167"/>
        <v>-1.4427983859441607E-2</v>
      </c>
      <c r="AE112" s="221" t="s">
        <v>269</v>
      </c>
    </row>
    <row r="113" spans="1:31" ht="40" customHeight="1" x14ac:dyDescent="0.2">
      <c r="A113" s="123">
        <v>109</v>
      </c>
      <c r="B113" s="274" t="s">
        <v>201</v>
      </c>
      <c r="C113" s="123">
        <v>1</v>
      </c>
      <c r="D113" s="123">
        <v>30</v>
      </c>
      <c r="E113" s="123">
        <f t="shared" si="142"/>
        <v>30</v>
      </c>
      <c r="F113" s="123" t="s">
        <v>269</v>
      </c>
      <c r="G113" s="123" t="s">
        <v>269</v>
      </c>
      <c r="H113" s="257">
        <v>84</v>
      </c>
      <c r="I113" s="257">
        <f t="shared" ref="I113:I114" si="243">H113/D113</f>
        <v>2.8</v>
      </c>
      <c r="J113" s="257">
        <f t="shared" ref="J113:J114" si="244">I113*E113</f>
        <v>84</v>
      </c>
      <c r="K113" s="257"/>
      <c r="L113" s="257">
        <f t="shared" ref="L113:L114" si="245">I113/$S$2</f>
        <v>0.88663711209626339</v>
      </c>
      <c r="M113" s="257">
        <f t="shared" ref="M113:M114" si="246">H113/$S$2</f>
        <v>26.599113362887906</v>
      </c>
      <c r="N113" s="257">
        <f t="shared" si="237"/>
        <v>0.96643445218492718</v>
      </c>
      <c r="O113" s="257">
        <f t="shared" ref="O113:O114" si="247">N113*E113</f>
        <v>28.993033565547815</v>
      </c>
      <c r="P113" s="257">
        <v>1.35</v>
      </c>
      <c r="Q113" s="257">
        <f t="shared" ref="Q113:Q114" si="248">P113*E113</f>
        <v>40.5</v>
      </c>
      <c r="R113" s="257">
        <f t="shared" ref="R113:R114" si="249">P113-N113</f>
        <v>0.3835655478150729</v>
      </c>
      <c r="S113" s="257">
        <f t="shared" ref="S113:S114" si="250">Q113-O113</f>
        <v>11.506966434452185</v>
      </c>
      <c r="T113" s="246">
        <f t="shared" ref="T113:T114" si="251">R113/P113</f>
        <v>0.28412262801116511</v>
      </c>
      <c r="U113" s="138"/>
      <c r="V113" s="268">
        <f t="shared" si="160"/>
        <v>1.35</v>
      </c>
      <c r="W113" s="269">
        <v>0.18</v>
      </c>
      <c r="X113" s="270">
        <f t="shared" si="161"/>
        <v>1.6463414634146341</v>
      </c>
      <c r="Y113" s="271">
        <f t="shared" si="162"/>
        <v>0.29634146341463413</v>
      </c>
      <c r="Z113" s="267">
        <f t="shared" si="163"/>
        <v>2.6670731707317073E-2</v>
      </c>
      <c r="AA113" s="271">
        <f t="shared" si="164"/>
        <v>0.32301219512195123</v>
      </c>
      <c r="AB113" s="271">
        <f t="shared" si="165"/>
        <v>1.3233292682926829</v>
      </c>
      <c r="AC113" s="284">
        <f t="shared" si="166"/>
        <v>0.26969464415172351</v>
      </c>
      <c r="AD113" s="285">
        <f t="shared" si="167"/>
        <v>-1.4427983859441607E-2</v>
      </c>
      <c r="AE113" s="221" t="s">
        <v>269</v>
      </c>
    </row>
    <row r="114" spans="1:31" ht="40" customHeight="1" x14ac:dyDescent="0.2">
      <c r="A114" s="123">
        <v>110</v>
      </c>
      <c r="B114" s="274" t="s">
        <v>202</v>
      </c>
      <c r="C114" s="123">
        <v>1</v>
      </c>
      <c r="D114" s="123">
        <v>30</v>
      </c>
      <c r="E114" s="123">
        <f t="shared" si="142"/>
        <v>30</v>
      </c>
      <c r="F114" s="123" t="s">
        <v>269</v>
      </c>
      <c r="G114" s="123" t="s">
        <v>269</v>
      </c>
      <c r="H114" s="257">
        <v>84</v>
      </c>
      <c r="I114" s="257">
        <f t="shared" si="243"/>
        <v>2.8</v>
      </c>
      <c r="J114" s="257">
        <f t="shared" si="244"/>
        <v>84</v>
      </c>
      <c r="K114" s="257"/>
      <c r="L114" s="257">
        <f t="shared" si="245"/>
        <v>0.88663711209626339</v>
      </c>
      <c r="M114" s="257">
        <f t="shared" si="246"/>
        <v>26.599113362887906</v>
      </c>
      <c r="N114" s="257">
        <f t="shared" si="237"/>
        <v>0.96643445218492718</v>
      </c>
      <c r="O114" s="257">
        <f t="shared" si="247"/>
        <v>28.993033565547815</v>
      </c>
      <c r="P114" s="257">
        <v>1.35</v>
      </c>
      <c r="Q114" s="257">
        <f t="shared" si="248"/>
        <v>40.5</v>
      </c>
      <c r="R114" s="257">
        <f t="shared" si="249"/>
        <v>0.3835655478150729</v>
      </c>
      <c r="S114" s="257">
        <f t="shared" si="250"/>
        <v>11.506966434452185</v>
      </c>
      <c r="T114" s="246">
        <f t="shared" si="251"/>
        <v>0.28412262801116511</v>
      </c>
      <c r="U114" s="138"/>
      <c r="V114" s="268">
        <f t="shared" si="160"/>
        <v>1.35</v>
      </c>
      <c r="W114" s="269">
        <v>0.18</v>
      </c>
      <c r="X114" s="270">
        <f t="shared" si="161"/>
        <v>1.6463414634146341</v>
      </c>
      <c r="Y114" s="271">
        <f t="shared" si="162"/>
        <v>0.29634146341463413</v>
      </c>
      <c r="Z114" s="267">
        <f t="shared" si="163"/>
        <v>2.6670731707317073E-2</v>
      </c>
      <c r="AA114" s="271">
        <f t="shared" si="164"/>
        <v>0.32301219512195123</v>
      </c>
      <c r="AB114" s="271">
        <f t="shared" si="165"/>
        <v>1.3233292682926829</v>
      </c>
      <c r="AC114" s="284">
        <f t="shared" si="166"/>
        <v>0.26969464415172351</v>
      </c>
      <c r="AD114" s="285">
        <f t="shared" si="167"/>
        <v>-1.4427983859441607E-2</v>
      </c>
      <c r="AE114" s="221" t="s">
        <v>269</v>
      </c>
    </row>
    <row r="115" spans="1:31" ht="40" customHeight="1" x14ac:dyDescent="0.2">
      <c r="A115" s="123">
        <v>111</v>
      </c>
      <c r="B115" s="274" t="s">
        <v>89</v>
      </c>
      <c r="C115" s="123">
        <v>1</v>
      </c>
      <c r="D115" s="123" t="s">
        <v>90</v>
      </c>
      <c r="E115" s="123">
        <f t="shared" si="142"/>
        <v>36</v>
      </c>
      <c r="F115" s="123" t="s">
        <v>269</v>
      </c>
      <c r="G115" s="123" t="s">
        <v>269</v>
      </c>
      <c r="H115" s="257">
        <v>69</v>
      </c>
      <c r="I115" s="257">
        <f t="shared" si="143"/>
        <v>1.9166666666666667</v>
      </c>
      <c r="J115" s="257">
        <f t="shared" si="207"/>
        <v>69</v>
      </c>
      <c r="K115" s="257"/>
      <c r="L115" s="257">
        <f t="shared" si="6"/>
        <v>0.60692421363732318</v>
      </c>
      <c r="M115" s="257">
        <f t="shared" si="144"/>
        <v>21.849271690943635</v>
      </c>
      <c r="N115" s="257">
        <f t="shared" si="237"/>
        <v>0.66154739286468234</v>
      </c>
      <c r="O115" s="257">
        <f t="shared" si="145"/>
        <v>23.815706143128565</v>
      </c>
      <c r="P115" s="257">
        <v>1</v>
      </c>
      <c r="Q115" s="257">
        <f t="shared" si="1"/>
        <v>36</v>
      </c>
      <c r="R115" s="257">
        <f t="shared" si="2"/>
        <v>0.33845260713531766</v>
      </c>
      <c r="S115" s="257">
        <f t="shared" si="3"/>
        <v>12.184293856871435</v>
      </c>
      <c r="T115" s="246">
        <f t="shared" si="4"/>
        <v>0.33845260713531766</v>
      </c>
      <c r="U115" s="138"/>
      <c r="V115" s="268">
        <f t="shared" si="160"/>
        <v>1</v>
      </c>
      <c r="W115" s="269">
        <v>0.18</v>
      </c>
      <c r="X115" s="270">
        <f t="shared" si="161"/>
        <v>1.2195121951219512</v>
      </c>
      <c r="Y115" s="271">
        <f t="shared" si="162"/>
        <v>0.21951219512195122</v>
      </c>
      <c r="Z115" s="267">
        <f t="shared" si="163"/>
        <v>1.975609756097561E-2</v>
      </c>
      <c r="AA115" s="271">
        <f t="shared" si="164"/>
        <v>0.23926829268292682</v>
      </c>
      <c r="AB115" s="271">
        <f t="shared" si="165"/>
        <v>0.98024390243902437</v>
      </c>
      <c r="AC115" s="284">
        <f t="shared" si="166"/>
        <v>0.32511960419378011</v>
      </c>
      <c r="AD115" s="285">
        <f t="shared" si="167"/>
        <v>-1.3333002941537553E-2</v>
      </c>
      <c r="AE115" s="221" t="s">
        <v>269</v>
      </c>
    </row>
    <row r="116" spans="1:31" ht="40" customHeight="1" x14ac:dyDescent="0.2">
      <c r="A116" s="123">
        <v>112</v>
      </c>
      <c r="B116" s="274" t="s">
        <v>91</v>
      </c>
      <c r="C116" s="123">
        <v>1</v>
      </c>
      <c r="D116" s="123" t="s">
        <v>90</v>
      </c>
      <c r="E116" s="123">
        <f t="shared" si="142"/>
        <v>36</v>
      </c>
      <c r="F116" s="123" t="s">
        <v>269</v>
      </c>
      <c r="G116" s="123" t="s">
        <v>269</v>
      </c>
      <c r="H116" s="257">
        <v>69</v>
      </c>
      <c r="I116" s="257">
        <f t="shared" si="143"/>
        <v>1.9166666666666667</v>
      </c>
      <c r="J116" s="257">
        <f t="shared" si="207"/>
        <v>69</v>
      </c>
      <c r="K116" s="257"/>
      <c r="L116" s="257">
        <f t="shared" si="6"/>
        <v>0.60692421363732318</v>
      </c>
      <c r="M116" s="257">
        <f t="shared" si="144"/>
        <v>21.849271690943635</v>
      </c>
      <c r="N116" s="257">
        <f t="shared" si="237"/>
        <v>0.66154739286468234</v>
      </c>
      <c r="O116" s="257">
        <f t="shared" si="145"/>
        <v>23.815706143128565</v>
      </c>
      <c r="P116" s="257">
        <v>1</v>
      </c>
      <c r="Q116" s="257">
        <f t="shared" si="1"/>
        <v>36</v>
      </c>
      <c r="R116" s="257">
        <f t="shared" si="2"/>
        <v>0.33845260713531766</v>
      </c>
      <c r="S116" s="257">
        <f t="shared" si="3"/>
        <v>12.184293856871435</v>
      </c>
      <c r="T116" s="246">
        <f t="shared" si="4"/>
        <v>0.33845260713531766</v>
      </c>
      <c r="U116" s="138"/>
      <c r="V116" s="268">
        <f t="shared" si="160"/>
        <v>1</v>
      </c>
      <c r="W116" s="269">
        <v>0.18</v>
      </c>
      <c r="X116" s="270">
        <f t="shared" si="161"/>
        <v>1.2195121951219512</v>
      </c>
      <c r="Y116" s="271">
        <f t="shared" si="162"/>
        <v>0.21951219512195122</v>
      </c>
      <c r="Z116" s="267">
        <f t="shared" si="163"/>
        <v>1.975609756097561E-2</v>
      </c>
      <c r="AA116" s="271">
        <f t="shared" si="164"/>
        <v>0.23926829268292682</v>
      </c>
      <c r="AB116" s="271">
        <f t="shared" si="165"/>
        <v>0.98024390243902437</v>
      </c>
      <c r="AC116" s="284">
        <f t="shared" si="166"/>
        <v>0.32511960419378011</v>
      </c>
      <c r="AD116" s="285">
        <f t="shared" si="167"/>
        <v>-1.3333002941537553E-2</v>
      </c>
      <c r="AE116" s="221" t="s">
        <v>269</v>
      </c>
    </row>
    <row r="117" spans="1:31" ht="40" customHeight="1" x14ac:dyDescent="0.2">
      <c r="A117" s="123">
        <v>113</v>
      </c>
      <c r="B117" s="274" t="s">
        <v>92</v>
      </c>
      <c r="C117" s="123">
        <v>1</v>
      </c>
      <c r="D117" s="123" t="s">
        <v>90</v>
      </c>
      <c r="E117" s="123">
        <f t="shared" si="142"/>
        <v>36</v>
      </c>
      <c r="F117" s="123" t="s">
        <v>269</v>
      </c>
      <c r="G117" s="123" t="s">
        <v>269</v>
      </c>
      <c r="H117" s="257">
        <v>69</v>
      </c>
      <c r="I117" s="257">
        <f t="shared" si="143"/>
        <v>1.9166666666666667</v>
      </c>
      <c r="J117" s="257">
        <f t="shared" si="207"/>
        <v>69</v>
      </c>
      <c r="K117" s="257"/>
      <c r="L117" s="257">
        <f t="shared" si="6"/>
        <v>0.60692421363732318</v>
      </c>
      <c r="M117" s="257">
        <f t="shared" si="144"/>
        <v>21.849271690943635</v>
      </c>
      <c r="N117" s="257">
        <f t="shared" si="237"/>
        <v>0.66154739286468234</v>
      </c>
      <c r="O117" s="257">
        <f t="shared" si="145"/>
        <v>23.815706143128565</v>
      </c>
      <c r="P117" s="257">
        <v>1</v>
      </c>
      <c r="Q117" s="257">
        <f t="shared" si="1"/>
        <v>36</v>
      </c>
      <c r="R117" s="257">
        <f t="shared" si="2"/>
        <v>0.33845260713531766</v>
      </c>
      <c r="S117" s="257">
        <f t="shared" si="3"/>
        <v>12.184293856871435</v>
      </c>
      <c r="T117" s="246">
        <f t="shared" si="4"/>
        <v>0.33845260713531766</v>
      </c>
      <c r="U117" s="135"/>
      <c r="V117" s="268">
        <f t="shared" si="160"/>
        <v>1</v>
      </c>
      <c r="W117" s="269">
        <v>0.18</v>
      </c>
      <c r="X117" s="270">
        <f t="shared" si="161"/>
        <v>1.2195121951219512</v>
      </c>
      <c r="Y117" s="271">
        <f t="shared" si="162"/>
        <v>0.21951219512195122</v>
      </c>
      <c r="Z117" s="267">
        <f t="shared" si="163"/>
        <v>1.975609756097561E-2</v>
      </c>
      <c r="AA117" s="271">
        <f t="shared" si="164"/>
        <v>0.23926829268292682</v>
      </c>
      <c r="AB117" s="271">
        <f t="shared" si="165"/>
        <v>0.98024390243902437</v>
      </c>
      <c r="AC117" s="284">
        <f t="shared" si="166"/>
        <v>0.32511960419378011</v>
      </c>
      <c r="AD117" s="285">
        <f t="shared" si="167"/>
        <v>-1.3333002941537553E-2</v>
      </c>
      <c r="AE117" s="221" t="s">
        <v>269</v>
      </c>
    </row>
    <row r="118" spans="1:31" ht="40" customHeight="1" x14ac:dyDescent="0.2">
      <c r="A118" s="123">
        <v>114</v>
      </c>
      <c r="B118" s="274" t="s">
        <v>93</v>
      </c>
      <c r="C118" s="123">
        <v>1</v>
      </c>
      <c r="D118" s="123" t="s">
        <v>90</v>
      </c>
      <c r="E118" s="123">
        <f t="shared" si="142"/>
        <v>36</v>
      </c>
      <c r="F118" s="123" t="s">
        <v>269</v>
      </c>
      <c r="G118" s="123" t="s">
        <v>269</v>
      </c>
      <c r="H118" s="257">
        <v>69</v>
      </c>
      <c r="I118" s="257">
        <f t="shared" si="143"/>
        <v>1.9166666666666667</v>
      </c>
      <c r="J118" s="257">
        <f t="shared" si="207"/>
        <v>69</v>
      </c>
      <c r="K118" s="257"/>
      <c r="L118" s="257">
        <f t="shared" si="6"/>
        <v>0.60692421363732318</v>
      </c>
      <c r="M118" s="257">
        <f t="shared" si="144"/>
        <v>21.849271690943635</v>
      </c>
      <c r="N118" s="257">
        <f t="shared" si="237"/>
        <v>0.66154739286468234</v>
      </c>
      <c r="O118" s="257">
        <f t="shared" si="145"/>
        <v>23.815706143128565</v>
      </c>
      <c r="P118" s="257">
        <v>1</v>
      </c>
      <c r="Q118" s="257">
        <f t="shared" si="1"/>
        <v>36</v>
      </c>
      <c r="R118" s="257">
        <f t="shared" si="2"/>
        <v>0.33845260713531766</v>
      </c>
      <c r="S118" s="257">
        <f t="shared" si="3"/>
        <v>12.184293856871435</v>
      </c>
      <c r="T118" s="246">
        <f t="shared" si="4"/>
        <v>0.33845260713531766</v>
      </c>
      <c r="U118" s="138"/>
      <c r="V118" s="268">
        <f t="shared" si="160"/>
        <v>1</v>
      </c>
      <c r="W118" s="269">
        <v>0.18</v>
      </c>
      <c r="X118" s="270">
        <f t="shared" si="161"/>
        <v>1.2195121951219512</v>
      </c>
      <c r="Y118" s="271">
        <f t="shared" si="162"/>
        <v>0.21951219512195122</v>
      </c>
      <c r="Z118" s="267">
        <f t="shared" si="163"/>
        <v>1.975609756097561E-2</v>
      </c>
      <c r="AA118" s="271">
        <f t="shared" si="164"/>
        <v>0.23926829268292682</v>
      </c>
      <c r="AB118" s="271">
        <f t="shared" si="165"/>
        <v>0.98024390243902437</v>
      </c>
      <c r="AC118" s="284">
        <f t="shared" si="166"/>
        <v>0.32511960419378011</v>
      </c>
      <c r="AD118" s="285">
        <f t="shared" si="167"/>
        <v>-1.3333002941537553E-2</v>
      </c>
      <c r="AE118" s="221" t="s">
        <v>269</v>
      </c>
    </row>
    <row r="119" spans="1:31" ht="40" customHeight="1" x14ac:dyDescent="0.2">
      <c r="A119" s="123">
        <v>115</v>
      </c>
      <c r="B119" s="274" t="s">
        <v>94</v>
      </c>
      <c r="C119" s="123">
        <v>1</v>
      </c>
      <c r="D119" s="123">
        <v>12</v>
      </c>
      <c r="E119" s="123">
        <f t="shared" si="142"/>
        <v>12</v>
      </c>
      <c r="F119" s="123" t="s">
        <v>269</v>
      </c>
      <c r="G119" s="123" t="s">
        <v>269</v>
      </c>
      <c r="H119" s="257">
        <v>68.400000000000006</v>
      </c>
      <c r="I119" s="257">
        <f t="shared" si="143"/>
        <v>5.7</v>
      </c>
      <c r="J119" s="257">
        <f t="shared" si="207"/>
        <v>68.400000000000006</v>
      </c>
      <c r="K119" s="257"/>
      <c r="L119" s="257">
        <f t="shared" si="6"/>
        <v>1.8049398353388222</v>
      </c>
      <c r="M119" s="257">
        <f t="shared" si="144"/>
        <v>21.659278024065866</v>
      </c>
      <c r="N119" s="257">
        <f t="shared" si="237"/>
        <v>1.9673844205193163</v>
      </c>
      <c r="O119" s="257">
        <f t="shared" si="145"/>
        <v>23.608613046231795</v>
      </c>
      <c r="P119" s="257">
        <v>2.95</v>
      </c>
      <c r="Q119" s="257">
        <f t="shared" si="1"/>
        <v>35.400000000000006</v>
      </c>
      <c r="R119" s="257">
        <f t="shared" si="2"/>
        <v>0.9826155794806839</v>
      </c>
      <c r="S119" s="257">
        <f t="shared" si="3"/>
        <v>11.79138695376821</v>
      </c>
      <c r="T119" s="246">
        <f t="shared" si="4"/>
        <v>0.3330900269426047</v>
      </c>
      <c r="U119" s="138"/>
      <c r="V119" s="268">
        <f t="shared" si="160"/>
        <v>2.95</v>
      </c>
      <c r="W119" s="269">
        <v>0.18</v>
      </c>
      <c r="X119" s="270">
        <f t="shared" si="161"/>
        <v>3.5975609756097562</v>
      </c>
      <c r="Y119" s="271">
        <f t="shared" si="162"/>
        <v>0.64756097560975612</v>
      </c>
      <c r="Z119" s="267">
        <f t="shared" si="163"/>
        <v>5.8280487804878045E-2</v>
      </c>
      <c r="AA119" s="271">
        <f t="shared" si="164"/>
        <v>0.70584146341463416</v>
      </c>
      <c r="AB119" s="271">
        <f t="shared" si="165"/>
        <v>2.891719512195122</v>
      </c>
      <c r="AC119" s="284">
        <f t="shared" si="166"/>
        <v>0.31964894512681741</v>
      </c>
      <c r="AD119" s="285">
        <f t="shared" si="167"/>
        <v>-1.3441081815787292E-2</v>
      </c>
      <c r="AE119" s="221" t="s">
        <v>269</v>
      </c>
    </row>
    <row r="120" spans="1:31" ht="40" customHeight="1" x14ac:dyDescent="0.2">
      <c r="A120" s="123">
        <v>116</v>
      </c>
      <c r="B120" s="274" t="s">
        <v>96</v>
      </c>
      <c r="C120" s="123">
        <v>1</v>
      </c>
      <c r="D120" s="123">
        <v>12</v>
      </c>
      <c r="E120" s="123">
        <f t="shared" si="142"/>
        <v>12</v>
      </c>
      <c r="F120" s="123" t="s">
        <v>269</v>
      </c>
      <c r="G120" s="123" t="s">
        <v>269</v>
      </c>
      <c r="H120" s="257">
        <v>68.400000000000006</v>
      </c>
      <c r="I120" s="257">
        <f t="shared" si="143"/>
        <v>5.7</v>
      </c>
      <c r="J120" s="257">
        <f t="shared" si="207"/>
        <v>68.400000000000006</v>
      </c>
      <c r="K120" s="257"/>
      <c r="L120" s="257">
        <f t="shared" si="6"/>
        <v>1.8049398353388222</v>
      </c>
      <c r="M120" s="257">
        <f t="shared" si="144"/>
        <v>21.659278024065866</v>
      </c>
      <c r="N120" s="257">
        <f t="shared" si="237"/>
        <v>1.9673844205193163</v>
      </c>
      <c r="O120" s="257">
        <f t="shared" si="145"/>
        <v>23.608613046231795</v>
      </c>
      <c r="P120" s="257">
        <v>2.95</v>
      </c>
      <c r="Q120" s="257">
        <f t="shared" si="1"/>
        <v>35.400000000000006</v>
      </c>
      <c r="R120" s="257">
        <f t="shared" si="2"/>
        <v>0.9826155794806839</v>
      </c>
      <c r="S120" s="257">
        <f t="shared" si="3"/>
        <v>11.79138695376821</v>
      </c>
      <c r="T120" s="246">
        <f t="shared" si="4"/>
        <v>0.3330900269426047</v>
      </c>
      <c r="U120" s="138"/>
      <c r="V120" s="268">
        <f t="shared" si="160"/>
        <v>2.95</v>
      </c>
      <c r="W120" s="269">
        <v>0.18</v>
      </c>
      <c r="X120" s="270">
        <f t="shared" si="161"/>
        <v>3.5975609756097562</v>
      </c>
      <c r="Y120" s="271">
        <f t="shared" si="162"/>
        <v>0.64756097560975612</v>
      </c>
      <c r="Z120" s="267">
        <f t="shared" si="163"/>
        <v>5.8280487804878045E-2</v>
      </c>
      <c r="AA120" s="271">
        <f t="shared" si="164"/>
        <v>0.70584146341463416</v>
      </c>
      <c r="AB120" s="271">
        <f t="shared" si="165"/>
        <v>2.891719512195122</v>
      </c>
      <c r="AC120" s="284">
        <f t="shared" si="166"/>
        <v>0.31964894512681741</v>
      </c>
      <c r="AD120" s="285">
        <f t="shared" si="167"/>
        <v>-1.3441081815787292E-2</v>
      </c>
      <c r="AE120" s="221" t="s">
        <v>269</v>
      </c>
    </row>
    <row r="121" spans="1:31" ht="40" customHeight="1" x14ac:dyDescent="0.2">
      <c r="A121" s="123">
        <v>117</v>
      </c>
      <c r="B121" s="274" t="s">
        <v>97</v>
      </c>
      <c r="C121" s="123">
        <v>1</v>
      </c>
      <c r="D121" s="123">
        <v>12</v>
      </c>
      <c r="E121" s="123">
        <f t="shared" si="142"/>
        <v>12</v>
      </c>
      <c r="F121" s="123" t="s">
        <v>269</v>
      </c>
      <c r="G121" s="123" t="s">
        <v>269</v>
      </c>
      <c r="H121" s="257">
        <v>68.400000000000006</v>
      </c>
      <c r="I121" s="257">
        <f t="shared" si="143"/>
        <v>5.7</v>
      </c>
      <c r="J121" s="257">
        <f t="shared" si="207"/>
        <v>68.400000000000006</v>
      </c>
      <c r="K121" s="257"/>
      <c r="L121" s="257">
        <f t="shared" si="6"/>
        <v>1.8049398353388222</v>
      </c>
      <c r="M121" s="257">
        <f t="shared" si="144"/>
        <v>21.659278024065866</v>
      </c>
      <c r="N121" s="257">
        <f t="shared" si="237"/>
        <v>1.9673844205193163</v>
      </c>
      <c r="O121" s="257">
        <f t="shared" si="145"/>
        <v>23.608613046231795</v>
      </c>
      <c r="P121" s="257">
        <v>2.95</v>
      </c>
      <c r="Q121" s="257">
        <f t="shared" si="1"/>
        <v>35.400000000000006</v>
      </c>
      <c r="R121" s="257">
        <f t="shared" si="2"/>
        <v>0.9826155794806839</v>
      </c>
      <c r="S121" s="257">
        <f t="shared" si="3"/>
        <v>11.79138695376821</v>
      </c>
      <c r="T121" s="246">
        <f t="shared" si="4"/>
        <v>0.3330900269426047</v>
      </c>
      <c r="U121" s="138"/>
      <c r="V121" s="268">
        <f t="shared" si="160"/>
        <v>2.95</v>
      </c>
      <c r="W121" s="269">
        <v>0.18</v>
      </c>
      <c r="X121" s="270">
        <f t="shared" si="161"/>
        <v>3.5975609756097562</v>
      </c>
      <c r="Y121" s="271">
        <f t="shared" si="162"/>
        <v>0.64756097560975612</v>
      </c>
      <c r="Z121" s="267">
        <f t="shared" si="163"/>
        <v>5.8280487804878045E-2</v>
      </c>
      <c r="AA121" s="271">
        <f t="shared" si="164"/>
        <v>0.70584146341463416</v>
      </c>
      <c r="AB121" s="271">
        <f t="shared" si="165"/>
        <v>2.891719512195122</v>
      </c>
      <c r="AC121" s="284">
        <f t="shared" si="166"/>
        <v>0.31964894512681741</v>
      </c>
      <c r="AD121" s="285">
        <f t="shared" si="167"/>
        <v>-1.3441081815787292E-2</v>
      </c>
      <c r="AE121" s="221" t="s">
        <v>269</v>
      </c>
    </row>
    <row r="122" spans="1:31" ht="40" customHeight="1" x14ac:dyDescent="0.2">
      <c r="A122" s="123">
        <v>118</v>
      </c>
      <c r="B122" s="274" t="s">
        <v>98</v>
      </c>
      <c r="C122" s="123">
        <v>1</v>
      </c>
      <c r="D122" s="123">
        <v>12</v>
      </c>
      <c r="E122" s="123">
        <f t="shared" si="142"/>
        <v>12</v>
      </c>
      <c r="F122" s="123" t="s">
        <v>269</v>
      </c>
      <c r="G122" s="123" t="s">
        <v>269</v>
      </c>
      <c r="H122" s="257">
        <v>68.400000000000006</v>
      </c>
      <c r="I122" s="257">
        <f t="shared" si="143"/>
        <v>5.7</v>
      </c>
      <c r="J122" s="257">
        <f t="shared" si="207"/>
        <v>68.400000000000006</v>
      </c>
      <c r="K122" s="257"/>
      <c r="L122" s="257">
        <f t="shared" si="6"/>
        <v>1.8049398353388222</v>
      </c>
      <c r="M122" s="257">
        <f t="shared" si="144"/>
        <v>21.659278024065866</v>
      </c>
      <c r="N122" s="257">
        <f t="shared" si="237"/>
        <v>1.9673844205193163</v>
      </c>
      <c r="O122" s="257">
        <f t="shared" si="145"/>
        <v>23.608613046231795</v>
      </c>
      <c r="P122" s="257">
        <v>2.95</v>
      </c>
      <c r="Q122" s="257">
        <f t="shared" si="1"/>
        <v>35.400000000000006</v>
      </c>
      <c r="R122" s="257">
        <f t="shared" si="2"/>
        <v>0.9826155794806839</v>
      </c>
      <c r="S122" s="257">
        <f t="shared" si="3"/>
        <v>11.79138695376821</v>
      </c>
      <c r="T122" s="246">
        <f t="shared" si="4"/>
        <v>0.3330900269426047</v>
      </c>
      <c r="U122" s="135"/>
      <c r="V122" s="268">
        <f t="shared" si="160"/>
        <v>2.95</v>
      </c>
      <c r="W122" s="269">
        <v>0.18</v>
      </c>
      <c r="X122" s="270">
        <f t="shared" si="161"/>
        <v>3.5975609756097562</v>
      </c>
      <c r="Y122" s="271">
        <f t="shared" si="162"/>
        <v>0.64756097560975612</v>
      </c>
      <c r="Z122" s="267">
        <f t="shared" si="163"/>
        <v>5.8280487804878045E-2</v>
      </c>
      <c r="AA122" s="271">
        <f t="shared" si="164"/>
        <v>0.70584146341463416</v>
      </c>
      <c r="AB122" s="271">
        <f t="shared" si="165"/>
        <v>2.891719512195122</v>
      </c>
      <c r="AC122" s="284">
        <f t="shared" si="166"/>
        <v>0.31964894512681741</v>
      </c>
      <c r="AD122" s="285">
        <f t="shared" si="167"/>
        <v>-1.3441081815787292E-2</v>
      </c>
      <c r="AE122" s="221" t="s">
        <v>269</v>
      </c>
    </row>
    <row r="123" spans="1:31" ht="40" customHeight="1" x14ac:dyDescent="0.2">
      <c r="A123" s="123">
        <v>119</v>
      </c>
      <c r="B123" s="274" t="s">
        <v>178</v>
      </c>
      <c r="C123" s="123">
        <v>1</v>
      </c>
      <c r="D123" s="123">
        <v>24</v>
      </c>
      <c r="E123" s="123">
        <f t="shared" ref="E123:E127" si="252">D123*C123</f>
        <v>24</v>
      </c>
      <c r="F123" s="123" t="s">
        <v>269</v>
      </c>
      <c r="G123" s="123" t="s">
        <v>269</v>
      </c>
      <c r="H123" s="257">
        <f t="shared" ref="H123:H128" si="253">72*0.95</f>
        <v>68.399999999999991</v>
      </c>
      <c r="I123" s="257">
        <f t="shared" ref="I123:I127" si="254">H123/D123</f>
        <v>2.8499999999999996</v>
      </c>
      <c r="J123" s="257">
        <f t="shared" ref="J123:J127" si="255">I123*E123</f>
        <v>68.399999999999991</v>
      </c>
      <c r="K123" s="257"/>
      <c r="L123" s="257">
        <f t="shared" si="6"/>
        <v>0.90246991766941098</v>
      </c>
      <c r="M123" s="257">
        <f t="shared" ref="M123:M127" si="256">H123/$S$2</f>
        <v>21.659278024065863</v>
      </c>
      <c r="N123" s="257">
        <f t="shared" si="237"/>
        <v>0.98369221025965803</v>
      </c>
      <c r="O123" s="257">
        <f t="shared" ref="O123:O127" si="257">N123*E123</f>
        <v>23.608613046231792</v>
      </c>
      <c r="P123" s="257">
        <v>1.95</v>
      </c>
      <c r="Q123" s="257">
        <f t="shared" si="1"/>
        <v>46.8</v>
      </c>
      <c r="R123" s="257">
        <f>P123-N123</f>
        <v>0.96630778974034193</v>
      </c>
      <c r="S123" s="257">
        <f t="shared" si="3"/>
        <v>23.191386953768205</v>
      </c>
      <c r="T123" s="246">
        <f>R123/P123</f>
        <v>0.49554245627709842</v>
      </c>
      <c r="U123" s="247"/>
      <c r="V123" s="268">
        <f t="shared" si="160"/>
        <v>1.95</v>
      </c>
      <c r="W123" s="269">
        <v>0.18</v>
      </c>
      <c r="X123" s="270">
        <f t="shared" si="161"/>
        <v>2.3780487804878048</v>
      </c>
      <c r="Y123" s="271">
        <f t="shared" si="162"/>
        <v>0.42804878048780487</v>
      </c>
      <c r="Z123" s="267">
        <f t="shared" si="163"/>
        <v>3.8524390243902439E-2</v>
      </c>
      <c r="AA123" s="271">
        <f t="shared" si="164"/>
        <v>0.46657317073170729</v>
      </c>
      <c r="AB123" s="271">
        <f t="shared" si="165"/>
        <v>1.9114756097560974</v>
      </c>
      <c r="AC123" s="284">
        <f t="shared" si="166"/>
        <v>0.48537548413438752</v>
      </c>
      <c r="AD123" s="285">
        <f t="shared" si="167"/>
        <v>-1.0166972142710895E-2</v>
      </c>
      <c r="AE123" s="221" t="s">
        <v>269</v>
      </c>
    </row>
    <row r="124" spans="1:31" ht="40" customHeight="1" x14ac:dyDescent="0.2">
      <c r="A124" s="123">
        <v>120</v>
      </c>
      <c r="B124" s="274" t="s">
        <v>179</v>
      </c>
      <c r="C124" s="123">
        <v>1</v>
      </c>
      <c r="D124" s="123">
        <v>24</v>
      </c>
      <c r="E124" s="123">
        <f t="shared" si="252"/>
        <v>24</v>
      </c>
      <c r="F124" s="123" t="s">
        <v>269</v>
      </c>
      <c r="G124" s="123" t="s">
        <v>269</v>
      </c>
      <c r="H124" s="257">
        <f t="shared" si="253"/>
        <v>68.399999999999991</v>
      </c>
      <c r="I124" s="257">
        <f t="shared" si="254"/>
        <v>2.8499999999999996</v>
      </c>
      <c r="J124" s="257">
        <f t="shared" si="255"/>
        <v>68.399999999999991</v>
      </c>
      <c r="K124" s="257"/>
      <c r="L124" s="257">
        <f t="shared" si="6"/>
        <v>0.90246991766941098</v>
      </c>
      <c r="M124" s="257">
        <f t="shared" si="256"/>
        <v>21.659278024065863</v>
      </c>
      <c r="N124" s="257">
        <f t="shared" si="237"/>
        <v>0.98369221025965803</v>
      </c>
      <c r="O124" s="257">
        <f t="shared" si="257"/>
        <v>23.608613046231792</v>
      </c>
      <c r="P124" s="257">
        <v>1.95</v>
      </c>
      <c r="Q124" s="257">
        <f t="shared" si="1"/>
        <v>46.8</v>
      </c>
      <c r="R124" s="257">
        <f>P124-N124</f>
        <v>0.96630778974034193</v>
      </c>
      <c r="S124" s="257">
        <f t="shared" si="3"/>
        <v>23.191386953768205</v>
      </c>
      <c r="T124" s="246">
        <f>R124/P124</f>
        <v>0.49554245627709842</v>
      </c>
      <c r="U124" s="247"/>
      <c r="V124" s="268">
        <f t="shared" si="160"/>
        <v>1.95</v>
      </c>
      <c r="W124" s="269">
        <v>0.18</v>
      </c>
      <c r="X124" s="270">
        <f t="shared" si="161"/>
        <v>2.3780487804878048</v>
      </c>
      <c r="Y124" s="271">
        <f t="shared" si="162"/>
        <v>0.42804878048780487</v>
      </c>
      <c r="Z124" s="267">
        <f t="shared" si="163"/>
        <v>3.8524390243902439E-2</v>
      </c>
      <c r="AA124" s="271">
        <f t="shared" si="164"/>
        <v>0.46657317073170729</v>
      </c>
      <c r="AB124" s="271">
        <f t="shared" si="165"/>
        <v>1.9114756097560974</v>
      </c>
      <c r="AC124" s="284">
        <f t="shared" si="166"/>
        <v>0.48537548413438752</v>
      </c>
      <c r="AD124" s="285">
        <f t="shared" si="167"/>
        <v>-1.0166972142710895E-2</v>
      </c>
      <c r="AE124" s="221" t="s">
        <v>269</v>
      </c>
    </row>
    <row r="125" spans="1:31" ht="40" customHeight="1" x14ac:dyDescent="0.2">
      <c r="A125" s="123">
        <v>121</v>
      </c>
      <c r="B125" s="274" t="s">
        <v>180</v>
      </c>
      <c r="C125" s="123">
        <v>1</v>
      </c>
      <c r="D125" s="123">
        <v>24</v>
      </c>
      <c r="E125" s="123">
        <f t="shared" ref="E125:E126" si="258">D125*C125</f>
        <v>24</v>
      </c>
      <c r="F125" s="123" t="s">
        <v>269</v>
      </c>
      <c r="G125" s="123" t="s">
        <v>269</v>
      </c>
      <c r="H125" s="257">
        <f t="shared" si="253"/>
        <v>68.399999999999991</v>
      </c>
      <c r="I125" s="257">
        <f t="shared" ref="I125:I126" si="259">H125/D125</f>
        <v>2.8499999999999996</v>
      </c>
      <c r="J125" s="257">
        <f t="shared" ref="J125:J126" si="260">I125*E125</f>
        <v>68.399999999999991</v>
      </c>
      <c r="K125" s="257"/>
      <c r="L125" s="257">
        <f t="shared" si="6"/>
        <v>0.90246991766941098</v>
      </c>
      <c r="M125" s="257">
        <f t="shared" ref="M125:M126" si="261">H125/$S$2</f>
        <v>21.659278024065863</v>
      </c>
      <c r="N125" s="257">
        <f t="shared" si="237"/>
        <v>0.98369221025965803</v>
      </c>
      <c r="O125" s="257">
        <f t="shared" ref="O125:O126" si="262">N125*E125</f>
        <v>23.608613046231792</v>
      </c>
      <c r="P125" s="257">
        <v>1.95</v>
      </c>
      <c r="Q125" s="257">
        <f t="shared" ref="Q125:Q126" si="263">P125*E125</f>
        <v>46.8</v>
      </c>
      <c r="R125" s="257">
        <f>P125-N125</f>
        <v>0.96630778974034193</v>
      </c>
      <c r="S125" s="257">
        <f t="shared" ref="S125:S126" si="264">Q125-O125</f>
        <v>23.191386953768205</v>
      </c>
      <c r="T125" s="246">
        <f>R125/P125</f>
        <v>0.49554245627709842</v>
      </c>
      <c r="U125" s="247"/>
      <c r="V125" s="268">
        <f t="shared" si="160"/>
        <v>1.95</v>
      </c>
      <c r="W125" s="269">
        <v>0.18</v>
      </c>
      <c r="X125" s="270">
        <f t="shared" si="161"/>
        <v>2.3780487804878048</v>
      </c>
      <c r="Y125" s="271">
        <f t="shared" si="162"/>
        <v>0.42804878048780487</v>
      </c>
      <c r="Z125" s="267">
        <f t="shared" si="163"/>
        <v>3.8524390243902439E-2</v>
      </c>
      <c r="AA125" s="271">
        <f t="shared" si="164"/>
        <v>0.46657317073170729</v>
      </c>
      <c r="AB125" s="271">
        <f t="shared" si="165"/>
        <v>1.9114756097560974</v>
      </c>
      <c r="AC125" s="284">
        <f t="shared" si="166"/>
        <v>0.48537548413438752</v>
      </c>
      <c r="AD125" s="285">
        <f t="shared" si="167"/>
        <v>-1.0166972142710895E-2</v>
      </c>
      <c r="AE125" s="221" t="s">
        <v>269</v>
      </c>
    </row>
    <row r="126" spans="1:31" ht="40" customHeight="1" x14ac:dyDescent="0.2">
      <c r="A126" s="123">
        <v>122</v>
      </c>
      <c r="B126" s="274" t="s">
        <v>181</v>
      </c>
      <c r="C126" s="123">
        <v>1</v>
      </c>
      <c r="D126" s="123">
        <v>24</v>
      </c>
      <c r="E126" s="123">
        <f t="shared" si="258"/>
        <v>24</v>
      </c>
      <c r="F126" s="123" t="s">
        <v>269</v>
      </c>
      <c r="G126" s="123" t="s">
        <v>269</v>
      </c>
      <c r="H126" s="257">
        <f t="shared" si="253"/>
        <v>68.399999999999991</v>
      </c>
      <c r="I126" s="257">
        <f t="shared" si="259"/>
        <v>2.8499999999999996</v>
      </c>
      <c r="J126" s="257">
        <f t="shared" si="260"/>
        <v>68.399999999999991</v>
      </c>
      <c r="K126" s="257"/>
      <c r="L126" s="257">
        <f t="shared" ref="L126:L184" si="265">I126/$S$2</f>
        <v>0.90246991766941098</v>
      </c>
      <c r="M126" s="257">
        <f t="shared" si="261"/>
        <v>21.659278024065863</v>
      </c>
      <c r="N126" s="257">
        <f t="shared" si="237"/>
        <v>0.98369221025965803</v>
      </c>
      <c r="O126" s="257">
        <f t="shared" si="262"/>
        <v>23.608613046231792</v>
      </c>
      <c r="P126" s="257">
        <v>1.95</v>
      </c>
      <c r="Q126" s="257">
        <f t="shared" si="263"/>
        <v>46.8</v>
      </c>
      <c r="R126" s="257">
        <f>P126-N126</f>
        <v>0.96630778974034193</v>
      </c>
      <c r="S126" s="257">
        <f t="shared" si="264"/>
        <v>23.191386953768205</v>
      </c>
      <c r="T126" s="246">
        <f>R126/P126</f>
        <v>0.49554245627709842</v>
      </c>
      <c r="U126" s="247"/>
      <c r="V126" s="268">
        <f t="shared" si="160"/>
        <v>1.95</v>
      </c>
      <c r="W126" s="269">
        <v>0.18</v>
      </c>
      <c r="X126" s="270">
        <f t="shared" si="161"/>
        <v>2.3780487804878048</v>
      </c>
      <c r="Y126" s="271">
        <f t="shared" si="162"/>
        <v>0.42804878048780487</v>
      </c>
      <c r="Z126" s="267">
        <f t="shared" si="163"/>
        <v>3.8524390243902439E-2</v>
      </c>
      <c r="AA126" s="271">
        <f t="shared" si="164"/>
        <v>0.46657317073170729</v>
      </c>
      <c r="AB126" s="271">
        <f t="shared" si="165"/>
        <v>1.9114756097560974</v>
      </c>
      <c r="AC126" s="284">
        <f t="shared" si="166"/>
        <v>0.48537548413438752</v>
      </c>
      <c r="AD126" s="285">
        <f t="shared" si="167"/>
        <v>-1.0166972142710895E-2</v>
      </c>
      <c r="AE126" s="221" t="s">
        <v>269</v>
      </c>
    </row>
    <row r="127" spans="1:31" ht="40" customHeight="1" x14ac:dyDescent="0.2">
      <c r="A127" s="123">
        <v>123</v>
      </c>
      <c r="B127" s="274" t="s">
        <v>118</v>
      </c>
      <c r="C127" s="123">
        <v>1</v>
      </c>
      <c r="D127" s="123">
        <v>24</v>
      </c>
      <c r="E127" s="123">
        <f t="shared" si="252"/>
        <v>24</v>
      </c>
      <c r="F127" s="123" t="s">
        <v>269</v>
      </c>
      <c r="G127" s="123" t="s">
        <v>269</v>
      </c>
      <c r="H127" s="257">
        <f t="shared" si="253"/>
        <v>68.399999999999991</v>
      </c>
      <c r="I127" s="257">
        <f t="shared" si="254"/>
        <v>2.8499999999999996</v>
      </c>
      <c r="J127" s="257">
        <f t="shared" si="255"/>
        <v>68.399999999999991</v>
      </c>
      <c r="K127" s="257"/>
      <c r="L127" s="257">
        <f t="shared" si="265"/>
        <v>0.90246991766941098</v>
      </c>
      <c r="M127" s="257">
        <f t="shared" si="256"/>
        <v>21.659278024065863</v>
      </c>
      <c r="N127" s="257">
        <f t="shared" si="237"/>
        <v>0.98369221025965803</v>
      </c>
      <c r="O127" s="257">
        <f t="shared" si="257"/>
        <v>23.608613046231792</v>
      </c>
      <c r="P127" s="257">
        <v>1.95</v>
      </c>
      <c r="Q127" s="257">
        <f t="shared" si="1"/>
        <v>46.8</v>
      </c>
      <c r="R127" s="257">
        <f>P127-N127</f>
        <v>0.96630778974034193</v>
      </c>
      <c r="S127" s="257">
        <f t="shared" si="3"/>
        <v>23.191386953768205</v>
      </c>
      <c r="T127" s="246">
        <f>R127/P127</f>
        <v>0.49554245627709842</v>
      </c>
      <c r="U127" s="247"/>
      <c r="V127" s="268">
        <f t="shared" si="160"/>
        <v>1.95</v>
      </c>
      <c r="W127" s="269">
        <v>0.18</v>
      </c>
      <c r="X127" s="270">
        <f t="shared" si="161"/>
        <v>2.3780487804878048</v>
      </c>
      <c r="Y127" s="271">
        <f t="shared" si="162"/>
        <v>0.42804878048780487</v>
      </c>
      <c r="Z127" s="267">
        <f t="shared" si="163"/>
        <v>3.8524390243902439E-2</v>
      </c>
      <c r="AA127" s="271">
        <f t="shared" si="164"/>
        <v>0.46657317073170729</v>
      </c>
      <c r="AB127" s="271">
        <f t="shared" si="165"/>
        <v>1.9114756097560974</v>
      </c>
      <c r="AC127" s="284">
        <f t="shared" si="166"/>
        <v>0.48537548413438752</v>
      </c>
      <c r="AD127" s="285">
        <f t="shared" si="167"/>
        <v>-1.0166972142710895E-2</v>
      </c>
      <c r="AE127" s="221" t="s">
        <v>269</v>
      </c>
    </row>
    <row r="128" spans="1:31" ht="40" customHeight="1" x14ac:dyDescent="0.2">
      <c r="A128" s="123">
        <v>124</v>
      </c>
      <c r="B128" s="274" t="s">
        <v>119</v>
      </c>
      <c r="C128" s="123">
        <v>1</v>
      </c>
      <c r="D128" s="123">
        <v>24</v>
      </c>
      <c r="E128" s="123">
        <f t="shared" si="142"/>
        <v>24</v>
      </c>
      <c r="F128" s="123" t="s">
        <v>269</v>
      </c>
      <c r="G128" s="123" t="s">
        <v>269</v>
      </c>
      <c r="H128" s="257">
        <f t="shared" si="253"/>
        <v>68.399999999999991</v>
      </c>
      <c r="I128" s="257">
        <f t="shared" si="143"/>
        <v>2.8499999999999996</v>
      </c>
      <c r="J128" s="257">
        <f t="shared" si="207"/>
        <v>68.399999999999991</v>
      </c>
      <c r="K128" s="257"/>
      <c r="L128" s="257">
        <f t="shared" si="265"/>
        <v>0.90246991766941098</v>
      </c>
      <c r="M128" s="257">
        <f t="shared" si="144"/>
        <v>21.659278024065863</v>
      </c>
      <c r="N128" s="257">
        <f t="shared" si="237"/>
        <v>0.98369221025965803</v>
      </c>
      <c r="O128" s="257">
        <f t="shared" si="145"/>
        <v>23.608613046231792</v>
      </c>
      <c r="P128" s="257">
        <v>1.95</v>
      </c>
      <c r="Q128" s="257">
        <f t="shared" ref="Q128:Q131" si="266">P128*E128</f>
        <v>46.8</v>
      </c>
      <c r="R128" s="257">
        <f t="shared" ref="R128:R131" si="267">P128-N128</f>
        <v>0.96630778974034193</v>
      </c>
      <c r="S128" s="257">
        <f t="shared" ref="S128:S131" si="268">Q128-O128</f>
        <v>23.191386953768205</v>
      </c>
      <c r="T128" s="246">
        <f t="shared" ref="T128:T131" si="269">R128/P128</f>
        <v>0.49554245627709842</v>
      </c>
      <c r="U128" s="247"/>
      <c r="V128" s="268">
        <f t="shared" si="160"/>
        <v>1.95</v>
      </c>
      <c r="W128" s="269">
        <v>0.18</v>
      </c>
      <c r="X128" s="270">
        <f t="shared" si="161"/>
        <v>2.3780487804878048</v>
      </c>
      <c r="Y128" s="271">
        <f t="shared" si="162"/>
        <v>0.42804878048780487</v>
      </c>
      <c r="Z128" s="267">
        <f t="shared" si="163"/>
        <v>3.8524390243902439E-2</v>
      </c>
      <c r="AA128" s="271">
        <f t="shared" si="164"/>
        <v>0.46657317073170729</v>
      </c>
      <c r="AB128" s="271">
        <f t="shared" si="165"/>
        <v>1.9114756097560974</v>
      </c>
      <c r="AC128" s="284">
        <f t="shared" si="166"/>
        <v>0.48537548413438752</v>
      </c>
      <c r="AD128" s="285">
        <f t="shared" si="167"/>
        <v>-1.0166972142710895E-2</v>
      </c>
      <c r="AE128" s="221" t="s">
        <v>269</v>
      </c>
    </row>
    <row r="129" spans="1:31" ht="40" customHeight="1" x14ac:dyDescent="0.2">
      <c r="A129" s="123">
        <v>125</v>
      </c>
      <c r="B129" s="274" t="s">
        <v>120</v>
      </c>
      <c r="C129" s="123">
        <v>1</v>
      </c>
      <c r="D129" s="123">
        <v>24</v>
      </c>
      <c r="E129" s="123">
        <f t="shared" si="142"/>
        <v>24</v>
      </c>
      <c r="F129" s="123" t="s">
        <v>269</v>
      </c>
      <c r="G129" s="123" t="s">
        <v>269</v>
      </c>
      <c r="H129" s="257">
        <v>66</v>
      </c>
      <c r="I129" s="257">
        <f t="shared" si="143"/>
        <v>2.75</v>
      </c>
      <c r="J129" s="257">
        <f t="shared" si="207"/>
        <v>66</v>
      </c>
      <c r="K129" s="257"/>
      <c r="L129" s="257">
        <f t="shared" si="265"/>
        <v>0.87080430652311591</v>
      </c>
      <c r="M129" s="257">
        <f t="shared" si="144"/>
        <v>20.899303356554782</v>
      </c>
      <c r="N129" s="257">
        <f t="shared" si="237"/>
        <v>0.94917669411019645</v>
      </c>
      <c r="O129" s="257">
        <f t="shared" si="145"/>
        <v>22.780240658644715</v>
      </c>
      <c r="P129" s="257">
        <v>1.5</v>
      </c>
      <c r="Q129" s="257">
        <f t="shared" si="266"/>
        <v>36</v>
      </c>
      <c r="R129" s="257">
        <f t="shared" si="267"/>
        <v>0.55082330588980355</v>
      </c>
      <c r="S129" s="257">
        <f t="shared" si="268"/>
        <v>13.219759341355285</v>
      </c>
      <c r="T129" s="246">
        <f t="shared" si="269"/>
        <v>0.36721553725986905</v>
      </c>
      <c r="U129" s="222"/>
      <c r="V129" s="268">
        <f t="shared" si="160"/>
        <v>1.5</v>
      </c>
      <c r="W129" s="269">
        <v>0.18</v>
      </c>
      <c r="X129" s="270">
        <f t="shared" si="161"/>
        <v>1.8292682926829267</v>
      </c>
      <c r="Y129" s="271">
        <f t="shared" si="162"/>
        <v>0.32926829268292679</v>
      </c>
      <c r="Z129" s="267">
        <f t="shared" si="163"/>
        <v>2.963414634146341E-2</v>
      </c>
      <c r="AA129" s="271">
        <f t="shared" si="164"/>
        <v>0.35890243902439017</v>
      </c>
      <c r="AB129" s="271">
        <f t="shared" si="165"/>
        <v>1.4703658536585364</v>
      </c>
      <c r="AC129" s="284">
        <f t="shared" si="166"/>
        <v>0.35446223009839828</v>
      </c>
      <c r="AD129" s="285">
        <f t="shared" si="167"/>
        <v>-1.2753307161470773E-2</v>
      </c>
      <c r="AE129" s="221" t="s">
        <v>269</v>
      </c>
    </row>
    <row r="130" spans="1:31" ht="40" customHeight="1" x14ac:dyDescent="0.2">
      <c r="A130" s="123">
        <v>126</v>
      </c>
      <c r="B130" s="274" t="s">
        <v>121</v>
      </c>
      <c r="C130" s="123">
        <v>1</v>
      </c>
      <c r="D130" s="123">
        <v>400</v>
      </c>
      <c r="E130" s="123">
        <f t="shared" si="142"/>
        <v>400</v>
      </c>
      <c r="F130" s="123" t="s">
        <v>269</v>
      </c>
      <c r="G130" s="123" t="s">
        <v>269</v>
      </c>
      <c r="H130" s="257">
        <v>374</v>
      </c>
      <c r="I130" s="257">
        <f t="shared" si="143"/>
        <v>0.93500000000000005</v>
      </c>
      <c r="J130" s="257">
        <f t="shared" si="207"/>
        <v>374</v>
      </c>
      <c r="K130" s="257"/>
      <c r="L130" s="257">
        <f t="shared" si="265"/>
        <v>0.29607346421785941</v>
      </c>
      <c r="M130" s="257">
        <f t="shared" si="144"/>
        <v>118.42938568714376</v>
      </c>
      <c r="N130" s="257">
        <f t="shared" si="237"/>
        <v>0.32272007599746677</v>
      </c>
      <c r="O130" s="257">
        <f t="shared" si="145"/>
        <v>129.08803039898672</v>
      </c>
      <c r="P130" s="257">
        <v>0.4</v>
      </c>
      <c r="Q130" s="257">
        <f t="shared" si="266"/>
        <v>160</v>
      </c>
      <c r="R130" s="257">
        <f t="shared" si="267"/>
        <v>7.7279924002533251E-2</v>
      </c>
      <c r="S130" s="257">
        <f t="shared" si="268"/>
        <v>30.911969601013283</v>
      </c>
      <c r="T130" s="246">
        <f t="shared" si="269"/>
        <v>0.19319981000633313</v>
      </c>
      <c r="U130" s="248"/>
      <c r="V130" s="268">
        <f t="shared" si="160"/>
        <v>0.4</v>
      </c>
      <c r="W130" s="269">
        <v>0.18</v>
      </c>
      <c r="X130" s="270">
        <f t="shared" si="161"/>
        <v>0.48780487804878048</v>
      </c>
      <c r="Y130" s="271">
        <f t="shared" si="162"/>
        <v>8.7804878048780483E-2</v>
      </c>
      <c r="Z130" s="267">
        <f t="shared" si="163"/>
        <v>7.902439024390244E-3</v>
      </c>
      <c r="AA130" s="271">
        <f t="shared" si="164"/>
        <v>9.5707317073170733E-2</v>
      </c>
      <c r="AB130" s="271">
        <f t="shared" si="165"/>
        <v>0.39209756097560977</v>
      </c>
      <c r="AC130" s="284">
        <f t="shared" si="166"/>
        <v>0.176939343375458</v>
      </c>
      <c r="AD130" s="285">
        <f t="shared" si="167"/>
        <v>-1.6260466630875131E-2</v>
      </c>
      <c r="AE130" s="221" t="s">
        <v>269</v>
      </c>
    </row>
    <row r="131" spans="1:31" ht="40" customHeight="1" x14ac:dyDescent="0.2">
      <c r="A131" s="123">
        <v>127</v>
      </c>
      <c r="B131" s="274" t="s">
        <v>122</v>
      </c>
      <c r="C131" s="123">
        <v>1</v>
      </c>
      <c r="D131" s="123">
        <v>50</v>
      </c>
      <c r="E131" s="123">
        <f t="shared" si="142"/>
        <v>50</v>
      </c>
      <c r="F131" s="123" t="s">
        <v>269</v>
      </c>
      <c r="G131" s="123" t="s">
        <v>269</v>
      </c>
      <c r="H131" s="257">
        <v>83</v>
      </c>
      <c r="I131" s="257">
        <f t="shared" si="143"/>
        <v>1.66</v>
      </c>
      <c r="J131" s="257">
        <f t="shared" ref="J131:J159" si="270">I131*E131</f>
        <v>83</v>
      </c>
      <c r="K131" s="257"/>
      <c r="L131" s="257">
        <f t="shared" si="265"/>
        <v>0.52564914502849902</v>
      </c>
      <c r="M131" s="257">
        <f t="shared" si="144"/>
        <v>26.282457251424955</v>
      </c>
      <c r="N131" s="257">
        <f t="shared" si="237"/>
        <v>0.57295756808106402</v>
      </c>
      <c r="O131" s="257">
        <f t="shared" si="145"/>
        <v>28.647878404053202</v>
      </c>
      <c r="P131" s="257">
        <v>1</v>
      </c>
      <c r="Q131" s="257">
        <f t="shared" si="266"/>
        <v>50</v>
      </c>
      <c r="R131" s="257">
        <f t="shared" si="267"/>
        <v>0.42704243191893598</v>
      </c>
      <c r="S131" s="257">
        <f t="shared" si="268"/>
        <v>21.352121595946798</v>
      </c>
      <c r="T131" s="246">
        <f t="shared" si="269"/>
        <v>0.42704243191893598</v>
      </c>
      <c r="U131" s="248"/>
      <c r="V131" s="268">
        <f t="shared" si="160"/>
        <v>1</v>
      </c>
      <c r="W131" s="269">
        <v>0.18</v>
      </c>
      <c r="X131" s="270">
        <f t="shared" si="161"/>
        <v>1.2195121951219512</v>
      </c>
      <c r="Y131" s="271">
        <f t="shared" si="162"/>
        <v>0.21951219512195122</v>
      </c>
      <c r="Z131" s="267">
        <f t="shared" si="163"/>
        <v>1.975609756097561E-2</v>
      </c>
      <c r="AA131" s="271">
        <f t="shared" si="164"/>
        <v>0.23926829268292682</v>
      </c>
      <c r="AB131" s="271">
        <f t="shared" si="165"/>
        <v>0.98024390243902437</v>
      </c>
      <c r="AC131" s="284">
        <f t="shared" si="166"/>
        <v>0.41549489198000433</v>
      </c>
      <c r="AD131" s="285">
        <f t="shared" si="167"/>
        <v>-1.154753993893165E-2</v>
      </c>
      <c r="AE131" s="221" t="s">
        <v>269</v>
      </c>
    </row>
    <row r="132" spans="1:31" ht="40" customHeight="1" x14ac:dyDescent="0.2">
      <c r="A132" s="123">
        <v>128</v>
      </c>
      <c r="B132" s="274" t="s">
        <v>123</v>
      </c>
      <c r="C132" s="123">
        <v>1</v>
      </c>
      <c r="D132" s="123">
        <v>50</v>
      </c>
      <c r="E132" s="123">
        <f t="shared" ref="E132:E184" si="271">D132*C132</f>
        <v>50</v>
      </c>
      <c r="F132" s="123" t="s">
        <v>269</v>
      </c>
      <c r="G132" s="123" t="s">
        <v>269</v>
      </c>
      <c r="H132" s="257">
        <v>83</v>
      </c>
      <c r="I132" s="257">
        <f t="shared" ref="I132:I184" si="272">H132/D132</f>
        <v>1.66</v>
      </c>
      <c r="J132" s="257">
        <f t="shared" si="270"/>
        <v>83</v>
      </c>
      <c r="K132" s="257"/>
      <c r="L132" s="257">
        <f t="shared" si="265"/>
        <v>0.52564914502849902</v>
      </c>
      <c r="M132" s="257">
        <f t="shared" ref="M132:M184" si="273">H132/$S$2</f>
        <v>26.282457251424955</v>
      </c>
      <c r="N132" s="257">
        <f t="shared" si="237"/>
        <v>0.57295756808106402</v>
      </c>
      <c r="O132" s="257">
        <f t="shared" ref="O132:O184" si="274">N132*E132</f>
        <v>28.647878404053202</v>
      </c>
      <c r="P132" s="257">
        <v>1</v>
      </c>
      <c r="Q132" s="257">
        <f t="shared" ref="Q132:Q184" si="275">P132*E132</f>
        <v>50</v>
      </c>
      <c r="R132" s="257">
        <f t="shared" ref="R132:R184" si="276">P132-N132</f>
        <v>0.42704243191893598</v>
      </c>
      <c r="S132" s="257">
        <f t="shared" ref="S132:S184" si="277">Q132-O132</f>
        <v>21.352121595946798</v>
      </c>
      <c r="T132" s="246">
        <f t="shared" ref="T132:T184" si="278">R132/P132</f>
        <v>0.42704243191893598</v>
      </c>
      <c r="U132" s="248"/>
      <c r="V132" s="268">
        <f t="shared" si="160"/>
        <v>1</v>
      </c>
      <c r="W132" s="269">
        <v>0.18</v>
      </c>
      <c r="X132" s="270">
        <f t="shared" si="161"/>
        <v>1.2195121951219512</v>
      </c>
      <c r="Y132" s="271">
        <f t="shared" si="162"/>
        <v>0.21951219512195122</v>
      </c>
      <c r="Z132" s="267">
        <f t="shared" si="163"/>
        <v>1.975609756097561E-2</v>
      </c>
      <c r="AA132" s="271">
        <f t="shared" si="164"/>
        <v>0.23926829268292682</v>
      </c>
      <c r="AB132" s="271">
        <f t="shared" si="165"/>
        <v>0.98024390243902437</v>
      </c>
      <c r="AC132" s="284">
        <f t="shared" si="166"/>
        <v>0.41549489198000433</v>
      </c>
      <c r="AD132" s="285">
        <f t="shared" si="167"/>
        <v>-1.154753993893165E-2</v>
      </c>
      <c r="AE132" s="221" t="s">
        <v>269</v>
      </c>
    </row>
    <row r="133" spans="1:31" ht="40" customHeight="1" x14ac:dyDescent="0.2">
      <c r="A133" s="123">
        <v>129</v>
      </c>
      <c r="B133" s="274" t="s">
        <v>124</v>
      </c>
      <c r="C133" s="123">
        <v>1</v>
      </c>
      <c r="D133" s="123">
        <v>100</v>
      </c>
      <c r="E133" s="123">
        <f t="shared" si="271"/>
        <v>100</v>
      </c>
      <c r="F133" s="123" t="s">
        <v>269</v>
      </c>
      <c r="G133" s="123" t="s">
        <v>269</v>
      </c>
      <c r="H133" s="257">
        <v>365</v>
      </c>
      <c r="I133" s="257">
        <f t="shared" si="272"/>
        <v>3.65</v>
      </c>
      <c r="J133" s="257">
        <f t="shared" si="270"/>
        <v>365</v>
      </c>
      <c r="K133" s="257"/>
      <c r="L133" s="257">
        <f t="shared" si="265"/>
        <v>1.1557948068397721</v>
      </c>
      <c r="M133" s="257">
        <f t="shared" si="273"/>
        <v>115.57948068397721</v>
      </c>
      <c r="N133" s="257">
        <f t="shared" si="237"/>
        <v>1.2598163394553517</v>
      </c>
      <c r="O133" s="257">
        <f t="shared" si="274"/>
        <v>125.98163394553517</v>
      </c>
      <c r="P133" s="257">
        <v>1.75</v>
      </c>
      <c r="Q133" s="257">
        <f t="shared" si="275"/>
        <v>175</v>
      </c>
      <c r="R133" s="257">
        <f t="shared" si="276"/>
        <v>0.49018366054464835</v>
      </c>
      <c r="S133" s="257">
        <f t="shared" si="277"/>
        <v>49.018366054464835</v>
      </c>
      <c r="T133" s="246">
        <f t="shared" si="278"/>
        <v>0.28010494888265619</v>
      </c>
      <c r="U133" s="248"/>
      <c r="V133" s="268">
        <f t="shared" si="160"/>
        <v>1.75</v>
      </c>
      <c r="W133" s="269">
        <v>0.18</v>
      </c>
      <c r="X133" s="270">
        <f t="shared" si="161"/>
        <v>2.1341463414634143</v>
      </c>
      <c r="Y133" s="271">
        <f t="shared" si="162"/>
        <v>0.38414634146341459</v>
      </c>
      <c r="Z133" s="267">
        <f t="shared" si="163"/>
        <v>3.4573170731707313E-2</v>
      </c>
      <c r="AA133" s="271">
        <f t="shared" si="164"/>
        <v>0.41871951219512188</v>
      </c>
      <c r="AB133" s="271">
        <f t="shared" si="165"/>
        <v>1.7154268292682924</v>
      </c>
      <c r="AC133" s="284">
        <f t="shared" si="166"/>
        <v>0.2655959916444115</v>
      </c>
      <c r="AD133" s="285">
        <f t="shared" si="167"/>
        <v>-1.4508957238244691E-2</v>
      </c>
      <c r="AE133" s="221" t="s">
        <v>269</v>
      </c>
    </row>
    <row r="134" spans="1:31" ht="40" customHeight="1" x14ac:dyDescent="0.2">
      <c r="A134" s="123">
        <v>130</v>
      </c>
      <c r="B134" s="274" t="s">
        <v>127</v>
      </c>
      <c r="C134" s="123">
        <v>1</v>
      </c>
      <c r="D134" s="123">
        <v>50</v>
      </c>
      <c r="E134" s="123">
        <f t="shared" si="271"/>
        <v>50</v>
      </c>
      <c r="F134" s="123" t="s">
        <v>269</v>
      </c>
      <c r="G134" s="123" t="s">
        <v>269</v>
      </c>
      <c r="H134" s="257">
        <v>155</v>
      </c>
      <c r="I134" s="257">
        <f t="shared" si="272"/>
        <v>3.1</v>
      </c>
      <c r="J134" s="257">
        <f t="shared" si="270"/>
        <v>155</v>
      </c>
      <c r="K134" s="257"/>
      <c r="L134" s="257">
        <f t="shared" si="265"/>
        <v>0.98163394553514893</v>
      </c>
      <c r="M134" s="257">
        <f t="shared" si="273"/>
        <v>49.081697276757446</v>
      </c>
      <c r="N134" s="257">
        <f t="shared" ref="N134:N166" si="279">L134*(1+$O$188+9%)</f>
        <v>1.0699810006333124</v>
      </c>
      <c r="O134" s="257">
        <f t="shared" si="274"/>
        <v>53.499050031665618</v>
      </c>
      <c r="P134" s="257">
        <v>1.95</v>
      </c>
      <c r="Q134" s="257">
        <f t="shared" si="275"/>
        <v>97.5</v>
      </c>
      <c r="R134" s="257">
        <f t="shared" si="276"/>
        <v>0.88001899936668759</v>
      </c>
      <c r="S134" s="257">
        <f t="shared" si="277"/>
        <v>44.000949968334382</v>
      </c>
      <c r="T134" s="246">
        <f t="shared" si="278"/>
        <v>0.45129179454701929</v>
      </c>
      <c r="U134" s="248"/>
      <c r="V134" s="268">
        <f t="shared" si="160"/>
        <v>1.95</v>
      </c>
      <c r="W134" s="269">
        <v>0.18</v>
      </c>
      <c r="X134" s="270">
        <f t="shared" si="161"/>
        <v>2.3780487804878048</v>
      </c>
      <c r="Y134" s="271">
        <f t="shared" si="162"/>
        <v>0.42804878048780487</v>
      </c>
      <c r="Z134" s="267">
        <f t="shared" si="163"/>
        <v>3.8524390243902439E-2</v>
      </c>
      <c r="AA134" s="271">
        <f t="shared" si="164"/>
        <v>0.46657317073170729</v>
      </c>
      <c r="AB134" s="271">
        <f t="shared" si="165"/>
        <v>1.9114756097560974</v>
      </c>
      <c r="AC134" s="284">
        <f t="shared" si="166"/>
        <v>0.44023298274266709</v>
      </c>
      <c r="AD134" s="285">
        <f t="shared" si="167"/>
        <v>-1.1058811804352198E-2</v>
      </c>
      <c r="AE134" s="221" t="s">
        <v>269</v>
      </c>
    </row>
    <row r="135" spans="1:31" ht="40" customHeight="1" x14ac:dyDescent="0.2">
      <c r="A135" s="123">
        <v>131</v>
      </c>
      <c r="B135" s="274" t="s">
        <v>128</v>
      </c>
      <c r="C135" s="123">
        <v>1</v>
      </c>
      <c r="D135" s="123">
        <v>144</v>
      </c>
      <c r="E135" s="123">
        <f t="shared" si="271"/>
        <v>144</v>
      </c>
      <c r="F135" s="123">
        <v>186</v>
      </c>
      <c r="G135" s="257">
        <v>167.4</v>
      </c>
      <c r="H135" s="257">
        <v>167.4</v>
      </c>
      <c r="I135" s="257">
        <f t="shared" si="272"/>
        <v>1.1625000000000001</v>
      </c>
      <c r="J135" s="257">
        <f t="shared" si="270"/>
        <v>167.4</v>
      </c>
      <c r="K135" s="257"/>
      <c r="L135" s="257">
        <f t="shared" si="265"/>
        <v>0.36811272957568086</v>
      </c>
      <c r="M135" s="257">
        <f t="shared" si="273"/>
        <v>53.008233058898043</v>
      </c>
      <c r="N135" s="257">
        <f t="shared" si="279"/>
        <v>0.40124287523749219</v>
      </c>
      <c r="O135" s="257">
        <f t="shared" si="274"/>
        <v>57.778974034198875</v>
      </c>
      <c r="P135" s="257">
        <v>0.8</v>
      </c>
      <c r="Q135" s="257">
        <f t="shared" si="275"/>
        <v>115.2</v>
      </c>
      <c r="R135" s="257">
        <f t="shared" si="276"/>
        <v>0.39875712476250785</v>
      </c>
      <c r="S135" s="257">
        <f t="shared" si="277"/>
        <v>57.421025965801128</v>
      </c>
      <c r="T135" s="246">
        <f t="shared" si="278"/>
        <v>0.49844640595313477</v>
      </c>
      <c r="U135" s="123"/>
      <c r="V135" s="268">
        <f t="shared" ref="V135:V184" si="280">P135</f>
        <v>0.8</v>
      </c>
      <c r="W135" s="269">
        <v>0.18</v>
      </c>
      <c r="X135" s="270">
        <f t="shared" ref="X135:X184" si="281">V135/(1-18%)</f>
        <v>0.97560975609756095</v>
      </c>
      <c r="Y135" s="271">
        <f t="shared" ref="Y135:Y184" si="282">X135*18%</f>
        <v>0.17560975609756097</v>
      </c>
      <c r="Z135" s="267">
        <f t="shared" ref="Z135:Z184" si="283">Y135*9%</f>
        <v>1.5804878048780488E-2</v>
      </c>
      <c r="AA135" s="271">
        <f t="shared" ref="AA135:AA184" si="284">Y135+Z135</f>
        <v>0.19141463414634147</v>
      </c>
      <c r="AB135" s="271">
        <f t="shared" ref="AB135:AB184" si="285">X135-AA135</f>
        <v>0.78419512195121954</v>
      </c>
      <c r="AC135" s="284">
        <f t="shared" ref="AC135:AC184" si="286">(AB135-N135)/AB135</f>
        <v>0.48833796078821912</v>
      </c>
      <c r="AD135" s="285">
        <f t="shared" ref="AD135:AD184" si="287">AC135-T135</f>
        <v>-1.0108445164915658E-2</v>
      </c>
      <c r="AE135" s="221">
        <v>1</v>
      </c>
    </row>
    <row r="136" spans="1:31" ht="40" customHeight="1" x14ac:dyDescent="0.2">
      <c r="A136" s="123">
        <v>132</v>
      </c>
      <c r="B136" s="274" t="s">
        <v>129</v>
      </c>
      <c r="C136" s="123">
        <v>1</v>
      </c>
      <c r="D136" s="123">
        <v>144</v>
      </c>
      <c r="E136" s="123">
        <f t="shared" si="271"/>
        <v>144</v>
      </c>
      <c r="F136" s="123">
        <v>186</v>
      </c>
      <c r="G136" s="257">
        <v>167.4</v>
      </c>
      <c r="H136" s="257">
        <v>167.4</v>
      </c>
      <c r="I136" s="257">
        <f t="shared" si="272"/>
        <v>1.1625000000000001</v>
      </c>
      <c r="J136" s="257">
        <f t="shared" si="270"/>
        <v>167.4</v>
      </c>
      <c r="K136" s="257"/>
      <c r="L136" s="257">
        <f t="shared" si="265"/>
        <v>0.36811272957568086</v>
      </c>
      <c r="M136" s="257">
        <f t="shared" si="273"/>
        <v>53.008233058898043</v>
      </c>
      <c r="N136" s="257">
        <f t="shared" si="279"/>
        <v>0.40124287523749219</v>
      </c>
      <c r="O136" s="257">
        <f t="shared" si="274"/>
        <v>57.778974034198875</v>
      </c>
      <c r="P136" s="257">
        <v>0.8</v>
      </c>
      <c r="Q136" s="257">
        <f t="shared" si="275"/>
        <v>115.2</v>
      </c>
      <c r="R136" s="257">
        <f t="shared" si="276"/>
        <v>0.39875712476250785</v>
      </c>
      <c r="S136" s="257">
        <f t="shared" si="277"/>
        <v>57.421025965801128</v>
      </c>
      <c r="T136" s="246">
        <f t="shared" si="278"/>
        <v>0.49844640595313477</v>
      </c>
      <c r="U136" s="123"/>
      <c r="V136" s="268">
        <f t="shared" si="280"/>
        <v>0.8</v>
      </c>
      <c r="W136" s="269">
        <v>0.18</v>
      </c>
      <c r="X136" s="270">
        <f t="shared" si="281"/>
        <v>0.97560975609756095</v>
      </c>
      <c r="Y136" s="271">
        <f t="shared" si="282"/>
        <v>0.17560975609756097</v>
      </c>
      <c r="Z136" s="267">
        <f t="shared" si="283"/>
        <v>1.5804878048780488E-2</v>
      </c>
      <c r="AA136" s="271">
        <f t="shared" si="284"/>
        <v>0.19141463414634147</v>
      </c>
      <c r="AB136" s="271">
        <f t="shared" si="285"/>
        <v>0.78419512195121954</v>
      </c>
      <c r="AC136" s="284">
        <f t="shared" si="286"/>
        <v>0.48833796078821912</v>
      </c>
      <c r="AD136" s="285">
        <f t="shared" si="287"/>
        <v>-1.0108445164915658E-2</v>
      </c>
      <c r="AE136" s="221">
        <v>1</v>
      </c>
    </row>
    <row r="137" spans="1:31" ht="40" customHeight="1" x14ac:dyDescent="0.2">
      <c r="A137" s="123">
        <v>133</v>
      </c>
      <c r="B137" s="274" t="s">
        <v>130</v>
      </c>
      <c r="C137" s="123">
        <v>1</v>
      </c>
      <c r="D137" s="123">
        <v>144</v>
      </c>
      <c r="E137" s="123">
        <f t="shared" si="271"/>
        <v>144</v>
      </c>
      <c r="F137" s="123">
        <v>186</v>
      </c>
      <c r="G137" s="257">
        <v>167.4</v>
      </c>
      <c r="H137" s="257">
        <v>167.4</v>
      </c>
      <c r="I137" s="257">
        <f t="shared" si="272"/>
        <v>1.1625000000000001</v>
      </c>
      <c r="J137" s="257">
        <f t="shared" si="270"/>
        <v>167.4</v>
      </c>
      <c r="K137" s="257"/>
      <c r="L137" s="257">
        <f t="shared" si="265"/>
        <v>0.36811272957568086</v>
      </c>
      <c r="M137" s="257">
        <f t="shared" si="273"/>
        <v>53.008233058898043</v>
      </c>
      <c r="N137" s="257">
        <f t="shared" si="279"/>
        <v>0.40124287523749219</v>
      </c>
      <c r="O137" s="257">
        <f t="shared" si="274"/>
        <v>57.778974034198875</v>
      </c>
      <c r="P137" s="257">
        <v>0.8</v>
      </c>
      <c r="Q137" s="257">
        <f t="shared" si="275"/>
        <v>115.2</v>
      </c>
      <c r="R137" s="257">
        <f t="shared" si="276"/>
        <v>0.39875712476250785</v>
      </c>
      <c r="S137" s="257">
        <f t="shared" si="277"/>
        <v>57.421025965801128</v>
      </c>
      <c r="T137" s="246">
        <f t="shared" si="278"/>
        <v>0.49844640595313477</v>
      </c>
      <c r="U137" s="123"/>
      <c r="V137" s="268">
        <f t="shared" si="280"/>
        <v>0.8</v>
      </c>
      <c r="W137" s="269">
        <v>0.18</v>
      </c>
      <c r="X137" s="270">
        <f t="shared" si="281"/>
        <v>0.97560975609756095</v>
      </c>
      <c r="Y137" s="271">
        <f t="shared" si="282"/>
        <v>0.17560975609756097</v>
      </c>
      <c r="Z137" s="267">
        <f t="shared" si="283"/>
        <v>1.5804878048780488E-2</v>
      </c>
      <c r="AA137" s="271">
        <f t="shared" si="284"/>
        <v>0.19141463414634147</v>
      </c>
      <c r="AB137" s="271">
        <f t="shared" si="285"/>
        <v>0.78419512195121954</v>
      </c>
      <c r="AC137" s="284">
        <f t="shared" si="286"/>
        <v>0.48833796078821912</v>
      </c>
      <c r="AD137" s="285">
        <f t="shared" si="287"/>
        <v>-1.0108445164915658E-2</v>
      </c>
      <c r="AE137" s="221">
        <v>1</v>
      </c>
    </row>
    <row r="138" spans="1:31" ht="40" customHeight="1" x14ac:dyDescent="0.2">
      <c r="A138" s="123">
        <v>134</v>
      </c>
      <c r="B138" s="274" t="s">
        <v>131</v>
      </c>
      <c r="C138" s="123">
        <v>1</v>
      </c>
      <c r="D138" s="123">
        <v>48</v>
      </c>
      <c r="E138" s="123">
        <f t="shared" si="271"/>
        <v>48</v>
      </c>
      <c r="F138" s="123" t="s">
        <v>269</v>
      </c>
      <c r="G138" s="123" t="s">
        <v>269</v>
      </c>
      <c r="H138" s="257">
        <v>175.2</v>
      </c>
      <c r="I138" s="257">
        <f t="shared" si="272"/>
        <v>3.65</v>
      </c>
      <c r="J138" s="257">
        <f t="shared" si="270"/>
        <v>175.2</v>
      </c>
      <c r="K138" s="257"/>
      <c r="L138" s="257">
        <f t="shared" si="265"/>
        <v>1.1557948068397721</v>
      </c>
      <c r="M138" s="257">
        <f t="shared" si="273"/>
        <v>55.478150728309053</v>
      </c>
      <c r="N138" s="257">
        <f t="shared" si="279"/>
        <v>1.2598163394553517</v>
      </c>
      <c r="O138" s="257">
        <f t="shared" si="274"/>
        <v>60.471184293856879</v>
      </c>
      <c r="P138" s="257">
        <v>1.95</v>
      </c>
      <c r="Q138" s="257">
        <f t="shared" si="275"/>
        <v>93.6</v>
      </c>
      <c r="R138" s="257">
        <f t="shared" si="276"/>
        <v>0.6901836605446483</v>
      </c>
      <c r="S138" s="257">
        <f t="shared" si="277"/>
        <v>33.128815706143115</v>
      </c>
      <c r="T138" s="246">
        <f t="shared" si="278"/>
        <v>0.3539403387408453</v>
      </c>
      <c r="U138" s="123"/>
      <c r="V138" s="268">
        <f t="shared" si="280"/>
        <v>1.95</v>
      </c>
      <c r="W138" s="269">
        <v>0.18</v>
      </c>
      <c r="X138" s="270">
        <f t="shared" si="281"/>
        <v>2.3780487804878048</v>
      </c>
      <c r="Y138" s="271">
        <f t="shared" si="282"/>
        <v>0.42804878048780487</v>
      </c>
      <c r="Z138" s="267">
        <f t="shared" si="283"/>
        <v>3.8524390243902439E-2</v>
      </c>
      <c r="AA138" s="271">
        <f t="shared" si="284"/>
        <v>0.46657317073170729</v>
      </c>
      <c r="AB138" s="271">
        <f t="shared" si="285"/>
        <v>1.9114756097560974</v>
      </c>
      <c r="AC138" s="284">
        <f t="shared" si="286"/>
        <v>0.34091947968088221</v>
      </c>
      <c r="AD138" s="285">
        <f t="shared" si="287"/>
        <v>-1.3020859059963086E-2</v>
      </c>
      <c r="AE138" s="221" t="s">
        <v>269</v>
      </c>
    </row>
    <row r="139" spans="1:31" ht="40" customHeight="1" x14ac:dyDescent="0.2">
      <c r="A139" s="123">
        <v>135</v>
      </c>
      <c r="B139" s="274" t="s">
        <v>132</v>
      </c>
      <c r="C139" s="123">
        <v>1</v>
      </c>
      <c r="D139" s="123">
        <v>150</v>
      </c>
      <c r="E139" s="123">
        <f t="shared" si="271"/>
        <v>150</v>
      </c>
      <c r="F139" s="123" t="s">
        <v>269</v>
      </c>
      <c r="G139" s="123" t="s">
        <v>269</v>
      </c>
      <c r="H139" s="257">
        <v>135.75</v>
      </c>
      <c r="I139" s="257">
        <f t="shared" si="272"/>
        <v>0.90500000000000003</v>
      </c>
      <c r="J139" s="257">
        <f t="shared" si="270"/>
        <v>135.75</v>
      </c>
      <c r="K139" s="257"/>
      <c r="L139" s="257">
        <f t="shared" si="265"/>
        <v>0.2865737808739709</v>
      </c>
      <c r="M139" s="257">
        <f t="shared" si="273"/>
        <v>42.986067131095631</v>
      </c>
      <c r="N139" s="257">
        <f t="shared" si="279"/>
        <v>0.31236542115262828</v>
      </c>
      <c r="O139" s="257">
        <f t="shared" si="274"/>
        <v>46.854813172894239</v>
      </c>
      <c r="P139" s="257">
        <v>0.6</v>
      </c>
      <c r="Q139" s="257">
        <f t="shared" si="275"/>
        <v>90</v>
      </c>
      <c r="R139" s="257">
        <f t="shared" si="276"/>
        <v>0.2876345788473717</v>
      </c>
      <c r="S139" s="257">
        <f t="shared" si="277"/>
        <v>43.145186827105761</v>
      </c>
      <c r="T139" s="246">
        <f t="shared" si="278"/>
        <v>0.47939096474561954</v>
      </c>
      <c r="U139" s="123"/>
      <c r="V139" s="268">
        <f t="shared" si="280"/>
        <v>0.6</v>
      </c>
      <c r="W139" s="269">
        <v>0.18</v>
      </c>
      <c r="X139" s="270">
        <f t="shared" si="281"/>
        <v>0.7317073170731706</v>
      </c>
      <c r="Y139" s="271">
        <f t="shared" si="282"/>
        <v>0.13170731707317071</v>
      </c>
      <c r="Z139" s="267">
        <f t="shared" si="283"/>
        <v>1.1853658536585364E-2</v>
      </c>
      <c r="AA139" s="271">
        <f t="shared" si="284"/>
        <v>0.14356097560975609</v>
      </c>
      <c r="AB139" s="271">
        <f t="shared" si="285"/>
        <v>0.58814634146341449</v>
      </c>
      <c r="AC139" s="284">
        <f t="shared" si="286"/>
        <v>0.46889847112640948</v>
      </c>
      <c r="AD139" s="285">
        <f t="shared" si="287"/>
        <v>-1.0492493619210064E-2</v>
      </c>
      <c r="AE139" s="221" t="s">
        <v>269</v>
      </c>
    </row>
    <row r="140" spans="1:31" ht="40" customHeight="1" x14ac:dyDescent="0.2">
      <c r="A140" s="123">
        <v>136</v>
      </c>
      <c r="B140" s="274" t="s">
        <v>258</v>
      </c>
      <c r="C140" s="123">
        <v>1</v>
      </c>
      <c r="D140" s="123">
        <v>72</v>
      </c>
      <c r="E140" s="123">
        <f t="shared" si="271"/>
        <v>72</v>
      </c>
      <c r="F140" s="123" t="s">
        <v>269</v>
      </c>
      <c r="G140" s="123" t="s">
        <v>269</v>
      </c>
      <c r="H140" s="257">
        <f t="shared" ref="H140:H145" si="288">75.6*0.97</f>
        <v>73.331999999999994</v>
      </c>
      <c r="I140" s="257">
        <f t="shared" si="272"/>
        <v>1.0185</v>
      </c>
      <c r="J140" s="257">
        <f t="shared" si="270"/>
        <v>73.331999999999994</v>
      </c>
      <c r="K140" s="257"/>
      <c r="L140" s="257">
        <f t="shared" si="265"/>
        <v>0.32251424952501584</v>
      </c>
      <c r="M140" s="257">
        <f t="shared" si="273"/>
        <v>23.22102596580114</v>
      </c>
      <c r="N140" s="257">
        <f t="shared" si="279"/>
        <v>0.35154053198226731</v>
      </c>
      <c r="O140" s="257">
        <f t="shared" si="274"/>
        <v>25.310918302723245</v>
      </c>
      <c r="P140" s="257">
        <v>0.8</v>
      </c>
      <c r="Q140" s="257">
        <f t="shared" si="275"/>
        <v>57.6</v>
      </c>
      <c r="R140" s="257">
        <f t="shared" si="276"/>
        <v>0.44845946801773273</v>
      </c>
      <c r="S140" s="257">
        <f>Q140-O140</f>
        <v>32.289081697276757</v>
      </c>
      <c r="T140" s="246">
        <f t="shared" si="278"/>
        <v>0.56057433502216591</v>
      </c>
      <c r="U140" s="123"/>
      <c r="V140" s="268">
        <f t="shared" si="280"/>
        <v>0.8</v>
      </c>
      <c r="W140" s="269">
        <v>0.18</v>
      </c>
      <c r="X140" s="270">
        <f t="shared" si="281"/>
        <v>0.97560975609756095</v>
      </c>
      <c r="Y140" s="271">
        <f t="shared" si="282"/>
        <v>0.17560975609756097</v>
      </c>
      <c r="Z140" s="267">
        <f t="shared" si="283"/>
        <v>1.5804878048780488E-2</v>
      </c>
      <c r="AA140" s="271">
        <f t="shared" si="284"/>
        <v>0.19141463414634147</v>
      </c>
      <c r="AB140" s="271">
        <f t="shared" si="285"/>
        <v>0.78419512195121954</v>
      </c>
      <c r="AC140" s="284">
        <f t="shared" si="286"/>
        <v>0.55171803274219455</v>
      </c>
      <c r="AD140" s="285">
        <f t="shared" si="287"/>
        <v>-8.856302279971362E-3</v>
      </c>
      <c r="AE140" s="221" t="s">
        <v>269</v>
      </c>
    </row>
    <row r="141" spans="1:31" ht="40" customHeight="1" x14ac:dyDescent="0.2">
      <c r="A141" s="123">
        <v>137</v>
      </c>
      <c r="B141" s="274" t="s">
        <v>257</v>
      </c>
      <c r="C141" s="123">
        <v>1</v>
      </c>
      <c r="D141" s="123">
        <v>72</v>
      </c>
      <c r="E141" s="123">
        <f t="shared" si="271"/>
        <v>72</v>
      </c>
      <c r="F141" s="123" t="s">
        <v>269</v>
      </c>
      <c r="G141" s="123" t="s">
        <v>269</v>
      </c>
      <c r="H141" s="257">
        <f t="shared" si="288"/>
        <v>73.331999999999994</v>
      </c>
      <c r="I141" s="257">
        <f t="shared" si="272"/>
        <v>1.0185</v>
      </c>
      <c r="J141" s="257">
        <f t="shared" si="270"/>
        <v>73.331999999999994</v>
      </c>
      <c r="K141" s="257"/>
      <c r="L141" s="257">
        <f t="shared" si="265"/>
        <v>0.32251424952501584</v>
      </c>
      <c r="M141" s="257">
        <f t="shared" si="273"/>
        <v>23.22102596580114</v>
      </c>
      <c r="N141" s="257">
        <f t="shared" si="279"/>
        <v>0.35154053198226731</v>
      </c>
      <c r="O141" s="257">
        <f t="shared" si="274"/>
        <v>25.310918302723245</v>
      </c>
      <c r="P141" s="257">
        <v>0.8</v>
      </c>
      <c r="Q141" s="257">
        <f t="shared" si="275"/>
        <v>57.6</v>
      </c>
      <c r="R141" s="257">
        <f t="shared" si="276"/>
        <v>0.44845946801773273</v>
      </c>
      <c r="S141" s="257">
        <f t="shared" si="277"/>
        <v>32.289081697276757</v>
      </c>
      <c r="T141" s="246">
        <f t="shared" si="278"/>
        <v>0.56057433502216591</v>
      </c>
      <c r="U141" s="123"/>
      <c r="V141" s="268">
        <f t="shared" si="280"/>
        <v>0.8</v>
      </c>
      <c r="W141" s="269">
        <v>0.18</v>
      </c>
      <c r="X141" s="270">
        <f t="shared" si="281"/>
        <v>0.97560975609756095</v>
      </c>
      <c r="Y141" s="271">
        <f t="shared" si="282"/>
        <v>0.17560975609756097</v>
      </c>
      <c r="Z141" s="267">
        <f t="shared" si="283"/>
        <v>1.5804878048780488E-2</v>
      </c>
      <c r="AA141" s="271">
        <f t="shared" si="284"/>
        <v>0.19141463414634147</v>
      </c>
      <c r="AB141" s="271">
        <f t="shared" si="285"/>
        <v>0.78419512195121954</v>
      </c>
      <c r="AC141" s="284">
        <f t="shared" si="286"/>
        <v>0.55171803274219455</v>
      </c>
      <c r="AD141" s="285">
        <f t="shared" si="287"/>
        <v>-8.856302279971362E-3</v>
      </c>
      <c r="AE141" s="221" t="s">
        <v>269</v>
      </c>
    </row>
    <row r="142" spans="1:31" ht="40" customHeight="1" x14ac:dyDescent="0.2">
      <c r="A142" s="123">
        <v>138</v>
      </c>
      <c r="B142" s="274" t="s">
        <v>256</v>
      </c>
      <c r="C142" s="123">
        <v>1</v>
      </c>
      <c r="D142" s="123">
        <v>72</v>
      </c>
      <c r="E142" s="123">
        <f t="shared" si="271"/>
        <v>72</v>
      </c>
      <c r="F142" s="123" t="s">
        <v>269</v>
      </c>
      <c r="G142" s="123" t="s">
        <v>269</v>
      </c>
      <c r="H142" s="257">
        <f t="shared" si="288"/>
        <v>73.331999999999994</v>
      </c>
      <c r="I142" s="257">
        <f t="shared" si="272"/>
        <v>1.0185</v>
      </c>
      <c r="J142" s="257">
        <f t="shared" si="270"/>
        <v>73.331999999999994</v>
      </c>
      <c r="K142" s="257"/>
      <c r="L142" s="257">
        <f t="shared" si="265"/>
        <v>0.32251424952501584</v>
      </c>
      <c r="M142" s="257">
        <f t="shared" si="273"/>
        <v>23.22102596580114</v>
      </c>
      <c r="N142" s="257">
        <f t="shared" si="279"/>
        <v>0.35154053198226731</v>
      </c>
      <c r="O142" s="257">
        <f t="shared" si="274"/>
        <v>25.310918302723245</v>
      </c>
      <c r="P142" s="257">
        <v>0.8</v>
      </c>
      <c r="Q142" s="257">
        <f t="shared" si="275"/>
        <v>57.6</v>
      </c>
      <c r="R142" s="257">
        <f t="shared" si="276"/>
        <v>0.44845946801773273</v>
      </c>
      <c r="S142" s="257">
        <f t="shared" si="277"/>
        <v>32.289081697276757</v>
      </c>
      <c r="T142" s="246">
        <f t="shared" si="278"/>
        <v>0.56057433502216591</v>
      </c>
      <c r="U142" s="123"/>
      <c r="V142" s="268">
        <f t="shared" si="280"/>
        <v>0.8</v>
      </c>
      <c r="W142" s="269">
        <v>0.18</v>
      </c>
      <c r="X142" s="270">
        <f t="shared" si="281"/>
        <v>0.97560975609756095</v>
      </c>
      <c r="Y142" s="271">
        <f t="shared" si="282"/>
        <v>0.17560975609756097</v>
      </c>
      <c r="Z142" s="267">
        <f t="shared" si="283"/>
        <v>1.5804878048780488E-2</v>
      </c>
      <c r="AA142" s="271">
        <f t="shared" si="284"/>
        <v>0.19141463414634147</v>
      </c>
      <c r="AB142" s="271">
        <f t="shared" si="285"/>
        <v>0.78419512195121954</v>
      </c>
      <c r="AC142" s="284">
        <f t="shared" si="286"/>
        <v>0.55171803274219455</v>
      </c>
      <c r="AD142" s="285">
        <f t="shared" si="287"/>
        <v>-8.856302279971362E-3</v>
      </c>
      <c r="AE142" s="221" t="s">
        <v>269</v>
      </c>
    </row>
    <row r="143" spans="1:31" ht="40" customHeight="1" x14ac:dyDescent="0.2">
      <c r="A143" s="123">
        <v>139</v>
      </c>
      <c r="B143" s="274" t="s">
        <v>253</v>
      </c>
      <c r="C143" s="123">
        <v>1</v>
      </c>
      <c r="D143" s="123">
        <v>72</v>
      </c>
      <c r="E143" s="123">
        <f t="shared" si="271"/>
        <v>72</v>
      </c>
      <c r="F143" s="123" t="s">
        <v>269</v>
      </c>
      <c r="G143" s="123" t="s">
        <v>269</v>
      </c>
      <c r="H143" s="257">
        <f t="shared" si="288"/>
        <v>73.331999999999994</v>
      </c>
      <c r="I143" s="257">
        <f t="shared" si="272"/>
        <v>1.0185</v>
      </c>
      <c r="J143" s="257">
        <f t="shared" si="270"/>
        <v>73.331999999999994</v>
      </c>
      <c r="K143" s="257"/>
      <c r="L143" s="257">
        <f t="shared" si="265"/>
        <v>0.32251424952501584</v>
      </c>
      <c r="M143" s="257">
        <f t="shared" si="273"/>
        <v>23.22102596580114</v>
      </c>
      <c r="N143" s="257">
        <f t="shared" si="279"/>
        <v>0.35154053198226731</v>
      </c>
      <c r="O143" s="257">
        <f t="shared" si="274"/>
        <v>25.310918302723245</v>
      </c>
      <c r="P143" s="257">
        <v>0.8</v>
      </c>
      <c r="Q143" s="257">
        <f t="shared" si="275"/>
        <v>57.6</v>
      </c>
      <c r="R143" s="257">
        <f t="shared" si="276"/>
        <v>0.44845946801773273</v>
      </c>
      <c r="S143" s="257">
        <f t="shared" si="277"/>
        <v>32.289081697276757</v>
      </c>
      <c r="T143" s="246">
        <f t="shared" si="278"/>
        <v>0.56057433502216591</v>
      </c>
      <c r="U143" s="123"/>
      <c r="V143" s="268">
        <f t="shared" si="280"/>
        <v>0.8</v>
      </c>
      <c r="W143" s="269">
        <v>0.18</v>
      </c>
      <c r="X143" s="270">
        <f t="shared" si="281"/>
        <v>0.97560975609756095</v>
      </c>
      <c r="Y143" s="271">
        <f t="shared" si="282"/>
        <v>0.17560975609756097</v>
      </c>
      <c r="Z143" s="267">
        <f t="shared" si="283"/>
        <v>1.5804878048780488E-2</v>
      </c>
      <c r="AA143" s="271">
        <f t="shared" si="284"/>
        <v>0.19141463414634147</v>
      </c>
      <c r="AB143" s="271">
        <f t="shared" si="285"/>
        <v>0.78419512195121954</v>
      </c>
      <c r="AC143" s="284">
        <f t="shared" si="286"/>
        <v>0.55171803274219455</v>
      </c>
      <c r="AD143" s="285">
        <f t="shared" si="287"/>
        <v>-8.856302279971362E-3</v>
      </c>
      <c r="AE143" s="221" t="s">
        <v>269</v>
      </c>
    </row>
    <row r="144" spans="1:31" ht="40" customHeight="1" x14ac:dyDescent="0.2">
      <c r="A144" s="123">
        <v>140</v>
      </c>
      <c r="B144" s="274" t="s">
        <v>254</v>
      </c>
      <c r="C144" s="123">
        <v>1</v>
      </c>
      <c r="D144" s="123">
        <v>72</v>
      </c>
      <c r="E144" s="123">
        <f t="shared" si="271"/>
        <v>72</v>
      </c>
      <c r="F144" s="123" t="s">
        <v>269</v>
      </c>
      <c r="G144" s="123" t="s">
        <v>269</v>
      </c>
      <c r="H144" s="257">
        <f t="shared" si="288"/>
        <v>73.331999999999994</v>
      </c>
      <c r="I144" s="257">
        <f t="shared" si="272"/>
        <v>1.0185</v>
      </c>
      <c r="J144" s="257">
        <f t="shared" si="270"/>
        <v>73.331999999999994</v>
      </c>
      <c r="K144" s="257"/>
      <c r="L144" s="257">
        <f t="shared" si="265"/>
        <v>0.32251424952501584</v>
      </c>
      <c r="M144" s="257">
        <f t="shared" si="273"/>
        <v>23.22102596580114</v>
      </c>
      <c r="N144" s="257">
        <f t="shared" si="279"/>
        <v>0.35154053198226731</v>
      </c>
      <c r="O144" s="257">
        <f t="shared" si="274"/>
        <v>25.310918302723245</v>
      </c>
      <c r="P144" s="257">
        <v>0.8</v>
      </c>
      <c r="Q144" s="257">
        <f t="shared" si="275"/>
        <v>57.6</v>
      </c>
      <c r="R144" s="257">
        <f t="shared" si="276"/>
        <v>0.44845946801773273</v>
      </c>
      <c r="S144" s="257">
        <f t="shared" si="277"/>
        <v>32.289081697276757</v>
      </c>
      <c r="T144" s="246">
        <f t="shared" si="278"/>
        <v>0.56057433502216591</v>
      </c>
      <c r="U144" s="123"/>
      <c r="V144" s="268">
        <f t="shared" si="280"/>
        <v>0.8</v>
      </c>
      <c r="W144" s="269">
        <v>0.18</v>
      </c>
      <c r="X144" s="270">
        <f t="shared" si="281"/>
        <v>0.97560975609756095</v>
      </c>
      <c r="Y144" s="271">
        <f t="shared" si="282"/>
        <v>0.17560975609756097</v>
      </c>
      <c r="Z144" s="267">
        <f t="shared" si="283"/>
        <v>1.5804878048780488E-2</v>
      </c>
      <c r="AA144" s="271">
        <f t="shared" si="284"/>
        <v>0.19141463414634147</v>
      </c>
      <c r="AB144" s="271">
        <f t="shared" si="285"/>
        <v>0.78419512195121954</v>
      </c>
      <c r="AC144" s="284">
        <f t="shared" si="286"/>
        <v>0.55171803274219455</v>
      </c>
      <c r="AD144" s="285">
        <f t="shared" si="287"/>
        <v>-8.856302279971362E-3</v>
      </c>
      <c r="AE144" s="221" t="s">
        <v>269</v>
      </c>
    </row>
    <row r="145" spans="1:31" ht="40" customHeight="1" x14ac:dyDescent="0.2">
      <c r="A145" s="123">
        <v>141</v>
      </c>
      <c r="B145" s="274" t="s">
        <v>255</v>
      </c>
      <c r="C145" s="123">
        <v>1</v>
      </c>
      <c r="D145" s="123">
        <v>72</v>
      </c>
      <c r="E145" s="123">
        <f t="shared" si="271"/>
        <v>72</v>
      </c>
      <c r="F145" s="123" t="s">
        <v>269</v>
      </c>
      <c r="G145" s="123" t="s">
        <v>269</v>
      </c>
      <c r="H145" s="257">
        <f t="shared" si="288"/>
        <v>73.331999999999994</v>
      </c>
      <c r="I145" s="257">
        <f t="shared" si="272"/>
        <v>1.0185</v>
      </c>
      <c r="J145" s="257">
        <f t="shared" si="270"/>
        <v>73.331999999999994</v>
      </c>
      <c r="K145" s="257"/>
      <c r="L145" s="257">
        <f t="shared" si="265"/>
        <v>0.32251424952501584</v>
      </c>
      <c r="M145" s="257">
        <f t="shared" si="273"/>
        <v>23.22102596580114</v>
      </c>
      <c r="N145" s="257">
        <f t="shared" si="279"/>
        <v>0.35154053198226731</v>
      </c>
      <c r="O145" s="257">
        <f t="shared" si="274"/>
        <v>25.310918302723245</v>
      </c>
      <c r="P145" s="257">
        <v>0.8</v>
      </c>
      <c r="Q145" s="257">
        <f t="shared" si="275"/>
        <v>57.6</v>
      </c>
      <c r="R145" s="257">
        <f t="shared" si="276"/>
        <v>0.44845946801773273</v>
      </c>
      <c r="S145" s="257">
        <f t="shared" si="277"/>
        <v>32.289081697276757</v>
      </c>
      <c r="T145" s="246">
        <f t="shared" si="278"/>
        <v>0.56057433502216591</v>
      </c>
      <c r="U145" s="123"/>
      <c r="V145" s="268">
        <f t="shared" si="280"/>
        <v>0.8</v>
      </c>
      <c r="W145" s="269">
        <v>0.18</v>
      </c>
      <c r="X145" s="270">
        <f t="shared" si="281"/>
        <v>0.97560975609756095</v>
      </c>
      <c r="Y145" s="271">
        <f t="shared" si="282"/>
        <v>0.17560975609756097</v>
      </c>
      <c r="Z145" s="267">
        <f t="shared" si="283"/>
        <v>1.5804878048780488E-2</v>
      </c>
      <c r="AA145" s="271">
        <f t="shared" si="284"/>
        <v>0.19141463414634147</v>
      </c>
      <c r="AB145" s="271">
        <f t="shared" si="285"/>
        <v>0.78419512195121954</v>
      </c>
      <c r="AC145" s="284">
        <f t="shared" si="286"/>
        <v>0.55171803274219455</v>
      </c>
      <c r="AD145" s="285">
        <f t="shared" si="287"/>
        <v>-8.856302279971362E-3</v>
      </c>
      <c r="AE145" s="221" t="s">
        <v>269</v>
      </c>
    </row>
    <row r="146" spans="1:31" ht="40" customHeight="1" x14ac:dyDescent="0.2">
      <c r="A146" s="123">
        <v>142</v>
      </c>
      <c r="B146" s="274" t="s">
        <v>139</v>
      </c>
      <c r="C146" s="123">
        <v>1</v>
      </c>
      <c r="D146" s="123">
        <v>48</v>
      </c>
      <c r="E146" s="123">
        <f t="shared" si="271"/>
        <v>48</v>
      </c>
      <c r="F146" s="123" t="s">
        <v>269</v>
      </c>
      <c r="G146" s="123" t="s">
        <v>269</v>
      </c>
      <c r="H146" s="257">
        <v>216.8</v>
      </c>
      <c r="I146" s="257">
        <f t="shared" si="272"/>
        <v>4.5166666666666666</v>
      </c>
      <c r="J146" s="257">
        <f t="shared" si="270"/>
        <v>216.8</v>
      </c>
      <c r="K146" s="257"/>
      <c r="L146" s="257">
        <f t="shared" si="265"/>
        <v>1.4302301034409963</v>
      </c>
      <c r="M146" s="257">
        <f t="shared" si="273"/>
        <v>68.651044965167827</v>
      </c>
      <c r="N146" s="257">
        <f t="shared" si="279"/>
        <v>1.5589508127506861</v>
      </c>
      <c r="O146" s="257">
        <f t="shared" si="274"/>
        <v>74.829639012032942</v>
      </c>
      <c r="P146" s="257">
        <v>2.5</v>
      </c>
      <c r="Q146" s="257">
        <f t="shared" si="275"/>
        <v>120</v>
      </c>
      <c r="R146" s="257">
        <f t="shared" si="276"/>
        <v>0.94104918724931386</v>
      </c>
      <c r="S146" s="257">
        <f t="shared" si="277"/>
        <v>45.170360987967058</v>
      </c>
      <c r="T146" s="246">
        <f t="shared" si="278"/>
        <v>0.37641967489972555</v>
      </c>
      <c r="U146" s="123"/>
      <c r="V146" s="268">
        <f t="shared" si="280"/>
        <v>2.5</v>
      </c>
      <c r="W146" s="269">
        <v>0.18</v>
      </c>
      <c r="X146" s="270">
        <f t="shared" si="281"/>
        <v>3.0487804878048776</v>
      </c>
      <c r="Y146" s="271">
        <f t="shared" si="282"/>
        <v>0.54878048780487798</v>
      </c>
      <c r="Z146" s="267">
        <f t="shared" si="283"/>
        <v>4.939024390243902E-2</v>
      </c>
      <c r="AA146" s="271">
        <f t="shared" si="284"/>
        <v>0.59817073170731705</v>
      </c>
      <c r="AB146" s="271">
        <f t="shared" si="285"/>
        <v>2.4506097560975606</v>
      </c>
      <c r="AC146" s="284">
        <f t="shared" si="286"/>
        <v>0.3638518703878762</v>
      </c>
      <c r="AD146" s="285">
        <f t="shared" si="287"/>
        <v>-1.2567804511849356E-2</v>
      </c>
      <c r="AE146" s="221" t="s">
        <v>269</v>
      </c>
    </row>
    <row r="147" spans="1:31" ht="40" customHeight="1" x14ac:dyDescent="0.2">
      <c r="A147" s="123">
        <v>143</v>
      </c>
      <c r="B147" s="274" t="s">
        <v>140</v>
      </c>
      <c r="C147" s="123">
        <v>1</v>
      </c>
      <c r="D147" s="123">
        <v>48</v>
      </c>
      <c r="E147" s="123">
        <f t="shared" si="271"/>
        <v>48</v>
      </c>
      <c r="F147" s="123" t="s">
        <v>269</v>
      </c>
      <c r="G147" s="123" t="s">
        <v>269</v>
      </c>
      <c r="H147" s="257">
        <v>216</v>
      </c>
      <c r="I147" s="257">
        <f t="shared" si="272"/>
        <v>4.5</v>
      </c>
      <c r="J147" s="257">
        <f t="shared" si="270"/>
        <v>216</v>
      </c>
      <c r="K147" s="257"/>
      <c r="L147" s="257">
        <f t="shared" si="265"/>
        <v>1.4249525015832807</v>
      </c>
      <c r="M147" s="257">
        <f t="shared" si="273"/>
        <v>68.397720075997469</v>
      </c>
      <c r="N147" s="257">
        <f t="shared" si="279"/>
        <v>1.553198226725776</v>
      </c>
      <c r="O147" s="257">
        <f t="shared" si="274"/>
        <v>74.553514882837248</v>
      </c>
      <c r="P147" s="257">
        <v>2.5</v>
      </c>
      <c r="Q147" s="257">
        <f t="shared" si="275"/>
        <v>120</v>
      </c>
      <c r="R147" s="257">
        <f t="shared" si="276"/>
        <v>0.94680177327422399</v>
      </c>
      <c r="S147" s="257">
        <f t="shared" si="277"/>
        <v>45.446485117162752</v>
      </c>
      <c r="T147" s="246">
        <f t="shared" si="278"/>
        <v>0.3787207093096896</v>
      </c>
      <c r="U147" s="123"/>
      <c r="V147" s="268">
        <f t="shared" si="280"/>
        <v>2.5</v>
      </c>
      <c r="W147" s="269">
        <v>0.18</v>
      </c>
      <c r="X147" s="270">
        <f t="shared" si="281"/>
        <v>3.0487804878048776</v>
      </c>
      <c r="Y147" s="271">
        <f t="shared" si="282"/>
        <v>0.54878048780487798</v>
      </c>
      <c r="Z147" s="267">
        <f t="shared" si="283"/>
        <v>4.939024390243902E-2</v>
      </c>
      <c r="AA147" s="271">
        <f t="shared" si="284"/>
        <v>0.59817073170731705</v>
      </c>
      <c r="AB147" s="271">
        <f t="shared" si="285"/>
        <v>2.4506097560975606</v>
      </c>
      <c r="AC147" s="284">
        <f t="shared" si="286"/>
        <v>0.36619928046024558</v>
      </c>
      <c r="AD147" s="285">
        <f t="shared" si="287"/>
        <v>-1.2521428849444016E-2</v>
      </c>
      <c r="AE147" s="221" t="s">
        <v>269</v>
      </c>
    </row>
    <row r="148" spans="1:31" ht="40" customHeight="1" x14ac:dyDescent="0.2">
      <c r="A148" s="123">
        <v>144</v>
      </c>
      <c r="B148" s="274" t="s">
        <v>141</v>
      </c>
      <c r="C148" s="123">
        <v>1</v>
      </c>
      <c r="D148" s="123">
        <v>48</v>
      </c>
      <c r="E148" s="123">
        <f t="shared" si="271"/>
        <v>48</v>
      </c>
      <c r="F148" s="123" t="s">
        <v>269</v>
      </c>
      <c r="G148" s="123" t="s">
        <v>269</v>
      </c>
      <c r="H148" s="257">
        <v>216</v>
      </c>
      <c r="I148" s="257">
        <f t="shared" si="272"/>
        <v>4.5</v>
      </c>
      <c r="J148" s="257">
        <f t="shared" si="270"/>
        <v>216</v>
      </c>
      <c r="K148" s="257"/>
      <c r="L148" s="257">
        <f t="shared" si="265"/>
        <v>1.4249525015832807</v>
      </c>
      <c r="M148" s="257">
        <f t="shared" si="273"/>
        <v>68.397720075997469</v>
      </c>
      <c r="N148" s="257">
        <f t="shared" si="279"/>
        <v>1.553198226725776</v>
      </c>
      <c r="O148" s="257">
        <f t="shared" si="274"/>
        <v>74.553514882837248</v>
      </c>
      <c r="P148" s="257">
        <v>2.5</v>
      </c>
      <c r="Q148" s="257">
        <f t="shared" si="275"/>
        <v>120</v>
      </c>
      <c r="R148" s="257">
        <f t="shared" si="276"/>
        <v>0.94680177327422399</v>
      </c>
      <c r="S148" s="257">
        <f t="shared" si="277"/>
        <v>45.446485117162752</v>
      </c>
      <c r="T148" s="246">
        <f t="shared" si="278"/>
        <v>0.3787207093096896</v>
      </c>
      <c r="U148" s="123"/>
      <c r="V148" s="268">
        <f t="shared" si="280"/>
        <v>2.5</v>
      </c>
      <c r="W148" s="269">
        <v>0.18</v>
      </c>
      <c r="X148" s="270">
        <f t="shared" si="281"/>
        <v>3.0487804878048776</v>
      </c>
      <c r="Y148" s="271">
        <f t="shared" si="282"/>
        <v>0.54878048780487798</v>
      </c>
      <c r="Z148" s="267">
        <f t="shared" si="283"/>
        <v>4.939024390243902E-2</v>
      </c>
      <c r="AA148" s="271">
        <f t="shared" si="284"/>
        <v>0.59817073170731705</v>
      </c>
      <c r="AB148" s="271">
        <f t="shared" si="285"/>
        <v>2.4506097560975606</v>
      </c>
      <c r="AC148" s="284">
        <f t="shared" si="286"/>
        <v>0.36619928046024558</v>
      </c>
      <c r="AD148" s="285">
        <f t="shared" si="287"/>
        <v>-1.2521428849444016E-2</v>
      </c>
      <c r="AE148" s="221" t="s">
        <v>269</v>
      </c>
    </row>
    <row r="149" spans="1:31" ht="40" customHeight="1" x14ac:dyDescent="0.2">
      <c r="A149" s="123">
        <v>145</v>
      </c>
      <c r="B149" s="274" t="s">
        <v>142</v>
      </c>
      <c r="C149" s="123">
        <v>1</v>
      </c>
      <c r="D149" s="123">
        <v>48</v>
      </c>
      <c r="E149" s="123">
        <f t="shared" si="271"/>
        <v>48</v>
      </c>
      <c r="F149" s="123" t="s">
        <v>269</v>
      </c>
      <c r="G149" s="123" t="s">
        <v>269</v>
      </c>
      <c r="H149" s="257">
        <v>216</v>
      </c>
      <c r="I149" s="257">
        <f t="shared" si="272"/>
        <v>4.5</v>
      </c>
      <c r="J149" s="257">
        <f t="shared" si="270"/>
        <v>216</v>
      </c>
      <c r="K149" s="257"/>
      <c r="L149" s="257">
        <f t="shared" si="265"/>
        <v>1.4249525015832807</v>
      </c>
      <c r="M149" s="257">
        <f t="shared" si="273"/>
        <v>68.397720075997469</v>
      </c>
      <c r="N149" s="257">
        <f t="shared" si="279"/>
        <v>1.553198226725776</v>
      </c>
      <c r="O149" s="257">
        <f t="shared" si="274"/>
        <v>74.553514882837248</v>
      </c>
      <c r="P149" s="257">
        <v>2.5</v>
      </c>
      <c r="Q149" s="257">
        <f t="shared" si="275"/>
        <v>120</v>
      </c>
      <c r="R149" s="257">
        <f t="shared" si="276"/>
        <v>0.94680177327422399</v>
      </c>
      <c r="S149" s="257">
        <f t="shared" si="277"/>
        <v>45.446485117162752</v>
      </c>
      <c r="T149" s="246">
        <f t="shared" si="278"/>
        <v>0.3787207093096896</v>
      </c>
      <c r="U149" s="123"/>
      <c r="V149" s="268">
        <f t="shared" si="280"/>
        <v>2.5</v>
      </c>
      <c r="W149" s="269">
        <v>0.18</v>
      </c>
      <c r="X149" s="270">
        <f t="shared" si="281"/>
        <v>3.0487804878048776</v>
      </c>
      <c r="Y149" s="271">
        <f t="shared" si="282"/>
        <v>0.54878048780487798</v>
      </c>
      <c r="Z149" s="267">
        <f t="shared" si="283"/>
        <v>4.939024390243902E-2</v>
      </c>
      <c r="AA149" s="271">
        <f t="shared" si="284"/>
        <v>0.59817073170731705</v>
      </c>
      <c r="AB149" s="271">
        <f t="shared" si="285"/>
        <v>2.4506097560975606</v>
      </c>
      <c r="AC149" s="284">
        <f t="shared" si="286"/>
        <v>0.36619928046024558</v>
      </c>
      <c r="AD149" s="285">
        <f t="shared" si="287"/>
        <v>-1.2521428849444016E-2</v>
      </c>
      <c r="AE149" s="221" t="s">
        <v>269</v>
      </c>
    </row>
    <row r="150" spans="1:31" ht="40" customHeight="1" x14ac:dyDescent="0.2">
      <c r="A150" s="123">
        <v>146</v>
      </c>
      <c r="B150" s="274" t="s">
        <v>143</v>
      </c>
      <c r="C150" s="123">
        <v>1</v>
      </c>
      <c r="D150" s="123">
        <v>48</v>
      </c>
      <c r="E150" s="123">
        <f t="shared" si="271"/>
        <v>48</v>
      </c>
      <c r="F150" s="123" t="s">
        <v>269</v>
      </c>
      <c r="G150" s="123" t="s">
        <v>269</v>
      </c>
      <c r="H150" s="257">
        <v>216</v>
      </c>
      <c r="I150" s="257">
        <f t="shared" si="272"/>
        <v>4.5</v>
      </c>
      <c r="J150" s="257">
        <f t="shared" si="270"/>
        <v>216</v>
      </c>
      <c r="K150" s="257"/>
      <c r="L150" s="257">
        <f t="shared" si="265"/>
        <v>1.4249525015832807</v>
      </c>
      <c r="M150" s="257">
        <f t="shared" si="273"/>
        <v>68.397720075997469</v>
      </c>
      <c r="N150" s="257">
        <f t="shared" si="279"/>
        <v>1.553198226725776</v>
      </c>
      <c r="O150" s="257">
        <f t="shared" si="274"/>
        <v>74.553514882837248</v>
      </c>
      <c r="P150" s="257">
        <v>2.5</v>
      </c>
      <c r="Q150" s="257">
        <f t="shared" si="275"/>
        <v>120</v>
      </c>
      <c r="R150" s="257">
        <f t="shared" si="276"/>
        <v>0.94680177327422399</v>
      </c>
      <c r="S150" s="257">
        <f t="shared" si="277"/>
        <v>45.446485117162752</v>
      </c>
      <c r="T150" s="246">
        <f t="shared" si="278"/>
        <v>0.3787207093096896</v>
      </c>
      <c r="U150" s="123"/>
      <c r="V150" s="268">
        <f t="shared" si="280"/>
        <v>2.5</v>
      </c>
      <c r="W150" s="269">
        <v>0.18</v>
      </c>
      <c r="X150" s="270">
        <f t="shared" si="281"/>
        <v>3.0487804878048776</v>
      </c>
      <c r="Y150" s="271">
        <f t="shared" si="282"/>
        <v>0.54878048780487798</v>
      </c>
      <c r="Z150" s="267">
        <f t="shared" si="283"/>
        <v>4.939024390243902E-2</v>
      </c>
      <c r="AA150" s="271">
        <f t="shared" si="284"/>
        <v>0.59817073170731705</v>
      </c>
      <c r="AB150" s="271">
        <f t="shared" si="285"/>
        <v>2.4506097560975606</v>
      </c>
      <c r="AC150" s="284">
        <f t="shared" si="286"/>
        <v>0.36619928046024558</v>
      </c>
      <c r="AD150" s="285">
        <f t="shared" si="287"/>
        <v>-1.2521428849444016E-2</v>
      </c>
      <c r="AE150" s="221" t="s">
        <v>269</v>
      </c>
    </row>
    <row r="151" spans="1:31" ht="40" customHeight="1" x14ac:dyDescent="0.2">
      <c r="A151" s="123">
        <v>147</v>
      </c>
      <c r="B151" s="274" t="s">
        <v>144</v>
      </c>
      <c r="C151" s="123">
        <v>1</v>
      </c>
      <c r="D151" s="123">
        <v>12</v>
      </c>
      <c r="E151" s="123">
        <f t="shared" si="271"/>
        <v>12</v>
      </c>
      <c r="F151" s="123" t="s">
        <v>269</v>
      </c>
      <c r="G151" s="123" t="s">
        <v>269</v>
      </c>
      <c r="H151" s="257">
        <v>92.4</v>
      </c>
      <c r="I151" s="257">
        <f t="shared" si="272"/>
        <v>7.7</v>
      </c>
      <c r="J151" s="257">
        <f t="shared" si="270"/>
        <v>92.4</v>
      </c>
      <c r="K151" s="257"/>
      <c r="L151" s="257">
        <f t="shared" si="265"/>
        <v>2.4382520582647245</v>
      </c>
      <c r="M151" s="257">
        <f t="shared" si="273"/>
        <v>29.259024699176695</v>
      </c>
      <c r="N151" s="257">
        <f t="shared" si="279"/>
        <v>2.6576947435085501</v>
      </c>
      <c r="O151" s="257">
        <f t="shared" si="274"/>
        <v>31.892336922102601</v>
      </c>
      <c r="P151" s="257">
        <v>3.95</v>
      </c>
      <c r="Q151" s="257">
        <f t="shared" si="275"/>
        <v>47.400000000000006</v>
      </c>
      <c r="R151" s="257">
        <f t="shared" si="276"/>
        <v>1.2923052564914501</v>
      </c>
      <c r="S151" s="257">
        <f t="shared" si="277"/>
        <v>15.507663077897405</v>
      </c>
      <c r="T151" s="246">
        <f t="shared" si="278"/>
        <v>0.32716588771935445</v>
      </c>
      <c r="U151" s="123"/>
      <c r="V151" s="268">
        <f t="shared" si="280"/>
        <v>3.95</v>
      </c>
      <c r="W151" s="269">
        <v>0.18</v>
      </c>
      <c r="X151" s="270">
        <f t="shared" si="281"/>
        <v>4.8170731707317076</v>
      </c>
      <c r="Y151" s="271">
        <f t="shared" si="282"/>
        <v>0.86707317073170731</v>
      </c>
      <c r="Z151" s="267">
        <f t="shared" si="283"/>
        <v>7.8036585365853658E-2</v>
      </c>
      <c r="AA151" s="271">
        <f t="shared" si="284"/>
        <v>0.94510975609756098</v>
      </c>
      <c r="AB151" s="271">
        <f t="shared" si="285"/>
        <v>3.8719634146341466</v>
      </c>
      <c r="AC151" s="284">
        <f t="shared" si="286"/>
        <v>0.31360540921855024</v>
      </c>
      <c r="AD151" s="285">
        <f t="shared" si="287"/>
        <v>-1.3560478500804218E-2</v>
      </c>
      <c r="AE151" s="221" t="s">
        <v>269</v>
      </c>
    </row>
    <row r="152" spans="1:31" ht="40" customHeight="1" x14ac:dyDescent="0.2">
      <c r="A152" s="123">
        <v>148</v>
      </c>
      <c r="B152" s="274" t="s">
        <v>145</v>
      </c>
      <c r="C152" s="123">
        <v>1</v>
      </c>
      <c r="D152" s="123">
        <v>24</v>
      </c>
      <c r="E152" s="123">
        <f t="shared" si="271"/>
        <v>24</v>
      </c>
      <c r="F152" s="123" t="s">
        <v>269</v>
      </c>
      <c r="G152" s="123" t="s">
        <v>269</v>
      </c>
      <c r="H152" s="257">
        <f>72*0.95</f>
        <v>68.399999999999991</v>
      </c>
      <c r="I152" s="257">
        <f t="shared" si="272"/>
        <v>2.8499999999999996</v>
      </c>
      <c r="J152" s="257">
        <f t="shared" si="270"/>
        <v>68.399999999999991</v>
      </c>
      <c r="K152" s="257"/>
      <c r="L152" s="257">
        <f t="shared" si="265"/>
        <v>0.90246991766941098</v>
      </c>
      <c r="M152" s="257">
        <f t="shared" si="273"/>
        <v>21.659278024065863</v>
      </c>
      <c r="N152" s="257">
        <f t="shared" si="279"/>
        <v>0.98369221025965803</v>
      </c>
      <c r="O152" s="257">
        <f t="shared" si="274"/>
        <v>23.608613046231792</v>
      </c>
      <c r="P152" s="257">
        <v>1.95</v>
      </c>
      <c r="Q152" s="257">
        <f t="shared" si="275"/>
        <v>46.8</v>
      </c>
      <c r="R152" s="257">
        <f t="shared" si="276"/>
        <v>0.96630778974034193</v>
      </c>
      <c r="S152" s="257">
        <f t="shared" si="277"/>
        <v>23.191386953768205</v>
      </c>
      <c r="T152" s="246">
        <f t="shared" si="278"/>
        <v>0.49554245627709842</v>
      </c>
      <c r="U152" s="123"/>
      <c r="V152" s="268">
        <f t="shared" si="280"/>
        <v>1.95</v>
      </c>
      <c r="W152" s="269">
        <v>0.18</v>
      </c>
      <c r="X152" s="270">
        <f t="shared" si="281"/>
        <v>2.3780487804878048</v>
      </c>
      <c r="Y152" s="271">
        <f t="shared" si="282"/>
        <v>0.42804878048780487</v>
      </c>
      <c r="Z152" s="267">
        <f t="shared" si="283"/>
        <v>3.8524390243902439E-2</v>
      </c>
      <c r="AA152" s="271">
        <f t="shared" si="284"/>
        <v>0.46657317073170729</v>
      </c>
      <c r="AB152" s="271">
        <f t="shared" si="285"/>
        <v>1.9114756097560974</v>
      </c>
      <c r="AC152" s="284">
        <f t="shared" si="286"/>
        <v>0.48537548413438752</v>
      </c>
      <c r="AD152" s="285">
        <f t="shared" si="287"/>
        <v>-1.0166972142710895E-2</v>
      </c>
      <c r="AE152" s="221" t="s">
        <v>269</v>
      </c>
    </row>
    <row r="153" spans="1:31" ht="40" customHeight="1" x14ac:dyDescent="0.2">
      <c r="A153" s="123">
        <v>149</v>
      </c>
      <c r="B153" s="274" t="s">
        <v>146</v>
      </c>
      <c r="C153" s="123">
        <v>1</v>
      </c>
      <c r="D153" s="123">
        <v>60</v>
      </c>
      <c r="E153" s="123">
        <f t="shared" si="271"/>
        <v>60</v>
      </c>
      <c r="F153" s="123" t="s">
        <v>269</v>
      </c>
      <c r="G153" s="123" t="s">
        <v>269</v>
      </c>
      <c r="H153" s="257">
        <v>85.2</v>
      </c>
      <c r="I153" s="257">
        <f t="shared" si="272"/>
        <v>1.4200000000000002</v>
      </c>
      <c r="J153" s="257">
        <f t="shared" si="270"/>
        <v>85.2</v>
      </c>
      <c r="K153" s="257"/>
      <c r="L153" s="257">
        <f t="shared" si="265"/>
        <v>0.44965167827739083</v>
      </c>
      <c r="M153" s="257">
        <f t="shared" si="273"/>
        <v>26.979100696643446</v>
      </c>
      <c r="N153" s="257">
        <f t="shared" si="279"/>
        <v>0.49012032932235605</v>
      </c>
      <c r="O153" s="257">
        <f t="shared" si="274"/>
        <v>29.407219759341363</v>
      </c>
      <c r="P153" s="257">
        <v>0.85</v>
      </c>
      <c r="Q153" s="257">
        <f t="shared" si="275"/>
        <v>51</v>
      </c>
      <c r="R153" s="257">
        <f t="shared" si="276"/>
        <v>0.35987967067764393</v>
      </c>
      <c r="S153" s="257">
        <f t="shared" si="277"/>
        <v>21.592780240658637</v>
      </c>
      <c r="T153" s="246">
        <f t="shared" si="278"/>
        <v>0.42338784785605171</v>
      </c>
      <c r="U153" s="123"/>
      <c r="V153" s="268">
        <f t="shared" si="280"/>
        <v>0.85</v>
      </c>
      <c r="W153" s="269">
        <v>0.18</v>
      </c>
      <c r="X153" s="270">
        <f t="shared" si="281"/>
        <v>1.0365853658536583</v>
      </c>
      <c r="Y153" s="271">
        <f t="shared" si="282"/>
        <v>0.18658536585365851</v>
      </c>
      <c r="Z153" s="267">
        <f t="shared" si="283"/>
        <v>1.6792682926829266E-2</v>
      </c>
      <c r="AA153" s="271">
        <f t="shared" si="284"/>
        <v>0.20337804878048776</v>
      </c>
      <c r="AB153" s="271">
        <f t="shared" si="285"/>
        <v>0.83320731707317064</v>
      </c>
      <c r="AC153" s="284">
        <f t="shared" si="286"/>
        <v>0.41176665245329974</v>
      </c>
      <c r="AD153" s="285">
        <f t="shared" si="287"/>
        <v>-1.1621195402751971E-2</v>
      </c>
      <c r="AE153" s="221" t="s">
        <v>269</v>
      </c>
    </row>
    <row r="154" spans="1:31" ht="40" customHeight="1" x14ac:dyDescent="0.2">
      <c r="A154" s="123">
        <v>150</v>
      </c>
      <c r="B154" s="274" t="s">
        <v>147</v>
      </c>
      <c r="C154" s="123">
        <v>1</v>
      </c>
      <c r="D154" s="123">
        <v>48</v>
      </c>
      <c r="E154" s="123">
        <f t="shared" si="271"/>
        <v>48</v>
      </c>
      <c r="F154" s="123" t="s">
        <v>269</v>
      </c>
      <c r="G154" s="123" t="s">
        <v>269</v>
      </c>
      <c r="H154" s="257">
        <v>216</v>
      </c>
      <c r="I154" s="257">
        <f t="shared" si="272"/>
        <v>4.5</v>
      </c>
      <c r="J154" s="257">
        <f t="shared" si="270"/>
        <v>216</v>
      </c>
      <c r="K154" s="257"/>
      <c r="L154" s="257">
        <f t="shared" si="265"/>
        <v>1.4249525015832807</v>
      </c>
      <c r="M154" s="257">
        <f t="shared" si="273"/>
        <v>68.397720075997469</v>
      </c>
      <c r="N154" s="257">
        <f t="shared" si="279"/>
        <v>1.553198226725776</v>
      </c>
      <c r="O154" s="257">
        <f t="shared" si="274"/>
        <v>74.553514882837248</v>
      </c>
      <c r="P154" s="257">
        <v>2.5</v>
      </c>
      <c r="Q154" s="257">
        <f t="shared" si="275"/>
        <v>120</v>
      </c>
      <c r="R154" s="257">
        <f t="shared" si="276"/>
        <v>0.94680177327422399</v>
      </c>
      <c r="S154" s="257">
        <f t="shared" si="277"/>
        <v>45.446485117162752</v>
      </c>
      <c r="T154" s="246">
        <f t="shared" si="278"/>
        <v>0.3787207093096896</v>
      </c>
      <c r="U154" s="123"/>
      <c r="V154" s="268">
        <f t="shared" si="280"/>
        <v>2.5</v>
      </c>
      <c r="W154" s="269">
        <v>0.18</v>
      </c>
      <c r="X154" s="270">
        <f t="shared" si="281"/>
        <v>3.0487804878048776</v>
      </c>
      <c r="Y154" s="271">
        <f t="shared" si="282"/>
        <v>0.54878048780487798</v>
      </c>
      <c r="Z154" s="267">
        <f t="shared" si="283"/>
        <v>4.939024390243902E-2</v>
      </c>
      <c r="AA154" s="271">
        <f t="shared" si="284"/>
        <v>0.59817073170731705</v>
      </c>
      <c r="AB154" s="271">
        <f t="shared" si="285"/>
        <v>2.4506097560975606</v>
      </c>
      <c r="AC154" s="284">
        <f t="shared" si="286"/>
        <v>0.36619928046024558</v>
      </c>
      <c r="AD154" s="285">
        <f t="shared" si="287"/>
        <v>-1.2521428849444016E-2</v>
      </c>
      <c r="AE154" s="221" t="s">
        <v>269</v>
      </c>
    </row>
    <row r="155" spans="1:31" ht="40" customHeight="1" x14ac:dyDescent="0.2">
      <c r="A155" s="123">
        <v>151</v>
      </c>
      <c r="B155" s="274" t="s">
        <v>148</v>
      </c>
      <c r="C155" s="123">
        <v>1</v>
      </c>
      <c r="D155" s="123">
        <v>8</v>
      </c>
      <c r="E155" s="123">
        <f t="shared" si="271"/>
        <v>8</v>
      </c>
      <c r="F155" s="123" t="s">
        <v>269</v>
      </c>
      <c r="G155" s="123" t="s">
        <v>269</v>
      </c>
      <c r="H155" s="257">
        <v>25.5</v>
      </c>
      <c r="I155" s="257">
        <f t="shared" si="272"/>
        <v>3.1875</v>
      </c>
      <c r="J155" s="257">
        <f t="shared" si="270"/>
        <v>25.5</v>
      </c>
      <c r="K155" s="257"/>
      <c r="L155" s="257">
        <f t="shared" si="265"/>
        <v>1.0093413552881572</v>
      </c>
      <c r="M155" s="257">
        <f t="shared" si="273"/>
        <v>8.0747308423052573</v>
      </c>
      <c r="N155" s="257">
        <f t="shared" si="279"/>
        <v>1.1001820772640913</v>
      </c>
      <c r="O155" s="257">
        <f t="shared" si="274"/>
        <v>8.8014566181127307</v>
      </c>
      <c r="P155" s="257">
        <v>2.5</v>
      </c>
      <c r="Q155" s="257">
        <f t="shared" si="275"/>
        <v>20</v>
      </c>
      <c r="R155" s="257">
        <f t="shared" si="276"/>
        <v>1.3998179227359087</v>
      </c>
      <c r="S155" s="257">
        <f t="shared" si="277"/>
        <v>11.198543381887269</v>
      </c>
      <c r="T155" s="246">
        <f t="shared" si="278"/>
        <v>0.55992716909436346</v>
      </c>
      <c r="U155" s="123"/>
      <c r="V155" s="268">
        <f t="shared" si="280"/>
        <v>2.5</v>
      </c>
      <c r="W155" s="269">
        <v>0.18</v>
      </c>
      <c r="X155" s="270">
        <f t="shared" si="281"/>
        <v>3.0487804878048776</v>
      </c>
      <c r="Y155" s="271">
        <f t="shared" si="282"/>
        <v>0.54878048780487798</v>
      </c>
      <c r="Z155" s="267">
        <f t="shared" si="283"/>
        <v>4.939024390243902E-2</v>
      </c>
      <c r="AA155" s="271">
        <f t="shared" si="284"/>
        <v>0.59817073170731705</v>
      </c>
      <c r="AB155" s="271">
        <f t="shared" si="285"/>
        <v>2.4506097560975606</v>
      </c>
      <c r="AC155" s="284">
        <f t="shared" si="286"/>
        <v>0.55105782365934064</v>
      </c>
      <c r="AD155" s="285">
        <f t="shared" si="287"/>
        <v>-8.869345435022824E-3</v>
      </c>
      <c r="AE155" s="221" t="s">
        <v>269</v>
      </c>
    </row>
    <row r="156" spans="1:31" ht="40" customHeight="1" x14ac:dyDescent="0.2">
      <c r="A156" s="123">
        <v>152</v>
      </c>
      <c r="B156" s="274" t="s">
        <v>149</v>
      </c>
      <c r="C156" s="123">
        <v>1</v>
      </c>
      <c r="D156" s="123">
        <v>8</v>
      </c>
      <c r="E156" s="123">
        <f t="shared" si="271"/>
        <v>8</v>
      </c>
      <c r="F156" s="123" t="s">
        <v>269</v>
      </c>
      <c r="G156" s="123" t="s">
        <v>269</v>
      </c>
      <c r="H156" s="257">
        <v>25.5</v>
      </c>
      <c r="I156" s="257">
        <f t="shared" si="272"/>
        <v>3.1875</v>
      </c>
      <c r="J156" s="257">
        <f t="shared" si="270"/>
        <v>25.5</v>
      </c>
      <c r="K156" s="257"/>
      <c r="L156" s="257">
        <f t="shared" si="265"/>
        <v>1.0093413552881572</v>
      </c>
      <c r="M156" s="257">
        <f t="shared" si="273"/>
        <v>8.0747308423052573</v>
      </c>
      <c r="N156" s="257">
        <f t="shared" si="279"/>
        <v>1.1001820772640913</v>
      </c>
      <c r="O156" s="257">
        <f t="shared" si="274"/>
        <v>8.8014566181127307</v>
      </c>
      <c r="P156" s="257">
        <v>2.5</v>
      </c>
      <c r="Q156" s="257">
        <f t="shared" si="275"/>
        <v>20</v>
      </c>
      <c r="R156" s="257">
        <f t="shared" si="276"/>
        <v>1.3998179227359087</v>
      </c>
      <c r="S156" s="257">
        <f t="shared" si="277"/>
        <v>11.198543381887269</v>
      </c>
      <c r="T156" s="246">
        <f t="shared" si="278"/>
        <v>0.55992716909436346</v>
      </c>
      <c r="U156" s="123"/>
      <c r="V156" s="268">
        <f t="shared" si="280"/>
        <v>2.5</v>
      </c>
      <c r="W156" s="269">
        <v>0.18</v>
      </c>
      <c r="X156" s="270">
        <f t="shared" si="281"/>
        <v>3.0487804878048776</v>
      </c>
      <c r="Y156" s="271">
        <f t="shared" si="282"/>
        <v>0.54878048780487798</v>
      </c>
      <c r="Z156" s="267">
        <f t="shared" si="283"/>
        <v>4.939024390243902E-2</v>
      </c>
      <c r="AA156" s="271">
        <f t="shared" si="284"/>
        <v>0.59817073170731705</v>
      </c>
      <c r="AB156" s="271">
        <f t="shared" si="285"/>
        <v>2.4506097560975606</v>
      </c>
      <c r="AC156" s="284">
        <f t="shared" si="286"/>
        <v>0.55105782365934064</v>
      </c>
      <c r="AD156" s="285">
        <f t="shared" si="287"/>
        <v>-8.869345435022824E-3</v>
      </c>
      <c r="AE156" s="221" t="s">
        <v>269</v>
      </c>
    </row>
    <row r="157" spans="1:31" ht="40" customHeight="1" x14ac:dyDescent="0.2">
      <c r="A157" s="123">
        <v>153</v>
      </c>
      <c r="B157" s="274" t="s">
        <v>150</v>
      </c>
      <c r="C157" s="123">
        <v>1</v>
      </c>
      <c r="D157" s="123">
        <v>8</v>
      </c>
      <c r="E157" s="123">
        <f t="shared" si="271"/>
        <v>8</v>
      </c>
      <c r="F157" s="123" t="s">
        <v>269</v>
      </c>
      <c r="G157" s="123" t="s">
        <v>269</v>
      </c>
      <c r="H157" s="257">
        <v>25.5</v>
      </c>
      <c r="I157" s="257">
        <f t="shared" si="272"/>
        <v>3.1875</v>
      </c>
      <c r="J157" s="257">
        <f t="shared" si="270"/>
        <v>25.5</v>
      </c>
      <c r="K157" s="257"/>
      <c r="L157" s="257">
        <f t="shared" si="265"/>
        <v>1.0093413552881572</v>
      </c>
      <c r="M157" s="257">
        <f t="shared" si="273"/>
        <v>8.0747308423052573</v>
      </c>
      <c r="N157" s="257">
        <f t="shared" si="279"/>
        <v>1.1001820772640913</v>
      </c>
      <c r="O157" s="257">
        <f t="shared" si="274"/>
        <v>8.8014566181127307</v>
      </c>
      <c r="P157" s="257">
        <v>2.5</v>
      </c>
      <c r="Q157" s="257">
        <f t="shared" si="275"/>
        <v>20</v>
      </c>
      <c r="R157" s="257">
        <f t="shared" si="276"/>
        <v>1.3998179227359087</v>
      </c>
      <c r="S157" s="257">
        <f t="shared" si="277"/>
        <v>11.198543381887269</v>
      </c>
      <c r="T157" s="246">
        <f t="shared" si="278"/>
        <v>0.55992716909436346</v>
      </c>
      <c r="U157" s="123"/>
      <c r="V157" s="268">
        <f t="shared" si="280"/>
        <v>2.5</v>
      </c>
      <c r="W157" s="269">
        <v>0.18</v>
      </c>
      <c r="X157" s="270">
        <f t="shared" si="281"/>
        <v>3.0487804878048776</v>
      </c>
      <c r="Y157" s="271">
        <f t="shared" si="282"/>
        <v>0.54878048780487798</v>
      </c>
      <c r="Z157" s="267">
        <f t="shared" si="283"/>
        <v>4.939024390243902E-2</v>
      </c>
      <c r="AA157" s="271">
        <f t="shared" si="284"/>
        <v>0.59817073170731705</v>
      </c>
      <c r="AB157" s="271">
        <f t="shared" si="285"/>
        <v>2.4506097560975606</v>
      </c>
      <c r="AC157" s="284">
        <f t="shared" si="286"/>
        <v>0.55105782365934064</v>
      </c>
      <c r="AD157" s="285">
        <f t="shared" si="287"/>
        <v>-8.869345435022824E-3</v>
      </c>
      <c r="AE157" s="221" t="s">
        <v>269</v>
      </c>
    </row>
    <row r="158" spans="1:31" ht="40" customHeight="1" x14ac:dyDescent="0.2">
      <c r="A158" s="123">
        <v>154</v>
      </c>
      <c r="B158" s="274" t="s">
        <v>151</v>
      </c>
      <c r="C158" s="123">
        <v>1</v>
      </c>
      <c r="D158" s="123">
        <v>8</v>
      </c>
      <c r="E158" s="123">
        <f t="shared" si="271"/>
        <v>8</v>
      </c>
      <c r="F158" s="123" t="s">
        <v>269</v>
      </c>
      <c r="G158" s="123" t="s">
        <v>269</v>
      </c>
      <c r="H158" s="257">
        <v>25.5</v>
      </c>
      <c r="I158" s="257">
        <f t="shared" si="272"/>
        <v>3.1875</v>
      </c>
      <c r="J158" s="257">
        <f t="shared" si="270"/>
        <v>25.5</v>
      </c>
      <c r="K158" s="257"/>
      <c r="L158" s="257">
        <f t="shared" si="265"/>
        <v>1.0093413552881572</v>
      </c>
      <c r="M158" s="257">
        <f t="shared" si="273"/>
        <v>8.0747308423052573</v>
      </c>
      <c r="N158" s="257">
        <f t="shared" si="279"/>
        <v>1.1001820772640913</v>
      </c>
      <c r="O158" s="257">
        <f t="shared" si="274"/>
        <v>8.8014566181127307</v>
      </c>
      <c r="P158" s="257">
        <v>2.5</v>
      </c>
      <c r="Q158" s="257">
        <f t="shared" si="275"/>
        <v>20</v>
      </c>
      <c r="R158" s="257">
        <f t="shared" si="276"/>
        <v>1.3998179227359087</v>
      </c>
      <c r="S158" s="257">
        <f t="shared" si="277"/>
        <v>11.198543381887269</v>
      </c>
      <c r="T158" s="246">
        <f t="shared" si="278"/>
        <v>0.55992716909436346</v>
      </c>
      <c r="U158" s="123"/>
      <c r="V158" s="268">
        <f t="shared" si="280"/>
        <v>2.5</v>
      </c>
      <c r="W158" s="269">
        <v>0.18</v>
      </c>
      <c r="X158" s="270">
        <f t="shared" si="281"/>
        <v>3.0487804878048776</v>
      </c>
      <c r="Y158" s="271">
        <f t="shared" si="282"/>
        <v>0.54878048780487798</v>
      </c>
      <c r="Z158" s="267">
        <f t="shared" si="283"/>
        <v>4.939024390243902E-2</v>
      </c>
      <c r="AA158" s="271">
        <f t="shared" si="284"/>
        <v>0.59817073170731705</v>
      </c>
      <c r="AB158" s="271">
        <f t="shared" si="285"/>
        <v>2.4506097560975606</v>
      </c>
      <c r="AC158" s="284">
        <f t="shared" si="286"/>
        <v>0.55105782365934064</v>
      </c>
      <c r="AD158" s="285">
        <f t="shared" si="287"/>
        <v>-8.869345435022824E-3</v>
      </c>
      <c r="AE158" s="221" t="s">
        <v>269</v>
      </c>
    </row>
    <row r="159" spans="1:31" ht="40" customHeight="1" x14ac:dyDescent="0.2">
      <c r="A159" s="123">
        <v>155</v>
      </c>
      <c r="B159" s="274" t="s">
        <v>153</v>
      </c>
      <c r="C159" s="123">
        <v>1</v>
      </c>
      <c r="D159" s="123">
        <v>16</v>
      </c>
      <c r="E159" s="123">
        <f t="shared" si="271"/>
        <v>16</v>
      </c>
      <c r="F159" s="123" t="s">
        <v>269</v>
      </c>
      <c r="G159" s="123" t="s">
        <v>269</v>
      </c>
      <c r="H159" s="257">
        <v>36.200000000000003</v>
      </c>
      <c r="I159" s="257">
        <f t="shared" si="272"/>
        <v>2.2625000000000002</v>
      </c>
      <c r="J159" s="257">
        <f t="shared" si="270"/>
        <v>36.200000000000003</v>
      </c>
      <c r="K159" s="257"/>
      <c r="L159" s="257">
        <f t="shared" si="265"/>
        <v>0.7164344521849273</v>
      </c>
      <c r="M159" s="257">
        <f t="shared" si="273"/>
        <v>11.462951234958837</v>
      </c>
      <c r="N159" s="257">
        <f t="shared" si="279"/>
        <v>0.78091355288157083</v>
      </c>
      <c r="O159" s="257">
        <f t="shared" si="274"/>
        <v>12.494616846105133</v>
      </c>
      <c r="P159" s="257">
        <v>1.25</v>
      </c>
      <c r="Q159" s="257">
        <f t="shared" si="275"/>
        <v>20</v>
      </c>
      <c r="R159" s="257">
        <f t="shared" si="276"/>
        <v>0.46908644711842917</v>
      </c>
      <c r="S159" s="257">
        <f t="shared" si="277"/>
        <v>7.5053831538948668</v>
      </c>
      <c r="T159" s="246">
        <f t="shared" si="278"/>
        <v>0.37526915769474334</v>
      </c>
      <c r="U159" s="123"/>
      <c r="V159" s="268">
        <f t="shared" si="280"/>
        <v>1.25</v>
      </c>
      <c r="W159" s="269">
        <v>0.18</v>
      </c>
      <c r="X159" s="270">
        <f t="shared" si="281"/>
        <v>1.5243902439024388</v>
      </c>
      <c r="Y159" s="271">
        <f t="shared" si="282"/>
        <v>0.27439024390243899</v>
      </c>
      <c r="Z159" s="267">
        <f t="shared" si="283"/>
        <v>2.469512195121951E-2</v>
      </c>
      <c r="AA159" s="271">
        <f t="shared" si="284"/>
        <v>0.29908536585365852</v>
      </c>
      <c r="AB159" s="271">
        <f t="shared" si="285"/>
        <v>1.2253048780487803</v>
      </c>
      <c r="AC159" s="284">
        <f t="shared" si="286"/>
        <v>0.36267816535169128</v>
      </c>
      <c r="AD159" s="285">
        <f t="shared" si="287"/>
        <v>-1.2590992343052054E-2</v>
      </c>
      <c r="AE159" s="221">
        <v>1.05</v>
      </c>
    </row>
    <row r="160" spans="1:31" ht="40" customHeight="1" x14ac:dyDescent="0.2">
      <c r="A160" s="123">
        <v>156</v>
      </c>
      <c r="B160" s="274" t="s">
        <v>154</v>
      </c>
      <c r="C160" s="123">
        <v>1</v>
      </c>
      <c r="D160" s="123">
        <v>30</v>
      </c>
      <c r="E160" s="123">
        <f t="shared" si="271"/>
        <v>30</v>
      </c>
      <c r="F160" s="123" t="s">
        <v>269</v>
      </c>
      <c r="G160" s="123" t="s">
        <v>269</v>
      </c>
      <c r="H160" s="257">
        <v>40.5</v>
      </c>
      <c r="I160" s="257">
        <f t="shared" si="272"/>
        <v>1.35</v>
      </c>
      <c r="J160" s="257">
        <f t="shared" ref="J160:J184" si="289">I160*E160</f>
        <v>40.5</v>
      </c>
      <c r="K160" s="257"/>
      <c r="L160" s="257">
        <f t="shared" si="265"/>
        <v>0.42748575047498422</v>
      </c>
      <c r="M160" s="257">
        <f t="shared" si="273"/>
        <v>12.824572514249525</v>
      </c>
      <c r="N160" s="257">
        <f t="shared" si="279"/>
        <v>0.4659594680177328</v>
      </c>
      <c r="O160" s="257">
        <f t="shared" si="274"/>
        <v>13.978784040531984</v>
      </c>
      <c r="P160" s="257">
        <v>0.8</v>
      </c>
      <c r="Q160" s="257">
        <f t="shared" si="275"/>
        <v>24</v>
      </c>
      <c r="R160" s="257">
        <f t="shared" si="276"/>
        <v>0.33404053198226724</v>
      </c>
      <c r="S160" s="257">
        <f t="shared" si="277"/>
        <v>10.021215959468016</v>
      </c>
      <c r="T160" s="246">
        <f t="shared" si="278"/>
        <v>0.41755066497783405</v>
      </c>
      <c r="U160" s="123"/>
      <c r="V160" s="268">
        <f t="shared" si="280"/>
        <v>0.8</v>
      </c>
      <c r="W160" s="269">
        <v>0.18</v>
      </c>
      <c r="X160" s="270">
        <f t="shared" si="281"/>
        <v>0.97560975609756095</v>
      </c>
      <c r="Y160" s="271">
        <f t="shared" si="282"/>
        <v>0.17560975609756097</v>
      </c>
      <c r="Z160" s="267">
        <f t="shared" si="283"/>
        <v>1.5804878048780488E-2</v>
      </c>
      <c r="AA160" s="271">
        <f t="shared" si="284"/>
        <v>0.19141463414634147</v>
      </c>
      <c r="AB160" s="271">
        <f t="shared" si="285"/>
        <v>0.78419512195121954</v>
      </c>
      <c r="AC160" s="284">
        <f t="shared" si="286"/>
        <v>0.40581182543148031</v>
      </c>
      <c r="AD160" s="285">
        <f t="shared" si="287"/>
        <v>-1.1738839546353741E-2</v>
      </c>
      <c r="AE160" s="221">
        <v>1.05</v>
      </c>
    </row>
    <row r="161" spans="1:31" ht="40" customHeight="1" x14ac:dyDescent="0.2">
      <c r="A161" s="123">
        <v>157</v>
      </c>
      <c r="B161" s="274" t="s">
        <v>155</v>
      </c>
      <c r="C161" s="123">
        <v>1</v>
      </c>
      <c r="D161" s="123">
        <v>16</v>
      </c>
      <c r="E161" s="123">
        <f t="shared" si="271"/>
        <v>16</v>
      </c>
      <c r="F161" s="123" t="s">
        <v>269</v>
      </c>
      <c r="G161" s="123" t="s">
        <v>269</v>
      </c>
      <c r="H161" s="257">
        <v>60</v>
      </c>
      <c r="I161" s="257">
        <f t="shared" si="272"/>
        <v>3.75</v>
      </c>
      <c r="J161" s="257">
        <f t="shared" si="289"/>
        <v>60</v>
      </c>
      <c r="K161" s="257"/>
      <c r="L161" s="257">
        <f t="shared" si="265"/>
        <v>1.1874604179860671</v>
      </c>
      <c r="M161" s="257">
        <f t="shared" si="273"/>
        <v>18.999366687777073</v>
      </c>
      <c r="N161" s="257">
        <f t="shared" si="279"/>
        <v>1.2943318556048131</v>
      </c>
      <c r="O161" s="257">
        <f t="shared" si="274"/>
        <v>20.70930968967701</v>
      </c>
      <c r="P161" s="257">
        <v>2</v>
      </c>
      <c r="Q161" s="257">
        <f t="shared" si="275"/>
        <v>32</v>
      </c>
      <c r="R161" s="257">
        <f t="shared" si="276"/>
        <v>0.70566814439518688</v>
      </c>
      <c r="S161" s="257">
        <f t="shared" si="277"/>
        <v>11.29069031032299</v>
      </c>
      <c r="T161" s="246">
        <f t="shared" si="278"/>
        <v>0.35283407219759344</v>
      </c>
      <c r="U161" s="123"/>
      <c r="V161" s="268">
        <f t="shared" si="280"/>
        <v>2</v>
      </c>
      <c r="W161" s="269">
        <v>0.18</v>
      </c>
      <c r="X161" s="270">
        <f t="shared" si="281"/>
        <v>2.4390243902439024</v>
      </c>
      <c r="Y161" s="271">
        <f t="shared" si="282"/>
        <v>0.43902439024390244</v>
      </c>
      <c r="Z161" s="267">
        <f t="shared" si="283"/>
        <v>3.951219512195122E-2</v>
      </c>
      <c r="AA161" s="271">
        <f t="shared" si="284"/>
        <v>0.47853658536585364</v>
      </c>
      <c r="AB161" s="271">
        <f t="shared" si="285"/>
        <v>1.9604878048780487</v>
      </c>
      <c r="AC161" s="284">
        <f t="shared" si="286"/>
        <v>0.33979091714608933</v>
      </c>
      <c r="AD161" s="285">
        <f t="shared" si="287"/>
        <v>-1.3043155051504107E-2</v>
      </c>
      <c r="AE161" s="221" t="s">
        <v>269</v>
      </c>
    </row>
    <row r="162" spans="1:31" ht="40" customHeight="1" x14ac:dyDescent="0.2">
      <c r="A162" s="123">
        <v>158</v>
      </c>
      <c r="B162" s="274" t="s">
        <v>222</v>
      </c>
      <c r="C162" s="123">
        <v>1</v>
      </c>
      <c r="D162" s="123">
        <v>24</v>
      </c>
      <c r="E162" s="123">
        <f t="shared" si="271"/>
        <v>24</v>
      </c>
      <c r="F162" s="123" t="s">
        <v>269</v>
      </c>
      <c r="G162" s="123" t="s">
        <v>269</v>
      </c>
      <c r="H162" s="257">
        <f t="shared" ref="H162:H168" si="290">91.2*0.95</f>
        <v>86.64</v>
      </c>
      <c r="I162" s="257">
        <f t="shared" si="272"/>
        <v>3.61</v>
      </c>
      <c r="J162" s="257">
        <f t="shared" si="289"/>
        <v>86.64</v>
      </c>
      <c r="K162" s="257"/>
      <c r="L162" s="257">
        <f t="shared" si="265"/>
        <v>1.1431285623812539</v>
      </c>
      <c r="M162" s="257">
        <f t="shared" si="273"/>
        <v>27.435085497150094</v>
      </c>
      <c r="N162" s="257">
        <f t="shared" si="279"/>
        <v>1.2460101329955668</v>
      </c>
      <c r="O162" s="257">
        <f t="shared" si="274"/>
        <v>29.904243191893606</v>
      </c>
      <c r="P162" s="257">
        <v>1.95</v>
      </c>
      <c r="Q162" s="257">
        <f t="shared" si="275"/>
        <v>46.8</v>
      </c>
      <c r="R162" s="257">
        <f t="shared" si="276"/>
        <v>0.70398986700443311</v>
      </c>
      <c r="S162" s="257">
        <f t="shared" si="277"/>
        <v>16.895756808106391</v>
      </c>
      <c r="T162" s="246">
        <f t="shared" si="278"/>
        <v>0.36102044461765803</v>
      </c>
      <c r="U162" s="123"/>
      <c r="V162" s="268">
        <f t="shared" si="280"/>
        <v>1.95</v>
      </c>
      <c r="W162" s="269">
        <v>0.18</v>
      </c>
      <c r="X162" s="270">
        <f t="shared" si="281"/>
        <v>2.3780487804878048</v>
      </c>
      <c r="Y162" s="271">
        <f t="shared" si="282"/>
        <v>0.42804878048780487</v>
      </c>
      <c r="Z162" s="267">
        <f t="shared" si="283"/>
        <v>3.8524390243902439E-2</v>
      </c>
      <c r="AA162" s="271">
        <f t="shared" si="284"/>
        <v>0.46657317073170729</v>
      </c>
      <c r="AB162" s="271">
        <f t="shared" si="285"/>
        <v>1.9114756097560974</v>
      </c>
      <c r="AC162" s="284">
        <f t="shared" si="286"/>
        <v>0.34814227990355756</v>
      </c>
      <c r="AD162" s="285">
        <f t="shared" si="287"/>
        <v>-1.2878164714100471E-2</v>
      </c>
      <c r="AE162" s="221" t="s">
        <v>269</v>
      </c>
    </row>
    <row r="163" spans="1:31" ht="40" customHeight="1" x14ac:dyDescent="0.2">
      <c r="A163" s="123">
        <v>159</v>
      </c>
      <c r="B163" s="274" t="s">
        <v>223</v>
      </c>
      <c r="C163" s="123">
        <v>1</v>
      </c>
      <c r="D163" s="123">
        <v>24</v>
      </c>
      <c r="E163" s="123">
        <f t="shared" si="271"/>
        <v>24</v>
      </c>
      <c r="F163" s="123" t="s">
        <v>269</v>
      </c>
      <c r="G163" s="123" t="s">
        <v>269</v>
      </c>
      <c r="H163" s="257">
        <f t="shared" si="290"/>
        <v>86.64</v>
      </c>
      <c r="I163" s="257">
        <f t="shared" si="272"/>
        <v>3.61</v>
      </c>
      <c r="J163" s="257">
        <f t="shared" si="289"/>
        <v>86.64</v>
      </c>
      <c r="K163" s="257"/>
      <c r="L163" s="257">
        <f t="shared" si="265"/>
        <v>1.1431285623812539</v>
      </c>
      <c r="M163" s="257">
        <f t="shared" si="273"/>
        <v>27.435085497150094</v>
      </c>
      <c r="N163" s="257">
        <f t="shared" si="279"/>
        <v>1.2460101329955668</v>
      </c>
      <c r="O163" s="257">
        <f t="shared" si="274"/>
        <v>29.904243191893606</v>
      </c>
      <c r="P163" s="257">
        <v>1.95</v>
      </c>
      <c r="Q163" s="257">
        <f t="shared" si="275"/>
        <v>46.8</v>
      </c>
      <c r="R163" s="257">
        <f t="shared" si="276"/>
        <v>0.70398986700443311</v>
      </c>
      <c r="S163" s="257">
        <f t="shared" si="277"/>
        <v>16.895756808106391</v>
      </c>
      <c r="T163" s="246">
        <f t="shared" si="278"/>
        <v>0.36102044461765803</v>
      </c>
      <c r="U163" s="123"/>
      <c r="V163" s="268">
        <f t="shared" si="280"/>
        <v>1.95</v>
      </c>
      <c r="W163" s="269">
        <v>0.18</v>
      </c>
      <c r="X163" s="270">
        <f t="shared" si="281"/>
        <v>2.3780487804878048</v>
      </c>
      <c r="Y163" s="271">
        <f t="shared" si="282"/>
        <v>0.42804878048780487</v>
      </c>
      <c r="Z163" s="267">
        <f t="shared" si="283"/>
        <v>3.8524390243902439E-2</v>
      </c>
      <c r="AA163" s="271">
        <f t="shared" si="284"/>
        <v>0.46657317073170729</v>
      </c>
      <c r="AB163" s="271">
        <f t="shared" si="285"/>
        <v>1.9114756097560974</v>
      </c>
      <c r="AC163" s="284">
        <f t="shared" si="286"/>
        <v>0.34814227990355756</v>
      </c>
      <c r="AD163" s="285">
        <f t="shared" si="287"/>
        <v>-1.2878164714100471E-2</v>
      </c>
      <c r="AE163" s="221" t="s">
        <v>269</v>
      </c>
    </row>
    <row r="164" spans="1:31" ht="40" customHeight="1" x14ac:dyDescent="0.2">
      <c r="A164" s="123">
        <v>160</v>
      </c>
      <c r="B164" s="274" t="s">
        <v>224</v>
      </c>
      <c r="C164" s="123">
        <v>1</v>
      </c>
      <c r="D164" s="123">
        <v>24</v>
      </c>
      <c r="E164" s="123">
        <f t="shared" si="271"/>
        <v>24</v>
      </c>
      <c r="F164" s="123" t="s">
        <v>269</v>
      </c>
      <c r="G164" s="123" t="s">
        <v>269</v>
      </c>
      <c r="H164" s="257">
        <f t="shared" si="290"/>
        <v>86.64</v>
      </c>
      <c r="I164" s="257">
        <f t="shared" si="272"/>
        <v>3.61</v>
      </c>
      <c r="J164" s="257">
        <f t="shared" si="289"/>
        <v>86.64</v>
      </c>
      <c r="K164" s="257"/>
      <c r="L164" s="257">
        <f t="shared" si="265"/>
        <v>1.1431285623812539</v>
      </c>
      <c r="M164" s="257">
        <f t="shared" si="273"/>
        <v>27.435085497150094</v>
      </c>
      <c r="N164" s="257">
        <f t="shared" si="279"/>
        <v>1.2460101329955668</v>
      </c>
      <c r="O164" s="257">
        <f t="shared" si="274"/>
        <v>29.904243191893606</v>
      </c>
      <c r="P164" s="257">
        <v>1.95</v>
      </c>
      <c r="Q164" s="257">
        <f t="shared" si="275"/>
        <v>46.8</v>
      </c>
      <c r="R164" s="257">
        <f t="shared" si="276"/>
        <v>0.70398986700443311</v>
      </c>
      <c r="S164" s="257">
        <f t="shared" si="277"/>
        <v>16.895756808106391</v>
      </c>
      <c r="T164" s="246">
        <f t="shared" si="278"/>
        <v>0.36102044461765803</v>
      </c>
      <c r="U164" s="123"/>
      <c r="V164" s="268">
        <f t="shared" si="280"/>
        <v>1.95</v>
      </c>
      <c r="W164" s="269">
        <v>0.18</v>
      </c>
      <c r="X164" s="270">
        <f t="shared" si="281"/>
        <v>2.3780487804878048</v>
      </c>
      <c r="Y164" s="271">
        <f t="shared" si="282"/>
        <v>0.42804878048780487</v>
      </c>
      <c r="Z164" s="267">
        <f t="shared" si="283"/>
        <v>3.8524390243902439E-2</v>
      </c>
      <c r="AA164" s="271">
        <f t="shared" si="284"/>
        <v>0.46657317073170729</v>
      </c>
      <c r="AB164" s="271">
        <f t="shared" si="285"/>
        <v>1.9114756097560974</v>
      </c>
      <c r="AC164" s="284">
        <f t="shared" si="286"/>
        <v>0.34814227990355756</v>
      </c>
      <c r="AD164" s="285">
        <f t="shared" si="287"/>
        <v>-1.2878164714100471E-2</v>
      </c>
      <c r="AE164" s="221" t="s">
        <v>269</v>
      </c>
    </row>
    <row r="165" spans="1:31" ht="40" customHeight="1" x14ac:dyDescent="0.2">
      <c r="A165" s="123">
        <v>161</v>
      </c>
      <c r="B165" s="274" t="s">
        <v>225</v>
      </c>
      <c r="C165" s="123">
        <v>1</v>
      </c>
      <c r="D165" s="123">
        <v>24</v>
      </c>
      <c r="E165" s="123">
        <f t="shared" si="271"/>
        <v>24</v>
      </c>
      <c r="F165" s="123" t="s">
        <v>269</v>
      </c>
      <c r="G165" s="123" t="s">
        <v>269</v>
      </c>
      <c r="H165" s="257">
        <f t="shared" si="290"/>
        <v>86.64</v>
      </c>
      <c r="I165" s="257">
        <f t="shared" si="272"/>
        <v>3.61</v>
      </c>
      <c r="J165" s="257">
        <f t="shared" si="289"/>
        <v>86.64</v>
      </c>
      <c r="K165" s="257"/>
      <c r="L165" s="257">
        <f t="shared" si="265"/>
        <v>1.1431285623812539</v>
      </c>
      <c r="M165" s="257">
        <f t="shared" si="273"/>
        <v>27.435085497150094</v>
      </c>
      <c r="N165" s="257">
        <f t="shared" si="279"/>
        <v>1.2460101329955668</v>
      </c>
      <c r="O165" s="257">
        <f t="shared" si="274"/>
        <v>29.904243191893606</v>
      </c>
      <c r="P165" s="257">
        <v>1.95</v>
      </c>
      <c r="Q165" s="257">
        <f t="shared" si="275"/>
        <v>46.8</v>
      </c>
      <c r="R165" s="257">
        <f t="shared" si="276"/>
        <v>0.70398986700443311</v>
      </c>
      <c r="S165" s="257">
        <f t="shared" si="277"/>
        <v>16.895756808106391</v>
      </c>
      <c r="T165" s="246">
        <f t="shared" si="278"/>
        <v>0.36102044461765803</v>
      </c>
      <c r="U165" s="123"/>
      <c r="V165" s="268">
        <f t="shared" si="280"/>
        <v>1.95</v>
      </c>
      <c r="W165" s="269">
        <v>0.18</v>
      </c>
      <c r="X165" s="270">
        <f t="shared" si="281"/>
        <v>2.3780487804878048</v>
      </c>
      <c r="Y165" s="271">
        <f t="shared" si="282"/>
        <v>0.42804878048780487</v>
      </c>
      <c r="Z165" s="267">
        <f t="shared" si="283"/>
        <v>3.8524390243902439E-2</v>
      </c>
      <c r="AA165" s="271">
        <f t="shared" si="284"/>
        <v>0.46657317073170729</v>
      </c>
      <c r="AB165" s="271">
        <f t="shared" si="285"/>
        <v>1.9114756097560974</v>
      </c>
      <c r="AC165" s="284">
        <f t="shared" si="286"/>
        <v>0.34814227990355756</v>
      </c>
      <c r="AD165" s="285">
        <f t="shared" si="287"/>
        <v>-1.2878164714100471E-2</v>
      </c>
      <c r="AE165" s="221" t="s">
        <v>269</v>
      </c>
    </row>
    <row r="166" spans="1:31" ht="40" customHeight="1" x14ac:dyDescent="0.2">
      <c r="A166" s="123">
        <v>162</v>
      </c>
      <c r="B166" s="274" t="s">
        <v>160</v>
      </c>
      <c r="C166" s="123">
        <v>1</v>
      </c>
      <c r="D166" s="123">
        <v>24</v>
      </c>
      <c r="E166" s="123">
        <f t="shared" si="271"/>
        <v>24</v>
      </c>
      <c r="F166" s="123" t="s">
        <v>269</v>
      </c>
      <c r="G166" s="123" t="s">
        <v>269</v>
      </c>
      <c r="H166" s="257">
        <f t="shared" si="290"/>
        <v>86.64</v>
      </c>
      <c r="I166" s="257">
        <f t="shared" si="272"/>
        <v>3.61</v>
      </c>
      <c r="J166" s="257">
        <f t="shared" si="289"/>
        <v>86.64</v>
      </c>
      <c r="K166" s="257"/>
      <c r="L166" s="257">
        <f t="shared" si="265"/>
        <v>1.1431285623812539</v>
      </c>
      <c r="M166" s="257">
        <f t="shared" si="273"/>
        <v>27.435085497150094</v>
      </c>
      <c r="N166" s="257">
        <f t="shared" si="279"/>
        <v>1.2460101329955668</v>
      </c>
      <c r="O166" s="257">
        <f t="shared" si="274"/>
        <v>29.904243191893606</v>
      </c>
      <c r="P166" s="257">
        <v>1.95</v>
      </c>
      <c r="Q166" s="257">
        <f t="shared" si="275"/>
        <v>46.8</v>
      </c>
      <c r="R166" s="257">
        <f t="shared" si="276"/>
        <v>0.70398986700443311</v>
      </c>
      <c r="S166" s="257">
        <f t="shared" si="277"/>
        <v>16.895756808106391</v>
      </c>
      <c r="T166" s="246">
        <f t="shared" si="278"/>
        <v>0.36102044461765803</v>
      </c>
      <c r="U166" s="123"/>
      <c r="V166" s="268">
        <f t="shared" si="280"/>
        <v>1.95</v>
      </c>
      <c r="W166" s="269">
        <v>0.18</v>
      </c>
      <c r="X166" s="270">
        <f t="shared" si="281"/>
        <v>2.3780487804878048</v>
      </c>
      <c r="Y166" s="271">
        <f t="shared" si="282"/>
        <v>0.42804878048780487</v>
      </c>
      <c r="Z166" s="267">
        <f t="shared" si="283"/>
        <v>3.8524390243902439E-2</v>
      </c>
      <c r="AA166" s="271">
        <f t="shared" si="284"/>
        <v>0.46657317073170729</v>
      </c>
      <c r="AB166" s="271">
        <f t="shared" si="285"/>
        <v>1.9114756097560974</v>
      </c>
      <c r="AC166" s="284">
        <f t="shared" si="286"/>
        <v>0.34814227990355756</v>
      </c>
      <c r="AD166" s="285">
        <f t="shared" si="287"/>
        <v>-1.2878164714100471E-2</v>
      </c>
      <c r="AE166" s="221" t="s">
        <v>269</v>
      </c>
    </row>
    <row r="167" spans="1:31" ht="40" customHeight="1" x14ac:dyDescent="0.2">
      <c r="A167" s="123">
        <v>163</v>
      </c>
      <c r="B167" s="274" t="s">
        <v>203</v>
      </c>
      <c r="C167" s="123">
        <v>1</v>
      </c>
      <c r="D167" s="123">
        <v>24</v>
      </c>
      <c r="E167" s="123">
        <f t="shared" ref="E167" si="291">D167*C167</f>
        <v>24</v>
      </c>
      <c r="F167" s="123" t="s">
        <v>269</v>
      </c>
      <c r="G167" s="123" t="s">
        <v>269</v>
      </c>
      <c r="H167" s="257">
        <f t="shared" si="290"/>
        <v>86.64</v>
      </c>
      <c r="I167" s="257">
        <f t="shared" ref="I167" si="292">H167/D167</f>
        <v>3.61</v>
      </c>
      <c r="J167" s="257">
        <f t="shared" ref="J167" si="293">I167*E167</f>
        <v>86.64</v>
      </c>
      <c r="K167" s="257"/>
      <c r="L167" s="257">
        <f t="shared" ref="L167" si="294">I167/$S$2</f>
        <v>1.1431285623812539</v>
      </c>
      <c r="M167" s="257">
        <f t="shared" ref="M167" si="295">H167/$S$2</f>
        <v>27.435085497150094</v>
      </c>
      <c r="N167" s="257">
        <f t="shared" ref="N167" si="296">L167*(1+$O$188+9%)</f>
        <v>1.2460101329955668</v>
      </c>
      <c r="O167" s="257">
        <f t="shared" ref="O167" si="297">N167*E167</f>
        <v>29.904243191893606</v>
      </c>
      <c r="P167" s="257">
        <v>1.95</v>
      </c>
      <c r="Q167" s="257">
        <f t="shared" ref="Q167" si="298">P167*E167</f>
        <v>46.8</v>
      </c>
      <c r="R167" s="257">
        <f t="shared" ref="R167" si="299">P167-N167</f>
        <v>0.70398986700443311</v>
      </c>
      <c r="S167" s="257">
        <f t="shared" ref="S167" si="300">Q167-O167</f>
        <v>16.895756808106391</v>
      </c>
      <c r="T167" s="246">
        <f t="shared" ref="T167" si="301">R167/P167</f>
        <v>0.36102044461765803</v>
      </c>
      <c r="U167" s="123"/>
      <c r="V167" s="268">
        <f t="shared" si="280"/>
        <v>1.95</v>
      </c>
      <c r="W167" s="269">
        <v>0.18</v>
      </c>
      <c r="X167" s="270">
        <f t="shared" si="281"/>
        <v>2.3780487804878048</v>
      </c>
      <c r="Y167" s="271">
        <f t="shared" si="282"/>
        <v>0.42804878048780487</v>
      </c>
      <c r="Z167" s="267">
        <f t="shared" si="283"/>
        <v>3.8524390243902439E-2</v>
      </c>
      <c r="AA167" s="271">
        <f t="shared" si="284"/>
        <v>0.46657317073170729</v>
      </c>
      <c r="AB167" s="271">
        <f t="shared" si="285"/>
        <v>1.9114756097560974</v>
      </c>
      <c r="AC167" s="284">
        <f t="shared" si="286"/>
        <v>0.34814227990355756</v>
      </c>
      <c r="AD167" s="285">
        <f t="shared" si="287"/>
        <v>-1.2878164714100471E-2</v>
      </c>
      <c r="AE167" s="221" t="s">
        <v>269</v>
      </c>
    </row>
    <row r="168" spans="1:31" ht="40" customHeight="1" x14ac:dyDescent="0.2">
      <c r="A168" s="123">
        <v>164</v>
      </c>
      <c r="B168" s="274" t="s">
        <v>161</v>
      </c>
      <c r="C168" s="123">
        <v>1</v>
      </c>
      <c r="D168" s="123">
        <v>24</v>
      </c>
      <c r="E168" s="123">
        <f t="shared" si="271"/>
        <v>24</v>
      </c>
      <c r="F168" s="123" t="s">
        <v>269</v>
      </c>
      <c r="G168" s="123" t="s">
        <v>269</v>
      </c>
      <c r="H168" s="257">
        <f t="shared" si="290"/>
        <v>86.64</v>
      </c>
      <c r="I168" s="257">
        <f t="shared" si="272"/>
        <v>3.61</v>
      </c>
      <c r="J168" s="257">
        <f t="shared" si="289"/>
        <v>86.64</v>
      </c>
      <c r="K168" s="257"/>
      <c r="L168" s="257">
        <f t="shared" si="265"/>
        <v>1.1431285623812539</v>
      </c>
      <c r="M168" s="257">
        <f t="shared" si="273"/>
        <v>27.435085497150094</v>
      </c>
      <c r="N168" s="257">
        <f t="shared" ref="N168:N176" si="302">L168*(1+$O$188+9%)</f>
        <v>1.2460101329955668</v>
      </c>
      <c r="O168" s="257">
        <f t="shared" si="274"/>
        <v>29.904243191893606</v>
      </c>
      <c r="P168" s="257">
        <v>1.95</v>
      </c>
      <c r="Q168" s="257">
        <f t="shared" si="275"/>
        <v>46.8</v>
      </c>
      <c r="R168" s="257">
        <f t="shared" si="276"/>
        <v>0.70398986700443311</v>
      </c>
      <c r="S168" s="257">
        <f t="shared" si="277"/>
        <v>16.895756808106391</v>
      </c>
      <c r="T168" s="246">
        <f t="shared" si="278"/>
        <v>0.36102044461765803</v>
      </c>
      <c r="U168" s="123"/>
      <c r="V168" s="268">
        <f t="shared" si="280"/>
        <v>1.95</v>
      </c>
      <c r="W168" s="269">
        <v>0.18</v>
      </c>
      <c r="X168" s="270">
        <f t="shared" si="281"/>
        <v>2.3780487804878048</v>
      </c>
      <c r="Y168" s="271">
        <f t="shared" si="282"/>
        <v>0.42804878048780487</v>
      </c>
      <c r="Z168" s="267">
        <f t="shared" si="283"/>
        <v>3.8524390243902439E-2</v>
      </c>
      <c r="AA168" s="271">
        <f t="shared" si="284"/>
        <v>0.46657317073170729</v>
      </c>
      <c r="AB168" s="271">
        <f t="shared" si="285"/>
        <v>1.9114756097560974</v>
      </c>
      <c r="AC168" s="284">
        <f t="shared" si="286"/>
        <v>0.34814227990355756</v>
      </c>
      <c r="AD168" s="285">
        <f t="shared" si="287"/>
        <v>-1.2878164714100471E-2</v>
      </c>
      <c r="AE168" s="221" t="s">
        <v>269</v>
      </c>
    </row>
    <row r="169" spans="1:31" ht="40" customHeight="1" x14ac:dyDescent="0.2">
      <c r="A169" s="123">
        <v>165</v>
      </c>
      <c r="B169" s="274" t="s">
        <v>237</v>
      </c>
      <c r="C169" s="123">
        <v>1</v>
      </c>
      <c r="D169" s="123">
        <v>60</v>
      </c>
      <c r="E169" s="123">
        <f t="shared" ref="E169" si="303">D169*C169</f>
        <v>60</v>
      </c>
      <c r="F169" s="123" t="s">
        <v>269</v>
      </c>
      <c r="G169" s="123" t="s">
        <v>269</v>
      </c>
      <c r="H169" s="257">
        <v>79.8</v>
      </c>
      <c r="I169" s="257">
        <f t="shared" ref="I169" si="304">H169/D169</f>
        <v>1.3299999999999998</v>
      </c>
      <c r="J169" s="257">
        <f t="shared" ref="J169" si="305">I169*E169</f>
        <v>79.8</v>
      </c>
      <c r="K169" s="257"/>
      <c r="L169" s="257">
        <f t="shared" ref="L169" si="306">I169/$S$2</f>
        <v>0.42115262824572508</v>
      </c>
      <c r="M169" s="257">
        <f t="shared" ref="M169" si="307">H169/$S$2</f>
        <v>25.269157694743509</v>
      </c>
      <c r="N169" s="257">
        <f t="shared" si="302"/>
        <v>0.4590563647878404</v>
      </c>
      <c r="O169" s="257">
        <f t="shared" ref="O169" si="308">N169*E169</f>
        <v>27.543381887270424</v>
      </c>
      <c r="P169" s="257">
        <v>0.85</v>
      </c>
      <c r="Q169" s="257">
        <f t="shared" ref="Q169" si="309">P169*E169</f>
        <v>51</v>
      </c>
      <c r="R169" s="257">
        <f t="shared" ref="R169" si="310">P169-N169</f>
        <v>0.39094363521215958</v>
      </c>
      <c r="S169" s="257">
        <f t="shared" ref="S169" si="311">Q169-O169</f>
        <v>23.456618112729576</v>
      </c>
      <c r="T169" s="246">
        <f t="shared" ref="T169" si="312">R169/P169</f>
        <v>0.45993368848489363</v>
      </c>
      <c r="U169" s="123"/>
      <c r="V169" s="268">
        <f t="shared" si="280"/>
        <v>0.85</v>
      </c>
      <c r="W169" s="269">
        <v>0.18</v>
      </c>
      <c r="X169" s="270">
        <f t="shared" si="281"/>
        <v>1.0365853658536583</v>
      </c>
      <c r="Y169" s="271">
        <f t="shared" si="282"/>
        <v>0.18658536585365851</v>
      </c>
      <c r="Z169" s="267">
        <f t="shared" si="283"/>
        <v>1.6792682926829266E-2</v>
      </c>
      <c r="AA169" s="271">
        <f t="shared" si="284"/>
        <v>0.20337804878048776</v>
      </c>
      <c r="AB169" s="271">
        <f t="shared" si="285"/>
        <v>0.83320731707317064</v>
      </c>
      <c r="AC169" s="284">
        <f t="shared" si="286"/>
        <v>0.44904904772034432</v>
      </c>
      <c r="AD169" s="285">
        <f t="shared" si="287"/>
        <v>-1.0884640764549314E-2</v>
      </c>
      <c r="AE169" s="221" t="s">
        <v>269</v>
      </c>
    </row>
    <row r="170" spans="1:31" ht="40" customHeight="1" x14ac:dyDescent="0.2">
      <c r="A170" s="123">
        <v>166</v>
      </c>
      <c r="B170" s="274" t="s">
        <v>226</v>
      </c>
      <c r="C170" s="123">
        <v>1</v>
      </c>
      <c r="D170" s="123">
        <v>60</v>
      </c>
      <c r="E170" s="123">
        <f t="shared" si="271"/>
        <v>60</v>
      </c>
      <c r="F170" s="123" t="s">
        <v>269</v>
      </c>
      <c r="G170" s="123" t="s">
        <v>269</v>
      </c>
      <c r="H170" s="257">
        <v>79.8</v>
      </c>
      <c r="I170" s="257">
        <f t="shared" si="272"/>
        <v>1.3299999999999998</v>
      </c>
      <c r="J170" s="257">
        <f t="shared" si="289"/>
        <v>79.8</v>
      </c>
      <c r="K170" s="257"/>
      <c r="L170" s="257">
        <f t="shared" si="265"/>
        <v>0.42115262824572508</v>
      </c>
      <c r="M170" s="257">
        <f t="shared" si="273"/>
        <v>25.269157694743509</v>
      </c>
      <c r="N170" s="257">
        <f t="shared" si="302"/>
        <v>0.4590563647878404</v>
      </c>
      <c r="O170" s="257">
        <f t="shared" si="274"/>
        <v>27.543381887270424</v>
      </c>
      <c r="P170" s="257">
        <v>0.85</v>
      </c>
      <c r="Q170" s="257">
        <f t="shared" si="275"/>
        <v>51</v>
      </c>
      <c r="R170" s="257">
        <f t="shared" si="276"/>
        <v>0.39094363521215958</v>
      </c>
      <c r="S170" s="257">
        <f t="shared" si="277"/>
        <v>23.456618112729576</v>
      </c>
      <c r="T170" s="246">
        <f t="shared" si="278"/>
        <v>0.45993368848489363</v>
      </c>
      <c r="U170" s="123"/>
      <c r="V170" s="268">
        <f t="shared" si="280"/>
        <v>0.85</v>
      </c>
      <c r="W170" s="269">
        <v>0.18</v>
      </c>
      <c r="X170" s="270">
        <f t="shared" si="281"/>
        <v>1.0365853658536583</v>
      </c>
      <c r="Y170" s="271">
        <f t="shared" si="282"/>
        <v>0.18658536585365851</v>
      </c>
      <c r="Z170" s="267">
        <f t="shared" si="283"/>
        <v>1.6792682926829266E-2</v>
      </c>
      <c r="AA170" s="271">
        <f t="shared" si="284"/>
        <v>0.20337804878048776</v>
      </c>
      <c r="AB170" s="271">
        <f t="shared" si="285"/>
        <v>0.83320731707317064</v>
      </c>
      <c r="AC170" s="284">
        <f t="shared" si="286"/>
        <v>0.44904904772034432</v>
      </c>
      <c r="AD170" s="285">
        <f t="shared" si="287"/>
        <v>-1.0884640764549314E-2</v>
      </c>
      <c r="AE170" s="221" t="s">
        <v>269</v>
      </c>
    </row>
    <row r="171" spans="1:31" ht="40" customHeight="1" x14ac:dyDescent="0.2">
      <c r="A171" s="123">
        <v>167</v>
      </c>
      <c r="B171" s="274" t="s">
        <v>227</v>
      </c>
      <c r="C171" s="123">
        <v>1</v>
      </c>
      <c r="D171" s="123">
        <v>60</v>
      </c>
      <c r="E171" s="123">
        <f t="shared" si="271"/>
        <v>60</v>
      </c>
      <c r="F171" s="123" t="s">
        <v>269</v>
      </c>
      <c r="G171" s="123" t="s">
        <v>269</v>
      </c>
      <c r="H171" s="257">
        <v>79.8</v>
      </c>
      <c r="I171" s="257">
        <f t="shared" si="272"/>
        <v>1.3299999999999998</v>
      </c>
      <c r="J171" s="257">
        <f t="shared" si="289"/>
        <v>79.8</v>
      </c>
      <c r="K171" s="257"/>
      <c r="L171" s="257">
        <f t="shared" si="265"/>
        <v>0.42115262824572508</v>
      </c>
      <c r="M171" s="257">
        <f t="shared" si="273"/>
        <v>25.269157694743509</v>
      </c>
      <c r="N171" s="257">
        <f t="shared" si="302"/>
        <v>0.4590563647878404</v>
      </c>
      <c r="O171" s="257">
        <f t="shared" si="274"/>
        <v>27.543381887270424</v>
      </c>
      <c r="P171" s="257">
        <v>0.85</v>
      </c>
      <c r="Q171" s="257">
        <f t="shared" si="275"/>
        <v>51</v>
      </c>
      <c r="R171" s="257">
        <f t="shared" si="276"/>
        <v>0.39094363521215958</v>
      </c>
      <c r="S171" s="257">
        <f t="shared" si="277"/>
        <v>23.456618112729576</v>
      </c>
      <c r="T171" s="246">
        <f t="shared" si="278"/>
        <v>0.45993368848489363</v>
      </c>
      <c r="U171" s="123"/>
      <c r="V171" s="268">
        <f t="shared" si="280"/>
        <v>0.85</v>
      </c>
      <c r="W171" s="269">
        <v>0.18</v>
      </c>
      <c r="X171" s="270">
        <f t="shared" si="281"/>
        <v>1.0365853658536583</v>
      </c>
      <c r="Y171" s="271">
        <f t="shared" si="282"/>
        <v>0.18658536585365851</v>
      </c>
      <c r="Z171" s="267">
        <f t="shared" si="283"/>
        <v>1.6792682926829266E-2</v>
      </c>
      <c r="AA171" s="271">
        <f t="shared" si="284"/>
        <v>0.20337804878048776</v>
      </c>
      <c r="AB171" s="271">
        <f t="shared" si="285"/>
        <v>0.83320731707317064</v>
      </c>
      <c r="AC171" s="284">
        <f t="shared" si="286"/>
        <v>0.44904904772034432</v>
      </c>
      <c r="AD171" s="285">
        <f t="shared" si="287"/>
        <v>-1.0884640764549314E-2</v>
      </c>
      <c r="AE171" s="221" t="s">
        <v>269</v>
      </c>
    </row>
    <row r="172" spans="1:31" ht="40" customHeight="1" x14ac:dyDescent="0.2">
      <c r="A172" s="123">
        <v>168</v>
      </c>
      <c r="B172" s="274" t="s">
        <v>238</v>
      </c>
      <c r="C172" s="123">
        <v>1</v>
      </c>
      <c r="D172" s="123">
        <v>60</v>
      </c>
      <c r="E172" s="123">
        <f t="shared" ref="E172" si="313">D172*C172</f>
        <v>60</v>
      </c>
      <c r="F172" s="123" t="s">
        <v>269</v>
      </c>
      <c r="G172" s="123" t="s">
        <v>269</v>
      </c>
      <c r="H172" s="257">
        <v>79.8</v>
      </c>
      <c r="I172" s="257">
        <f t="shared" ref="I172" si="314">H172/D172</f>
        <v>1.3299999999999998</v>
      </c>
      <c r="J172" s="257">
        <f t="shared" ref="J172" si="315">I172*E172</f>
        <v>79.8</v>
      </c>
      <c r="K172" s="257"/>
      <c r="L172" s="257">
        <f t="shared" ref="L172" si="316">I172/$S$2</f>
        <v>0.42115262824572508</v>
      </c>
      <c r="M172" s="257">
        <f t="shared" ref="M172" si="317">H172/$S$2</f>
        <v>25.269157694743509</v>
      </c>
      <c r="N172" s="257">
        <f t="shared" si="302"/>
        <v>0.4590563647878404</v>
      </c>
      <c r="O172" s="257">
        <f t="shared" ref="O172" si="318">N172*E172</f>
        <v>27.543381887270424</v>
      </c>
      <c r="P172" s="257">
        <v>0.85</v>
      </c>
      <c r="Q172" s="257">
        <f t="shared" ref="Q172" si="319">P172*E172</f>
        <v>51</v>
      </c>
      <c r="R172" s="257">
        <f t="shared" ref="R172" si="320">P172-N172</f>
        <v>0.39094363521215958</v>
      </c>
      <c r="S172" s="257">
        <f t="shared" ref="S172" si="321">Q172-O172</f>
        <v>23.456618112729576</v>
      </c>
      <c r="T172" s="246">
        <f t="shared" ref="T172" si="322">R172/P172</f>
        <v>0.45993368848489363</v>
      </c>
      <c r="U172" s="123"/>
      <c r="V172" s="268">
        <f t="shared" si="280"/>
        <v>0.85</v>
      </c>
      <c r="W172" s="269">
        <v>0.18</v>
      </c>
      <c r="X172" s="270">
        <f t="shared" si="281"/>
        <v>1.0365853658536583</v>
      </c>
      <c r="Y172" s="271">
        <f t="shared" si="282"/>
        <v>0.18658536585365851</v>
      </c>
      <c r="Z172" s="267">
        <f t="shared" si="283"/>
        <v>1.6792682926829266E-2</v>
      </c>
      <c r="AA172" s="271">
        <f t="shared" si="284"/>
        <v>0.20337804878048776</v>
      </c>
      <c r="AB172" s="271">
        <f t="shared" si="285"/>
        <v>0.83320731707317064</v>
      </c>
      <c r="AC172" s="284">
        <f t="shared" si="286"/>
        <v>0.44904904772034432</v>
      </c>
      <c r="AD172" s="285">
        <f t="shared" si="287"/>
        <v>-1.0884640764549314E-2</v>
      </c>
      <c r="AE172" s="221" t="s">
        <v>269</v>
      </c>
    </row>
    <row r="173" spans="1:31" ht="40" customHeight="1" x14ac:dyDescent="0.2">
      <c r="A173" s="123">
        <v>169</v>
      </c>
      <c r="B173" s="274" t="s">
        <v>164</v>
      </c>
      <c r="C173" s="123">
        <v>1</v>
      </c>
      <c r="D173" s="123">
        <v>60</v>
      </c>
      <c r="E173" s="123">
        <f t="shared" si="271"/>
        <v>60</v>
      </c>
      <c r="F173" s="123" t="s">
        <v>269</v>
      </c>
      <c r="G173" s="123" t="s">
        <v>269</v>
      </c>
      <c r="H173" s="257">
        <v>79.8</v>
      </c>
      <c r="I173" s="257">
        <f t="shared" si="272"/>
        <v>1.3299999999999998</v>
      </c>
      <c r="J173" s="257">
        <f t="shared" si="289"/>
        <v>79.8</v>
      </c>
      <c r="K173" s="257"/>
      <c r="L173" s="257">
        <f t="shared" si="265"/>
        <v>0.42115262824572508</v>
      </c>
      <c r="M173" s="257">
        <f t="shared" si="273"/>
        <v>25.269157694743509</v>
      </c>
      <c r="N173" s="257">
        <f t="shared" si="302"/>
        <v>0.4590563647878404</v>
      </c>
      <c r="O173" s="257">
        <f t="shared" si="274"/>
        <v>27.543381887270424</v>
      </c>
      <c r="P173" s="257">
        <v>0.85</v>
      </c>
      <c r="Q173" s="257">
        <f t="shared" si="275"/>
        <v>51</v>
      </c>
      <c r="R173" s="257">
        <f t="shared" si="276"/>
        <v>0.39094363521215958</v>
      </c>
      <c r="S173" s="257">
        <f t="shared" si="277"/>
        <v>23.456618112729576</v>
      </c>
      <c r="T173" s="246">
        <f t="shared" si="278"/>
        <v>0.45993368848489363</v>
      </c>
      <c r="U173" s="123"/>
      <c r="V173" s="268">
        <f t="shared" si="280"/>
        <v>0.85</v>
      </c>
      <c r="W173" s="269">
        <v>0.18</v>
      </c>
      <c r="X173" s="270">
        <f t="shared" si="281"/>
        <v>1.0365853658536583</v>
      </c>
      <c r="Y173" s="271">
        <f t="shared" si="282"/>
        <v>0.18658536585365851</v>
      </c>
      <c r="Z173" s="267">
        <f t="shared" si="283"/>
        <v>1.6792682926829266E-2</v>
      </c>
      <c r="AA173" s="271">
        <f t="shared" si="284"/>
        <v>0.20337804878048776</v>
      </c>
      <c r="AB173" s="271">
        <f t="shared" si="285"/>
        <v>0.83320731707317064</v>
      </c>
      <c r="AC173" s="284">
        <f t="shared" si="286"/>
        <v>0.44904904772034432</v>
      </c>
      <c r="AD173" s="285">
        <f t="shared" si="287"/>
        <v>-1.0884640764549314E-2</v>
      </c>
      <c r="AE173" s="221" t="s">
        <v>269</v>
      </c>
    </row>
    <row r="174" spans="1:31" ht="40" customHeight="1" x14ac:dyDescent="0.2">
      <c r="A174" s="123">
        <v>170</v>
      </c>
      <c r="B174" s="274" t="s">
        <v>228</v>
      </c>
      <c r="C174" s="123">
        <v>1</v>
      </c>
      <c r="D174" s="123">
        <v>60</v>
      </c>
      <c r="E174" s="123">
        <f t="shared" si="271"/>
        <v>60</v>
      </c>
      <c r="F174" s="123" t="s">
        <v>269</v>
      </c>
      <c r="G174" s="123" t="s">
        <v>269</v>
      </c>
      <c r="H174" s="257">
        <v>79.8</v>
      </c>
      <c r="I174" s="257">
        <f t="shared" si="272"/>
        <v>1.3299999999999998</v>
      </c>
      <c r="J174" s="257">
        <f t="shared" si="289"/>
        <v>79.8</v>
      </c>
      <c r="K174" s="257"/>
      <c r="L174" s="257">
        <f t="shared" si="265"/>
        <v>0.42115262824572508</v>
      </c>
      <c r="M174" s="257">
        <f t="shared" si="273"/>
        <v>25.269157694743509</v>
      </c>
      <c r="N174" s="257">
        <f t="shared" si="302"/>
        <v>0.4590563647878404</v>
      </c>
      <c r="O174" s="257">
        <f t="shared" si="274"/>
        <v>27.543381887270424</v>
      </c>
      <c r="P174" s="257">
        <v>0.85</v>
      </c>
      <c r="Q174" s="257">
        <f t="shared" si="275"/>
        <v>51</v>
      </c>
      <c r="R174" s="257">
        <f t="shared" si="276"/>
        <v>0.39094363521215958</v>
      </c>
      <c r="S174" s="257">
        <f t="shared" si="277"/>
        <v>23.456618112729576</v>
      </c>
      <c r="T174" s="246">
        <f t="shared" si="278"/>
        <v>0.45993368848489363</v>
      </c>
      <c r="U174" s="123"/>
      <c r="V174" s="268">
        <f t="shared" si="280"/>
        <v>0.85</v>
      </c>
      <c r="W174" s="269">
        <v>0.18</v>
      </c>
      <c r="X174" s="270">
        <f t="shared" si="281"/>
        <v>1.0365853658536583</v>
      </c>
      <c r="Y174" s="271">
        <f t="shared" si="282"/>
        <v>0.18658536585365851</v>
      </c>
      <c r="Z174" s="267">
        <f t="shared" si="283"/>
        <v>1.6792682926829266E-2</v>
      </c>
      <c r="AA174" s="271">
        <f t="shared" si="284"/>
        <v>0.20337804878048776</v>
      </c>
      <c r="AB174" s="271">
        <f t="shared" si="285"/>
        <v>0.83320731707317064</v>
      </c>
      <c r="AC174" s="284">
        <f t="shared" si="286"/>
        <v>0.44904904772034432</v>
      </c>
      <c r="AD174" s="285">
        <f t="shared" si="287"/>
        <v>-1.0884640764549314E-2</v>
      </c>
      <c r="AE174" s="221" t="s">
        <v>269</v>
      </c>
    </row>
    <row r="175" spans="1:31" ht="40" customHeight="1" x14ac:dyDescent="0.2">
      <c r="A175" s="123">
        <v>171</v>
      </c>
      <c r="B175" s="274" t="s">
        <v>166</v>
      </c>
      <c r="C175" s="123">
        <v>1</v>
      </c>
      <c r="D175" s="123">
        <v>60</v>
      </c>
      <c r="E175" s="123">
        <f t="shared" si="271"/>
        <v>60</v>
      </c>
      <c r="F175" s="123" t="s">
        <v>269</v>
      </c>
      <c r="G175" s="123" t="s">
        <v>269</v>
      </c>
      <c r="H175" s="257">
        <v>79.8</v>
      </c>
      <c r="I175" s="257">
        <f t="shared" si="272"/>
        <v>1.3299999999999998</v>
      </c>
      <c r="J175" s="257">
        <f t="shared" si="289"/>
        <v>79.8</v>
      </c>
      <c r="K175" s="257"/>
      <c r="L175" s="257">
        <f t="shared" si="265"/>
        <v>0.42115262824572508</v>
      </c>
      <c r="M175" s="257">
        <f t="shared" si="273"/>
        <v>25.269157694743509</v>
      </c>
      <c r="N175" s="257">
        <f t="shared" si="302"/>
        <v>0.4590563647878404</v>
      </c>
      <c r="O175" s="257">
        <f t="shared" si="274"/>
        <v>27.543381887270424</v>
      </c>
      <c r="P175" s="257">
        <v>0.85</v>
      </c>
      <c r="Q175" s="257">
        <f t="shared" si="275"/>
        <v>51</v>
      </c>
      <c r="R175" s="257">
        <f t="shared" si="276"/>
        <v>0.39094363521215958</v>
      </c>
      <c r="S175" s="257">
        <f t="shared" si="277"/>
        <v>23.456618112729576</v>
      </c>
      <c r="T175" s="246">
        <f t="shared" si="278"/>
        <v>0.45993368848489363</v>
      </c>
      <c r="U175" s="123"/>
      <c r="V175" s="268">
        <f t="shared" si="280"/>
        <v>0.85</v>
      </c>
      <c r="W175" s="269">
        <v>0.18</v>
      </c>
      <c r="X175" s="270">
        <f t="shared" si="281"/>
        <v>1.0365853658536583</v>
      </c>
      <c r="Y175" s="271">
        <f t="shared" si="282"/>
        <v>0.18658536585365851</v>
      </c>
      <c r="Z175" s="267">
        <f t="shared" si="283"/>
        <v>1.6792682926829266E-2</v>
      </c>
      <c r="AA175" s="271">
        <f t="shared" si="284"/>
        <v>0.20337804878048776</v>
      </c>
      <c r="AB175" s="271">
        <f t="shared" si="285"/>
        <v>0.83320731707317064</v>
      </c>
      <c r="AC175" s="284">
        <f t="shared" si="286"/>
        <v>0.44904904772034432</v>
      </c>
      <c r="AD175" s="285">
        <f t="shared" si="287"/>
        <v>-1.0884640764549314E-2</v>
      </c>
      <c r="AE175" s="221" t="s">
        <v>269</v>
      </c>
    </row>
    <row r="176" spans="1:31" ht="40" customHeight="1" x14ac:dyDescent="0.2">
      <c r="A176" s="123">
        <v>172</v>
      </c>
      <c r="B176" s="274" t="s">
        <v>167</v>
      </c>
      <c r="C176" s="123">
        <v>1</v>
      </c>
      <c r="D176" s="123">
        <v>60</v>
      </c>
      <c r="E176" s="123">
        <f t="shared" si="271"/>
        <v>60</v>
      </c>
      <c r="F176" s="123" t="s">
        <v>269</v>
      </c>
      <c r="G176" s="123" t="s">
        <v>269</v>
      </c>
      <c r="H176" s="257">
        <v>79.8</v>
      </c>
      <c r="I176" s="257">
        <f t="shared" si="272"/>
        <v>1.3299999999999998</v>
      </c>
      <c r="J176" s="257">
        <f t="shared" si="289"/>
        <v>79.8</v>
      </c>
      <c r="K176" s="257"/>
      <c r="L176" s="257">
        <f t="shared" si="265"/>
        <v>0.42115262824572508</v>
      </c>
      <c r="M176" s="257">
        <f t="shared" si="273"/>
        <v>25.269157694743509</v>
      </c>
      <c r="N176" s="257">
        <f t="shared" si="302"/>
        <v>0.4590563647878404</v>
      </c>
      <c r="O176" s="257">
        <f t="shared" si="274"/>
        <v>27.543381887270424</v>
      </c>
      <c r="P176" s="257">
        <v>0.85</v>
      </c>
      <c r="Q176" s="257">
        <f t="shared" si="275"/>
        <v>51</v>
      </c>
      <c r="R176" s="257">
        <f t="shared" si="276"/>
        <v>0.39094363521215958</v>
      </c>
      <c r="S176" s="257">
        <f t="shared" si="277"/>
        <v>23.456618112729576</v>
      </c>
      <c r="T176" s="246">
        <f t="shared" si="278"/>
        <v>0.45993368848489363</v>
      </c>
      <c r="U176" s="123"/>
      <c r="V176" s="268">
        <f t="shared" si="280"/>
        <v>0.85</v>
      </c>
      <c r="W176" s="269">
        <v>0.18</v>
      </c>
      <c r="X176" s="270">
        <f t="shared" si="281"/>
        <v>1.0365853658536583</v>
      </c>
      <c r="Y176" s="271">
        <f t="shared" si="282"/>
        <v>0.18658536585365851</v>
      </c>
      <c r="Z176" s="267">
        <f t="shared" si="283"/>
        <v>1.6792682926829266E-2</v>
      </c>
      <c r="AA176" s="271">
        <f t="shared" si="284"/>
        <v>0.20337804878048776</v>
      </c>
      <c r="AB176" s="271">
        <f t="shared" si="285"/>
        <v>0.83320731707317064</v>
      </c>
      <c r="AC176" s="284">
        <f t="shared" si="286"/>
        <v>0.44904904772034432</v>
      </c>
      <c r="AD176" s="285">
        <f t="shared" si="287"/>
        <v>-1.0884640764549314E-2</v>
      </c>
      <c r="AE176" s="221" t="s">
        <v>269</v>
      </c>
    </row>
    <row r="177" spans="1:31" ht="40" customHeight="1" x14ac:dyDescent="0.2">
      <c r="A177" s="123">
        <v>173</v>
      </c>
      <c r="B177" s="274" t="s">
        <v>229</v>
      </c>
      <c r="C177" s="123">
        <v>1</v>
      </c>
      <c r="D177" s="123">
        <v>120</v>
      </c>
      <c r="E177" s="123">
        <f t="shared" ref="E177" si="323">D177*C177</f>
        <v>120</v>
      </c>
      <c r="F177" s="123" t="s">
        <v>269</v>
      </c>
      <c r="G177" s="123" t="s">
        <v>269</v>
      </c>
      <c r="H177" s="257">
        <v>115.2</v>
      </c>
      <c r="I177" s="257">
        <f t="shared" ref="I177" si="324">H177/D177</f>
        <v>0.96000000000000008</v>
      </c>
      <c r="J177" s="257">
        <f t="shared" ref="J177" si="325">I177*E177</f>
        <v>115.2</v>
      </c>
      <c r="K177" s="257"/>
      <c r="L177" s="257">
        <f t="shared" ref="L177" si="326">I177/$S$2</f>
        <v>0.3039898670044332</v>
      </c>
      <c r="M177" s="257">
        <f t="shared" ref="M177" si="327">H177/$S$2</f>
        <v>36.478784040531984</v>
      </c>
      <c r="N177" s="257">
        <f t="shared" ref="N177" si="328">L177*(1+$O$188+9%)</f>
        <v>0.33134895503483219</v>
      </c>
      <c r="O177" s="257">
        <f t="shared" ref="O177" si="329">N177*E177</f>
        <v>39.761874604179866</v>
      </c>
      <c r="P177" s="257"/>
      <c r="Q177" s="257">
        <f t="shared" ref="Q177" si="330">P177*E177</f>
        <v>0</v>
      </c>
      <c r="R177" s="257">
        <f t="shared" ref="R177" si="331">P177-N177</f>
        <v>-0.33134895503483219</v>
      </c>
      <c r="S177" s="257">
        <f t="shared" ref="S177" si="332">Q177-O177</f>
        <v>-39.761874604179866</v>
      </c>
      <c r="T177" s="246" t="e">
        <f t="shared" ref="T177" si="333">R177/P177</f>
        <v>#DIV/0!</v>
      </c>
      <c r="U177" s="123"/>
      <c r="V177" s="268">
        <f t="shared" si="280"/>
        <v>0</v>
      </c>
      <c r="W177" s="269">
        <v>0.18</v>
      </c>
      <c r="X177" s="270">
        <f t="shared" si="281"/>
        <v>0</v>
      </c>
      <c r="Y177" s="271">
        <f t="shared" si="282"/>
        <v>0</v>
      </c>
      <c r="Z177" s="267">
        <f t="shared" si="283"/>
        <v>0</v>
      </c>
      <c r="AA177" s="271">
        <f t="shared" si="284"/>
        <v>0</v>
      </c>
      <c r="AB177" s="271">
        <f t="shared" si="285"/>
        <v>0</v>
      </c>
      <c r="AC177" s="284" t="e">
        <f t="shared" si="286"/>
        <v>#DIV/0!</v>
      </c>
      <c r="AD177" s="285" t="e">
        <f t="shared" si="287"/>
        <v>#DIV/0!</v>
      </c>
      <c r="AE177" s="221" t="s">
        <v>269</v>
      </c>
    </row>
    <row r="178" spans="1:31" ht="40" customHeight="1" x14ac:dyDescent="0.2">
      <c r="A178" s="123">
        <v>174</v>
      </c>
      <c r="B178" s="274" t="s">
        <v>168</v>
      </c>
      <c r="C178" s="123">
        <v>1</v>
      </c>
      <c r="D178" s="123">
        <v>40</v>
      </c>
      <c r="E178" s="123">
        <f t="shared" si="271"/>
        <v>40</v>
      </c>
      <c r="F178" s="123" t="s">
        <v>269</v>
      </c>
      <c r="G178" s="123" t="s">
        <v>269</v>
      </c>
      <c r="H178" s="257">
        <v>162</v>
      </c>
      <c r="I178" s="257">
        <f t="shared" si="272"/>
        <v>4.05</v>
      </c>
      <c r="J178" s="257">
        <f t="shared" si="289"/>
        <v>162</v>
      </c>
      <c r="K178" s="257"/>
      <c r="L178" s="257">
        <f t="shared" si="265"/>
        <v>1.2824572514249524</v>
      </c>
      <c r="M178" s="257">
        <f t="shared" si="273"/>
        <v>51.298290056998098</v>
      </c>
      <c r="N178" s="257">
        <f t="shared" ref="N178:N184" si="334">L178*(1+$O$188+9%)</f>
        <v>1.3978784040531982</v>
      </c>
      <c r="O178" s="257">
        <f t="shared" si="274"/>
        <v>55.915136162127929</v>
      </c>
      <c r="P178" s="257">
        <v>2.5</v>
      </c>
      <c r="Q178" s="257">
        <f t="shared" si="275"/>
        <v>100</v>
      </c>
      <c r="R178" s="257">
        <f t="shared" si="276"/>
        <v>1.1021215959468018</v>
      </c>
      <c r="S178" s="257">
        <f t="shared" si="277"/>
        <v>44.084863837872071</v>
      </c>
      <c r="T178" s="246">
        <f t="shared" si="278"/>
        <v>0.44084863837872074</v>
      </c>
      <c r="U178" s="123"/>
      <c r="V178" s="268">
        <f t="shared" si="280"/>
        <v>2.5</v>
      </c>
      <c r="W178" s="269">
        <v>0.18</v>
      </c>
      <c r="X178" s="270">
        <f t="shared" si="281"/>
        <v>3.0487804878048776</v>
      </c>
      <c r="Y178" s="271">
        <f t="shared" si="282"/>
        <v>0.54878048780487798</v>
      </c>
      <c r="Z178" s="267">
        <f t="shared" si="283"/>
        <v>4.939024390243902E-2</v>
      </c>
      <c r="AA178" s="271">
        <f t="shared" si="284"/>
        <v>0.59817073170731705</v>
      </c>
      <c r="AB178" s="271">
        <f t="shared" si="285"/>
        <v>2.4506097560975606</v>
      </c>
      <c r="AC178" s="284">
        <f t="shared" si="286"/>
        <v>0.42957935241422113</v>
      </c>
      <c r="AD178" s="285">
        <f t="shared" si="287"/>
        <v>-1.1269285964499609E-2</v>
      </c>
      <c r="AE178" s="221" t="s">
        <v>269</v>
      </c>
    </row>
    <row r="179" spans="1:31" ht="40" customHeight="1" x14ac:dyDescent="0.2">
      <c r="A179" s="123">
        <v>175</v>
      </c>
      <c r="B179" s="274" t="s">
        <v>169</v>
      </c>
      <c r="C179" s="123">
        <v>1</v>
      </c>
      <c r="D179" s="123">
        <v>40</v>
      </c>
      <c r="E179" s="123">
        <f t="shared" si="271"/>
        <v>40</v>
      </c>
      <c r="F179" s="123" t="s">
        <v>269</v>
      </c>
      <c r="G179" s="123" t="s">
        <v>269</v>
      </c>
      <c r="H179" s="257">
        <v>168</v>
      </c>
      <c r="I179" s="257">
        <f t="shared" si="272"/>
        <v>4.2</v>
      </c>
      <c r="J179" s="257">
        <f t="shared" si="289"/>
        <v>168</v>
      </c>
      <c r="K179" s="257"/>
      <c r="L179" s="257">
        <f t="shared" si="265"/>
        <v>1.3299556681443954</v>
      </c>
      <c r="M179" s="257">
        <f t="shared" si="273"/>
        <v>53.198226725775811</v>
      </c>
      <c r="N179" s="257">
        <f t="shared" si="334"/>
        <v>1.4496516782773909</v>
      </c>
      <c r="O179" s="257">
        <f t="shared" si="274"/>
        <v>57.986067131095638</v>
      </c>
      <c r="P179" s="257">
        <v>1.95</v>
      </c>
      <c r="Q179" s="257">
        <f t="shared" si="275"/>
        <v>78</v>
      </c>
      <c r="R179" s="257">
        <f t="shared" si="276"/>
        <v>0.50034832172260901</v>
      </c>
      <c r="S179" s="257">
        <f t="shared" si="277"/>
        <v>20.013932868904362</v>
      </c>
      <c r="T179" s="246">
        <f t="shared" si="278"/>
        <v>0.2565888829346713</v>
      </c>
      <c r="U179" s="123"/>
      <c r="V179" s="268">
        <f t="shared" si="280"/>
        <v>1.95</v>
      </c>
      <c r="W179" s="269">
        <v>0.18</v>
      </c>
      <c r="X179" s="270">
        <f t="shared" si="281"/>
        <v>2.3780487804878048</v>
      </c>
      <c r="Y179" s="271">
        <f t="shared" si="282"/>
        <v>0.42804878048780487</v>
      </c>
      <c r="Z179" s="267">
        <f t="shared" si="283"/>
        <v>3.8524390243902439E-2</v>
      </c>
      <c r="AA179" s="271">
        <f t="shared" si="284"/>
        <v>0.46657317073170729</v>
      </c>
      <c r="AB179" s="271">
        <f t="shared" si="285"/>
        <v>1.9114756097560974</v>
      </c>
      <c r="AC179" s="284">
        <f t="shared" si="286"/>
        <v>0.24160597661909733</v>
      </c>
      <c r="AD179" s="285">
        <f t="shared" si="287"/>
        <v>-1.4982906315573974E-2</v>
      </c>
      <c r="AE179" s="221" t="s">
        <v>269</v>
      </c>
    </row>
    <row r="180" spans="1:31" ht="40" customHeight="1" x14ac:dyDescent="0.2">
      <c r="A180" s="123">
        <v>176</v>
      </c>
      <c r="B180" s="274" t="s">
        <v>170</v>
      </c>
      <c r="C180" s="123">
        <v>1</v>
      </c>
      <c r="D180" s="123">
        <v>40</v>
      </c>
      <c r="E180" s="123">
        <f t="shared" si="271"/>
        <v>40</v>
      </c>
      <c r="F180" s="123" t="s">
        <v>269</v>
      </c>
      <c r="G180" s="123" t="s">
        <v>269</v>
      </c>
      <c r="H180" s="257">
        <v>48.8</v>
      </c>
      <c r="I180" s="257">
        <f t="shared" si="272"/>
        <v>1.22</v>
      </c>
      <c r="J180" s="257">
        <f t="shared" si="289"/>
        <v>48.8</v>
      </c>
      <c r="K180" s="257"/>
      <c r="L180" s="257">
        <f t="shared" si="265"/>
        <v>0.38632045598480053</v>
      </c>
      <c r="M180" s="257">
        <f t="shared" si="273"/>
        <v>15.45281823939202</v>
      </c>
      <c r="N180" s="257">
        <f t="shared" si="334"/>
        <v>0.42108929702343262</v>
      </c>
      <c r="O180" s="257">
        <f t="shared" si="274"/>
        <v>16.843571880937304</v>
      </c>
      <c r="P180" s="257">
        <v>0.8</v>
      </c>
      <c r="Q180" s="257">
        <f t="shared" si="275"/>
        <v>32</v>
      </c>
      <c r="R180" s="257">
        <f t="shared" si="276"/>
        <v>0.37891070297656743</v>
      </c>
      <c r="S180" s="257">
        <f t="shared" si="277"/>
        <v>15.156428119062696</v>
      </c>
      <c r="T180" s="246">
        <f t="shared" si="278"/>
        <v>0.47363837872070924</v>
      </c>
      <c r="U180" s="123"/>
      <c r="V180" s="268">
        <f t="shared" si="280"/>
        <v>0.8</v>
      </c>
      <c r="W180" s="269">
        <v>0.18</v>
      </c>
      <c r="X180" s="270">
        <f t="shared" si="281"/>
        <v>0.97560975609756095</v>
      </c>
      <c r="Y180" s="271">
        <f t="shared" si="282"/>
        <v>0.17560975609756097</v>
      </c>
      <c r="Z180" s="267">
        <f t="shared" si="283"/>
        <v>1.5804878048780488E-2</v>
      </c>
      <c r="AA180" s="271">
        <f t="shared" si="284"/>
        <v>0.19141463414634147</v>
      </c>
      <c r="AB180" s="271">
        <f t="shared" si="285"/>
        <v>0.78419512195121954</v>
      </c>
      <c r="AC180" s="284">
        <f t="shared" si="286"/>
        <v>0.46302994594548591</v>
      </c>
      <c r="AD180" s="285">
        <f t="shared" si="287"/>
        <v>-1.0608432775223331E-2</v>
      </c>
      <c r="AE180" s="221" t="s">
        <v>269</v>
      </c>
    </row>
    <row r="181" spans="1:31" ht="40" customHeight="1" x14ac:dyDescent="0.2">
      <c r="A181" s="123">
        <v>177</v>
      </c>
      <c r="B181" s="274" t="s">
        <v>171</v>
      </c>
      <c r="C181" s="123">
        <v>1</v>
      </c>
      <c r="D181" s="123">
        <v>270</v>
      </c>
      <c r="E181" s="123">
        <f t="shared" si="271"/>
        <v>270</v>
      </c>
      <c r="F181" s="123" t="s">
        <v>269</v>
      </c>
      <c r="G181" s="123" t="s">
        <v>269</v>
      </c>
      <c r="H181" s="257">
        <v>374.4</v>
      </c>
      <c r="I181" s="257">
        <f t="shared" si="272"/>
        <v>1.3866666666666665</v>
      </c>
      <c r="J181" s="257">
        <f t="shared" si="289"/>
        <v>374.4</v>
      </c>
      <c r="K181" s="257"/>
      <c r="L181" s="257">
        <f t="shared" si="265"/>
        <v>0.43909647456195899</v>
      </c>
      <c r="M181" s="257">
        <f t="shared" si="273"/>
        <v>118.55604813172894</v>
      </c>
      <c r="N181" s="257">
        <f t="shared" si="334"/>
        <v>0.47861515727253534</v>
      </c>
      <c r="O181" s="257">
        <f t="shared" si="274"/>
        <v>129.22609246358454</v>
      </c>
      <c r="P181" s="257">
        <v>0.8</v>
      </c>
      <c r="Q181" s="257">
        <f t="shared" si="275"/>
        <v>216</v>
      </c>
      <c r="R181" s="257">
        <f t="shared" si="276"/>
        <v>0.3213848427274647</v>
      </c>
      <c r="S181" s="257">
        <f t="shared" si="277"/>
        <v>86.773907536415464</v>
      </c>
      <c r="T181" s="246">
        <f t="shared" si="278"/>
        <v>0.40173105340933085</v>
      </c>
      <c r="U181" s="123"/>
      <c r="V181" s="268">
        <f t="shared" si="280"/>
        <v>0.8</v>
      </c>
      <c r="W181" s="269">
        <v>0.18</v>
      </c>
      <c r="X181" s="270">
        <f t="shared" si="281"/>
        <v>0.97560975609756095</v>
      </c>
      <c r="Y181" s="271">
        <f t="shared" si="282"/>
        <v>0.17560975609756097</v>
      </c>
      <c r="Z181" s="267">
        <f t="shared" si="283"/>
        <v>1.5804878048780488E-2</v>
      </c>
      <c r="AA181" s="271">
        <f t="shared" si="284"/>
        <v>0.19141463414634147</v>
      </c>
      <c r="AB181" s="271">
        <f t="shared" si="285"/>
        <v>0.78419512195121954</v>
      </c>
      <c r="AC181" s="284">
        <f t="shared" si="286"/>
        <v>0.3896733811839404</v>
      </c>
      <c r="AD181" s="285">
        <f t="shared" si="287"/>
        <v>-1.2057672225390448E-2</v>
      </c>
      <c r="AE181" s="221" t="s">
        <v>269</v>
      </c>
    </row>
    <row r="182" spans="1:31" ht="40" customHeight="1" x14ac:dyDescent="0.2">
      <c r="A182" s="123">
        <v>178</v>
      </c>
      <c r="B182" s="274" t="s">
        <v>172</v>
      </c>
      <c r="C182" s="123">
        <v>1</v>
      </c>
      <c r="D182" s="123">
        <v>270</v>
      </c>
      <c r="E182" s="123">
        <f t="shared" si="271"/>
        <v>270</v>
      </c>
      <c r="F182" s="123" t="s">
        <v>269</v>
      </c>
      <c r="G182" s="123" t="s">
        <v>269</v>
      </c>
      <c r="H182" s="257">
        <v>374.4</v>
      </c>
      <c r="I182" s="257">
        <f t="shared" si="272"/>
        <v>1.3866666666666665</v>
      </c>
      <c r="J182" s="257">
        <f t="shared" si="289"/>
        <v>374.4</v>
      </c>
      <c r="K182" s="257"/>
      <c r="L182" s="257">
        <f t="shared" si="265"/>
        <v>0.43909647456195899</v>
      </c>
      <c r="M182" s="257">
        <f t="shared" si="273"/>
        <v>118.55604813172894</v>
      </c>
      <c r="N182" s="257">
        <f t="shared" si="334"/>
        <v>0.47861515727253534</v>
      </c>
      <c r="O182" s="257">
        <f t="shared" si="274"/>
        <v>129.22609246358454</v>
      </c>
      <c r="P182" s="257">
        <v>0.8</v>
      </c>
      <c r="Q182" s="257">
        <f t="shared" si="275"/>
        <v>216</v>
      </c>
      <c r="R182" s="257">
        <f t="shared" si="276"/>
        <v>0.3213848427274647</v>
      </c>
      <c r="S182" s="257">
        <f t="shared" si="277"/>
        <v>86.773907536415464</v>
      </c>
      <c r="T182" s="246">
        <f t="shared" si="278"/>
        <v>0.40173105340933085</v>
      </c>
      <c r="U182" s="123"/>
      <c r="V182" s="268">
        <f t="shared" si="280"/>
        <v>0.8</v>
      </c>
      <c r="W182" s="269">
        <v>0.18</v>
      </c>
      <c r="X182" s="270">
        <f t="shared" si="281"/>
        <v>0.97560975609756095</v>
      </c>
      <c r="Y182" s="271">
        <f t="shared" si="282"/>
        <v>0.17560975609756097</v>
      </c>
      <c r="Z182" s="267">
        <f t="shared" si="283"/>
        <v>1.5804878048780488E-2</v>
      </c>
      <c r="AA182" s="271">
        <f t="shared" si="284"/>
        <v>0.19141463414634147</v>
      </c>
      <c r="AB182" s="271">
        <f t="shared" si="285"/>
        <v>0.78419512195121954</v>
      </c>
      <c r="AC182" s="284">
        <f t="shared" si="286"/>
        <v>0.3896733811839404</v>
      </c>
      <c r="AD182" s="285">
        <f t="shared" si="287"/>
        <v>-1.2057672225390448E-2</v>
      </c>
      <c r="AE182" s="221" t="s">
        <v>269</v>
      </c>
    </row>
    <row r="183" spans="1:31" ht="40" customHeight="1" x14ac:dyDescent="0.2">
      <c r="A183" s="123">
        <v>179</v>
      </c>
      <c r="B183" s="274" t="s">
        <v>173</v>
      </c>
      <c r="C183" s="123">
        <v>1</v>
      </c>
      <c r="D183" s="123">
        <v>270</v>
      </c>
      <c r="E183" s="123">
        <f t="shared" si="271"/>
        <v>270</v>
      </c>
      <c r="F183" s="123" t="s">
        <v>269</v>
      </c>
      <c r="G183" s="123" t="s">
        <v>269</v>
      </c>
      <c r="H183" s="257">
        <v>374.4</v>
      </c>
      <c r="I183" s="257">
        <f t="shared" si="272"/>
        <v>1.3866666666666665</v>
      </c>
      <c r="J183" s="257">
        <f t="shared" si="289"/>
        <v>374.4</v>
      </c>
      <c r="K183" s="257"/>
      <c r="L183" s="257">
        <f t="shared" si="265"/>
        <v>0.43909647456195899</v>
      </c>
      <c r="M183" s="257">
        <f t="shared" si="273"/>
        <v>118.55604813172894</v>
      </c>
      <c r="N183" s="257">
        <f t="shared" si="334"/>
        <v>0.47861515727253534</v>
      </c>
      <c r="O183" s="257">
        <f t="shared" si="274"/>
        <v>129.22609246358454</v>
      </c>
      <c r="P183" s="257">
        <v>0.8</v>
      </c>
      <c r="Q183" s="257">
        <f t="shared" si="275"/>
        <v>216</v>
      </c>
      <c r="R183" s="257">
        <f t="shared" si="276"/>
        <v>0.3213848427274647</v>
      </c>
      <c r="S183" s="257">
        <f t="shared" si="277"/>
        <v>86.773907536415464</v>
      </c>
      <c r="T183" s="246">
        <f t="shared" si="278"/>
        <v>0.40173105340933085</v>
      </c>
      <c r="U183" s="123"/>
      <c r="V183" s="268">
        <f t="shared" si="280"/>
        <v>0.8</v>
      </c>
      <c r="W183" s="269">
        <v>0.18</v>
      </c>
      <c r="X183" s="270">
        <f t="shared" si="281"/>
        <v>0.97560975609756095</v>
      </c>
      <c r="Y183" s="271">
        <f t="shared" si="282"/>
        <v>0.17560975609756097</v>
      </c>
      <c r="Z183" s="267">
        <f t="shared" si="283"/>
        <v>1.5804878048780488E-2</v>
      </c>
      <c r="AA183" s="271">
        <f t="shared" si="284"/>
        <v>0.19141463414634147</v>
      </c>
      <c r="AB183" s="271">
        <f t="shared" si="285"/>
        <v>0.78419512195121954</v>
      </c>
      <c r="AC183" s="284">
        <f t="shared" si="286"/>
        <v>0.3896733811839404</v>
      </c>
      <c r="AD183" s="285">
        <f t="shared" si="287"/>
        <v>-1.2057672225390448E-2</v>
      </c>
      <c r="AE183" s="221" t="s">
        <v>269</v>
      </c>
    </row>
    <row r="184" spans="1:31" ht="40" customHeight="1" x14ac:dyDescent="0.2">
      <c r="A184" s="123">
        <v>180</v>
      </c>
      <c r="B184" s="274" t="s">
        <v>174</v>
      </c>
      <c r="C184" s="123">
        <v>1</v>
      </c>
      <c r="D184" s="123">
        <v>270</v>
      </c>
      <c r="E184" s="123">
        <f t="shared" si="271"/>
        <v>270</v>
      </c>
      <c r="F184" s="123" t="s">
        <v>269</v>
      </c>
      <c r="G184" s="123" t="s">
        <v>269</v>
      </c>
      <c r="H184" s="257">
        <v>374.4</v>
      </c>
      <c r="I184" s="257">
        <f t="shared" si="272"/>
        <v>1.3866666666666665</v>
      </c>
      <c r="J184" s="257">
        <f t="shared" si="289"/>
        <v>374.4</v>
      </c>
      <c r="K184" s="257"/>
      <c r="L184" s="257">
        <f t="shared" si="265"/>
        <v>0.43909647456195899</v>
      </c>
      <c r="M184" s="257">
        <f t="shared" si="273"/>
        <v>118.55604813172894</v>
      </c>
      <c r="N184" s="257">
        <f t="shared" si="334"/>
        <v>0.47861515727253534</v>
      </c>
      <c r="O184" s="257">
        <f t="shared" si="274"/>
        <v>129.22609246358454</v>
      </c>
      <c r="P184" s="257">
        <v>0.8</v>
      </c>
      <c r="Q184" s="257">
        <f t="shared" si="275"/>
        <v>216</v>
      </c>
      <c r="R184" s="257">
        <f t="shared" si="276"/>
        <v>0.3213848427274647</v>
      </c>
      <c r="S184" s="257">
        <f t="shared" si="277"/>
        <v>86.773907536415464</v>
      </c>
      <c r="T184" s="246">
        <f t="shared" si="278"/>
        <v>0.40173105340933085</v>
      </c>
      <c r="U184" s="123"/>
      <c r="V184" s="268">
        <f t="shared" si="280"/>
        <v>0.8</v>
      </c>
      <c r="W184" s="269">
        <v>0.18</v>
      </c>
      <c r="X184" s="270">
        <f t="shared" si="281"/>
        <v>0.97560975609756095</v>
      </c>
      <c r="Y184" s="271">
        <f t="shared" si="282"/>
        <v>0.17560975609756097</v>
      </c>
      <c r="Z184" s="267">
        <f t="shared" si="283"/>
        <v>1.5804878048780488E-2</v>
      </c>
      <c r="AA184" s="271">
        <f t="shared" si="284"/>
        <v>0.19141463414634147</v>
      </c>
      <c r="AB184" s="271">
        <f t="shared" si="285"/>
        <v>0.78419512195121954</v>
      </c>
      <c r="AC184" s="284">
        <f t="shared" si="286"/>
        <v>0.3896733811839404</v>
      </c>
      <c r="AD184" s="285">
        <f t="shared" si="287"/>
        <v>-1.2057672225390448E-2</v>
      </c>
      <c r="AE184" s="221" t="s">
        <v>269</v>
      </c>
    </row>
    <row r="185" spans="1:31" ht="49" thickBot="1" x14ac:dyDescent="0.25">
      <c r="A185" s="302" t="s">
        <v>99</v>
      </c>
      <c r="B185" s="303"/>
      <c r="C185" s="303"/>
      <c r="D185" s="304"/>
      <c r="E185" s="231"/>
      <c r="F185" s="232"/>
      <c r="G185" s="232"/>
      <c r="H185" s="232"/>
      <c r="I185" s="309" t="s">
        <v>100</v>
      </c>
      <c r="J185" s="311">
        <f>SUM(J6:J184)</f>
        <v>20513.268999999986</v>
      </c>
      <c r="K185" s="249"/>
      <c r="L185" s="253" t="s">
        <v>101</v>
      </c>
      <c r="M185" s="233">
        <f>SUM(M6:M184)</f>
        <v>6469.9253065231114</v>
      </c>
      <c r="N185" s="313" t="s">
        <v>102</v>
      </c>
      <c r="O185" s="314"/>
      <c r="P185" s="315">
        <f>SUM(Q6:Q184)</f>
        <v>11463.399999999994</v>
      </c>
      <c r="Q185" s="316"/>
      <c r="R185" s="317" t="s">
        <v>103</v>
      </c>
      <c r="S185" s="304"/>
      <c r="T185" s="318">
        <f>P185-M188</f>
        <v>4411.1814158898032</v>
      </c>
      <c r="U185" s="283"/>
      <c r="AD185" s="280"/>
    </row>
    <row r="186" spans="1:31" ht="17" thickBot="1" x14ac:dyDescent="0.25">
      <c r="A186" s="305"/>
      <c r="B186" s="303"/>
      <c r="C186" s="303"/>
      <c r="D186" s="304"/>
      <c r="E186" s="231"/>
      <c r="F186" s="234"/>
      <c r="G186" s="234"/>
      <c r="H186" s="234"/>
      <c r="I186" s="310"/>
      <c r="J186" s="312"/>
      <c r="K186" s="250"/>
      <c r="L186" s="254" t="s">
        <v>104</v>
      </c>
      <c r="M186" s="235">
        <f>M185*0.09</f>
        <v>582.29327758707996</v>
      </c>
      <c r="N186" s="320"/>
      <c r="O186" s="321"/>
      <c r="P186" s="321"/>
      <c r="Q186" s="322"/>
      <c r="R186" s="307"/>
      <c r="S186" s="308"/>
      <c r="T186" s="319"/>
      <c r="U186" s="123"/>
      <c r="AD186" s="280"/>
    </row>
    <row r="187" spans="1:31" ht="49" thickBot="1" x14ac:dyDescent="0.25">
      <c r="A187" s="305"/>
      <c r="B187" s="303"/>
      <c r="C187" s="303"/>
      <c r="D187" s="304"/>
      <c r="E187" s="236"/>
      <c r="F187" s="237"/>
      <c r="G187" s="237"/>
      <c r="H187" s="237"/>
      <c r="I187" s="238" t="s">
        <v>105</v>
      </c>
      <c r="J187" s="239" t="s">
        <v>106</v>
      </c>
      <c r="K187" s="250"/>
      <c r="L187" s="255" t="s">
        <v>107</v>
      </c>
      <c r="M187" s="159">
        <v>0</v>
      </c>
      <c r="N187" s="323"/>
      <c r="O187" s="324"/>
      <c r="P187" s="324"/>
      <c r="Q187" s="325"/>
      <c r="R187" s="326" t="s">
        <v>108</v>
      </c>
      <c r="S187" s="327"/>
      <c r="T187" s="256">
        <f>T185/P185</f>
        <v>0.38480567858487058</v>
      </c>
      <c r="U187" s="123"/>
      <c r="AD187" s="280"/>
    </row>
    <row r="188" spans="1:31" ht="103" thickBot="1" x14ac:dyDescent="0.25">
      <c r="A188" s="306"/>
      <c r="B188" s="307"/>
      <c r="C188" s="307"/>
      <c r="D188" s="308"/>
      <c r="E188" s="240"/>
      <c r="F188" s="241"/>
      <c r="G188" s="241"/>
      <c r="H188" s="241"/>
      <c r="I188" s="242" t="s">
        <v>109</v>
      </c>
      <c r="J188" s="243">
        <f>SUM(J185:J187)</f>
        <v>20513.268999999986</v>
      </c>
      <c r="K188" s="250"/>
      <c r="L188" s="244" t="s">
        <v>109</v>
      </c>
      <c r="M188" s="167">
        <f>SUM(M185:M187)</f>
        <v>7052.2185841101909</v>
      </c>
      <c r="N188" s="168" t="s">
        <v>110</v>
      </c>
      <c r="O188" s="328">
        <f>M187/M185</f>
        <v>0</v>
      </c>
      <c r="P188" s="329"/>
      <c r="Q188" s="245"/>
      <c r="R188" s="251"/>
      <c r="S188" s="251"/>
      <c r="T188" s="252"/>
      <c r="U188" s="123"/>
    </row>
    <row r="189" spans="1:31" x14ac:dyDescent="0.2">
      <c r="A189" s="171"/>
      <c r="B189" s="275"/>
      <c r="C189" s="104"/>
      <c r="D189" s="104"/>
      <c r="E189" s="172"/>
      <c r="F189" s="172"/>
      <c r="G189" s="172"/>
      <c r="H189" s="172"/>
      <c r="I189" s="172"/>
      <c r="J189" s="173"/>
      <c r="K189" s="174"/>
      <c r="L189" s="104"/>
      <c r="M189" s="104"/>
      <c r="N189" s="175"/>
      <c r="O189" s="175"/>
      <c r="P189" s="176"/>
      <c r="Q189" s="177"/>
      <c r="R189" s="177"/>
      <c r="S189" s="178"/>
      <c r="T189" s="223"/>
      <c r="U189" s="221"/>
    </row>
    <row r="190" spans="1:31" x14ac:dyDescent="0.2">
      <c r="A190" s="174"/>
      <c r="B190" s="276"/>
      <c r="C190" s="177"/>
      <c r="D190" s="177"/>
      <c r="E190" s="179"/>
      <c r="F190" s="179"/>
      <c r="G190" s="179"/>
      <c r="H190" s="179"/>
      <c r="I190" s="179"/>
      <c r="J190" s="180"/>
      <c r="K190" s="174"/>
      <c r="L190" s="286"/>
      <c r="M190" s="287"/>
      <c r="N190" s="287"/>
      <c r="O190" s="287"/>
      <c r="P190" s="288"/>
      <c r="Q190" s="177"/>
      <c r="R190" s="177"/>
      <c r="S190" s="177"/>
      <c r="T190" s="223"/>
      <c r="U190" s="221"/>
    </row>
    <row r="191" spans="1:31" x14ac:dyDescent="0.2">
      <c r="A191" s="174"/>
      <c r="B191" s="276"/>
      <c r="C191" s="177"/>
      <c r="D191" s="177"/>
      <c r="E191" s="179"/>
      <c r="F191" s="179"/>
      <c r="G191" s="179"/>
      <c r="H191" s="179"/>
      <c r="I191" s="179"/>
      <c r="J191" s="180"/>
      <c r="K191" s="174"/>
      <c r="L191" s="181"/>
      <c r="M191" s="182"/>
      <c r="N191" s="183"/>
      <c r="O191" s="183"/>
      <c r="P191" s="184"/>
      <c r="Q191" s="177"/>
      <c r="R191" s="177"/>
      <c r="S191" s="177"/>
      <c r="T191" s="223"/>
      <c r="U191" s="221"/>
    </row>
    <row r="192" spans="1:31" x14ac:dyDescent="0.2">
      <c r="A192" s="185" t="s">
        <v>111</v>
      </c>
      <c r="B192" s="276"/>
      <c r="C192" s="177"/>
      <c r="D192" s="177"/>
      <c r="E192" s="179"/>
      <c r="F192" s="179"/>
      <c r="G192" s="179"/>
      <c r="H192" s="179"/>
      <c r="I192" s="179"/>
      <c r="J192" s="180"/>
      <c r="K192" s="174"/>
      <c r="L192" s="186"/>
      <c r="M192" s="186"/>
      <c r="N192" s="186"/>
      <c r="O192" s="186"/>
      <c r="P192" s="184"/>
      <c r="Q192" s="177"/>
      <c r="R192" s="177"/>
      <c r="S192" s="177"/>
      <c r="T192" s="223"/>
      <c r="U192" s="221"/>
    </row>
    <row r="193" spans="1:21" x14ac:dyDescent="0.2">
      <c r="A193" s="185" t="s">
        <v>112</v>
      </c>
      <c r="B193" s="276"/>
      <c r="C193" s="177"/>
      <c r="D193" s="177"/>
      <c r="E193" s="179"/>
      <c r="F193" s="179"/>
      <c r="G193" s="179"/>
      <c r="H193" s="179"/>
      <c r="I193" s="179"/>
      <c r="J193" s="180"/>
      <c r="K193" s="174"/>
      <c r="L193" s="186"/>
      <c r="M193" s="186"/>
      <c r="N193" s="181"/>
      <c r="O193" s="181"/>
      <c r="P193" s="187"/>
      <c r="Q193" s="177"/>
      <c r="R193" s="188"/>
      <c r="S193" s="177"/>
      <c r="T193" s="223"/>
      <c r="U193" s="221"/>
    </row>
    <row r="194" spans="1:21" ht="17" thickBot="1" x14ac:dyDescent="0.25">
      <c r="A194" s="189"/>
      <c r="B194" s="277"/>
      <c r="C194" s="190"/>
      <c r="D194" s="190"/>
      <c r="E194" s="191"/>
      <c r="F194" s="191"/>
      <c r="G194" s="191"/>
      <c r="H194" s="191"/>
      <c r="I194" s="191"/>
      <c r="J194" s="192"/>
      <c r="K194" s="174"/>
      <c r="L194" s="193"/>
      <c r="M194" s="193"/>
      <c r="N194" s="193"/>
      <c r="O194" s="193"/>
      <c r="P194" s="194"/>
      <c r="Q194" s="177"/>
      <c r="R194" s="177"/>
      <c r="S194" s="177"/>
      <c r="T194" s="223"/>
      <c r="U194" s="221"/>
    </row>
    <row r="1048576" spans="31:31" x14ac:dyDescent="0.2">
      <c r="AE1048576" t="s">
        <v>269</v>
      </c>
    </row>
  </sheetData>
  <autoFilter ref="A5:U188" xr:uid="{00000000-0001-0000-0200-000000000000}"/>
  <mergeCells count="16">
    <mergeCell ref="L190:P190"/>
    <mergeCell ref="A1:Q1"/>
    <mergeCell ref="S1:T1"/>
    <mergeCell ref="A2:Q2"/>
    <mergeCell ref="A4:J4"/>
    <mergeCell ref="L4:T4"/>
    <mergeCell ref="A185:D188"/>
    <mergeCell ref="I185:I186"/>
    <mergeCell ref="J185:J186"/>
    <mergeCell ref="N185:O185"/>
    <mergeCell ref="P185:Q185"/>
    <mergeCell ref="R185:S186"/>
    <mergeCell ref="T185:T186"/>
    <mergeCell ref="N186:Q187"/>
    <mergeCell ref="R187:S187"/>
    <mergeCell ref="O188:P188"/>
  </mergeCells>
  <pageMargins left="0.25" right="0.25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C224-F7E3-CE41-B7C8-8E8FDB8418D3}">
  <dimension ref="A1:AE1048576"/>
  <sheetViews>
    <sheetView workbookViewId="0">
      <selection sqref="A1:Q1"/>
    </sheetView>
  </sheetViews>
  <sheetFormatPr baseColWidth="10" defaultColWidth="8.83203125" defaultRowHeight="16" x14ac:dyDescent="0.2"/>
  <cols>
    <col min="1" max="1" width="5.5" customWidth="1"/>
    <col min="2" max="2" width="41.83203125" style="278" customWidth="1"/>
    <col min="3" max="3" width="5.33203125" customWidth="1"/>
    <col min="4" max="4" width="6.6640625" customWidth="1"/>
    <col min="5" max="6" width="7" customWidth="1"/>
    <col min="9" max="9" width="8.6640625" customWidth="1"/>
    <col min="10" max="10" width="11.83203125" customWidth="1"/>
    <col min="11" max="11" width="12.83203125" customWidth="1"/>
    <col min="12" max="12" width="8" customWidth="1"/>
    <col min="13" max="13" width="9.5" customWidth="1"/>
    <col min="14" max="14" width="9" customWidth="1"/>
    <col min="15" max="15" width="8.1640625" customWidth="1"/>
    <col min="16" max="16" width="7" customWidth="1"/>
    <col min="17" max="17" width="8" customWidth="1"/>
    <col min="18" max="18" width="8.1640625" customWidth="1"/>
    <col min="19" max="19" width="11.33203125" customWidth="1"/>
    <col min="20" max="20" width="9.5" customWidth="1"/>
    <col min="21" max="21" width="9.5" bestFit="1" customWidth="1"/>
    <col min="22" max="23" width="0" style="259" hidden="1" customWidth="1"/>
    <col min="24" max="24" width="0" style="263" hidden="1" customWidth="1"/>
    <col min="25" max="25" width="0" style="259" hidden="1" customWidth="1"/>
    <col min="26" max="26" width="0" style="264" hidden="1" customWidth="1"/>
    <col min="27" max="27" width="0" style="259" hidden="1" customWidth="1"/>
    <col min="28" max="28" width="17.33203125" style="259" hidden="1" customWidth="1"/>
    <col min="29" max="29" width="17" style="259" hidden="1" customWidth="1"/>
    <col min="30" max="30" width="0" hidden="1" customWidth="1"/>
    <col min="31" max="31" width="13.6640625" hidden="1" customWidth="1"/>
  </cols>
  <sheetData>
    <row r="1" spans="1:31" ht="20" customHeight="1" x14ac:dyDescent="0.25">
      <c r="A1" s="289" t="s">
        <v>0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1"/>
      <c r="R1" s="229" t="s">
        <v>1</v>
      </c>
      <c r="S1" s="292"/>
      <c r="T1" s="293"/>
      <c r="U1" s="230"/>
      <c r="X1" s="260"/>
      <c r="Y1" s="261"/>
      <c r="Z1" s="262"/>
      <c r="AA1" s="261"/>
      <c r="AB1" s="261"/>
      <c r="AC1" s="261"/>
    </row>
    <row r="2" spans="1:31" ht="19" customHeight="1" thickBot="1" x14ac:dyDescent="0.25">
      <c r="A2" s="294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6"/>
      <c r="R2" s="5" t="s">
        <v>3</v>
      </c>
      <c r="S2" s="6">
        <v>3.1579999999999999</v>
      </c>
      <c r="T2" s="7"/>
      <c r="U2" s="99"/>
      <c r="AB2" s="261"/>
      <c r="AC2" s="261"/>
    </row>
    <row r="3" spans="1:31" ht="21" customHeight="1" thickBot="1" x14ac:dyDescent="0.25">
      <c r="A3" s="10"/>
      <c r="B3" s="272" t="s">
        <v>4</v>
      </c>
      <c r="C3" s="10"/>
      <c r="D3" s="10"/>
      <c r="E3" s="12"/>
      <c r="F3" s="12"/>
      <c r="G3" s="12"/>
      <c r="H3" s="12"/>
      <c r="I3" s="12"/>
      <c r="J3" s="13"/>
      <c r="K3" s="14"/>
      <c r="L3" s="15"/>
      <c r="M3" s="16"/>
      <c r="N3" s="16"/>
      <c r="O3" s="16"/>
      <c r="P3" s="17"/>
      <c r="Q3" s="16"/>
      <c r="R3" s="18"/>
      <c r="S3" s="18"/>
      <c r="T3" s="18"/>
      <c r="U3" s="109"/>
      <c r="W3" s="261"/>
    </row>
    <row r="4" spans="1:31" ht="17" customHeight="1" x14ac:dyDescent="0.2">
      <c r="A4" s="297" t="s">
        <v>5</v>
      </c>
      <c r="B4" s="298"/>
      <c r="C4" s="298"/>
      <c r="D4" s="298"/>
      <c r="E4" s="298"/>
      <c r="F4" s="298"/>
      <c r="G4" s="298"/>
      <c r="H4" s="298"/>
      <c r="I4" s="298"/>
      <c r="J4" s="299"/>
      <c r="K4" s="281"/>
      <c r="L4" s="300" t="s">
        <v>6</v>
      </c>
      <c r="M4" s="301"/>
      <c r="N4" s="301"/>
      <c r="O4" s="301"/>
      <c r="P4" s="301"/>
      <c r="Q4" s="301"/>
      <c r="R4" s="301"/>
      <c r="S4" s="301"/>
      <c r="T4" s="301"/>
      <c r="U4" s="282"/>
    </row>
    <row r="5" spans="1:31" ht="50" customHeight="1" x14ac:dyDescent="0.2">
      <c r="A5" s="224" t="s">
        <v>7</v>
      </c>
      <c r="B5" s="273" t="s">
        <v>8</v>
      </c>
      <c r="C5" s="225" t="s">
        <v>9</v>
      </c>
      <c r="D5" s="225" t="s">
        <v>10</v>
      </c>
      <c r="E5" s="225" t="s">
        <v>11</v>
      </c>
      <c r="F5" s="225" t="s">
        <v>271</v>
      </c>
      <c r="G5" s="225" t="s">
        <v>270</v>
      </c>
      <c r="H5" s="225" t="s">
        <v>12</v>
      </c>
      <c r="I5" s="225" t="s">
        <v>13</v>
      </c>
      <c r="J5" s="224" t="s">
        <v>14</v>
      </c>
      <c r="K5" s="226"/>
      <c r="L5" s="225" t="s">
        <v>15</v>
      </c>
      <c r="M5" s="225" t="s">
        <v>16</v>
      </c>
      <c r="N5" s="225" t="s">
        <v>17</v>
      </c>
      <c r="O5" s="225" t="s">
        <v>18</v>
      </c>
      <c r="P5" s="227" t="s">
        <v>19</v>
      </c>
      <c r="Q5" s="225" t="s">
        <v>20</v>
      </c>
      <c r="R5" s="225" t="s">
        <v>21</v>
      </c>
      <c r="S5" s="225" t="s">
        <v>113</v>
      </c>
      <c r="T5" s="225" t="s">
        <v>23</v>
      </c>
      <c r="U5" s="228" t="s">
        <v>24</v>
      </c>
      <c r="V5" s="265" t="s">
        <v>259</v>
      </c>
      <c r="W5" s="265" t="s">
        <v>260</v>
      </c>
      <c r="X5" s="266" t="s">
        <v>261</v>
      </c>
      <c r="Y5" s="265" t="s">
        <v>262</v>
      </c>
      <c r="Z5" s="267" t="s">
        <v>263</v>
      </c>
      <c r="AA5" s="265" t="s">
        <v>264</v>
      </c>
      <c r="AB5" s="265" t="s">
        <v>265</v>
      </c>
      <c r="AC5" s="265" t="s">
        <v>268</v>
      </c>
      <c r="AD5" s="265" t="s">
        <v>266</v>
      </c>
      <c r="AE5" s="279" t="s">
        <v>267</v>
      </c>
    </row>
    <row r="6" spans="1:31" ht="40" customHeight="1" x14ac:dyDescent="0.2">
      <c r="A6" s="123">
        <v>1</v>
      </c>
      <c r="B6" s="274" t="s">
        <v>25</v>
      </c>
      <c r="C6" s="123">
        <v>1</v>
      </c>
      <c r="D6" s="123" t="s">
        <v>26</v>
      </c>
      <c r="E6" s="123">
        <f>D6*C6</f>
        <v>60</v>
      </c>
      <c r="F6" s="123" t="s">
        <v>269</v>
      </c>
      <c r="G6" s="123" t="s">
        <v>269</v>
      </c>
      <c r="H6" s="257">
        <v>85.2</v>
      </c>
      <c r="I6" s="257">
        <f>H6/D6</f>
        <v>1.4200000000000002</v>
      </c>
      <c r="J6" s="257">
        <f t="shared" ref="J6:J79" si="0">I6*E6</f>
        <v>85.2</v>
      </c>
      <c r="K6" s="257"/>
      <c r="L6" s="257">
        <f>I6/$S$2</f>
        <v>0.44965167827739083</v>
      </c>
      <c r="M6" s="257">
        <f>H6/$S$2</f>
        <v>26.979100696643446</v>
      </c>
      <c r="N6" s="257">
        <f>L6*(1+$O$188+9%)</f>
        <v>0.49012032932235605</v>
      </c>
      <c r="O6" s="257">
        <f>N6*E6</f>
        <v>29.407219759341363</v>
      </c>
      <c r="P6" s="257">
        <v>0.85</v>
      </c>
      <c r="Q6" s="257">
        <f t="shared" ref="Q6:Q127" si="1">P6*E6</f>
        <v>51</v>
      </c>
      <c r="R6" s="257">
        <f t="shared" ref="R6:S122" si="2">P6-N6</f>
        <v>0.35987967067764393</v>
      </c>
      <c r="S6" s="257">
        <f t="shared" si="2"/>
        <v>21.592780240658637</v>
      </c>
      <c r="T6" s="246">
        <f t="shared" ref="T6:T122" si="3">R6/P6</f>
        <v>0.42338784785605171</v>
      </c>
      <c r="U6" s="135"/>
      <c r="V6" s="268">
        <f>P6</f>
        <v>0.85</v>
      </c>
      <c r="W6" s="269">
        <v>0.18</v>
      </c>
      <c r="X6" s="270">
        <f>V6/(1-18%)</f>
        <v>1.0365853658536583</v>
      </c>
      <c r="Y6" s="271">
        <f>X6*18%</f>
        <v>0.18658536585365851</v>
      </c>
      <c r="Z6" s="267">
        <f>Y6*9%</f>
        <v>1.6792682926829266E-2</v>
      </c>
      <c r="AA6" s="271">
        <f>Y6+Z6</f>
        <v>0.20337804878048776</v>
      </c>
      <c r="AB6" s="271">
        <f>X6-AA6</f>
        <v>0.83320731707317064</v>
      </c>
      <c r="AC6" s="284">
        <f>(AB6-N6)/AB6</f>
        <v>0.41176665245329974</v>
      </c>
      <c r="AD6" s="285">
        <f>AC6-T6</f>
        <v>-1.1621195402751971E-2</v>
      </c>
      <c r="AE6" s="221" t="s">
        <v>269</v>
      </c>
    </row>
    <row r="7" spans="1:31" ht="40" customHeight="1" x14ac:dyDescent="0.2">
      <c r="A7" s="123">
        <v>2</v>
      </c>
      <c r="B7" s="274" t="s">
        <v>177</v>
      </c>
      <c r="C7" s="123">
        <v>1</v>
      </c>
      <c r="D7" s="123" t="s">
        <v>26</v>
      </c>
      <c r="E7" s="123">
        <f>D7*C7</f>
        <v>60</v>
      </c>
      <c r="F7" s="123" t="s">
        <v>269</v>
      </c>
      <c r="G7" s="123" t="s">
        <v>269</v>
      </c>
      <c r="H7" s="257">
        <v>85.2</v>
      </c>
      <c r="I7" s="257">
        <f>H7/D7</f>
        <v>1.4200000000000002</v>
      </c>
      <c r="J7" s="257">
        <f t="shared" si="0"/>
        <v>85.2</v>
      </c>
      <c r="K7" s="257"/>
      <c r="L7" s="257">
        <f t="shared" ref="L7:L125" si="4">I7/$S$2</f>
        <v>0.44965167827739083</v>
      </c>
      <c r="M7" s="257">
        <f>H7/$S$2</f>
        <v>26.979100696643446</v>
      </c>
      <c r="N7" s="257">
        <f t="shared" ref="N7:N70" si="5">L7*(1+$O$188+9%)</f>
        <v>0.49012032932235605</v>
      </c>
      <c r="O7" s="257">
        <f>N7*E7</f>
        <v>29.407219759341363</v>
      </c>
      <c r="P7" s="257">
        <v>0.85</v>
      </c>
      <c r="Q7" s="257">
        <f t="shared" si="1"/>
        <v>51</v>
      </c>
      <c r="R7" s="257">
        <f t="shared" si="2"/>
        <v>0.35987967067764393</v>
      </c>
      <c r="S7" s="257">
        <f t="shared" si="2"/>
        <v>21.592780240658637</v>
      </c>
      <c r="T7" s="246">
        <f t="shared" si="3"/>
        <v>0.42338784785605171</v>
      </c>
      <c r="U7" s="135"/>
      <c r="V7" s="268">
        <f t="shared" ref="V7:V70" si="6">P7</f>
        <v>0.85</v>
      </c>
      <c r="W7" s="269">
        <v>0.18</v>
      </c>
      <c r="X7" s="270">
        <f t="shared" ref="X7:X70" si="7">V7/(1-18%)</f>
        <v>1.0365853658536583</v>
      </c>
      <c r="Y7" s="271">
        <f t="shared" ref="Y7:Y70" si="8">X7*18%</f>
        <v>0.18658536585365851</v>
      </c>
      <c r="Z7" s="267">
        <f t="shared" ref="Z7:Z70" si="9">Y7*9%</f>
        <v>1.6792682926829266E-2</v>
      </c>
      <c r="AA7" s="271">
        <f t="shared" ref="AA7:AA70" si="10">Y7+Z7</f>
        <v>0.20337804878048776</v>
      </c>
      <c r="AB7" s="271">
        <f t="shared" ref="AB7:AB70" si="11">X7-AA7</f>
        <v>0.83320731707317064</v>
      </c>
      <c r="AC7" s="284">
        <f t="shared" ref="AC7:AC70" si="12">(AB7-N7)/AB7</f>
        <v>0.41176665245329974</v>
      </c>
      <c r="AD7" s="285">
        <f t="shared" ref="AD7:AD70" si="13">AC7-T7</f>
        <v>-1.1621195402751971E-2</v>
      </c>
      <c r="AE7" s="221" t="s">
        <v>269</v>
      </c>
    </row>
    <row r="8" spans="1:31" ht="40" customHeight="1" x14ac:dyDescent="0.2">
      <c r="A8" s="123">
        <v>3</v>
      </c>
      <c r="B8" s="274" t="s">
        <v>249</v>
      </c>
      <c r="C8" s="123">
        <v>1</v>
      </c>
      <c r="D8" s="123">
        <v>12</v>
      </c>
      <c r="E8" s="123">
        <f t="shared" ref="E8:E28" si="14">D8*C8</f>
        <v>12</v>
      </c>
      <c r="F8" s="123" t="s">
        <v>269</v>
      </c>
      <c r="G8" s="123" t="s">
        <v>269</v>
      </c>
      <c r="H8" s="257">
        <v>54.6</v>
      </c>
      <c r="I8" s="257">
        <f t="shared" ref="I8:I28" si="15">H8/D8</f>
        <v>4.55</v>
      </c>
      <c r="J8" s="257">
        <f t="shared" si="0"/>
        <v>54.599999999999994</v>
      </c>
      <c r="K8" s="257"/>
      <c r="L8" s="257">
        <f t="shared" si="4"/>
        <v>1.4407853071564281</v>
      </c>
      <c r="M8" s="257">
        <f t="shared" ref="M8:M41" si="16">H8/$S$2</f>
        <v>17.289423685877139</v>
      </c>
      <c r="N8" s="257">
        <f t="shared" si="5"/>
        <v>1.5704559848005066</v>
      </c>
      <c r="O8" s="257">
        <f t="shared" ref="O8:O28" si="17">N8*E8</f>
        <v>18.845471817606079</v>
      </c>
      <c r="P8" s="257">
        <v>2.5</v>
      </c>
      <c r="Q8" s="257">
        <f t="shared" si="1"/>
        <v>30</v>
      </c>
      <c r="R8" s="257">
        <f t="shared" si="2"/>
        <v>0.92954401519949337</v>
      </c>
      <c r="S8" s="257">
        <f t="shared" si="2"/>
        <v>11.154528182393921</v>
      </c>
      <c r="T8" s="246">
        <f t="shared" si="3"/>
        <v>0.37181760607979736</v>
      </c>
      <c r="U8" s="135"/>
      <c r="V8" s="268">
        <f t="shared" si="6"/>
        <v>2.5</v>
      </c>
      <c r="W8" s="269">
        <v>0.18</v>
      </c>
      <c r="X8" s="270">
        <f t="shared" si="7"/>
        <v>3.0487804878048776</v>
      </c>
      <c r="Y8" s="271">
        <f t="shared" si="8"/>
        <v>0.54878048780487798</v>
      </c>
      <c r="Z8" s="267">
        <f t="shared" si="9"/>
        <v>4.939024390243902E-2</v>
      </c>
      <c r="AA8" s="271">
        <f t="shared" si="10"/>
        <v>0.59817073170731705</v>
      </c>
      <c r="AB8" s="271">
        <f t="shared" si="11"/>
        <v>2.4506097560975606</v>
      </c>
      <c r="AC8" s="284">
        <f t="shared" si="12"/>
        <v>0.35915705024313727</v>
      </c>
      <c r="AD8" s="285">
        <f t="shared" si="13"/>
        <v>-1.2660555836660092E-2</v>
      </c>
      <c r="AE8" s="221" t="s">
        <v>269</v>
      </c>
    </row>
    <row r="9" spans="1:31" ht="40" customHeight="1" x14ac:dyDescent="0.2">
      <c r="A9" s="123">
        <v>4</v>
      </c>
      <c r="B9" s="274" t="s">
        <v>250</v>
      </c>
      <c r="C9" s="123">
        <v>1</v>
      </c>
      <c r="D9" s="123">
        <v>12</v>
      </c>
      <c r="E9" s="123">
        <f t="shared" si="14"/>
        <v>12</v>
      </c>
      <c r="F9" s="123" t="s">
        <v>269</v>
      </c>
      <c r="G9" s="123" t="s">
        <v>269</v>
      </c>
      <c r="H9" s="257">
        <v>54.6</v>
      </c>
      <c r="I9" s="257">
        <f t="shared" si="15"/>
        <v>4.55</v>
      </c>
      <c r="J9" s="257">
        <f t="shared" si="0"/>
        <v>54.599999999999994</v>
      </c>
      <c r="K9" s="257"/>
      <c r="L9" s="257">
        <f t="shared" si="4"/>
        <v>1.4407853071564281</v>
      </c>
      <c r="M9" s="257">
        <f t="shared" si="16"/>
        <v>17.289423685877139</v>
      </c>
      <c r="N9" s="257">
        <f t="shared" si="5"/>
        <v>1.5704559848005066</v>
      </c>
      <c r="O9" s="257">
        <f t="shared" si="17"/>
        <v>18.845471817606079</v>
      </c>
      <c r="P9" s="257">
        <v>2.5</v>
      </c>
      <c r="Q9" s="257">
        <f t="shared" si="1"/>
        <v>30</v>
      </c>
      <c r="R9" s="257">
        <f t="shared" si="2"/>
        <v>0.92954401519949337</v>
      </c>
      <c r="S9" s="257">
        <f t="shared" si="2"/>
        <v>11.154528182393921</v>
      </c>
      <c r="T9" s="246">
        <f t="shared" si="3"/>
        <v>0.37181760607979736</v>
      </c>
      <c r="U9" s="135"/>
      <c r="V9" s="268">
        <f t="shared" si="6"/>
        <v>2.5</v>
      </c>
      <c r="W9" s="269">
        <v>0.18</v>
      </c>
      <c r="X9" s="270">
        <f t="shared" si="7"/>
        <v>3.0487804878048776</v>
      </c>
      <c r="Y9" s="271">
        <f t="shared" si="8"/>
        <v>0.54878048780487798</v>
      </c>
      <c r="Z9" s="267">
        <f t="shared" si="9"/>
        <v>4.939024390243902E-2</v>
      </c>
      <c r="AA9" s="271">
        <f t="shared" si="10"/>
        <v>0.59817073170731705</v>
      </c>
      <c r="AB9" s="271">
        <f t="shared" si="11"/>
        <v>2.4506097560975606</v>
      </c>
      <c r="AC9" s="284">
        <f t="shared" si="12"/>
        <v>0.35915705024313727</v>
      </c>
      <c r="AD9" s="285">
        <f t="shared" si="13"/>
        <v>-1.2660555836660092E-2</v>
      </c>
      <c r="AE9" s="221" t="s">
        <v>269</v>
      </c>
    </row>
    <row r="10" spans="1:31" ht="40" customHeight="1" x14ac:dyDescent="0.2">
      <c r="A10" s="123">
        <v>5</v>
      </c>
      <c r="B10" s="274" t="s">
        <v>251</v>
      </c>
      <c r="C10" s="123">
        <v>1</v>
      </c>
      <c r="D10" s="123">
        <v>12</v>
      </c>
      <c r="E10" s="123">
        <f t="shared" si="14"/>
        <v>12</v>
      </c>
      <c r="F10" s="123" t="s">
        <v>269</v>
      </c>
      <c r="G10" s="123" t="s">
        <v>269</v>
      </c>
      <c r="H10" s="257">
        <v>54.6</v>
      </c>
      <c r="I10" s="257">
        <f t="shared" si="15"/>
        <v>4.55</v>
      </c>
      <c r="J10" s="257">
        <f t="shared" si="0"/>
        <v>54.599999999999994</v>
      </c>
      <c r="K10" s="257"/>
      <c r="L10" s="257">
        <f t="shared" si="4"/>
        <v>1.4407853071564281</v>
      </c>
      <c r="M10" s="257">
        <f t="shared" si="16"/>
        <v>17.289423685877139</v>
      </c>
      <c r="N10" s="257">
        <f t="shared" si="5"/>
        <v>1.5704559848005066</v>
      </c>
      <c r="O10" s="257">
        <f t="shared" si="17"/>
        <v>18.845471817606079</v>
      </c>
      <c r="P10" s="257">
        <v>2.5</v>
      </c>
      <c r="Q10" s="257">
        <f t="shared" si="1"/>
        <v>30</v>
      </c>
      <c r="R10" s="257">
        <f t="shared" si="2"/>
        <v>0.92954401519949337</v>
      </c>
      <c r="S10" s="257">
        <f t="shared" si="2"/>
        <v>11.154528182393921</v>
      </c>
      <c r="T10" s="246">
        <f t="shared" si="3"/>
        <v>0.37181760607979736</v>
      </c>
      <c r="U10" s="135"/>
      <c r="V10" s="268">
        <f t="shared" si="6"/>
        <v>2.5</v>
      </c>
      <c r="W10" s="269">
        <v>0.18</v>
      </c>
      <c r="X10" s="270">
        <f t="shared" si="7"/>
        <v>3.0487804878048776</v>
      </c>
      <c r="Y10" s="271">
        <f t="shared" si="8"/>
        <v>0.54878048780487798</v>
      </c>
      <c r="Z10" s="267">
        <f t="shared" si="9"/>
        <v>4.939024390243902E-2</v>
      </c>
      <c r="AA10" s="271">
        <f t="shared" si="10"/>
        <v>0.59817073170731705</v>
      </c>
      <c r="AB10" s="271">
        <f t="shared" si="11"/>
        <v>2.4506097560975606</v>
      </c>
      <c r="AC10" s="284">
        <f t="shared" si="12"/>
        <v>0.35915705024313727</v>
      </c>
      <c r="AD10" s="285">
        <f t="shared" si="13"/>
        <v>-1.2660555836660092E-2</v>
      </c>
      <c r="AE10" s="221" t="s">
        <v>269</v>
      </c>
    </row>
    <row r="11" spans="1:31" ht="40" customHeight="1" x14ac:dyDescent="0.2">
      <c r="A11" s="123">
        <v>6</v>
      </c>
      <c r="B11" s="274" t="s">
        <v>247</v>
      </c>
      <c r="C11" s="123">
        <v>1</v>
      </c>
      <c r="D11" s="123">
        <v>60</v>
      </c>
      <c r="E11" s="123">
        <f t="shared" si="14"/>
        <v>60</v>
      </c>
      <c r="F11" s="123" t="s">
        <v>269</v>
      </c>
      <c r="G11" s="123" t="s">
        <v>269</v>
      </c>
      <c r="H11" s="257">
        <v>105</v>
      </c>
      <c r="I11" s="257">
        <f t="shared" si="15"/>
        <v>1.75</v>
      </c>
      <c r="J11" s="257">
        <f t="shared" si="0"/>
        <v>105</v>
      </c>
      <c r="K11" s="257"/>
      <c r="L11" s="257">
        <f t="shared" si="4"/>
        <v>0.55414819506016466</v>
      </c>
      <c r="M11" s="257">
        <f t="shared" si="16"/>
        <v>33.248891703609878</v>
      </c>
      <c r="N11" s="257">
        <f t="shared" si="5"/>
        <v>0.60402153261557956</v>
      </c>
      <c r="O11" s="257">
        <f t="shared" si="17"/>
        <v>36.241291956934774</v>
      </c>
      <c r="P11" s="257">
        <v>1</v>
      </c>
      <c r="Q11" s="257">
        <f t="shared" si="1"/>
        <v>60</v>
      </c>
      <c r="R11" s="257">
        <f t="shared" si="2"/>
        <v>0.39597846738442044</v>
      </c>
      <c r="S11" s="257">
        <f t="shared" si="2"/>
        <v>23.758708043065226</v>
      </c>
      <c r="T11" s="246">
        <f t="shared" si="3"/>
        <v>0.39597846738442044</v>
      </c>
      <c r="U11" s="135"/>
      <c r="V11" s="268">
        <f t="shared" si="6"/>
        <v>1</v>
      </c>
      <c r="W11" s="269">
        <v>0.18</v>
      </c>
      <c r="X11" s="270">
        <f t="shared" si="7"/>
        <v>1.2195121951219512</v>
      </c>
      <c r="Y11" s="271">
        <f t="shared" si="8"/>
        <v>0.21951219512195122</v>
      </c>
      <c r="Z11" s="267">
        <f t="shared" si="9"/>
        <v>1.975609756097561E-2</v>
      </c>
      <c r="AA11" s="271">
        <f t="shared" si="10"/>
        <v>0.23926829268292682</v>
      </c>
      <c r="AB11" s="271">
        <f t="shared" si="11"/>
        <v>0.98024390243902437</v>
      </c>
      <c r="AC11" s="284">
        <f t="shared" si="12"/>
        <v>0.38380485600301661</v>
      </c>
      <c r="AD11" s="285">
        <f t="shared" si="13"/>
        <v>-1.2173611381403826E-2</v>
      </c>
      <c r="AE11" s="221" t="s">
        <v>269</v>
      </c>
    </row>
    <row r="12" spans="1:31" ht="40" customHeight="1" x14ac:dyDescent="0.2">
      <c r="A12" s="123">
        <v>7</v>
      </c>
      <c r="B12" s="274" t="s">
        <v>248</v>
      </c>
      <c r="C12" s="123">
        <v>1</v>
      </c>
      <c r="D12" s="123">
        <v>60</v>
      </c>
      <c r="E12" s="123">
        <f t="shared" si="14"/>
        <v>60</v>
      </c>
      <c r="F12" s="123" t="s">
        <v>269</v>
      </c>
      <c r="G12" s="123" t="s">
        <v>269</v>
      </c>
      <c r="H12" s="257">
        <v>105</v>
      </c>
      <c r="I12" s="257">
        <f t="shared" si="15"/>
        <v>1.75</v>
      </c>
      <c r="J12" s="257">
        <f t="shared" si="0"/>
        <v>105</v>
      </c>
      <c r="K12" s="257"/>
      <c r="L12" s="257">
        <f t="shared" si="4"/>
        <v>0.55414819506016466</v>
      </c>
      <c r="M12" s="257">
        <f t="shared" si="16"/>
        <v>33.248891703609878</v>
      </c>
      <c r="N12" s="257">
        <f t="shared" si="5"/>
        <v>0.60402153261557956</v>
      </c>
      <c r="O12" s="257">
        <f t="shared" si="17"/>
        <v>36.241291956934774</v>
      </c>
      <c r="P12" s="257">
        <v>1</v>
      </c>
      <c r="Q12" s="257">
        <f t="shared" si="1"/>
        <v>60</v>
      </c>
      <c r="R12" s="257">
        <f t="shared" si="2"/>
        <v>0.39597846738442044</v>
      </c>
      <c r="S12" s="257">
        <f t="shared" si="2"/>
        <v>23.758708043065226</v>
      </c>
      <c r="T12" s="246">
        <f t="shared" si="3"/>
        <v>0.39597846738442044</v>
      </c>
      <c r="U12" s="135"/>
      <c r="V12" s="268">
        <f t="shared" si="6"/>
        <v>1</v>
      </c>
      <c r="W12" s="269">
        <v>0.18</v>
      </c>
      <c r="X12" s="270">
        <f t="shared" si="7"/>
        <v>1.2195121951219512</v>
      </c>
      <c r="Y12" s="271">
        <f t="shared" si="8"/>
        <v>0.21951219512195122</v>
      </c>
      <c r="Z12" s="267">
        <f t="shared" si="9"/>
        <v>1.975609756097561E-2</v>
      </c>
      <c r="AA12" s="271">
        <f t="shared" si="10"/>
        <v>0.23926829268292682</v>
      </c>
      <c r="AB12" s="271">
        <f t="shared" si="11"/>
        <v>0.98024390243902437</v>
      </c>
      <c r="AC12" s="284">
        <f t="shared" si="12"/>
        <v>0.38380485600301661</v>
      </c>
      <c r="AD12" s="285">
        <f t="shared" si="13"/>
        <v>-1.2173611381403826E-2</v>
      </c>
      <c r="AE12" s="221" t="s">
        <v>269</v>
      </c>
    </row>
    <row r="13" spans="1:31" ht="40" customHeight="1" x14ac:dyDescent="0.2">
      <c r="A13" s="123">
        <v>8</v>
      </c>
      <c r="B13" s="274" t="s">
        <v>231</v>
      </c>
      <c r="C13" s="123">
        <v>1</v>
      </c>
      <c r="D13" s="123">
        <v>36</v>
      </c>
      <c r="E13" s="123">
        <f t="shared" si="14"/>
        <v>36</v>
      </c>
      <c r="F13" s="123" t="s">
        <v>269</v>
      </c>
      <c r="G13" s="123" t="s">
        <v>269</v>
      </c>
      <c r="H13" s="257">
        <v>106.2</v>
      </c>
      <c r="I13" s="257">
        <f t="shared" si="15"/>
        <v>2.95</v>
      </c>
      <c r="J13" s="257">
        <f t="shared" si="0"/>
        <v>106.2</v>
      </c>
      <c r="K13" s="257"/>
      <c r="L13" s="257">
        <f t="shared" si="4"/>
        <v>0.93413552881570627</v>
      </c>
      <c r="M13" s="257">
        <f t="shared" si="16"/>
        <v>33.628879037365422</v>
      </c>
      <c r="N13" s="257">
        <f t="shared" si="5"/>
        <v>1.0182077264091198</v>
      </c>
      <c r="O13" s="257">
        <f t="shared" si="17"/>
        <v>36.655478150728314</v>
      </c>
      <c r="P13" s="257">
        <v>1.5</v>
      </c>
      <c r="Q13" s="257">
        <f t="shared" si="1"/>
        <v>54</v>
      </c>
      <c r="R13" s="257">
        <f t="shared" si="2"/>
        <v>0.48179227359088017</v>
      </c>
      <c r="S13" s="257">
        <f t="shared" si="2"/>
        <v>17.344521849271686</v>
      </c>
      <c r="T13" s="246">
        <f t="shared" si="3"/>
        <v>0.32119484906058676</v>
      </c>
      <c r="U13" s="135"/>
      <c r="V13" s="268">
        <f t="shared" si="6"/>
        <v>1.5</v>
      </c>
      <c r="W13" s="269">
        <v>0.18</v>
      </c>
      <c r="X13" s="270">
        <f t="shared" si="7"/>
        <v>1.8292682926829267</v>
      </c>
      <c r="Y13" s="271">
        <f t="shared" si="8"/>
        <v>0.32926829268292679</v>
      </c>
      <c r="Z13" s="267">
        <f t="shared" si="9"/>
        <v>2.963414634146341E-2</v>
      </c>
      <c r="AA13" s="271">
        <f t="shared" si="10"/>
        <v>0.35890243902439017</v>
      </c>
      <c r="AB13" s="271">
        <f t="shared" si="11"/>
        <v>1.4703658536585364</v>
      </c>
      <c r="AC13" s="284">
        <f t="shared" si="12"/>
        <v>0.30751402865100907</v>
      </c>
      <c r="AD13" s="285">
        <f t="shared" si="13"/>
        <v>-1.3680820409577688E-2</v>
      </c>
      <c r="AE13" s="221" t="s">
        <v>269</v>
      </c>
    </row>
    <row r="14" spans="1:31" ht="40" customHeight="1" x14ac:dyDescent="0.2">
      <c r="A14" s="123">
        <v>9</v>
      </c>
      <c r="B14" s="274" t="s">
        <v>232</v>
      </c>
      <c r="C14" s="123">
        <v>1</v>
      </c>
      <c r="D14" s="123">
        <v>36</v>
      </c>
      <c r="E14" s="123">
        <f t="shared" si="14"/>
        <v>36</v>
      </c>
      <c r="F14" s="123" t="s">
        <v>269</v>
      </c>
      <c r="G14" s="123" t="s">
        <v>269</v>
      </c>
      <c r="H14" s="257">
        <v>106.2</v>
      </c>
      <c r="I14" s="257">
        <f t="shared" si="15"/>
        <v>2.95</v>
      </c>
      <c r="J14" s="257">
        <f t="shared" si="0"/>
        <v>106.2</v>
      </c>
      <c r="K14" s="257"/>
      <c r="L14" s="257">
        <f t="shared" si="4"/>
        <v>0.93413552881570627</v>
      </c>
      <c r="M14" s="257">
        <f t="shared" si="16"/>
        <v>33.628879037365422</v>
      </c>
      <c r="N14" s="257">
        <f t="shared" si="5"/>
        <v>1.0182077264091198</v>
      </c>
      <c r="O14" s="257">
        <f t="shared" si="17"/>
        <v>36.655478150728314</v>
      </c>
      <c r="P14" s="257">
        <v>1.5</v>
      </c>
      <c r="Q14" s="257">
        <f t="shared" si="1"/>
        <v>54</v>
      </c>
      <c r="R14" s="257">
        <f t="shared" si="2"/>
        <v>0.48179227359088017</v>
      </c>
      <c r="S14" s="257">
        <f t="shared" si="2"/>
        <v>17.344521849271686</v>
      </c>
      <c r="T14" s="246">
        <f t="shared" si="3"/>
        <v>0.32119484906058676</v>
      </c>
      <c r="U14" s="135"/>
      <c r="V14" s="268">
        <f t="shared" si="6"/>
        <v>1.5</v>
      </c>
      <c r="W14" s="269">
        <v>0.18</v>
      </c>
      <c r="X14" s="270">
        <f t="shared" si="7"/>
        <v>1.8292682926829267</v>
      </c>
      <c r="Y14" s="271">
        <f t="shared" si="8"/>
        <v>0.32926829268292679</v>
      </c>
      <c r="Z14" s="267">
        <f t="shared" si="9"/>
        <v>2.963414634146341E-2</v>
      </c>
      <c r="AA14" s="271">
        <f t="shared" si="10"/>
        <v>0.35890243902439017</v>
      </c>
      <c r="AB14" s="271">
        <f t="shared" si="11"/>
        <v>1.4703658536585364</v>
      </c>
      <c r="AC14" s="284">
        <f t="shared" si="12"/>
        <v>0.30751402865100907</v>
      </c>
      <c r="AD14" s="285">
        <f t="shared" si="13"/>
        <v>-1.3680820409577688E-2</v>
      </c>
      <c r="AE14" s="221" t="s">
        <v>269</v>
      </c>
    </row>
    <row r="15" spans="1:31" ht="40" customHeight="1" x14ac:dyDescent="0.2">
      <c r="A15" s="123">
        <v>10</v>
      </c>
      <c r="B15" s="274" t="s">
        <v>217</v>
      </c>
      <c r="C15" s="123">
        <v>1</v>
      </c>
      <c r="D15" s="123">
        <v>12</v>
      </c>
      <c r="E15" s="123">
        <f t="shared" si="14"/>
        <v>12</v>
      </c>
      <c r="F15" s="123" t="s">
        <v>269</v>
      </c>
      <c r="G15" s="123" t="s">
        <v>269</v>
      </c>
      <c r="H15" s="257">
        <f>73.68*0.85</f>
        <v>62.628000000000007</v>
      </c>
      <c r="I15" s="257">
        <f t="shared" si="15"/>
        <v>5.2190000000000003</v>
      </c>
      <c r="J15" s="257">
        <f t="shared" si="0"/>
        <v>62.628</v>
      </c>
      <c r="K15" s="257"/>
      <c r="L15" s="257">
        <f t="shared" si="4"/>
        <v>1.6526282457251427</v>
      </c>
      <c r="M15" s="257">
        <f t="shared" si="16"/>
        <v>19.831538948701713</v>
      </c>
      <c r="N15" s="257">
        <f t="shared" si="5"/>
        <v>1.8013647878404055</v>
      </c>
      <c r="O15" s="257">
        <f t="shared" si="17"/>
        <v>21.616377454084866</v>
      </c>
      <c r="P15" s="257">
        <v>2.5</v>
      </c>
      <c r="Q15" s="257">
        <f t="shared" si="1"/>
        <v>30</v>
      </c>
      <c r="R15" s="257">
        <f t="shared" si="2"/>
        <v>0.69863521215959445</v>
      </c>
      <c r="S15" s="257">
        <f t="shared" si="2"/>
        <v>8.3836225459151343</v>
      </c>
      <c r="T15" s="246">
        <f t="shared" si="3"/>
        <v>0.27945408486383777</v>
      </c>
      <c r="U15" s="135"/>
      <c r="V15" s="268">
        <f t="shared" si="6"/>
        <v>2.5</v>
      </c>
      <c r="W15" s="269">
        <v>0.18</v>
      </c>
      <c r="X15" s="270">
        <f t="shared" si="7"/>
        <v>3.0487804878048776</v>
      </c>
      <c r="Y15" s="271">
        <f t="shared" si="8"/>
        <v>0.54878048780487798</v>
      </c>
      <c r="Z15" s="267">
        <f t="shared" si="9"/>
        <v>4.939024390243902E-2</v>
      </c>
      <c r="AA15" s="271">
        <f t="shared" si="10"/>
        <v>0.59817073170731705</v>
      </c>
      <c r="AB15" s="271">
        <f t="shared" si="11"/>
        <v>2.4506097560975606</v>
      </c>
      <c r="AC15" s="284">
        <f t="shared" si="12"/>
        <v>0.26493200993822702</v>
      </c>
      <c r="AD15" s="285">
        <f t="shared" si="13"/>
        <v>-1.4522074925610751E-2</v>
      </c>
      <c r="AE15" s="221" t="s">
        <v>269</v>
      </c>
    </row>
    <row r="16" spans="1:31" ht="40" customHeight="1" x14ac:dyDescent="0.2">
      <c r="A16" s="123">
        <v>11</v>
      </c>
      <c r="B16" s="274" t="s">
        <v>218</v>
      </c>
      <c r="C16" s="123">
        <v>1</v>
      </c>
      <c r="D16" s="123">
        <v>12</v>
      </c>
      <c r="E16" s="123">
        <f t="shared" si="14"/>
        <v>12</v>
      </c>
      <c r="F16" s="123" t="s">
        <v>269</v>
      </c>
      <c r="G16" s="123" t="s">
        <v>269</v>
      </c>
      <c r="H16" s="257">
        <f t="shared" ref="H16:H19" si="18">73.68*0.85</f>
        <v>62.628000000000007</v>
      </c>
      <c r="I16" s="257">
        <f t="shared" si="15"/>
        <v>5.2190000000000003</v>
      </c>
      <c r="J16" s="257">
        <f t="shared" si="0"/>
        <v>62.628</v>
      </c>
      <c r="K16" s="257"/>
      <c r="L16" s="257">
        <f t="shared" si="4"/>
        <v>1.6526282457251427</v>
      </c>
      <c r="M16" s="257">
        <f t="shared" si="16"/>
        <v>19.831538948701713</v>
      </c>
      <c r="N16" s="257">
        <f t="shared" si="5"/>
        <v>1.8013647878404055</v>
      </c>
      <c r="O16" s="257">
        <f t="shared" si="17"/>
        <v>21.616377454084866</v>
      </c>
      <c r="P16" s="257">
        <v>2.5</v>
      </c>
      <c r="Q16" s="257">
        <f t="shared" si="1"/>
        <v>30</v>
      </c>
      <c r="R16" s="257">
        <f t="shared" si="2"/>
        <v>0.69863521215959445</v>
      </c>
      <c r="S16" s="257">
        <f t="shared" si="2"/>
        <v>8.3836225459151343</v>
      </c>
      <c r="T16" s="246">
        <f t="shared" si="3"/>
        <v>0.27945408486383777</v>
      </c>
      <c r="U16" s="135"/>
      <c r="V16" s="268">
        <f t="shared" si="6"/>
        <v>2.5</v>
      </c>
      <c r="W16" s="269">
        <v>0.18</v>
      </c>
      <c r="X16" s="270">
        <f t="shared" si="7"/>
        <v>3.0487804878048776</v>
      </c>
      <c r="Y16" s="271">
        <f t="shared" si="8"/>
        <v>0.54878048780487798</v>
      </c>
      <c r="Z16" s="267">
        <f t="shared" si="9"/>
        <v>4.939024390243902E-2</v>
      </c>
      <c r="AA16" s="271">
        <f t="shared" si="10"/>
        <v>0.59817073170731705</v>
      </c>
      <c r="AB16" s="271">
        <f t="shared" si="11"/>
        <v>2.4506097560975606</v>
      </c>
      <c r="AC16" s="284">
        <f t="shared" si="12"/>
        <v>0.26493200993822702</v>
      </c>
      <c r="AD16" s="285">
        <f t="shared" si="13"/>
        <v>-1.4522074925610751E-2</v>
      </c>
      <c r="AE16" s="221" t="s">
        <v>269</v>
      </c>
    </row>
    <row r="17" spans="1:31" ht="40" customHeight="1" x14ac:dyDescent="0.2">
      <c r="A17" s="123">
        <v>12</v>
      </c>
      <c r="B17" s="274" t="s">
        <v>219</v>
      </c>
      <c r="C17" s="123">
        <v>1</v>
      </c>
      <c r="D17" s="123">
        <v>12</v>
      </c>
      <c r="E17" s="123">
        <f t="shared" si="14"/>
        <v>12</v>
      </c>
      <c r="F17" s="123" t="s">
        <v>269</v>
      </c>
      <c r="G17" s="123" t="s">
        <v>269</v>
      </c>
      <c r="H17" s="257">
        <f t="shared" si="18"/>
        <v>62.628000000000007</v>
      </c>
      <c r="I17" s="257">
        <f t="shared" si="15"/>
        <v>5.2190000000000003</v>
      </c>
      <c r="J17" s="257">
        <f t="shared" si="0"/>
        <v>62.628</v>
      </c>
      <c r="K17" s="257"/>
      <c r="L17" s="257">
        <f t="shared" si="4"/>
        <v>1.6526282457251427</v>
      </c>
      <c r="M17" s="257">
        <f t="shared" si="16"/>
        <v>19.831538948701713</v>
      </c>
      <c r="N17" s="257">
        <f t="shared" si="5"/>
        <v>1.8013647878404055</v>
      </c>
      <c r="O17" s="257">
        <f t="shared" si="17"/>
        <v>21.616377454084866</v>
      </c>
      <c r="P17" s="257">
        <v>2.5</v>
      </c>
      <c r="Q17" s="257">
        <f t="shared" si="1"/>
        <v>30</v>
      </c>
      <c r="R17" s="257">
        <f t="shared" si="2"/>
        <v>0.69863521215959445</v>
      </c>
      <c r="S17" s="257">
        <f t="shared" si="2"/>
        <v>8.3836225459151343</v>
      </c>
      <c r="T17" s="246">
        <f t="shared" si="3"/>
        <v>0.27945408486383777</v>
      </c>
      <c r="U17" s="135"/>
      <c r="V17" s="268">
        <f t="shared" si="6"/>
        <v>2.5</v>
      </c>
      <c r="W17" s="269">
        <v>0.18</v>
      </c>
      <c r="X17" s="270">
        <f t="shared" si="7"/>
        <v>3.0487804878048776</v>
      </c>
      <c r="Y17" s="271">
        <f t="shared" si="8"/>
        <v>0.54878048780487798</v>
      </c>
      <c r="Z17" s="267">
        <f t="shared" si="9"/>
        <v>4.939024390243902E-2</v>
      </c>
      <c r="AA17" s="271">
        <f t="shared" si="10"/>
        <v>0.59817073170731705</v>
      </c>
      <c r="AB17" s="271">
        <f t="shared" si="11"/>
        <v>2.4506097560975606</v>
      </c>
      <c r="AC17" s="284">
        <f t="shared" si="12"/>
        <v>0.26493200993822702</v>
      </c>
      <c r="AD17" s="285">
        <f t="shared" si="13"/>
        <v>-1.4522074925610751E-2</v>
      </c>
      <c r="AE17" s="221" t="s">
        <v>269</v>
      </c>
    </row>
    <row r="18" spans="1:31" ht="40" customHeight="1" x14ac:dyDescent="0.2">
      <c r="A18" s="123">
        <v>13</v>
      </c>
      <c r="B18" s="274" t="s">
        <v>220</v>
      </c>
      <c r="C18" s="123">
        <v>1</v>
      </c>
      <c r="D18" s="123">
        <v>12</v>
      </c>
      <c r="E18" s="123">
        <f t="shared" si="14"/>
        <v>12</v>
      </c>
      <c r="F18" s="123" t="s">
        <v>269</v>
      </c>
      <c r="G18" s="123" t="s">
        <v>269</v>
      </c>
      <c r="H18" s="257">
        <f t="shared" si="18"/>
        <v>62.628000000000007</v>
      </c>
      <c r="I18" s="257">
        <f t="shared" si="15"/>
        <v>5.2190000000000003</v>
      </c>
      <c r="J18" s="257">
        <f t="shared" si="0"/>
        <v>62.628</v>
      </c>
      <c r="K18" s="257"/>
      <c r="L18" s="257">
        <f t="shared" si="4"/>
        <v>1.6526282457251427</v>
      </c>
      <c r="M18" s="257">
        <f t="shared" si="16"/>
        <v>19.831538948701713</v>
      </c>
      <c r="N18" s="257">
        <f t="shared" si="5"/>
        <v>1.8013647878404055</v>
      </c>
      <c r="O18" s="257">
        <f t="shared" si="17"/>
        <v>21.616377454084866</v>
      </c>
      <c r="P18" s="257">
        <v>2.5</v>
      </c>
      <c r="Q18" s="257">
        <f t="shared" si="1"/>
        <v>30</v>
      </c>
      <c r="R18" s="257">
        <f t="shared" si="2"/>
        <v>0.69863521215959445</v>
      </c>
      <c r="S18" s="257">
        <f t="shared" si="2"/>
        <v>8.3836225459151343</v>
      </c>
      <c r="T18" s="246">
        <f t="shared" si="3"/>
        <v>0.27945408486383777</v>
      </c>
      <c r="U18" s="135"/>
      <c r="V18" s="268">
        <f t="shared" si="6"/>
        <v>2.5</v>
      </c>
      <c r="W18" s="269">
        <v>0.18</v>
      </c>
      <c r="X18" s="270">
        <f t="shared" si="7"/>
        <v>3.0487804878048776</v>
      </c>
      <c r="Y18" s="271">
        <f t="shared" si="8"/>
        <v>0.54878048780487798</v>
      </c>
      <c r="Z18" s="267">
        <f t="shared" si="9"/>
        <v>4.939024390243902E-2</v>
      </c>
      <c r="AA18" s="271">
        <f t="shared" si="10"/>
        <v>0.59817073170731705</v>
      </c>
      <c r="AB18" s="271">
        <f t="shared" si="11"/>
        <v>2.4506097560975606</v>
      </c>
      <c r="AC18" s="284">
        <f t="shared" si="12"/>
        <v>0.26493200993822702</v>
      </c>
      <c r="AD18" s="285">
        <f t="shared" si="13"/>
        <v>-1.4522074925610751E-2</v>
      </c>
      <c r="AE18" s="221" t="s">
        <v>269</v>
      </c>
    </row>
    <row r="19" spans="1:31" ht="40" customHeight="1" x14ac:dyDescent="0.2">
      <c r="A19" s="123">
        <v>14</v>
      </c>
      <c r="B19" s="274" t="s">
        <v>221</v>
      </c>
      <c r="C19" s="123">
        <v>1</v>
      </c>
      <c r="D19" s="123">
        <v>12</v>
      </c>
      <c r="E19" s="123">
        <f t="shared" si="14"/>
        <v>12</v>
      </c>
      <c r="F19" s="123" t="s">
        <v>269</v>
      </c>
      <c r="G19" s="123" t="s">
        <v>269</v>
      </c>
      <c r="H19" s="257">
        <f t="shared" si="18"/>
        <v>62.628000000000007</v>
      </c>
      <c r="I19" s="257">
        <f t="shared" si="15"/>
        <v>5.2190000000000003</v>
      </c>
      <c r="J19" s="257">
        <f t="shared" si="0"/>
        <v>62.628</v>
      </c>
      <c r="K19" s="257"/>
      <c r="L19" s="257">
        <f t="shared" si="4"/>
        <v>1.6526282457251427</v>
      </c>
      <c r="M19" s="257">
        <f t="shared" si="16"/>
        <v>19.831538948701713</v>
      </c>
      <c r="N19" s="257">
        <f t="shared" si="5"/>
        <v>1.8013647878404055</v>
      </c>
      <c r="O19" s="257">
        <f t="shared" si="17"/>
        <v>21.616377454084866</v>
      </c>
      <c r="P19" s="257">
        <v>2.5</v>
      </c>
      <c r="Q19" s="257">
        <f t="shared" si="1"/>
        <v>30</v>
      </c>
      <c r="R19" s="257">
        <f t="shared" si="2"/>
        <v>0.69863521215959445</v>
      </c>
      <c r="S19" s="257">
        <f t="shared" si="2"/>
        <v>8.3836225459151343</v>
      </c>
      <c r="T19" s="246">
        <f t="shared" si="3"/>
        <v>0.27945408486383777</v>
      </c>
      <c r="U19" s="135"/>
      <c r="V19" s="268">
        <f t="shared" si="6"/>
        <v>2.5</v>
      </c>
      <c r="W19" s="269">
        <v>0.18</v>
      </c>
      <c r="X19" s="270">
        <f t="shared" si="7"/>
        <v>3.0487804878048776</v>
      </c>
      <c r="Y19" s="271">
        <f t="shared" si="8"/>
        <v>0.54878048780487798</v>
      </c>
      <c r="Z19" s="267">
        <f t="shared" si="9"/>
        <v>4.939024390243902E-2</v>
      </c>
      <c r="AA19" s="271">
        <f t="shared" si="10"/>
        <v>0.59817073170731705</v>
      </c>
      <c r="AB19" s="271">
        <f t="shared" si="11"/>
        <v>2.4506097560975606</v>
      </c>
      <c r="AC19" s="284">
        <f t="shared" si="12"/>
        <v>0.26493200993822702</v>
      </c>
      <c r="AD19" s="285">
        <f t="shared" si="13"/>
        <v>-1.4522074925610751E-2</v>
      </c>
      <c r="AE19" s="221" t="s">
        <v>269</v>
      </c>
    </row>
    <row r="20" spans="1:31" ht="40" customHeight="1" x14ac:dyDescent="0.2">
      <c r="A20" s="123">
        <v>15</v>
      </c>
      <c r="B20" s="274" t="s">
        <v>208</v>
      </c>
      <c r="C20" s="123">
        <v>1</v>
      </c>
      <c r="D20" s="123">
        <v>80</v>
      </c>
      <c r="E20" s="123">
        <f t="shared" si="14"/>
        <v>80</v>
      </c>
      <c r="F20" s="123" t="s">
        <v>269</v>
      </c>
      <c r="G20" s="123" t="s">
        <v>269</v>
      </c>
      <c r="H20" s="257">
        <v>160</v>
      </c>
      <c r="I20" s="257">
        <f t="shared" si="15"/>
        <v>2</v>
      </c>
      <c r="J20" s="257">
        <f t="shared" si="0"/>
        <v>160</v>
      </c>
      <c r="K20" s="257"/>
      <c r="L20" s="257">
        <f t="shared" si="4"/>
        <v>0.6333122229259025</v>
      </c>
      <c r="M20" s="257">
        <f t="shared" si="16"/>
        <v>50.664977834072197</v>
      </c>
      <c r="N20" s="257">
        <f t="shared" si="5"/>
        <v>0.69031032298923378</v>
      </c>
      <c r="O20" s="257">
        <f t="shared" si="17"/>
        <v>55.224825839138703</v>
      </c>
      <c r="P20" s="257">
        <v>1.25</v>
      </c>
      <c r="Q20" s="257">
        <f t="shared" si="1"/>
        <v>100</v>
      </c>
      <c r="R20" s="257">
        <f t="shared" si="2"/>
        <v>0.55968967701076622</v>
      </c>
      <c r="S20" s="257">
        <f t="shared" si="2"/>
        <v>44.775174160861297</v>
      </c>
      <c r="T20" s="246">
        <f t="shared" si="3"/>
        <v>0.44775174160861297</v>
      </c>
      <c r="U20" s="135"/>
      <c r="V20" s="268">
        <f t="shared" si="6"/>
        <v>1.25</v>
      </c>
      <c r="W20" s="269">
        <v>0.18</v>
      </c>
      <c r="X20" s="270">
        <f t="shared" si="7"/>
        <v>1.5243902439024388</v>
      </c>
      <c r="Y20" s="271">
        <f t="shared" si="8"/>
        <v>0.27439024390243899</v>
      </c>
      <c r="Z20" s="267">
        <f t="shared" si="9"/>
        <v>2.469512195121951E-2</v>
      </c>
      <c r="AA20" s="271">
        <f t="shared" si="10"/>
        <v>0.29908536585365852</v>
      </c>
      <c r="AB20" s="271">
        <f t="shared" si="11"/>
        <v>1.2253048780487803</v>
      </c>
      <c r="AC20" s="284">
        <f t="shared" si="12"/>
        <v>0.43662158263132939</v>
      </c>
      <c r="AD20" s="285">
        <f t="shared" si="13"/>
        <v>-1.1130158977283588E-2</v>
      </c>
      <c r="AE20" s="221" t="s">
        <v>269</v>
      </c>
    </row>
    <row r="21" spans="1:31" ht="40" customHeight="1" x14ac:dyDescent="0.2">
      <c r="A21" s="123">
        <v>16</v>
      </c>
      <c r="B21" s="274" t="s">
        <v>230</v>
      </c>
      <c r="C21" s="123">
        <v>1</v>
      </c>
      <c r="D21" s="123">
        <v>40</v>
      </c>
      <c r="E21" s="123">
        <f t="shared" si="14"/>
        <v>40</v>
      </c>
      <c r="F21" s="123" t="s">
        <v>269</v>
      </c>
      <c r="G21" s="123" t="s">
        <v>269</v>
      </c>
      <c r="H21" s="257">
        <v>78</v>
      </c>
      <c r="I21" s="257">
        <f t="shared" si="15"/>
        <v>1.95</v>
      </c>
      <c r="J21" s="257">
        <f t="shared" si="0"/>
        <v>78</v>
      </c>
      <c r="K21" s="257"/>
      <c r="L21" s="257">
        <f t="shared" si="4"/>
        <v>0.61747941735275491</v>
      </c>
      <c r="M21" s="257">
        <f t="shared" si="16"/>
        <v>24.699176694110196</v>
      </c>
      <c r="N21" s="257">
        <f t="shared" si="5"/>
        <v>0.67305256491450294</v>
      </c>
      <c r="O21" s="257">
        <f t="shared" si="17"/>
        <v>26.922102596580118</v>
      </c>
      <c r="P21" s="257">
        <v>1.25</v>
      </c>
      <c r="Q21" s="257">
        <f t="shared" si="1"/>
        <v>50</v>
      </c>
      <c r="R21" s="257">
        <f t="shared" si="2"/>
        <v>0.57694743508549706</v>
      </c>
      <c r="S21" s="257">
        <f t="shared" si="2"/>
        <v>23.077897403419882</v>
      </c>
      <c r="T21" s="246">
        <f t="shared" si="3"/>
        <v>0.46155794806839767</v>
      </c>
      <c r="U21" s="135"/>
      <c r="V21" s="268">
        <f t="shared" si="6"/>
        <v>1.25</v>
      </c>
      <c r="W21" s="269">
        <v>0.18</v>
      </c>
      <c r="X21" s="270">
        <f t="shared" si="7"/>
        <v>1.5243902439024388</v>
      </c>
      <c r="Y21" s="271">
        <f t="shared" si="8"/>
        <v>0.27439024390243899</v>
      </c>
      <c r="Z21" s="267">
        <f t="shared" si="9"/>
        <v>2.469512195121951E-2</v>
      </c>
      <c r="AA21" s="271">
        <f t="shared" si="10"/>
        <v>0.29908536585365852</v>
      </c>
      <c r="AB21" s="271">
        <f t="shared" si="11"/>
        <v>1.2253048780487803</v>
      </c>
      <c r="AC21" s="284">
        <f t="shared" si="12"/>
        <v>0.45070604306554618</v>
      </c>
      <c r="AD21" s="285">
        <f t="shared" si="13"/>
        <v>-1.0851905002851492E-2</v>
      </c>
      <c r="AE21" s="221" t="s">
        <v>269</v>
      </c>
    </row>
    <row r="22" spans="1:31" ht="40" customHeight="1" x14ac:dyDescent="0.2">
      <c r="A22" s="123">
        <v>17</v>
      </c>
      <c r="B22" s="274" t="s">
        <v>209</v>
      </c>
      <c r="C22" s="123">
        <v>1</v>
      </c>
      <c r="D22" s="123">
        <v>50</v>
      </c>
      <c r="E22" s="123">
        <f t="shared" si="14"/>
        <v>50</v>
      </c>
      <c r="F22" s="123" t="s">
        <v>269</v>
      </c>
      <c r="G22" s="123" t="s">
        <v>269</v>
      </c>
      <c r="H22" s="257">
        <v>97.5</v>
      </c>
      <c r="I22" s="257">
        <f t="shared" si="15"/>
        <v>1.95</v>
      </c>
      <c r="J22" s="257">
        <f t="shared" si="0"/>
        <v>97.5</v>
      </c>
      <c r="K22" s="257"/>
      <c r="L22" s="257">
        <f t="shared" si="4"/>
        <v>0.61747941735275491</v>
      </c>
      <c r="M22" s="257">
        <f t="shared" si="16"/>
        <v>30.873970867637745</v>
      </c>
      <c r="N22" s="257">
        <f t="shared" si="5"/>
        <v>0.67305256491450294</v>
      </c>
      <c r="O22" s="257">
        <f t="shared" si="17"/>
        <v>33.652628245725147</v>
      </c>
      <c r="P22" s="257">
        <v>1.25</v>
      </c>
      <c r="Q22" s="257">
        <f t="shared" si="1"/>
        <v>62.5</v>
      </c>
      <c r="R22" s="257">
        <f t="shared" si="2"/>
        <v>0.57694743508549706</v>
      </c>
      <c r="S22" s="257">
        <f t="shared" si="2"/>
        <v>28.847371754274853</v>
      </c>
      <c r="T22" s="246">
        <f t="shared" si="3"/>
        <v>0.46155794806839767</v>
      </c>
      <c r="U22" s="135"/>
      <c r="V22" s="268">
        <f t="shared" si="6"/>
        <v>1.25</v>
      </c>
      <c r="W22" s="269">
        <v>0.18</v>
      </c>
      <c r="X22" s="270">
        <f t="shared" si="7"/>
        <v>1.5243902439024388</v>
      </c>
      <c r="Y22" s="271">
        <f t="shared" si="8"/>
        <v>0.27439024390243899</v>
      </c>
      <c r="Z22" s="267">
        <f t="shared" si="9"/>
        <v>2.469512195121951E-2</v>
      </c>
      <c r="AA22" s="271">
        <f t="shared" si="10"/>
        <v>0.29908536585365852</v>
      </c>
      <c r="AB22" s="271">
        <f t="shared" si="11"/>
        <v>1.2253048780487803</v>
      </c>
      <c r="AC22" s="284">
        <f t="shared" si="12"/>
        <v>0.45070604306554618</v>
      </c>
      <c r="AD22" s="285">
        <f t="shared" si="13"/>
        <v>-1.0851905002851492E-2</v>
      </c>
      <c r="AE22" s="221" t="s">
        <v>269</v>
      </c>
    </row>
    <row r="23" spans="1:31" ht="40" customHeight="1" x14ac:dyDescent="0.2">
      <c r="A23" s="123">
        <v>18</v>
      </c>
      <c r="B23" s="274" t="s">
        <v>210</v>
      </c>
      <c r="C23" s="123">
        <v>1</v>
      </c>
      <c r="D23" s="123">
        <v>48</v>
      </c>
      <c r="E23" s="123">
        <f t="shared" si="14"/>
        <v>48</v>
      </c>
      <c r="F23" s="123" t="s">
        <v>269</v>
      </c>
      <c r="G23" s="123" t="s">
        <v>269</v>
      </c>
      <c r="H23" s="257">
        <v>96</v>
      </c>
      <c r="I23" s="257">
        <f t="shared" si="15"/>
        <v>2</v>
      </c>
      <c r="J23" s="257">
        <f t="shared" si="0"/>
        <v>96</v>
      </c>
      <c r="K23" s="257"/>
      <c r="L23" s="257">
        <f t="shared" si="4"/>
        <v>0.6333122229259025</v>
      </c>
      <c r="M23" s="257">
        <f t="shared" si="16"/>
        <v>30.39898670044332</v>
      </c>
      <c r="N23" s="257">
        <f t="shared" si="5"/>
        <v>0.69031032298923378</v>
      </c>
      <c r="O23" s="257">
        <f t="shared" si="17"/>
        <v>33.134895503483222</v>
      </c>
      <c r="P23" s="257">
        <v>1.25</v>
      </c>
      <c r="Q23" s="257">
        <f t="shared" si="1"/>
        <v>60</v>
      </c>
      <c r="R23" s="257">
        <f t="shared" si="2"/>
        <v>0.55968967701076622</v>
      </c>
      <c r="S23" s="257">
        <f t="shared" si="2"/>
        <v>26.865104496516778</v>
      </c>
      <c r="T23" s="246">
        <f t="shared" si="3"/>
        <v>0.44775174160861297</v>
      </c>
      <c r="U23" s="135"/>
      <c r="V23" s="268">
        <f t="shared" si="6"/>
        <v>1.25</v>
      </c>
      <c r="W23" s="269">
        <v>0.18</v>
      </c>
      <c r="X23" s="270">
        <f t="shared" si="7"/>
        <v>1.5243902439024388</v>
      </c>
      <c r="Y23" s="271">
        <f t="shared" si="8"/>
        <v>0.27439024390243899</v>
      </c>
      <c r="Z23" s="267">
        <f t="shared" si="9"/>
        <v>2.469512195121951E-2</v>
      </c>
      <c r="AA23" s="271">
        <f t="shared" si="10"/>
        <v>0.29908536585365852</v>
      </c>
      <c r="AB23" s="271">
        <f t="shared" si="11"/>
        <v>1.2253048780487803</v>
      </c>
      <c r="AC23" s="284">
        <f t="shared" si="12"/>
        <v>0.43662158263132939</v>
      </c>
      <c r="AD23" s="285">
        <f t="shared" si="13"/>
        <v>-1.1130158977283588E-2</v>
      </c>
      <c r="AE23" s="221" t="s">
        <v>269</v>
      </c>
    </row>
    <row r="24" spans="1:31" ht="40" customHeight="1" x14ac:dyDescent="0.2">
      <c r="A24" s="123">
        <v>19</v>
      </c>
      <c r="B24" s="274" t="s">
        <v>211</v>
      </c>
      <c r="C24" s="123">
        <v>1</v>
      </c>
      <c r="D24" s="123">
        <v>400</v>
      </c>
      <c r="E24" s="123">
        <f t="shared" si="14"/>
        <v>400</v>
      </c>
      <c r="F24" s="123" t="s">
        <v>269</v>
      </c>
      <c r="G24" s="123" t="s">
        <v>269</v>
      </c>
      <c r="H24" s="257">
        <v>860</v>
      </c>
      <c r="I24" s="257">
        <f t="shared" si="15"/>
        <v>2.15</v>
      </c>
      <c r="J24" s="257">
        <f t="shared" si="0"/>
        <v>860</v>
      </c>
      <c r="K24" s="257"/>
      <c r="L24" s="257">
        <f t="shared" si="4"/>
        <v>0.68081063964534516</v>
      </c>
      <c r="M24" s="257">
        <f t="shared" si="16"/>
        <v>272.32425585813809</v>
      </c>
      <c r="N24" s="257">
        <f t="shared" si="5"/>
        <v>0.74208359721342632</v>
      </c>
      <c r="O24" s="257">
        <f t="shared" si="17"/>
        <v>296.83343888537053</v>
      </c>
      <c r="P24" s="257">
        <v>1.25</v>
      </c>
      <c r="Q24" s="257">
        <f t="shared" si="1"/>
        <v>500</v>
      </c>
      <c r="R24" s="257">
        <f t="shared" si="2"/>
        <v>0.50791640278657368</v>
      </c>
      <c r="S24" s="257">
        <f t="shared" si="2"/>
        <v>203.16656111462947</v>
      </c>
      <c r="T24" s="246">
        <f t="shared" si="3"/>
        <v>0.40633312222925894</v>
      </c>
      <c r="U24" s="135"/>
      <c r="V24" s="268">
        <f t="shared" si="6"/>
        <v>1.25</v>
      </c>
      <c r="W24" s="269">
        <v>0.18</v>
      </c>
      <c r="X24" s="270">
        <f t="shared" si="7"/>
        <v>1.5243902439024388</v>
      </c>
      <c r="Y24" s="271">
        <f t="shared" si="8"/>
        <v>0.27439024390243899</v>
      </c>
      <c r="Z24" s="267">
        <f t="shared" si="9"/>
        <v>2.469512195121951E-2</v>
      </c>
      <c r="AA24" s="271">
        <f t="shared" si="10"/>
        <v>0.29908536585365852</v>
      </c>
      <c r="AB24" s="271">
        <f t="shared" si="11"/>
        <v>1.2253048780487803</v>
      </c>
      <c r="AC24" s="284">
        <f t="shared" si="12"/>
        <v>0.39436820132867911</v>
      </c>
      <c r="AD24" s="285">
        <f t="shared" si="13"/>
        <v>-1.1964920900579823E-2</v>
      </c>
      <c r="AE24" s="221" t="s">
        <v>269</v>
      </c>
    </row>
    <row r="25" spans="1:31" ht="40" customHeight="1" x14ac:dyDescent="0.2">
      <c r="A25" s="123">
        <v>20</v>
      </c>
      <c r="B25" s="274" t="s">
        <v>204</v>
      </c>
      <c r="C25" s="123">
        <v>1</v>
      </c>
      <c r="D25" s="123">
        <v>80</v>
      </c>
      <c r="E25" s="123">
        <f t="shared" si="14"/>
        <v>80</v>
      </c>
      <c r="F25" s="123" t="s">
        <v>269</v>
      </c>
      <c r="G25" s="123" t="s">
        <v>269</v>
      </c>
      <c r="H25" s="257">
        <f>100*0.95</f>
        <v>95</v>
      </c>
      <c r="I25" s="257">
        <f t="shared" si="15"/>
        <v>1.1875</v>
      </c>
      <c r="J25" s="257">
        <f>I25*E25</f>
        <v>95</v>
      </c>
      <c r="K25" s="257"/>
      <c r="L25" s="257">
        <f>I25/$S$2</f>
        <v>0.3760291323622546</v>
      </c>
      <c r="M25" s="257">
        <f t="shared" si="16"/>
        <v>30.082330588980369</v>
      </c>
      <c r="N25" s="257">
        <f t="shared" si="5"/>
        <v>0.40987175427485756</v>
      </c>
      <c r="O25" s="257">
        <f t="shared" si="17"/>
        <v>32.789740341988605</v>
      </c>
      <c r="P25" s="257">
        <v>0.8</v>
      </c>
      <c r="Q25" s="257">
        <f t="shared" si="1"/>
        <v>64</v>
      </c>
      <c r="R25" s="257">
        <f t="shared" si="2"/>
        <v>0.39012824572514249</v>
      </c>
      <c r="S25" s="257">
        <f t="shared" si="2"/>
        <v>31.210259658011395</v>
      </c>
      <c r="T25" s="246">
        <f t="shared" si="3"/>
        <v>0.48766030715642811</v>
      </c>
      <c r="U25" s="135"/>
      <c r="V25" s="268">
        <f t="shared" si="6"/>
        <v>0.8</v>
      </c>
      <c r="W25" s="269">
        <v>0.18</v>
      </c>
      <c r="X25" s="270">
        <f t="shared" si="7"/>
        <v>0.97560975609756095</v>
      </c>
      <c r="Y25" s="271">
        <f t="shared" si="8"/>
        <v>0.17560975609756097</v>
      </c>
      <c r="Z25" s="267">
        <f t="shared" si="9"/>
        <v>1.5804878048780488E-2</v>
      </c>
      <c r="AA25" s="271">
        <f t="shared" si="10"/>
        <v>0.19141463414634147</v>
      </c>
      <c r="AB25" s="271">
        <f t="shared" si="11"/>
        <v>0.78419512195121954</v>
      </c>
      <c r="AC25" s="284">
        <f t="shared" si="12"/>
        <v>0.47733447607398732</v>
      </c>
      <c r="AD25" s="285">
        <f t="shared" si="13"/>
        <v>-1.0325831082440784E-2</v>
      </c>
      <c r="AE25" s="221" t="s">
        <v>269</v>
      </c>
    </row>
    <row r="26" spans="1:31" ht="40" customHeight="1" x14ac:dyDescent="0.2">
      <c r="A26" s="123">
        <v>21</v>
      </c>
      <c r="B26" s="274" t="s">
        <v>205</v>
      </c>
      <c r="C26" s="123">
        <v>1</v>
      </c>
      <c r="D26" s="123">
        <v>80</v>
      </c>
      <c r="E26" s="123">
        <f t="shared" si="14"/>
        <v>80</v>
      </c>
      <c r="F26" s="123" t="s">
        <v>269</v>
      </c>
      <c r="G26" s="123" t="s">
        <v>269</v>
      </c>
      <c r="H26" s="257">
        <f t="shared" ref="H26:H28" si="19">100*0.95</f>
        <v>95</v>
      </c>
      <c r="I26" s="257">
        <f t="shared" si="15"/>
        <v>1.1875</v>
      </c>
      <c r="J26" s="257">
        <f>I26*E26</f>
        <v>95</v>
      </c>
      <c r="K26" s="257"/>
      <c r="L26" s="257">
        <f>I26/$S$2</f>
        <v>0.3760291323622546</v>
      </c>
      <c r="M26" s="257">
        <f t="shared" si="16"/>
        <v>30.082330588980369</v>
      </c>
      <c r="N26" s="257">
        <f t="shared" si="5"/>
        <v>0.40987175427485756</v>
      </c>
      <c r="O26" s="257">
        <f t="shared" si="17"/>
        <v>32.789740341988605</v>
      </c>
      <c r="P26" s="257">
        <v>0.8</v>
      </c>
      <c r="Q26" s="257">
        <f t="shared" si="1"/>
        <v>64</v>
      </c>
      <c r="R26" s="257">
        <f t="shared" si="2"/>
        <v>0.39012824572514249</v>
      </c>
      <c r="S26" s="257">
        <f t="shared" si="2"/>
        <v>31.210259658011395</v>
      </c>
      <c r="T26" s="246">
        <f t="shared" si="3"/>
        <v>0.48766030715642811</v>
      </c>
      <c r="U26" s="135"/>
      <c r="V26" s="268">
        <f t="shared" si="6"/>
        <v>0.8</v>
      </c>
      <c r="W26" s="269">
        <v>0.18</v>
      </c>
      <c r="X26" s="270">
        <f t="shared" si="7"/>
        <v>0.97560975609756095</v>
      </c>
      <c r="Y26" s="271">
        <f t="shared" si="8"/>
        <v>0.17560975609756097</v>
      </c>
      <c r="Z26" s="267">
        <f t="shared" si="9"/>
        <v>1.5804878048780488E-2</v>
      </c>
      <c r="AA26" s="271">
        <f t="shared" si="10"/>
        <v>0.19141463414634147</v>
      </c>
      <c r="AB26" s="271">
        <f t="shared" si="11"/>
        <v>0.78419512195121954</v>
      </c>
      <c r="AC26" s="284">
        <f t="shared" si="12"/>
        <v>0.47733447607398732</v>
      </c>
      <c r="AD26" s="285">
        <f t="shared" si="13"/>
        <v>-1.0325831082440784E-2</v>
      </c>
      <c r="AE26" s="221" t="s">
        <v>269</v>
      </c>
    </row>
    <row r="27" spans="1:31" ht="40" customHeight="1" x14ac:dyDescent="0.2">
      <c r="A27" s="123">
        <v>22</v>
      </c>
      <c r="B27" s="274" t="s">
        <v>206</v>
      </c>
      <c r="C27" s="123">
        <v>1</v>
      </c>
      <c r="D27" s="123">
        <v>80</v>
      </c>
      <c r="E27" s="123">
        <f t="shared" si="14"/>
        <v>80</v>
      </c>
      <c r="F27" s="123" t="s">
        <v>269</v>
      </c>
      <c r="G27" s="123" t="s">
        <v>269</v>
      </c>
      <c r="H27" s="257">
        <f t="shared" si="19"/>
        <v>95</v>
      </c>
      <c r="I27" s="257">
        <f t="shared" si="15"/>
        <v>1.1875</v>
      </c>
      <c r="J27" s="257">
        <f>I27*E27</f>
        <v>95</v>
      </c>
      <c r="K27" s="257"/>
      <c r="L27" s="257">
        <f>I27/$S$2</f>
        <v>0.3760291323622546</v>
      </c>
      <c r="M27" s="257">
        <f t="shared" si="16"/>
        <v>30.082330588980369</v>
      </c>
      <c r="N27" s="257">
        <f t="shared" si="5"/>
        <v>0.40987175427485756</v>
      </c>
      <c r="O27" s="257">
        <f t="shared" si="17"/>
        <v>32.789740341988605</v>
      </c>
      <c r="P27" s="257">
        <v>0.8</v>
      </c>
      <c r="Q27" s="257">
        <f t="shared" si="1"/>
        <v>64</v>
      </c>
      <c r="R27" s="257">
        <f t="shared" si="2"/>
        <v>0.39012824572514249</v>
      </c>
      <c r="S27" s="257">
        <f t="shared" si="2"/>
        <v>31.210259658011395</v>
      </c>
      <c r="T27" s="246">
        <f t="shared" si="3"/>
        <v>0.48766030715642811</v>
      </c>
      <c r="U27" s="123"/>
      <c r="V27" s="268">
        <f t="shared" si="6"/>
        <v>0.8</v>
      </c>
      <c r="W27" s="269">
        <v>0.18</v>
      </c>
      <c r="X27" s="270">
        <f t="shared" si="7"/>
        <v>0.97560975609756095</v>
      </c>
      <c r="Y27" s="271">
        <f t="shared" si="8"/>
        <v>0.17560975609756097</v>
      </c>
      <c r="Z27" s="267">
        <f t="shared" si="9"/>
        <v>1.5804878048780488E-2</v>
      </c>
      <c r="AA27" s="271">
        <f t="shared" si="10"/>
        <v>0.19141463414634147</v>
      </c>
      <c r="AB27" s="271">
        <f t="shared" si="11"/>
        <v>0.78419512195121954</v>
      </c>
      <c r="AC27" s="284">
        <f t="shared" si="12"/>
        <v>0.47733447607398732</v>
      </c>
      <c r="AD27" s="285">
        <f t="shared" si="13"/>
        <v>-1.0325831082440784E-2</v>
      </c>
      <c r="AE27" s="221" t="s">
        <v>269</v>
      </c>
    </row>
    <row r="28" spans="1:31" ht="40" customHeight="1" x14ac:dyDescent="0.2">
      <c r="A28" s="123">
        <v>23</v>
      </c>
      <c r="B28" s="274" t="s">
        <v>207</v>
      </c>
      <c r="C28" s="123">
        <v>1</v>
      </c>
      <c r="D28" s="123">
        <v>80</v>
      </c>
      <c r="E28" s="123">
        <f t="shared" si="14"/>
        <v>80</v>
      </c>
      <c r="F28" s="123" t="s">
        <v>269</v>
      </c>
      <c r="G28" s="123" t="s">
        <v>269</v>
      </c>
      <c r="H28" s="257">
        <f t="shared" si="19"/>
        <v>95</v>
      </c>
      <c r="I28" s="257">
        <f t="shared" si="15"/>
        <v>1.1875</v>
      </c>
      <c r="J28" s="257">
        <f>I28*E28</f>
        <v>95</v>
      </c>
      <c r="K28" s="257"/>
      <c r="L28" s="257">
        <f>I28/$S$2</f>
        <v>0.3760291323622546</v>
      </c>
      <c r="M28" s="257">
        <f t="shared" si="16"/>
        <v>30.082330588980369</v>
      </c>
      <c r="N28" s="257">
        <f t="shared" si="5"/>
        <v>0.40987175427485756</v>
      </c>
      <c r="O28" s="257">
        <f t="shared" si="17"/>
        <v>32.789740341988605</v>
      </c>
      <c r="P28" s="257">
        <v>0.8</v>
      </c>
      <c r="Q28" s="257">
        <f t="shared" si="1"/>
        <v>64</v>
      </c>
      <c r="R28" s="257">
        <f t="shared" si="2"/>
        <v>0.39012824572514249</v>
      </c>
      <c r="S28" s="257">
        <f t="shared" si="2"/>
        <v>31.210259658011395</v>
      </c>
      <c r="T28" s="246">
        <f t="shared" si="3"/>
        <v>0.48766030715642811</v>
      </c>
      <c r="U28" s="123"/>
      <c r="V28" s="268">
        <f t="shared" si="6"/>
        <v>0.8</v>
      </c>
      <c r="W28" s="269">
        <v>0.18</v>
      </c>
      <c r="X28" s="270">
        <f t="shared" si="7"/>
        <v>0.97560975609756095</v>
      </c>
      <c r="Y28" s="271">
        <f t="shared" si="8"/>
        <v>0.17560975609756097</v>
      </c>
      <c r="Z28" s="267">
        <f t="shared" si="9"/>
        <v>1.5804878048780488E-2</v>
      </c>
      <c r="AA28" s="271">
        <f t="shared" si="10"/>
        <v>0.19141463414634147</v>
      </c>
      <c r="AB28" s="271">
        <f t="shared" si="11"/>
        <v>0.78419512195121954</v>
      </c>
      <c r="AC28" s="284">
        <f t="shared" si="12"/>
        <v>0.47733447607398732</v>
      </c>
      <c r="AD28" s="285">
        <f t="shared" si="13"/>
        <v>-1.0325831082440784E-2</v>
      </c>
      <c r="AE28" s="221" t="s">
        <v>269</v>
      </c>
    </row>
    <row r="29" spans="1:31" ht="40" customHeight="1" x14ac:dyDescent="0.2">
      <c r="A29" s="123">
        <v>24</v>
      </c>
      <c r="B29" s="274" t="s">
        <v>245</v>
      </c>
      <c r="C29" s="123">
        <v>1</v>
      </c>
      <c r="D29" s="123">
        <v>60</v>
      </c>
      <c r="E29" s="123">
        <f>D29*C29</f>
        <v>60</v>
      </c>
      <c r="F29" s="123" t="s">
        <v>269</v>
      </c>
      <c r="G29" s="123" t="s">
        <v>269</v>
      </c>
      <c r="H29" s="257">
        <v>120</v>
      </c>
      <c r="I29" s="257">
        <f>H29/D29</f>
        <v>2</v>
      </c>
      <c r="J29" s="257">
        <f t="shared" ref="J29:J42" si="20">I29*E29</f>
        <v>120</v>
      </c>
      <c r="K29" s="257"/>
      <c r="L29" s="257">
        <f t="shared" ref="L29:L42" si="21">I29/$S$2</f>
        <v>0.6333122229259025</v>
      </c>
      <c r="M29" s="257">
        <f t="shared" si="16"/>
        <v>37.998733375554146</v>
      </c>
      <c r="N29" s="257">
        <f t="shared" si="5"/>
        <v>0.69031032298923378</v>
      </c>
      <c r="O29" s="257">
        <f>N29*E29</f>
        <v>41.418619379354027</v>
      </c>
      <c r="P29" s="257">
        <v>1</v>
      </c>
      <c r="Q29" s="257">
        <f t="shared" si="1"/>
        <v>60</v>
      </c>
      <c r="R29" s="257">
        <f t="shared" si="2"/>
        <v>0.30968967701076622</v>
      </c>
      <c r="S29" s="257">
        <f t="shared" si="2"/>
        <v>18.581380620645973</v>
      </c>
      <c r="T29" s="246">
        <f t="shared" si="3"/>
        <v>0.30968967701076622</v>
      </c>
      <c r="U29" s="135"/>
      <c r="V29" s="268">
        <f t="shared" si="6"/>
        <v>1</v>
      </c>
      <c r="W29" s="269">
        <v>0.18</v>
      </c>
      <c r="X29" s="270">
        <f t="shared" si="7"/>
        <v>1.2195121951219512</v>
      </c>
      <c r="Y29" s="271">
        <f t="shared" si="8"/>
        <v>0.21951219512195122</v>
      </c>
      <c r="Z29" s="267">
        <f t="shared" si="9"/>
        <v>1.975609756097561E-2</v>
      </c>
      <c r="AA29" s="271">
        <f t="shared" si="10"/>
        <v>0.23926829268292682</v>
      </c>
      <c r="AB29" s="271">
        <f t="shared" si="11"/>
        <v>0.98024390243902437</v>
      </c>
      <c r="AC29" s="284">
        <f t="shared" si="12"/>
        <v>0.29577697828916183</v>
      </c>
      <c r="AD29" s="285">
        <f t="shared" si="13"/>
        <v>-1.3912698721604388E-2</v>
      </c>
      <c r="AE29" s="221" t="s">
        <v>269</v>
      </c>
    </row>
    <row r="30" spans="1:31" ht="40" customHeight="1" x14ac:dyDescent="0.2">
      <c r="A30" s="123">
        <v>25</v>
      </c>
      <c r="B30" s="274" t="s">
        <v>215</v>
      </c>
      <c r="C30" s="123">
        <v>1</v>
      </c>
      <c r="D30" s="123">
        <v>30</v>
      </c>
      <c r="E30" s="123">
        <f>D30*C30</f>
        <v>30</v>
      </c>
      <c r="F30" s="123" t="s">
        <v>269</v>
      </c>
      <c r="G30" s="123" t="s">
        <v>269</v>
      </c>
      <c r="H30" s="257">
        <v>226.5</v>
      </c>
      <c r="I30" s="257">
        <f>H30/D30</f>
        <v>7.55</v>
      </c>
      <c r="J30" s="257">
        <f t="shared" si="20"/>
        <v>226.5</v>
      </c>
      <c r="K30" s="257"/>
      <c r="L30" s="257">
        <f t="shared" si="21"/>
        <v>2.3907536415452819</v>
      </c>
      <c r="M30" s="257">
        <f t="shared" si="16"/>
        <v>71.722609246358459</v>
      </c>
      <c r="N30" s="257">
        <f t="shared" si="5"/>
        <v>2.6059214692843575</v>
      </c>
      <c r="O30" s="257">
        <f>N30*E30</f>
        <v>78.177644078530733</v>
      </c>
      <c r="P30" s="257">
        <v>3.95</v>
      </c>
      <c r="Q30" s="257">
        <f t="shared" si="1"/>
        <v>118.5</v>
      </c>
      <c r="R30" s="257">
        <f t="shared" si="2"/>
        <v>1.3440785307156426</v>
      </c>
      <c r="S30" s="257">
        <f t="shared" si="2"/>
        <v>40.322355921469267</v>
      </c>
      <c r="T30" s="246">
        <f t="shared" si="3"/>
        <v>0.34027304575079559</v>
      </c>
      <c r="U30" s="135"/>
      <c r="V30" s="268">
        <f t="shared" si="6"/>
        <v>3.95</v>
      </c>
      <c r="W30" s="269">
        <v>0.18</v>
      </c>
      <c r="X30" s="270">
        <f t="shared" si="7"/>
        <v>4.8170731707317076</v>
      </c>
      <c r="Y30" s="271">
        <f t="shared" si="8"/>
        <v>0.86707317073170731</v>
      </c>
      <c r="Z30" s="267">
        <f t="shared" si="9"/>
        <v>7.8036585365853658E-2</v>
      </c>
      <c r="AA30" s="271">
        <f t="shared" si="10"/>
        <v>0.94510975609756098</v>
      </c>
      <c r="AB30" s="271">
        <f t="shared" si="11"/>
        <v>3.8719634146341466</v>
      </c>
      <c r="AC30" s="284">
        <f t="shared" si="12"/>
        <v>0.32697673241559144</v>
      </c>
      <c r="AD30" s="285">
        <f t="shared" si="13"/>
        <v>-1.3296313335204146E-2</v>
      </c>
      <c r="AE30" s="221" t="s">
        <v>269</v>
      </c>
    </row>
    <row r="31" spans="1:31" ht="40" customHeight="1" x14ac:dyDescent="0.2">
      <c r="A31" s="123">
        <v>26</v>
      </c>
      <c r="B31" s="274" t="s">
        <v>214</v>
      </c>
      <c r="C31" s="123">
        <v>1</v>
      </c>
      <c r="D31" s="123">
        <v>30</v>
      </c>
      <c r="E31" s="123">
        <f>D31*C31</f>
        <v>30</v>
      </c>
      <c r="F31" s="123" t="s">
        <v>269</v>
      </c>
      <c r="G31" s="123" t="s">
        <v>269</v>
      </c>
      <c r="H31" s="257">
        <v>226.5</v>
      </c>
      <c r="I31" s="257">
        <f>H31/D31</f>
        <v>7.55</v>
      </c>
      <c r="J31" s="257">
        <f t="shared" si="20"/>
        <v>226.5</v>
      </c>
      <c r="K31" s="257"/>
      <c r="L31" s="257">
        <f t="shared" si="21"/>
        <v>2.3907536415452819</v>
      </c>
      <c r="M31" s="257">
        <f t="shared" si="16"/>
        <v>71.722609246358459</v>
      </c>
      <c r="N31" s="257">
        <f t="shared" si="5"/>
        <v>2.6059214692843575</v>
      </c>
      <c r="O31" s="257">
        <f>N31*E31</f>
        <v>78.177644078530733</v>
      </c>
      <c r="P31" s="257">
        <v>3.95</v>
      </c>
      <c r="Q31" s="257">
        <f t="shared" si="1"/>
        <v>118.5</v>
      </c>
      <c r="R31" s="257">
        <f t="shared" si="2"/>
        <v>1.3440785307156426</v>
      </c>
      <c r="S31" s="257">
        <f t="shared" si="2"/>
        <v>40.322355921469267</v>
      </c>
      <c r="T31" s="246">
        <f t="shared" si="3"/>
        <v>0.34027304575079559</v>
      </c>
      <c r="U31" s="135"/>
      <c r="V31" s="268">
        <f t="shared" si="6"/>
        <v>3.95</v>
      </c>
      <c r="W31" s="269">
        <v>0.18</v>
      </c>
      <c r="X31" s="270">
        <f t="shared" si="7"/>
        <v>4.8170731707317076</v>
      </c>
      <c r="Y31" s="271">
        <f t="shared" si="8"/>
        <v>0.86707317073170731</v>
      </c>
      <c r="Z31" s="267">
        <f t="shared" si="9"/>
        <v>7.8036585365853658E-2</v>
      </c>
      <c r="AA31" s="271">
        <f t="shared" si="10"/>
        <v>0.94510975609756098</v>
      </c>
      <c r="AB31" s="271">
        <f t="shared" si="11"/>
        <v>3.8719634146341466</v>
      </c>
      <c r="AC31" s="284">
        <f t="shared" si="12"/>
        <v>0.32697673241559144</v>
      </c>
      <c r="AD31" s="285">
        <f t="shared" si="13"/>
        <v>-1.3296313335204146E-2</v>
      </c>
      <c r="AE31" s="221" t="s">
        <v>269</v>
      </c>
    </row>
    <row r="32" spans="1:31" ht="40" customHeight="1" x14ac:dyDescent="0.2">
      <c r="A32" s="123">
        <v>27</v>
      </c>
      <c r="B32" s="274" t="s">
        <v>246</v>
      </c>
      <c r="C32" s="123">
        <v>1</v>
      </c>
      <c r="D32" s="123">
        <v>60</v>
      </c>
      <c r="E32" s="123">
        <f>D32*C32</f>
        <v>60</v>
      </c>
      <c r="F32" s="123" t="s">
        <v>269</v>
      </c>
      <c r="G32" s="123" t="s">
        <v>269</v>
      </c>
      <c r="H32" s="257">
        <v>120</v>
      </c>
      <c r="I32" s="257">
        <f>H32/D32</f>
        <v>2</v>
      </c>
      <c r="J32" s="257">
        <f t="shared" si="20"/>
        <v>120</v>
      </c>
      <c r="K32" s="257"/>
      <c r="L32" s="257">
        <f t="shared" si="21"/>
        <v>0.6333122229259025</v>
      </c>
      <c r="M32" s="257">
        <f t="shared" si="16"/>
        <v>37.998733375554146</v>
      </c>
      <c r="N32" s="257">
        <f t="shared" si="5"/>
        <v>0.69031032298923378</v>
      </c>
      <c r="O32" s="257">
        <f>N32*E32</f>
        <v>41.418619379354027</v>
      </c>
      <c r="P32" s="257">
        <v>1</v>
      </c>
      <c r="Q32" s="257">
        <f t="shared" si="1"/>
        <v>60</v>
      </c>
      <c r="R32" s="257">
        <f t="shared" si="2"/>
        <v>0.30968967701076622</v>
      </c>
      <c r="S32" s="257">
        <f t="shared" si="2"/>
        <v>18.581380620645973</v>
      </c>
      <c r="T32" s="246">
        <f t="shared" si="3"/>
        <v>0.30968967701076622</v>
      </c>
      <c r="U32" s="135"/>
      <c r="V32" s="268">
        <f t="shared" si="6"/>
        <v>1</v>
      </c>
      <c r="W32" s="269">
        <v>0.18</v>
      </c>
      <c r="X32" s="270">
        <f t="shared" si="7"/>
        <v>1.2195121951219512</v>
      </c>
      <c r="Y32" s="271">
        <f t="shared" si="8"/>
        <v>0.21951219512195122</v>
      </c>
      <c r="Z32" s="267">
        <f t="shared" si="9"/>
        <v>1.975609756097561E-2</v>
      </c>
      <c r="AA32" s="271">
        <f t="shared" si="10"/>
        <v>0.23926829268292682</v>
      </c>
      <c r="AB32" s="271">
        <f t="shared" si="11"/>
        <v>0.98024390243902437</v>
      </c>
      <c r="AC32" s="284">
        <f t="shared" si="12"/>
        <v>0.29577697828916183</v>
      </c>
      <c r="AD32" s="285">
        <f t="shared" si="13"/>
        <v>-1.3912698721604388E-2</v>
      </c>
      <c r="AE32" s="221" t="s">
        <v>269</v>
      </c>
    </row>
    <row r="33" spans="1:31" ht="40" customHeight="1" x14ac:dyDescent="0.2">
      <c r="A33" s="123">
        <v>28</v>
      </c>
      <c r="B33" s="274" t="s">
        <v>239</v>
      </c>
      <c r="C33" s="123">
        <v>1</v>
      </c>
      <c r="D33" s="123">
        <v>36</v>
      </c>
      <c r="E33" s="123">
        <f>D33*C33</f>
        <v>36</v>
      </c>
      <c r="F33" s="123" t="s">
        <v>269</v>
      </c>
      <c r="G33" s="123" t="s">
        <v>269</v>
      </c>
      <c r="H33" s="257">
        <f>77.4*0.97</f>
        <v>75.078000000000003</v>
      </c>
      <c r="I33" s="257">
        <f>H33/D33</f>
        <v>2.0855000000000001</v>
      </c>
      <c r="J33" s="257">
        <f t="shared" si="20"/>
        <v>75.078000000000003</v>
      </c>
      <c r="K33" s="257"/>
      <c r="L33" s="257">
        <f t="shared" si="21"/>
        <v>0.66038632045598489</v>
      </c>
      <c r="M33" s="257">
        <f t="shared" si="16"/>
        <v>23.773907536415454</v>
      </c>
      <c r="N33" s="257">
        <f t="shared" si="5"/>
        <v>0.7198210892970236</v>
      </c>
      <c r="O33" s="257">
        <f>N33*E33</f>
        <v>25.91355921469285</v>
      </c>
      <c r="P33" s="257">
        <v>1.5</v>
      </c>
      <c r="Q33" s="257">
        <f t="shared" si="1"/>
        <v>54</v>
      </c>
      <c r="R33" s="257">
        <f t="shared" si="2"/>
        <v>0.7801789107029764</v>
      </c>
      <c r="S33" s="257">
        <f t="shared" si="2"/>
        <v>28.08644078530715</v>
      </c>
      <c r="T33" s="246">
        <f t="shared" si="3"/>
        <v>0.52011927380198431</v>
      </c>
      <c r="U33" s="135"/>
      <c r="V33" s="268">
        <f t="shared" si="6"/>
        <v>1.5</v>
      </c>
      <c r="W33" s="269">
        <v>0.18</v>
      </c>
      <c r="X33" s="270">
        <f t="shared" si="7"/>
        <v>1.8292682926829267</v>
      </c>
      <c r="Y33" s="271">
        <f t="shared" si="8"/>
        <v>0.32926829268292679</v>
      </c>
      <c r="Z33" s="267">
        <f t="shared" si="9"/>
        <v>2.963414634146341E-2</v>
      </c>
      <c r="AA33" s="271">
        <f t="shared" si="10"/>
        <v>0.35890243902439017</v>
      </c>
      <c r="AB33" s="271">
        <f t="shared" si="11"/>
        <v>1.4703658536585364</v>
      </c>
      <c r="AC33" s="284">
        <f t="shared" si="12"/>
        <v>0.51044762940734889</v>
      </c>
      <c r="AD33" s="285">
        <f t="shared" si="13"/>
        <v>-9.6716443946354147E-3</v>
      </c>
      <c r="AE33" s="221" t="s">
        <v>269</v>
      </c>
    </row>
    <row r="34" spans="1:31" ht="40" customHeight="1" x14ac:dyDescent="0.2">
      <c r="A34" s="123">
        <v>29</v>
      </c>
      <c r="B34" s="274" t="s">
        <v>240</v>
      </c>
      <c r="C34" s="123">
        <v>1</v>
      </c>
      <c r="D34" s="123">
        <v>36</v>
      </c>
      <c r="E34" s="123">
        <f t="shared" ref="E34:E41" si="22">D34*C34</f>
        <v>36</v>
      </c>
      <c r="F34" s="123" t="s">
        <v>269</v>
      </c>
      <c r="G34" s="123" t="s">
        <v>269</v>
      </c>
      <c r="H34" s="257">
        <f t="shared" ref="H34:H41" si="23">77.4*0.97</f>
        <v>75.078000000000003</v>
      </c>
      <c r="I34" s="257">
        <f t="shared" ref="I34:I41" si="24">H34/D34</f>
        <v>2.0855000000000001</v>
      </c>
      <c r="J34" s="257">
        <f t="shared" si="20"/>
        <v>75.078000000000003</v>
      </c>
      <c r="K34" s="257"/>
      <c r="L34" s="257">
        <f t="shared" si="21"/>
        <v>0.66038632045598489</v>
      </c>
      <c r="M34" s="257">
        <f t="shared" si="16"/>
        <v>23.773907536415454</v>
      </c>
      <c r="N34" s="257">
        <f t="shared" si="5"/>
        <v>0.7198210892970236</v>
      </c>
      <c r="O34" s="257">
        <f t="shared" ref="O34:O41" si="25">N34*E34</f>
        <v>25.91355921469285</v>
      </c>
      <c r="P34" s="257">
        <v>1.5</v>
      </c>
      <c r="Q34" s="257">
        <f t="shared" si="1"/>
        <v>54</v>
      </c>
      <c r="R34" s="257">
        <f t="shared" si="2"/>
        <v>0.7801789107029764</v>
      </c>
      <c r="S34" s="257">
        <f t="shared" si="2"/>
        <v>28.08644078530715</v>
      </c>
      <c r="T34" s="246">
        <f t="shared" si="3"/>
        <v>0.52011927380198431</v>
      </c>
      <c r="U34" s="135"/>
      <c r="V34" s="268">
        <f t="shared" si="6"/>
        <v>1.5</v>
      </c>
      <c r="W34" s="269">
        <v>0.18</v>
      </c>
      <c r="X34" s="270">
        <f t="shared" si="7"/>
        <v>1.8292682926829267</v>
      </c>
      <c r="Y34" s="271">
        <f t="shared" si="8"/>
        <v>0.32926829268292679</v>
      </c>
      <c r="Z34" s="267">
        <f t="shared" si="9"/>
        <v>2.963414634146341E-2</v>
      </c>
      <c r="AA34" s="271">
        <f t="shared" si="10"/>
        <v>0.35890243902439017</v>
      </c>
      <c r="AB34" s="271">
        <f t="shared" si="11"/>
        <v>1.4703658536585364</v>
      </c>
      <c r="AC34" s="284">
        <f t="shared" si="12"/>
        <v>0.51044762940734889</v>
      </c>
      <c r="AD34" s="285">
        <f t="shared" si="13"/>
        <v>-9.6716443946354147E-3</v>
      </c>
      <c r="AE34" s="221" t="s">
        <v>269</v>
      </c>
    </row>
    <row r="35" spans="1:31" ht="40" customHeight="1" x14ac:dyDescent="0.2">
      <c r="A35" s="123">
        <v>30</v>
      </c>
      <c r="B35" s="274" t="s">
        <v>241</v>
      </c>
      <c r="C35" s="123">
        <v>1</v>
      </c>
      <c r="D35" s="123">
        <v>36</v>
      </c>
      <c r="E35" s="123">
        <f t="shared" si="22"/>
        <v>36</v>
      </c>
      <c r="F35" s="123" t="s">
        <v>269</v>
      </c>
      <c r="G35" s="123" t="s">
        <v>269</v>
      </c>
      <c r="H35" s="257">
        <f t="shared" si="23"/>
        <v>75.078000000000003</v>
      </c>
      <c r="I35" s="257">
        <f t="shared" si="24"/>
        <v>2.0855000000000001</v>
      </c>
      <c r="J35" s="257">
        <f t="shared" si="20"/>
        <v>75.078000000000003</v>
      </c>
      <c r="K35" s="257"/>
      <c r="L35" s="257">
        <f t="shared" si="21"/>
        <v>0.66038632045598489</v>
      </c>
      <c r="M35" s="257">
        <f t="shared" si="16"/>
        <v>23.773907536415454</v>
      </c>
      <c r="N35" s="257">
        <f t="shared" si="5"/>
        <v>0.7198210892970236</v>
      </c>
      <c r="O35" s="257">
        <f t="shared" si="25"/>
        <v>25.91355921469285</v>
      </c>
      <c r="P35" s="257">
        <v>1.5</v>
      </c>
      <c r="Q35" s="257">
        <f t="shared" si="1"/>
        <v>54</v>
      </c>
      <c r="R35" s="257">
        <f t="shared" si="2"/>
        <v>0.7801789107029764</v>
      </c>
      <c r="S35" s="257">
        <f t="shared" si="2"/>
        <v>28.08644078530715</v>
      </c>
      <c r="T35" s="246">
        <f t="shared" si="3"/>
        <v>0.52011927380198431</v>
      </c>
      <c r="U35" s="135"/>
      <c r="V35" s="268">
        <f t="shared" si="6"/>
        <v>1.5</v>
      </c>
      <c r="W35" s="269">
        <v>0.18</v>
      </c>
      <c r="X35" s="270">
        <f t="shared" si="7"/>
        <v>1.8292682926829267</v>
      </c>
      <c r="Y35" s="271">
        <f t="shared" si="8"/>
        <v>0.32926829268292679</v>
      </c>
      <c r="Z35" s="267">
        <f t="shared" si="9"/>
        <v>2.963414634146341E-2</v>
      </c>
      <c r="AA35" s="271">
        <f t="shared" si="10"/>
        <v>0.35890243902439017</v>
      </c>
      <c r="AB35" s="271">
        <f t="shared" si="11"/>
        <v>1.4703658536585364</v>
      </c>
      <c r="AC35" s="284">
        <f t="shared" si="12"/>
        <v>0.51044762940734889</v>
      </c>
      <c r="AD35" s="285">
        <f t="shared" si="13"/>
        <v>-9.6716443946354147E-3</v>
      </c>
      <c r="AE35" s="221" t="s">
        <v>269</v>
      </c>
    </row>
    <row r="36" spans="1:31" ht="40" customHeight="1" x14ac:dyDescent="0.2">
      <c r="A36" s="123">
        <v>31</v>
      </c>
      <c r="B36" s="274" t="s">
        <v>242</v>
      </c>
      <c r="C36" s="123">
        <v>1</v>
      </c>
      <c r="D36" s="123">
        <v>36</v>
      </c>
      <c r="E36" s="123">
        <f t="shared" si="22"/>
        <v>36</v>
      </c>
      <c r="F36" s="123" t="s">
        <v>269</v>
      </c>
      <c r="G36" s="123" t="s">
        <v>269</v>
      </c>
      <c r="H36" s="257">
        <f t="shared" si="23"/>
        <v>75.078000000000003</v>
      </c>
      <c r="I36" s="257">
        <f t="shared" si="24"/>
        <v>2.0855000000000001</v>
      </c>
      <c r="J36" s="257">
        <f t="shared" si="20"/>
        <v>75.078000000000003</v>
      </c>
      <c r="K36" s="257"/>
      <c r="L36" s="257">
        <f t="shared" si="21"/>
        <v>0.66038632045598489</v>
      </c>
      <c r="M36" s="257">
        <f t="shared" si="16"/>
        <v>23.773907536415454</v>
      </c>
      <c r="N36" s="257">
        <f t="shared" si="5"/>
        <v>0.7198210892970236</v>
      </c>
      <c r="O36" s="257">
        <f t="shared" si="25"/>
        <v>25.91355921469285</v>
      </c>
      <c r="P36" s="257">
        <v>1.5</v>
      </c>
      <c r="Q36" s="257">
        <f t="shared" si="1"/>
        <v>54</v>
      </c>
      <c r="R36" s="257">
        <f t="shared" si="2"/>
        <v>0.7801789107029764</v>
      </c>
      <c r="S36" s="257">
        <f t="shared" si="2"/>
        <v>28.08644078530715</v>
      </c>
      <c r="T36" s="246">
        <f t="shared" si="3"/>
        <v>0.52011927380198431</v>
      </c>
      <c r="U36" s="135"/>
      <c r="V36" s="268">
        <f t="shared" si="6"/>
        <v>1.5</v>
      </c>
      <c r="W36" s="269">
        <v>0.18</v>
      </c>
      <c r="X36" s="270">
        <f t="shared" si="7"/>
        <v>1.8292682926829267</v>
      </c>
      <c r="Y36" s="271">
        <f t="shared" si="8"/>
        <v>0.32926829268292679</v>
      </c>
      <c r="Z36" s="267">
        <f t="shared" si="9"/>
        <v>2.963414634146341E-2</v>
      </c>
      <c r="AA36" s="271">
        <f t="shared" si="10"/>
        <v>0.35890243902439017</v>
      </c>
      <c r="AB36" s="271">
        <f t="shared" si="11"/>
        <v>1.4703658536585364</v>
      </c>
      <c r="AC36" s="284">
        <f t="shared" si="12"/>
        <v>0.51044762940734889</v>
      </c>
      <c r="AD36" s="285">
        <f t="shared" si="13"/>
        <v>-9.6716443946354147E-3</v>
      </c>
      <c r="AE36" s="221" t="s">
        <v>269</v>
      </c>
    </row>
    <row r="37" spans="1:31" ht="40" customHeight="1" x14ac:dyDescent="0.2">
      <c r="A37" s="123">
        <v>32</v>
      </c>
      <c r="B37" s="274" t="s">
        <v>243</v>
      </c>
      <c r="C37" s="123">
        <v>1</v>
      </c>
      <c r="D37" s="123">
        <v>36</v>
      </c>
      <c r="E37" s="123">
        <f t="shared" si="22"/>
        <v>36</v>
      </c>
      <c r="F37" s="123" t="s">
        <v>269</v>
      </c>
      <c r="G37" s="123" t="s">
        <v>269</v>
      </c>
      <c r="H37" s="257">
        <f t="shared" si="23"/>
        <v>75.078000000000003</v>
      </c>
      <c r="I37" s="257">
        <f t="shared" si="24"/>
        <v>2.0855000000000001</v>
      </c>
      <c r="J37" s="257">
        <f t="shared" si="20"/>
        <v>75.078000000000003</v>
      </c>
      <c r="K37" s="257"/>
      <c r="L37" s="257">
        <f t="shared" si="21"/>
        <v>0.66038632045598489</v>
      </c>
      <c r="M37" s="257">
        <f t="shared" si="16"/>
        <v>23.773907536415454</v>
      </c>
      <c r="N37" s="257">
        <f t="shared" si="5"/>
        <v>0.7198210892970236</v>
      </c>
      <c r="O37" s="257">
        <f t="shared" si="25"/>
        <v>25.91355921469285</v>
      </c>
      <c r="P37" s="257">
        <v>1.5</v>
      </c>
      <c r="Q37" s="257">
        <f t="shared" si="1"/>
        <v>54</v>
      </c>
      <c r="R37" s="257">
        <f t="shared" si="2"/>
        <v>0.7801789107029764</v>
      </c>
      <c r="S37" s="257">
        <f t="shared" si="2"/>
        <v>28.08644078530715</v>
      </c>
      <c r="T37" s="246">
        <f t="shared" si="3"/>
        <v>0.52011927380198431</v>
      </c>
      <c r="U37" s="135"/>
      <c r="V37" s="268">
        <f t="shared" si="6"/>
        <v>1.5</v>
      </c>
      <c r="W37" s="269">
        <v>0.18</v>
      </c>
      <c r="X37" s="270">
        <f t="shared" si="7"/>
        <v>1.8292682926829267</v>
      </c>
      <c r="Y37" s="271">
        <f t="shared" si="8"/>
        <v>0.32926829268292679</v>
      </c>
      <c r="Z37" s="267">
        <f t="shared" si="9"/>
        <v>2.963414634146341E-2</v>
      </c>
      <c r="AA37" s="271">
        <f t="shared" si="10"/>
        <v>0.35890243902439017</v>
      </c>
      <c r="AB37" s="271">
        <f t="shared" si="11"/>
        <v>1.4703658536585364</v>
      </c>
      <c r="AC37" s="284">
        <f t="shared" si="12"/>
        <v>0.51044762940734889</v>
      </c>
      <c r="AD37" s="285">
        <f t="shared" si="13"/>
        <v>-9.6716443946354147E-3</v>
      </c>
      <c r="AE37" s="221" t="s">
        <v>269</v>
      </c>
    </row>
    <row r="38" spans="1:31" ht="40" customHeight="1" x14ac:dyDescent="0.2">
      <c r="A38" s="123">
        <v>33</v>
      </c>
      <c r="B38" s="274" t="s">
        <v>244</v>
      </c>
      <c r="C38" s="123">
        <v>1</v>
      </c>
      <c r="D38" s="123">
        <v>36</v>
      </c>
      <c r="E38" s="123">
        <f t="shared" si="22"/>
        <v>36</v>
      </c>
      <c r="F38" s="123" t="s">
        <v>269</v>
      </c>
      <c r="G38" s="123" t="s">
        <v>269</v>
      </c>
      <c r="H38" s="257">
        <f t="shared" si="23"/>
        <v>75.078000000000003</v>
      </c>
      <c r="I38" s="257">
        <f t="shared" si="24"/>
        <v>2.0855000000000001</v>
      </c>
      <c r="J38" s="257">
        <f t="shared" si="20"/>
        <v>75.078000000000003</v>
      </c>
      <c r="K38" s="257"/>
      <c r="L38" s="257">
        <f t="shared" si="21"/>
        <v>0.66038632045598489</v>
      </c>
      <c r="M38" s="257">
        <f t="shared" si="16"/>
        <v>23.773907536415454</v>
      </c>
      <c r="N38" s="257">
        <f t="shared" si="5"/>
        <v>0.7198210892970236</v>
      </c>
      <c r="O38" s="257">
        <f t="shared" si="25"/>
        <v>25.91355921469285</v>
      </c>
      <c r="P38" s="257">
        <v>1.5</v>
      </c>
      <c r="Q38" s="257">
        <f t="shared" si="1"/>
        <v>54</v>
      </c>
      <c r="R38" s="257">
        <f t="shared" si="2"/>
        <v>0.7801789107029764</v>
      </c>
      <c r="S38" s="257">
        <f t="shared" si="2"/>
        <v>28.08644078530715</v>
      </c>
      <c r="T38" s="246">
        <f t="shared" si="3"/>
        <v>0.52011927380198431</v>
      </c>
      <c r="U38" s="135"/>
      <c r="V38" s="268">
        <f t="shared" si="6"/>
        <v>1.5</v>
      </c>
      <c r="W38" s="269">
        <v>0.18</v>
      </c>
      <c r="X38" s="270">
        <f t="shared" si="7"/>
        <v>1.8292682926829267</v>
      </c>
      <c r="Y38" s="271">
        <f t="shared" si="8"/>
        <v>0.32926829268292679</v>
      </c>
      <c r="Z38" s="267">
        <f t="shared" si="9"/>
        <v>2.963414634146341E-2</v>
      </c>
      <c r="AA38" s="271">
        <f t="shared" si="10"/>
        <v>0.35890243902439017</v>
      </c>
      <c r="AB38" s="271">
        <f t="shared" si="11"/>
        <v>1.4703658536585364</v>
      </c>
      <c r="AC38" s="284">
        <f t="shared" si="12"/>
        <v>0.51044762940734889</v>
      </c>
      <c r="AD38" s="285">
        <f t="shared" si="13"/>
        <v>-9.6716443946354147E-3</v>
      </c>
      <c r="AE38" s="221" t="s">
        <v>269</v>
      </c>
    </row>
    <row r="39" spans="1:31" ht="40" customHeight="1" x14ac:dyDescent="0.2">
      <c r="A39" s="123">
        <v>34</v>
      </c>
      <c r="B39" s="274" t="s">
        <v>193</v>
      </c>
      <c r="C39" s="123">
        <v>1</v>
      </c>
      <c r="D39" s="123">
        <v>36</v>
      </c>
      <c r="E39" s="123">
        <f t="shared" si="22"/>
        <v>36</v>
      </c>
      <c r="F39" s="123" t="s">
        <v>269</v>
      </c>
      <c r="G39" s="123" t="s">
        <v>269</v>
      </c>
      <c r="H39" s="257">
        <f t="shared" si="23"/>
        <v>75.078000000000003</v>
      </c>
      <c r="I39" s="257">
        <f t="shared" si="24"/>
        <v>2.0855000000000001</v>
      </c>
      <c r="J39" s="257">
        <f t="shared" si="20"/>
        <v>75.078000000000003</v>
      </c>
      <c r="K39" s="257"/>
      <c r="L39" s="257">
        <f t="shared" si="21"/>
        <v>0.66038632045598489</v>
      </c>
      <c r="M39" s="257">
        <f t="shared" si="16"/>
        <v>23.773907536415454</v>
      </c>
      <c r="N39" s="257">
        <f t="shared" si="5"/>
        <v>0.7198210892970236</v>
      </c>
      <c r="O39" s="257">
        <f t="shared" si="25"/>
        <v>25.91355921469285</v>
      </c>
      <c r="P39" s="257">
        <v>1.5</v>
      </c>
      <c r="Q39" s="257">
        <f t="shared" si="1"/>
        <v>54</v>
      </c>
      <c r="R39" s="257">
        <f t="shared" si="2"/>
        <v>0.7801789107029764</v>
      </c>
      <c r="S39" s="257">
        <f t="shared" si="2"/>
        <v>28.08644078530715</v>
      </c>
      <c r="T39" s="246">
        <f t="shared" si="3"/>
        <v>0.52011927380198431</v>
      </c>
      <c r="U39" s="135"/>
      <c r="V39" s="268">
        <f t="shared" si="6"/>
        <v>1.5</v>
      </c>
      <c r="W39" s="269">
        <v>0.18</v>
      </c>
      <c r="X39" s="270">
        <f t="shared" si="7"/>
        <v>1.8292682926829267</v>
      </c>
      <c r="Y39" s="271">
        <f t="shared" si="8"/>
        <v>0.32926829268292679</v>
      </c>
      <c r="Z39" s="267">
        <f t="shared" si="9"/>
        <v>2.963414634146341E-2</v>
      </c>
      <c r="AA39" s="271">
        <f t="shared" si="10"/>
        <v>0.35890243902439017</v>
      </c>
      <c r="AB39" s="271">
        <f t="shared" si="11"/>
        <v>1.4703658536585364</v>
      </c>
      <c r="AC39" s="284">
        <f t="shared" si="12"/>
        <v>0.51044762940734889</v>
      </c>
      <c r="AD39" s="285">
        <f t="shared" si="13"/>
        <v>-9.6716443946354147E-3</v>
      </c>
      <c r="AE39" s="221" t="s">
        <v>269</v>
      </c>
    </row>
    <row r="40" spans="1:31" ht="40" customHeight="1" x14ac:dyDescent="0.2">
      <c r="A40" s="123">
        <v>35</v>
      </c>
      <c r="B40" s="274" t="s">
        <v>194</v>
      </c>
      <c r="C40" s="123">
        <v>1</v>
      </c>
      <c r="D40" s="123">
        <v>36</v>
      </c>
      <c r="E40" s="123">
        <f t="shared" si="22"/>
        <v>36</v>
      </c>
      <c r="F40" s="123" t="s">
        <v>269</v>
      </c>
      <c r="G40" s="123" t="s">
        <v>269</v>
      </c>
      <c r="H40" s="257">
        <f t="shared" si="23"/>
        <v>75.078000000000003</v>
      </c>
      <c r="I40" s="257">
        <f t="shared" si="24"/>
        <v>2.0855000000000001</v>
      </c>
      <c r="J40" s="257">
        <f t="shared" si="20"/>
        <v>75.078000000000003</v>
      </c>
      <c r="K40" s="257"/>
      <c r="L40" s="257">
        <f t="shared" si="21"/>
        <v>0.66038632045598489</v>
      </c>
      <c r="M40" s="257">
        <f t="shared" si="16"/>
        <v>23.773907536415454</v>
      </c>
      <c r="N40" s="257">
        <f t="shared" si="5"/>
        <v>0.7198210892970236</v>
      </c>
      <c r="O40" s="257">
        <f t="shared" si="25"/>
        <v>25.91355921469285</v>
      </c>
      <c r="P40" s="257">
        <v>1.5</v>
      </c>
      <c r="Q40" s="257">
        <f t="shared" si="1"/>
        <v>54</v>
      </c>
      <c r="R40" s="257">
        <f t="shared" si="2"/>
        <v>0.7801789107029764</v>
      </c>
      <c r="S40" s="257">
        <f t="shared" si="2"/>
        <v>28.08644078530715</v>
      </c>
      <c r="T40" s="246">
        <f t="shared" si="3"/>
        <v>0.52011927380198431</v>
      </c>
      <c r="U40" s="135"/>
      <c r="V40" s="268">
        <f t="shared" si="6"/>
        <v>1.5</v>
      </c>
      <c r="W40" s="269">
        <v>0.18</v>
      </c>
      <c r="X40" s="270">
        <f t="shared" si="7"/>
        <v>1.8292682926829267</v>
      </c>
      <c r="Y40" s="271">
        <f t="shared" si="8"/>
        <v>0.32926829268292679</v>
      </c>
      <c r="Z40" s="267">
        <f t="shared" si="9"/>
        <v>2.963414634146341E-2</v>
      </c>
      <c r="AA40" s="271">
        <f t="shared" si="10"/>
        <v>0.35890243902439017</v>
      </c>
      <c r="AB40" s="271">
        <f t="shared" si="11"/>
        <v>1.4703658536585364</v>
      </c>
      <c r="AC40" s="284">
        <f t="shared" si="12"/>
        <v>0.51044762940734889</v>
      </c>
      <c r="AD40" s="285">
        <f t="shared" si="13"/>
        <v>-9.6716443946354147E-3</v>
      </c>
      <c r="AE40" s="221" t="s">
        <v>269</v>
      </c>
    </row>
    <row r="41" spans="1:31" ht="40" customHeight="1" x14ac:dyDescent="0.2">
      <c r="A41" s="123">
        <v>36</v>
      </c>
      <c r="B41" s="274" t="s">
        <v>195</v>
      </c>
      <c r="C41" s="123">
        <v>1</v>
      </c>
      <c r="D41" s="123">
        <v>36</v>
      </c>
      <c r="E41" s="123">
        <f t="shared" si="22"/>
        <v>36</v>
      </c>
      <c r="F41" s="123" t="s">
        <v>269</v>
      </c>
      <c r="G41" s="123" t="s">
        <v>269</v>
      </c>
      <c r="H41" s="257">
        <f t="shared" si="23"/>
        <v>75.078000000000003</v>
      </c>
      <c r="I41" s="257">
        <f t="shared" si="24"/>
        <v>2.0855000000000001</v>
      </c>
      <c r="J41" s="257">
        <f t="shared" si="20"/>
        <v>75.078000000000003</v>
      </c>
      <c r="K41" s="257"/>
      <c r="L41" s="257">
        <f t="shared" si="21"/>
        <v>0.66038632045598489</v>
      </c>
      <c r="M41" s="257">
        <f t="shared" si="16"/>
        <v>23.773907536415454</v>
      </c>
      <c r="N41" s="257">
        <f t="shared" si="5"/>
        <v>0.7198210892970236</v>
      </c>
      <c r="O41" s="257">
        <f t="shared" si="25"/>
        <v>25.91355921469285</v>
      </c>
      <c r="P41" s="257">
        <v>1.5</v>
      </c>
      <c r="Q41" s="257">
        <f t="shared" si="1"/>
        <v>54</v>
      </c>
      <c r="R41" s="257">
        <f t="shared" si="2"/>
        <v>0.7801789107029764</v>
      </c>
      <c r="S41" s="257">
        <f t="shared" si="2"/>
        <v>28.08644078530715</v>
      </c>
      <c r="T41" s="246">
        <f t="shared" si="3"/>
        <v>0.52011927380198431</v>
      </c>
      <c r="U41" s="135"/>
      <c r="V41" s="268">
        <f t="shared" si="6"/>
        <v>1.5</v>
      </c>
      <c r="W41" s="269">
        <v>0.18</v>
      </c>
      <c r="X41" s="270">
        <f t="shared" si="7"/>
        <v>1.8292682926829267</v>
      </c>
      <c r="Y41" s="271">
        <f t="shared" si="8"/>
        <v>0.32926829268292679</v>
      </c>
      <c r="Z41" s="267">
        <f t="shared" si="9"/>
        <v>2.963414634146341E-2</v>
      </c>
      <c r="AA41" s="271">
        <f t="shared" si="10"/>
        <v>0.35890243902439017</v>
      </c>
      <c r="AB41" s="271">
        <f t="shared" si="11"/>
        <v>1.4703658536585364</v>
      </c>
      <c r="AC41" s="284">
        <f t="shared" si="12"/>
        <v>0.51044762940734889</v>
      </c>
      <c r="AD41" s="285">
        <f t="shared" si="13"/>
        <v>-9.6716443946354147E-3</v>
      </c>
      <c r="AE41" s="221" t="s">
        <v>269</v>
      </c>
    </row>
    <row r="42" spans="1:31" ht="40" customHeight="1" x14ac:dyDescent="0.2">
      <c r="A42" s="123">
        <v>37</v>
      </c>
      <c r="B42" s="274" t="s">
        <v>188</v>
      </c>
      <c r="C42" s="123">
        <v>1</v>
      </c>
      <c r="D42" s="123">
        <v>48</v>
      </c>
      <c r="E42" s="123">
        <f>D42*C42</f>
        <v>48</v>
      </c>
      <c r="F42" s="123" t="s">
        <v>269</v>
      </c>
      <c r="G42" s="123" t="s">
        <v>269</v>
      </c>
      <c r="H42" s="257">
        <v>98.4</v>
      </c>
      <c r="I42" s="257">
        <f>H42/D42</f>
        <v>2.0500000000000003</v>
      </c>
      <c r="J42" s="257">
        <f t="shared" si="20"/>
        <v>98.4</v>
      </c>
      <c r="K42" s="257"/>
      <c r="L42" s="257">
        <f t="shared" si="21"/>
        <v>0.64914502849905009</v>
      </c>
      <c r="M42" s="257">
        <f>H42/$S$2</f>
        <v>31.158961367954404</v>
      </c>
      <c r="N42" s="257">
        <f t="shared" si="5"/>
        <v>0.70756808106396463</v>
      </c>
      <c r="O42" s="257">
        <f>N42*E42</f>
        <v>33.963267891070302</v>
      </c>
      <c r="P42" s="257">
        <v>1</v>
      </c>
      <c r="Q42" s="257">
        <f t="shared" si="1"/>
        <v>48</v>
      </c>
      <c r="R42" s="257">
        <f t="shared" si="2"/>
        <v>0.29243191893603537</v>
      </c>
      <c r="S42" s="257">
        <f t="shared" si="2"/>
        <v>14.036732108929698</v>
      </c>
      <c r="T42" s="246">
        <f t="shared" si="3"/>
        <v>0.29243191893603537</v>
      </c>
      <c r="U42" s="135"/>
      <c r="V42" s="268">
        <f t="shared" si="6"/>
        <v>1</v>
      </c>
      <c r="W42" s="269">
        <v>0.18</v>
      </c>
      <c r="X42" s="270">
        <f t="shared" si="7"/>
        <v>1.2195121951219512</v>
      </c>
      <c r="Y42" s="271">
        <f t="shared" si="8"/>
        <v>0.21951219512195122</v>
      </c>
      <c r="Z42" s="267">
        <f t="shared" si="9"/>
        <v>1.975609756097561E-2</v>
      </c>
      <c r="AA42" s="271">
        <f t="shared" si="10"/>
        <v>0.23926829268292682</v>
      </c>
      <c r="AB42" s="271">
        <f t="shared" si="11"/>
        <v>0.98024390243902437</v>
      </c>
      <c r="AC42" s="284">
        <f t="shared" si="12"/>
        <v>0.27817140274639091</v>
      </c>
      <c r="AD42" s="285">
        <f t="shared" si="13"/>
        <v>-1.4260516189644468E-2</v>
      </c>
      <c r="AE42" s="221" t="s">
        <v>269</v>
      </c>
    </row>
    <row r="43" spans="1:31" ht="40" customHeight="1" x14ac:dyDescent="0.2">
      <c r="A43" s="123">
        <v>38</v>
      </c>
      <c r="B43" s="274" t="s">
        <v>27</v>
      </c>
      <c r="C43" s="123">
        <v>1</v>
      </c>
      <c r="D43" s="123" t="s">
        <v>28</v>
      </c>
      <c r="E43" s="123">
        <f t="shared" ref="E43:E131" si="26">D43*C43</f>
        <v>50</v>
      </c>
      <c r="F43" s="123">
        <v>83</v>
      </c>
      <c r="G43" s="123">
        <v>80.510000000000005</v>
      </c>
      <c r="H43" s="123">
        <v>80.510000000000005</v>
      </c>
      <c r="I43" s="257">
        <f t="shared" ref="I43:I131" si="27">H43/D43</f>
        <v>1.6102000000000001</v>
      </c>
      <c r="J43" s="257">
        <f t="shared" si="0"/>
        <v>80.510000000000005</v>
      </c>
      <c r="K43" s="257"/>
      <c r="L43" s="257">
        <f t="shared" si="4"/>
        <v>0.50987967067764417</v>
      </c>
      <c r="M43" s="257">
        <f t="shared" ref="M43:M131" si="28">H43/$S$2</f>
        <v>25.493983533882208</v>
      </c>
      <c r="N43" s="257">
        <f t="shared" si="5"/>
        <v>0.55576884103863222</v>
      </c>
      <c r="O43" s="257">
        <f>N43*E43</f>
        <v>27.788442051931611</v>
      </c>
      <c r="P43" s="257">
        <v>1</v>
      </c>
      <c r="Q43" s="257">
        <f>P43*E43</f>
        <v>50</v>
      </c>
      <c r="R43" s="257">
        <f t="shared" si="2"/>
        <v>0.44423115896136778</v>
      </c>
      <c r="S43" s="257">
        <f t="shared" si="2"/>
        <v>22.211557948068389</v>
      </c>
      <c r="T43" s="246">
        <f t="shared" si="3"/>
        <v>0.44423115896136778</v>
      </c>
      <c r="U43" s="137"/>
      <c r="V43" s="268">
        <f t="shared" si="6"/>
        <v>1</v>
      </c>
      <c r="W43" s="269">
        <v>0.18</v>
      </c>
      <c r="X43" s="270">
        <f t="shared" si="7"/>
        <v>1.2195121951219512</v>
      </c>
      <c r="Y43" s="271">
        <f t="shared" si="8"/>
        <v>0.21951219512195122</v>
      </c>
      <c r="Z43" s="267">
        <f t="shared" si="9"/>
        <v>1.975609756097561E-2</v>
      </c>
      <c r="AA43" s="271">
        <f t="shared" si="10"/>
        <v>0.23926829268292682</v>
      </c>
      <c r="AB43" s="271">
        <f t="shared" si="11"/>
        <v>0.98024390243902437</v>
      </c>
      <c r="AC43" s="284">
        <f t="shared" si="12"/>
        <v>0.43303004522060407</v>
      </c>
      <c r="AD43" s="285">
        <f t="shared" si="13"/>
        <v>-1.1201113740763713E-2</v>
      </c>
      <c r="AE43" s="221" t="s">
        <v>269</v>
      </c>
    </row>
    <row r="44" spans="1:31" ht="40" customHeight="1" x14ac:dyDescent="0.2">
      <c r="A44" s="123">
        <v>39</v>
      </c>
      <c r="B44" s="274" t="s">
        <v>182</v>
      </c>
      <c r="C44" s="123">
        <v>1</v>
      </c>
      <c r="D44" s="123" t="s">
        <v>28</v>
      </c>
      <c r="E44" s="123">
        <v>50</v>
      </c>
      <c r="F44" s="123">
        <v>83</v>
      </c>
      <c r="G44" s="123">
        <v>80.510000000000005</v>
      </c>
      <c r="H44" s="123">
        <v>80.510000000000005</v>
      </c>
      <c r="I44" s="257">
        <f t="shared" si="27"/>
        <v>1.6102000000000001</v>
      </c>
      <c r="J44" s="257">
        <f>83</f>
        <v>83</v>
      </c>
      <c r="K44" s="257"/>
      <c r="L44" s="257">
        <f t="shared" si="4"/>
        <v>0.50987967067764417</v>
      </c>
      <c r="M44" s="257">
        <v>0.55576884103863222</v>
      </c>
      <c r="N44" s="257">
        <f t="shared" si="5"/>
        <v>0.55576884103863222</v>
      </c>
      <c r="O44" s="257">
        <f t="shared" ref="O44:O131" si="29">N44*E44</f>
        <v>27.788442051931611</v>
      </c>
      <c r="P44" s="257">
        <v>1</v>
      </c>
      <c r="Q44" s="257">
        <f t="shared" ref="Q44" si="30">P44*E44</f>
        <v>50</v>
      </c>
      <c r="R44" s="257">
        <f>P44-N44</f>
        <v>0.44423115896136778</v>
      </c>
      <c r="S44" s="257">
        <f t="shared" si="2"/>
        <v>22.211557948068389</v>
      </c>
      <c r="T44" s="246">
        <f t="shared" si="3"/>
        <v>0.44423115896136778</v>
      </c>
      <c r="U44" s="137"/>
      <c r="V44" s="268">
        <f t="shared" si="6"/>
        <v>1</v>
      </c>
      <c r="W44" s="269">
        <v>0.18</v>
      </c>
      <c r="X44" s="270">
        <f t="shared" si="7"/>
        <v>1.2195121951219512</v>
      </c>
      <c r="Y44" s="271">
        <f t="shared" si="8"/>
        <v>0.21951219512195122</v>
      </c>
      <c r="Z44" s="267">
        <f t="shared" si="9"/>
        <v>1.975609756097561E-2</v>
      </c>
      <c r="AA44" s="271">
        <f t="shared" si="10"/>
        <v>0.23926829268292682</v>
      </c>
      <c r="AB44" s="271">
        <f t="shared" si="11"/>
        <v>0.98024390243902437</v>
      </c>
      <c r="AC44" s="284">
        <f t="shared" si="12"/>
        <v>0.43303004522060407</v>
      </c>
      <c r="AD44" s="285">
        <f t="shared" si="13"/>
        <v>-1.1201113740763713E-2</v>
      </c>
      <c r="AE44" s="221" t="s">
        <v>269</v>
      </c>
    </row>
    <row r="45" spans="1:31" ht="40" customHeight="1" x14ac:dyDescent="0.2">
      <c r="A45" s="123">
        <v>40</v>
      </c>
      <c r="B45" s="274" t="s">
        <v>29</v>
      </c>
      <c r="C45" s="123">
        <v>1</v>
      </c>
      <c r="D45" s="123" t="s">
        <v>28</v>
      </c>
      <c r="E45" s="123">
        <f t="shared" si="26"/>
        <v>50</v>
      </c>
      <c r="F45" s="123">
        <v>83</v>
      </c>
      <c r="G45" s="123">
        <v>80.510000000000005</v>
      </c>
      <c r="H45" s="123">
        <v>80.510000000000005</v>
      </c>
      <c r="I45" s="257">
        <f t="shared" si="27"/>
        <v>1.6102000000000001</v>
      </c>
      <c r="J45" s="257">
        <f t="shared" si="0"/>
        <v>80.510000000000005</v>
      </c>
      <c r="K45" s="257"/>
      <c r="L45" s="257">
        <f t="shared" si="4"/>
        <v>0.50987967067764417</v>
      </c>
      <c r="M45" s="257">
        <f t="shared" si="28"/>
        <v>25.493983533882208</v>
      </c>
      <c r="N45" s="257">
        <f t="shared" si="5"/>
        <v>0.55576884103863222</v>
      </c>
      <c r="O45" s="257">
        <f t="shared" si="29"/>
        <v>27.788442051931611</v>
      </c>
      <c r="P45" s="257">
        <v>1</v>
      </c>
      <c r="Q45" s="257">
        <f t="shared" si="1"/>
        <v>50</v>
      </c>
      <c r="R45" s="257">
        <f>P45-N45</f>
        <v>0.44423115896136778</v>
      </c>
      <c r="S45" s="257">
        <f t="shared" si="2"/>
        <v>22.211557948068389</v>
      </c>
      <c r="T45" s="246">
        <f t="shared" si="3"/>
        <v>0.44423115896136778</v>
      </c>
      <c r="U45" s="138"/>
      <c r="V45" s="268">
        <f t="shared" si="6"/>
        <v>1</v>
      </c>
      <c r="W45" s="269">
        <v>0.18</v>
      </c>
      <c r="X45" s="270">
        <f t="shared" si="7"/>
        <v>1.2195121951219512</v>
      </c>
      <c r="Y45" s="271">
        <f t="shared" si="8"/>
        <v>0.21951219512195122</v>
      </c>
      <c r="Z45" s="267">
        <f t="shared" si="9"/>
        <v>1.975609756097561E-2</v>
      </c>
      <c r="AA45" s="271">
        <f t="shared" si="10"/>
        <v>0.23926829268292682</v>
      </c>
      <c r="AB45" s="271">
        <f t="shared" si="11"/>
        <v>0.98024390243902437</v>
      </c>
      <c r="AC45" s="284">
        <f t="shared" si="12"/>
        <v>0.43303004522060407</v>
      </c>
      <c r="AD45" s="285">
        <f t="shared" si="13"/>
        <v>-1.1201113740763713E-2</v>
      </c>
      <c r="AE45" s="221" t="s">
        <v>269</v>
      </c>
    </row>
    <row r="46" spans="1:31" ht="40" customHeight="1" x14ac:dyDescent="0.2">
      <c r="A46" s="123">
        <v>41</v>
      </c>
      <c r="B46" s="274" t="s">
        <v>30</v>
      </c>
      <c r="C46" s="123">
        <v>1</v>
      </c>
      <c r="D46" s="123" t="s">
        <v>28</v>
      </c>
      <c r="E46" s="123">
        <f t="shared" si="26"/>
        <v>50</v>
      </c>
      <c r="F46" s="123">
        <v>83</v>
      </c>
      <c r="G46" s="123">
        <v>80.510000000000005</v>
      </c>
      <c r="H46" s="123">
        <v>80.510000000000005</v>
      </c>
      <c r="I46" s="257">
        <f t="shared" si="27"/>
        <v>1.6102000000000001</v>
      </c>
      <c r="J46" s="257">
        <f t="shared" si="0"/>
        <v>80.510000000000005</v>
      </c>
      <c r="K46" s="257"/>
      <c r="L46" s="257">
        <f t="shared" si="4"/>
        <v>0.50987967067764417</v>
      </c>
      <c r="M46" s="257">
        <f t="shared" si="28"/>
        <v>25.493983533882208</v>
      </c>
      <c r="N46" s="257">
        <f t="shared" si="5"/>
        <v>0.55576884103863222</v>
      </c>
      <c r="O46" s="257">
        <f t="shared" si="29"/>
        <v>27.788442051931611</v>
      </c>
      <c r="P46" s="257">
        <v>1</v>
      </c>
      <c r="Q46" s="257">
        <f t="shared" si="1"/>
        <v>50</v>
      </c>
      <c r="R46" s="257">
        <f t="shared" si="2"/>
        <v>0.44423115896136778</v>
      </c>
      <c r="S46" s="257">
        <f t="shared" si="2"/>
        <v>22.211557948068389</v>
      </c>
      <c r="T46" s="246">
        <f t="shared" si="3"/>
        <v>0.44423115896136778</v>
      </c>
      <c r="U46" s="138"/>
      <c r="V46" s="268">
        <f t="shared" si="6"/>
        <v>1</v>
      </c>
      <c r="W46" s="269">
        <v>0.18</v>
      </c>
      <c r="X46" s="270">
        <f t="shared" si="7"/>
        <v>1.2195121951219512</v>
      </c>
      <c r="Y46" s="271">
        <f t="shared" si="8"/>
        <v>0.21951219512195122</v>
      </c>
      <c r="Z46" s="267">
        <f t="shared" si="9"/>
        <v>1.975609756097561E-2</v>
      </c>
      <c r="AA46" s="271">
        <f t="shared" si="10"/>
        <v>0.23926829268292682</v>
      </c>
      <c r="AB46" s="271">
        <f t="shared" si="11"/>
        <v>0.98024390243902437</v>
      </c>
      <c r="AC46" s="284">
        <f t="shared" si="12"/>
        <v>0.43303004522060407</v>
      </c>
      <c r="AD46" s="285">
        <f t="shared" si="13"/>
        <v>-1.1201113740763713E-2</v>
      </c>
      <c r="AE46" s="221" t="s">
        <v>269</v>
      </c>
    </row>
    <row r="47" spans="1:31" ht="40" customHeight="1" x14ac:dyDescent="0.2">
      <c r="A47" s="123">
        <v>42</v>
      </c>
      <c r="B47" s="274" t="s">
        <v>33</v>
      </c>
      <c r="C47" s="123">
        <v>1</v>
      </c>
      <c r="D47" s="123" t="s">
        <v>28</v>
      </c>
      <c r="E47" s="123">
        <f t="shared" si="26"/>
        <v>50</v>
      </c>
      <c r="F47" s="123" t="s">
        <v>269</v>
      </c>
      <c r="G47" s="123" t="s">
        <v>269</v>
      </c>
      <c r="H47" s="257">
        <v>79.055000000000007</v>
      </c>
      <c r="I47" s="257">
        <f t="shared" si="27"/>
        <v>1.5811000000000002</v>
      </c>
      <c r="J47" s="257">
        <f t="shared" si="0"/>
        <v>79.055000000000007</v>
      </c>
      <c r="K47" s="257"/>
      <c r="L47" s="257">
        <f t="shared" si="4"/>
        <v>0.50066497783407227</v>
      </c>
      <c r="M47" s="257">
        <f t="shared" si="28"/>
        <v>25.033248891703614</v>
      </c>
      <c r="N47" s="257">
        <f t="shared" si="5"/>
        <v>0.54572482583913884</v>
      </c>
      <c r="O47" s="257">
        <f t="shared" si="29"/>
        <v>27.286241291956941</v>
      </c>
      <c r="P47" s="257">
        <v>0.85</v>
      </c>
      <c r="Q47" s="257">
        <f t="shared" si="1"/>
        <v>42.5</v>
      </c>
      <c r="R47" s="257">
        <f t="shared" si="2"/>
        <v>0.30427517416086114</v>
      </c>
      <c r="S47" s="257">
        <f t="shared" si="2"/>
        <v>15.213758708043059</v>
      </c>
      <c r="T47" s="246">
        <f t="shared" si="3"/>
        <v>0.3579707931304249</v>
      </c>
      <c r="U47" s="138"/>
      <c r="V47" s="268">
        <f t="shared" si="6"/>
        <v>0.85</v>
      </c>
      <c r="W47" s="269">
        <v>0.18</v>
      </c>
      <c r="X47" s="270">
        <f t="shared" si="7"/>
        <v>1.0365853658536583</v>
      </c>
      <c r="Y47" s="271">
        <f t="shared" si="8"/>
        <v>0.18658536585365851</v>
      </c>
      <c r="Z47" s="267">
        <f t="shared" si="9"/>
        <v>1.6792682926829266E-2</v>
      </c>
      <c r="AA47" s="271">
        <f t="shared" si="10"/>
        <v>0.20337804878048776</v>
      </c>
      <c r="AB47" s="271">
        <f t="shared" si="11"/>
        <v>0.83320731707317064</v>
      </c>
      <c r="AC47" s="284">
        <f t="shared" si="12"/>
        <v>0.34503116492529029</v>
      </c>
      <c r="AD47" s="285">
        <f t="shared" si="13"/>
        <v>-1.2939628205134612E-2</v>
      </c>
      <c r="AE47" s="221" t="s">
        <v>269</v>
      </c>
    </row>
    <row r="48" spans="1:31" ht="40" customHeight="1" x14ac:dyDescent="0.2">
      <c r="A48" s="123">
        <v>43</v>
      </c>
      <c r="B48" s="274" t="s">
        <v>34</v>
      </c>
      <c r="C48" s="123">
        <v>1</v>
      </c>
      <c r="D48" s="123" t="s">
        <v>28</v>
      </c>
      <c r="E48" s="123">
        <f t="shared" si="26"/>
        <v>50</v>
      </c>
      <c r="F48" s="123" t="s">
        <v>269</v>
      </c>
      <c r="G48" s="123" t="s">
        <v>269</v>
      </c>
      <c r="H48" s="257">
        <v>79.055000000000007</v>
      </c>
      <c r="I48" s="257">
        <f t="shared" si="27"/>
        <v>1.5811000000000002</v>
      </c>
      <c r="J48" s="257">
        <f t="shared" si="0"/>
        <v>79.055000000000007</v>
      </c>
      <c r="K48" s="257"/>
      <c r="L48" s="257">
        <f t="shared" si="4"/>
        <v>0.50066497783407227</v>
      </c>
      <c r="M48" s="257">
        <f t="shared" si="28"/>
        <v>25.033248891703614</v>
      </c>
      <c r="N48" s="257">
        <f t="shared" si="5"/>
        <v>0.54572482583913884</v>
      </c>
      <c r="O48" s="257">
        <f t="shared" si="29"/>
        <v>27.286241291956941</v>
      </c>
      <c r="P48" s="257">
        <v>0.85</v>
      </c>
      <c r="Q48" s="257">
        <f t="shared" si="1"/>
        <v>42.5</v>
      </c>
      <c r="R48" s="257">
        <f t="shared" si="2"/>
        <v>0.30427517416086114</v>
      </c>
      <c r="S48" s="257">
        <f t="shared" si="2"/>
        <v>15.213758708043059</v>
      </c>
      <c r="T48" s="246">
        <f t="shared" si="3"/>
        <v>0.3579707931304249</v>
      </c>
      <c r="U48" s="135"/>
      <c r="V48" s="268">
        <f t="shared" si="6"/>
        <v>0.85</v>
      </c>
      <c r="W48" s="269">
        <v>0.18</v>
      </c>
      <c r="X48" s="270">
        <f t="shared" si="7"/>
        <v>1.0365853658536583</v>
      </c>
      <c r="Y48" s="271">
        <f t="shared" si="8"/>
        <v>0.18658536585365851</v>
      </c>
      <c r="Z48" s="267">
        <f t="shared" si="9"/>
        <v>1.6792682926829266E-2</v>
      </c>
      <c r="AA48" s="271">
        <f t="shared" si="10"/>
        <v>0.20337804878048776</v>
      </c>
      <c r="AB48" s="271">
        <f t="shared" si="11"/>
        <v>0.83320731707317064</v>
      </c>
      <c r="AC48" s="284">
        <f t="shared" si="12"/>
        <v>0.34503116492529029</v>
      </c>
      <c r="AD48" s="285">
        <f t="shared" si="13"/>
        <v>-1.2939628205134612E-2</v>
      </c>
      <c r="AE48" s="221" t="s">
        <v>269</v>
      </c>
    </row>
    <row r="49" spans="1:31" ht="40" customHeight="1" x14ac:dyDescent="0.2">
      <c r="A49" s="123">
        <v>44</v>
      </c>
      <c r="B49" s="274" t="s">
        <v>35</v>
      </c>
      <c r="C49" s="123">
        <v>1</v>
      </c>
      <c r="D49" s="123" t="s">
        <v>28</v>
      </c>
      <c r="E49" s="123">
        <f t="shared" si="26"/>
        <v>50</v>
      </c>
      <c r="F49" s="123" t="s">
        <v>269</v>
      </c>
      <c r="G49" s="123" t="s">
        <v>269</v>
      </c>
      <c r="H49" s="257">
        <v>79.055000000000007</v>
      </c>
      <c r="I49" s="257">
        <f t="shared" si="27"/>
        <v>1.5811000000000002</v>
      </c>
      <c r="J49" s="257">
        <f t="shared" si="0"/>
        <v>79.055000000000007</v>
      </c>
      <c r="K49" s="257"/>
      <c r="L49" s="257">
        <f t="shared" si="4"/>
        <v>0.50066497783407227</v>
      </c>
      <c r="M49" s="257">
        <f t="shared" si="28"/>
        <v>25.033248891703614</v>
      </c>
      <c r="N49" s="257">
        <f t="shared" si="5"/>
        <v>0.54572482583913884</v>
      </c>
      <c r="O49" s="257">
        <f t="shared" si="29"/>
        <v>27.286241291956941</v>
      </c>
      <c r="P49" s="257">
        <v>0.85</v>
      </c>
      <c r="Q49" s="257">
        <f t="shared" si="1"/>
        <v>42.5</v>
      </c>
      <c r="R49" s="257">
        <f t="shared" si="2"/>
        <v>0.30427517416086114</v>
      </c>
      <c r="S49" s="257">
        <f t="shared" si="2"/>
        <v>15.213758708043059</v>
      </c>
      <c r="T49" s="246">
        <f t="shared" si="3"/>
        <v>0.3579707931304249</v>
      </c>
      <c r="U49" s="138"/>
      <c r="V49" s="268">
        <f t="shared" si="6"/>
        <v>0.85</v>
      </c>
      <c r="W49" s="269">
        <v>0.18</v>
      </c>
      <c r="X49" s="270">
        <f t="shared" si="7"/>
        <v>1.0365853658536583</v>
      </c>
      <c r="Y49" s="271">
        <f t="shared" si="8"/>
        <v>0.18658536585365851</v>
      </c>
      <c r="Z49" s="267">
        <f t="shared" si="9"/>
        <v>1.6792682926829266E-2</v>
      </c>
      <c r="AA49" s="271">
        <f t="shared" si="10"/>
        <v>0.20337804878048776</v>
      </c>
      <c r="AB49" s="271">
        <f t="shared" si="11"/>
        <v>0.83320731707317064</v>
      </c>
      <c r="AC49" s="284">
        <f t="shared" si="12"/>
        <v>0.34503116492529029</v>
      </c>
      <c r="AD49" s="285">
        <f t="shared" si="13"/>
        <v>-1.2939628205134612E-2</v>
      </c>
      <c r="AE49" s="221" t="s">
        <v>269</v>
      </c>
    </row>
    <row r="50" spans="1:31" ht="40" customHeight="1" x14ac:dyDescent="0.2">
      <c r="A50" s="123">
        <v>45</v>
      </c>
      <c r="B50" s="274" t="s">
        <v>36</v>
      </c>
      <c r="C50" s="123">
        <v>1</v>
      </c>
      <c r="D50" s="123">
        <v>8</v>
      </c>
      <c r="E50" s="123">
        <f t="shared" si="26"/>
        <v>8</v>
      </c>
      <c r="F50" s="123" t="s">
        <v>269</v>
      </c>
      <c r="G50" s="123" t="s">
        <v>269</v>
      </c>
      <c r="H50" s="257">
        <v>72.75</v>
      </c>
      <c r="I50" s="257">
        <f t="shared" si="27"/>
        <v>9.09375</v>
      </c>
      <c r="J50" s="257">
        <f t="shared" si="0"/>
        <v>72.75</v>
      </c>
      <c r="K50" s="257"/>
      <c r="L50" s="257">
        <f t="shared" si="4"/>
        <v>2.8795915136162127</v>
      </c>
      <c r="M50" s="257">
        <f t="shared" si="28"/>
        <v>23.036732108929701</v>
      </c>
      <c r="N50" s="257">
        <f t="shared" si="5"/>
        <v>3.1387547498416719</v>
      </c>
      <c r="O50" s="257">
        <f t="shared" si="29"/>
        <v>25.110037998733375</v>
      </c>
      <c r="P50" s="257">
        <v>4.5</v>
      </c>
      <c r="Q50" s="257">
        <f t="shared" si="1"/>
        <v>36</v>
      </c>
      <c r="R50" s="257">
        <f t="shared" si="2"/>
        <v>1.3612452501583281</v>
      </c>
      <c r="S50" s="257">
        <f t="shared" si="2"/>
        <v>10.889962001266625</v>
      </c>
      <c r="T50" s="246">
        <f t="shared" si="3"/>
        <v>0.30249894447962844</v>
      </c>
      <c r="U50" s="138"/>
      <c r="V50" s="268">
        <f t="shared" si="6"/>
        <v>4.5</v>
      </c>
      <c r="W50" s="269">
        <v>0.18</v>
      </c>
      <c r="X50" s="270">
        <f t="shared" si="7"/>
        <v>5.48780487804878</v>
      </c>
      <c r="Y50" s="271">
        <f t="shared" si="8"/>
        <v>0.98780487804878037</v>
      </c>
      <c r="Z50" s="267">
        <f t="shared" si="9"/>
        <v>8.8902439024390226E-2</v>
      </c>
      <c r="AA50" s="271">
        <f t="shared" si="10"/>
        <v>1.0767073170731707</v>
      </c>
      <c r="AB50" s="271">
        <f t="shared" si="11"/>
        <v>4.4110975609756089</v>
      </c>
      <c r="AC50" s="284">
        <f t="shared" si="12"/>
        <v>0.28844132181300725</v>
      </c>
      <c r="AD50" s="285">
        <f t="shared" si="13"/>
        <v>-1.4057622666621195E-2</v>
      </c>
      <c r="AE50" s="221">
        <v>0.7</v>
      </c>
    </row>
    <row r="51" spans="1:31" ht="40" customHeight="1" x14ac:dyDescent="0.2">
      <c r="A51" s="123">
        <v>46</v>
      </c>
      <c r="B51" s="274" t="s">
        <v>38</v>
      </c>
      <c r="C51" s="123">
        <v>1</v>
      </c>
      <c r="D51" s="123">
        <v>8</v>
      </c>
      <c r="E51" s="123">
        <f t="shared" si="26"/>
        <v>8</v>
      </c>
      <c r="F51" s="123" t="s">
        <v>269</v>
      </c>
      <c r="G51" s="123" t="s">
        <v>269</v>
      </c>
      <c r="H51" s="257">
        <v>72.75</v>
      </c>
      <c r="I51" s="257">
        <f t="shared" si="27"/>
        <v>9.09375</v>
      </c>
      <c r="J51" s="257">
        <f t="shared" si="0"/>
        <v>72.75</v>
      </c>
      <c r="K51" s="257"/>
      <c r="L51" s="257">
        <f t="shared" si="4"/>
        <v>2.8795915136162127</v>
      </c>
      <c r="M51" s="257">
        <f t="shared" si="28"/>
        <v>23.036732108929701</v>
      </c>
      <c r="N51" s="257">
        <f t="shared" si="5"/>
        <v>3.1387547498416719</v>
      </c>
      <c r="O51" s="257">
        <f t="shared" si="29"/>
        <v>25.110037998733375</v>
      </c>
      <c r="P51" s="257">
        <v>4.5</v>
      </c>
      <c r="Q51" s="257">
        <f t="shared" si="1"/>
        <v>36</v>
      </c>
      <c r="R51" s="257">
        <f t="shared" si="2"/>
        <v>1.3612452501583281</v>
      </c>
      <c r="S51" s="257">
        <f t="shared" si="2"/>
        <v>10.889962001266625</v>
      </c>
      <c r="T51" s="246">
        <f t="shared" si="3"/>
        <v>0.30249894447962844</v>
      </c>
      <c r="U51" s="138"/>
      <c r="V51" s="268">
        <f t="shared" si="6"/>
        <v>4.5</v>
      </c>
      <c r="W51" s="269">
        <v>0.18</v>
      </c>
      <c r="X51" s="270">
        <f t="shared" si="7"/>
        <v>5.48780487804878</v>
      </c>
      <c r="Y51" s="271">
        <f t="shared" si="8"/>
        <v>0.98780487804878037</v>
      </c>
      <c r="Z51" s="267">
        <f t="shared" si="9"/>
        <v>8.8902439024390226E-2</v>
      </c>
      <c r="AA51" s="271">
        <f t="shared" si="10"/>
        <v>1.0767073170731707</v>
      </c>
      <c r="AB51" s="271">
        <f t="shared" si="11"/>
        <v>4.4110975609756089</v>
      </c>
      <c r="AC51" s="284">
        <f t="shared" si="12"/>
        <v>0.28844132181300725</v>
      </c>
      <c r="AD51" s="285">
        <f t="shared" si="13"/>
        <v>-1.4057622666621195E-2</v>
      </c>
      <c r="AE51" s="221">
        <v>0.7</v>
      </c>
    </row>
    <row r="52" spans="1:31" ht="40" customHeight="1" x14ac:dyDescent="0.2">
      <c r="A52" s="123">
        <v>47</v>
      </c>
      <c r="B52" s="274" t="s">
        <v>39</v>
      </c>
      <c r="C52" s="123">
        <v>1</v>
      </c>
      <c r="D52" s="123">
        <v>8</v>
      </c>
      <c r="E52" s="123">
        <f t="shared" si="26"/>
        <v>8</v>
      </c>
      <c r="F52" s="123" t="s">
        <v>269</v>
      </c>
      <c r="G52" s="123" t="s">
        <v>269</v>
      </c>
      <c r="H52" s="257">
        <v>72.75</v>
      </c>
      <c r="I52" s="257">
        <f t="shared" si="27"/>
        <v>9.09375</v>
      </c>
      <c r="J52" s="257">
        <f t="shared" si="0"/>
        <v>72.75</v>
      </c>
      <c r="K52" s="257"/>
      <c r="L52" s="257">
        <f t="shared" si="4"/>
        <v>2.8795915136162127</v>
      </c>
      <c r="M52" s="257">
        <f t="shared" si="28"/>
        <v>23.036732108929701</v>
      </c>
      <c r="N52" s="257">
        <f t="shared" si="5"/>
        <v>3.1387547498416719</v>
      </c>
      <c r="O52" s="257">
        <f t="shared" si="29"/>
        <v>25.110037998733375</v>
      </c>
      <c r="P52" s="257">
        <v>4.5</v>
      </c>
      <c r="Q52" s="257">
        <f t="shared" si="1"/>
        <v>36</v>
      </c>
      <c r="R52" s="257">
        <f t="shared" si="2"/>
        <v>1.3612452501583281</v>
      </c>
      <c r="S52" s="257">
        <f t="shared" si="2"/>
        <v>10.889962001266625</v>
      </c>
      <c r="T52" s="246">
        <f t="shared" si="3"/>
        <v>0.30249894447962844</v>
      </c>
      <c r="U52" s="138"/>
      <c r="V52" s="268">
        <f t="shared" si="6"/>
        <v>4.5</v>
      </c>
      <c r="W52" s="269">
        <v>0.18</v>
      </c>
      <c r="X52" s="270">
        <f t="shared" si="7"/>
        <v>5.48780487804878</v>
      </c>
      <c r="Y52" s="271">
        <f t="shared" si="8"/>
        <v>0.98780487804878037</v>
      </c>
      <c r="Z52" s="267">
        <f t="shared" si="9"/>
        <v>8.8902439024390226E-2</v>
      </c>
      <c r="AA52" s="271">
        <f t="shared" si="10"/>
        <v>1.0767073170731707</v>
      </c>
      <c r="AB52" s="271">
        <f t="shared" si="11"/>
        <v>4.4110975609756089</v>
      </c>
      <c r="AC52" s="284">
        <f t="shared" si="12"/>
        <v>0.28844132181300725</v>
      </c>
      <c r="AD52" s="285">
        <f t="shared" si="13"/>
        <v>-1.4057622666621195E-2</v>
      </c>
      <c r="AE52" s="221">
        <v>0.7</v>
      </c>
    </row>
    <row r="53" spans="1:31" ht="40" customHeight="1" x14ac:dyDescent="0.2">
      <c r="A53" s="123">
        <v>48</v>
      </c>
      <c r="B53" s="274" t="s">
        <v>40</v>
      </c>
      <c r="C53" s="123">
        <v>1</v>
      </c>
      <c r="D53" s="123">
        <v>8</v>
      </c>
      <c r="E53" s="123">
        <f t="shared" si="26"/>
        <v>8</v>
      </c>
      <c r="F53" s="123" t="s">
        <v>269</v>
      </c>
      <c r="G53" s="123" t="s">
        <v>269</v>
      </c>
      <c r="H53" s="257">
        <v>72.75</v>
      </c>
      <c r="I53" s="257">
        <f t="shared" si="27"/>
        <v>9.09375</v>
      </c>
      <c r="J53" s="257">
        <f t="shared" si="0"/>
        <v>72.75</v>
      </c>
      <c r="K53" s="257"/>
      <c r="L53" s="257">
        <f t="shared" si="4"/>
        <v>2.8795915136162127</v>
      </c>
      <c r="M53" s="257">
        <f t="shared" si="28"/>
        <v>23.036732108929701</v>
      </c>
      <c r="N53" s="257">
        <f t="shared" si="5"/>
        <v>3.1387547498416719</v>
      </c>
      <c r="O53" s="257">
        <f t="shared" si="29"/>
        <v>25.110037998733375</v>
      </c>
      <c r="P53" s="257">
        <v>4.5</v>
      </c>
      <c r="Q53" s="257">
        <f t="shared" si="1"/>
        <v>36</v>
      </c>
      <c r="R53" s="257">
        <f t="shared" si="2"/>
        <v>1.3612452501583281</v>
      </c>
      <c r="S53" s="257">
        <f t="shared" si="2"/>
        <v>10.889962001266625</v>
      </c>
      <c r="T53" s="246">
        <f t="shared" si="3"/>
        <v>0.30249894447962844</v>
      </c>
      <c r="U53" s="135"/>
      <c r="V53" s="268">
        <f t="shared" si="6"/>
        <v>4.5</v>
      </c>
      <c r="W53" s="269">
        <v>0.18</v>
      </c>
      <c r="X53" s="270">
        <f t="shared" si="7"/>
        <v>5.48780487804878</v>
      </c>
      <c r="Y53" s="271">
        <f t="shared" si="8"/>
        <v>0.98780487804878037</v>
      </c>
      <c r="Z53" s="267">
        <f t="shared" si="9"/>
        <v>8.8902439024390226E-2</v>
      </c>
      <c r="AA53" s="271">
        <f t="shared" si="10"/>
        <v>1.0767073170731707</v>
      </c>
      <c r="AB53" s="271">
        <f t="shared" si="11"/>
        <v>4.4110975609756089</v>
      </c>
      <c r="AC53" s="284">
        <f t="shared" si="12"/>
        <v>0.28844132181300725</v>
      </c>
      <c r="AD53" s="285">
        <f t="shared" si="13"/>
        <v>-1.4057622666621195E-2</v>
      </c>
      <c r="AE53" s="221">
        <v>0.7</v>
      </c>
    </row>
    <row r="54" spans="1:31" ht="40" customHeight="1" x14ac:dyDescent="0.2">
      <c r="A54" s="123">
        <v>49</v>
      </c>
      <c r="B54" s="274" t="s">
        <v>43</v>
      </c>
      <c r="C54" s="123">
        <v>1</v>
      </c>
      <c r="D54" s="123" t="s">
        <v>44</v>
      </c>
      <c r="E54" s="123">
        <f t="shared" si="26"/>
        <v>144</v>
      </c>
      <c r="F54" s="123" t="s">
        <v>269</v>
      </c>
      <c r="G54" s="123" t="s">
        <v>269</v>
      </c>
      <c r="H54" s="257">
        <v>262.2</v>
      </c>
      <c r="I54" s="257">
        <f t="shared" si="27"/>
        <v>1.8208333333333333</v>
      </c>
      <c r="J54" s="257">
        <f t="shared" si="0"/>
        <v>262.2</v>
      </c>
      <c r="K54" s="257"/>
      <c r="L54" s="257">
        <f t="shared" si="4"/>
        <v>0.57657800295545703</v>
      </c>
      <c r="M54" s="257">
        <f t="shared" si="28"/>
        <v>83.027232425585808</v>
      </c>
      <c r="N54" s="257">
        <f t="shared" si="5"/>
        <v>0.62847002322144818</v>
      </c>
      <c r="O54" s="257">
        <f t="shared" si="29"/>
        <v>90.499683343888535</v>
      </c>
      <c r="P54" s="257"/>
      <c r="Q54" s="257">
        <f t="shared" si="1"/>
        <v>0</v>
      </c>
      <c r="R54" s="257">
        <f t="shared" si="2"/>
        <v>-0.62847002322144818</v>
      </c>
      <c r="S54" s="257">
        <f t="shared" si="2"/>
        <v>-90.499683343888535</v>
      </c>
      <c r="T54" s="246" t="e">
        <f t="shared" si="3"/>
        <v>#DIV/0!</v>
      </c>
      <c r="U54" s="138"/>
      <c r="V54" s="268">
        <f t="shared" si="6"/>
        <v>0</v>
      </c>
      <c r="W54" s="269">
        <v>0.18</v>
      </c>
      <c r="X54" s="270">
        <f t="shared" si="7"/>
        <v>0</v>
      </c>
      <c r="Y54" s="271">
        <f t="shared" si="8"/>
        <v>0</v>
      </c>
      <c r="Z54" s="267">
        <f t="shared" si="9"/>
        <v>0</v>
      </c>
      <c r="AA54" s="271">
        <f t="shared" si="10"/>
        <v>0</v>
      </c>
      <c r="AB54" s="271">
        <f t="shared" si="11"/>
        <v>0</v>
      </c>
      <c r="AC54" s="284" t="e">
        <f t="shared" si="12"/>
        <v>#DIV/0!</v>
      </c>
      <c r="AD54" s="285" t="e">
        <f t="shared" si="13"/>
        <v>#DIV/0!</v>
      </c>
      <c r="AE54" s="221" t="s">
        <v>269</v>
      </c>
    </row>
    <row r="55" spans="1:31" ht="40" customHeight="1" x14ac:dyDescent="0.2">
      <c r="A55" s="257">
        <f>-J55</f>
        <v>-136.80000000000001</v>
      </c>
      <c r="B55" s="274" t="s">
        <v>45</v>
      </c>
      <c r="C55" s="123">
        <v>1</v>
      </c>
      <c r="D55" s="123" t="s">
        <v>26</v>
      </c>
      <c r="E55" s="123">
        <f t="shared" si="26"/>
        <v>60</v>
      </c>
      <c r="F55" s="123" t="s">
        <v>269</v>
      </c>
      <c r="G55" s="123" t="s">
        <v>269</v>
      </c>
      <c r="H55" s="257">
        <v>136.80000000000001</v>
      </c>
      <c r="I55" s="257">
        <f t="shared" si="27"/>
        <v>2.2800000000000002</v>
      </c>
      <c r="J55" s="257">
        <f t="shared" si="0"/>
        <v>136.80000000000001</v>
      </c>
      <c r="K55" s="257"/>
      <c r="L55" s="257">
        <f t="shared" si="4"/>
        <v>0.72197593413552896</v>
      </c>
      <c r="M55" s="257">
        <f t="shared" si="28"/>
        <v>43.318556048131732</v>
      </c>
      <c r="N55" s="257">
        <f t="shared" si="5"/>
        <v>0.78695376820772667</v>
      </c>
      <c r="O55" s="257">
        <f t="shared" si="29"/>
        <v>47.217226092463598</v>
      </c>
      <c r="P55" s="257">
        <v>1.25</v>
      </c>
      <c r="Q55" s="257">
        <f t="shared" si="1"/>
        <v>75</v>
      </c>
      <c r="R55" s="257">
        <f t="shared" si="2"/>
        <v>0.46304623179227333</v>
      </c>
      <c r="S55" s="257">
        <f t="shared" si="2"/>
        <v>27.782773907536402</v>
      </c>
      <c r="T55" s="246">
        <f t="shared" si="3"/>
        <v>0.37043698543381864</v>
      </c>
      <c r="U55" s="138"/>
      <c r="V55" s="268">
        <f t="shared" si="6"/>
        <v>1.25</v>
      </c>
      <c r="W55" s="269">
        <v>0.18</v>
      </c>
      <c r="X55" s="270">
        <f t="shared" si="7"/>
        <v>1.5243902439024388</v>
      </c>
      <c r="Y55" s="271">
        <f t="shared" si="8"/>
        <v>0.27439024390243899</v>
      </c>
      <c r="Z55" s="267">
        <f t="shared" si="9"/>
        <v>2.469512195121951E-2</v>
      </c>
      <c r="AA55" s="271">
        <f t="shared" si="10"/>
        <v>0.29908536585365852</v>
      </c>
      <c r="AB55" s="271">
        <f t="shared" si="11"/>
        <v>1.2253048780487803</v>
      </c>
      <c r="AC55" s="284">
        <f t="shared" si="12"/>
        <v>0.35774860419971538</v>
      </c>
      <c r="AD55" s="285">
        <f t="shared" si="13"/>
        <v>-1.2688381234103263E-2</v>
      </c>
      <c r="AE55" s="221" t="s">
        <v>269</v>
      </c>
    </row>
    <row r="56" spans="1:31" ht="40" customHeight="1" x14ac:dyDescent="0.2">
      <c r="A56" s="123">
        <v>51</v>
      </c>
      <c r="B56" s="274" t="s">
        <v>46</v>
      </c>
      <c r="C56" s="123">
        <v>1</v>
      </c>
      <c r="D56" s="123" t="s">
        <v>47</v>
      </c>
      <c r="E56" s="123">
        <f t="shared" si="26"/>
        <v>14</v>
      </c>
      <c r="F56" s="123" t="s">
        <v>269</v>
      </c>
      <c r="G56" s="123" t="s">
        <v>269</v>
      </c>
      <c r="H56" s="257">
        <v>43.4</v>
      </c>
      <c r="I56" s="257">
        <f t="shared" si="27"/>
        <v>3.1</v>
      </c>
      <c r="J56" s="257">
        <f t="shared" si="0"/>
        <v>43.4</v>
      </c>
      <c r="K56" s="257"/>
      <c r="L56" s="257">
        <f t="shared" si="4"/>
        <v>0.98163394553514893</v>
      </c>
      <c r="M56" s="257">
        <f t="shared" si="28"/>
        <v>13.742875237492083</v>
      </c>
      <c r="N56" s="257">
        <f t="shared" si="5"/>
        <v>1.0699810006333124</v>
      </c>
      <c r="O56" s="257">
        <f t="shared" si="29"/>
        <v>14.979734008866373</v>
      </c>
      <c r="P56" s="257">
        <v>1.8</v>
      </c>
      <c r="Q56" s="257">
        <f t="shared" si="1"/>
        <v>25.2</v>
      </c>
      <c r="R56" s="257">
        <f t="shared" si="2"/>
        <v>0.73001899936668768</v>
      </c>
      <c r="S56" s="257">
        <f t="shared" si="2"/>
        <v>10.220265991133626</v>
      </c>
      <c r="T56" s="246">
        <f t="shared" si="3"/>
        <v>0.4055661107592709</v>
      </c>
      <c r="U56" s="138"/>
      <c r="V56" s="268">
        <f t="shared" si="6"/>
        <v>1.8</v>
      </c>
      <c r="W56" s="269">
        <v>0.18</v>
      </c>
      <c r="X56" s="270">
        <f t="shared" si="7"/>
        <v>2.1951219512195119</v>
      </c>
      <c r="Y56" s="271">
        <f t="shared" si="8"/>
        <v>0.39512195121951216</v>
      </c>
      <c r="Z56" s="267">
        <f t="shared" si="9"/>
        <v>3.5560975609756094E-2</v>
      </c>
      <c r="AA56" s="271">
        <f t="shared" si="10"/>
        <v>0.43068292682926823</v>
      </c>
      <c r="AB56" s="271">
        <f t="shared" si="11"/>
        <v>1.7644390243902437</v>
      </c>
      <c r="AC56" s="284">
        <f t="shared" si="12"/>
        <v>0.39358573130455599</v>
      </c>
      <c r="AD56" s="285">
        <f t="shared" si="13"/>
        <v>-1.1980379454714918E-2</v>
      </c>
      <c r="AE56" s="221" t="s">
        <v>269</v>
      </c>
    </row>
    <row r="57" spans="1:31" ht="40" customHeight="1" x14ac:dyDescent="0.2">
      <c r="A57" s="123">
        <v>52</v>
      </c>
      <c r="B57" s="274" t="s">
        <v>48</v>
      </c>
      <c r="C57" s="123">
        <v>1</v>
      </c>
      <c r="D57" s="123" t="s">
        <v>47</v>
      </c>
      <c r="E57" s="123">
        <f t="shared" si="26"/>
        <v>14</v>
      </c>
      <c r="F57" s="123" t="s">
        <v>269</v>
      </c>
      <c r="G57" s="123" t="s">
        <v>269</v>
      </c>
      <c r="H57" s="257">
        <v>43.4</v>
      </c>
      <c r="I57" s="257">
        <f t="shared" si="27"/>
        <v>3.1</v>
      </c>
      <c r="J57" s="257">
        <f t="shared" si="0"/>
        <v>43.4</v>
      </c>
      <c r="K57" s="257"/>
      <c r="L57" s="257">
        <f t="shared" si="4"/>
        <v>0.98163394553514893</v>
      </c>
      <c r="M57" s="257">
        <f t="shared" si="28"/>
        <v>13.742875237492083</v>
      </c>
      <c r="N57" s="257">
        <f t="shared" si="5"/>
        <v>1.0699810006333124</v>
      </c>
      <c r="O57" s="257">
        <f t="shared" si="29"/>
        <v>14.979734008866373</v>
      </c>
      <c r="P57" s="257">
        <v>1.8</v>
      </c>
      <c r="Q57" s="257">
        <f t="shared" si="1"/>
        <v>25.2</v>
      </c>
      <c r="R57" s="257">
        <f t="shared" si="2"/>
        <v>0.73001899936668768</v>
      </c>
      <c r="S57" s="257">
        <f t="shared" si="2"/>
        <v>10.220265991133626</v>
      </c>
      <c r="T57" s="246">
        <f t="shared" si="3"/>
        <v>0.4055661107592709</v>
      </c>
      <c r="U57" s="138"/>
      <c r="V57" s="268">
        <f t="shared" si="6"/>
        <v>1.8</v>
      </c>
      <c r="W57" s="269">
        <v>0.18</v>
      </c>
      <c r="X57" s="270">
        <f t="shared" si="7"/>
        <v>2.1951219512195119</v>
      </c>
      <c r="Y57" s="271">
        <f t="shared" si="8"/>
        <v>0.39512195121951216</v>
      </c>
      <c r="Z57" s="267">
        <f t="shared" si="9"/>
        <v>3.5560975609756094E-2</v>
      </c>
      <c r="AA57" s="271">
        <f t="shared" si="10"/>
        <v>0.43068292682926823</v>
      </c>
      <c r="AB57" s="271">
        <f t="shared" si="11"/>
        <v>1.7644390243902437</v>
      </c>
      <c r="AC57" s="284">
        <f t="shared" si="12"/>
        <v>0.39358573130455599</v>
      </c>
      <c r="AD57" s="285">
        <f t="shared" si="13"/>
        <v>-1.1980379454714918E-2</v>
      </c>
      <c r="AE57" s="221" t="s">
        <v>269</v>
      </c>
    </row>
    <row r="58" spans="1:31" ht="40" customHeight="1" x14ac:dyDescent="0.2">
      <c r="A58" s="123">
        <v>53</v>
      </c>
      <c r="B58" s="274" t="s">
        <v>196</v>
      </c>
      <c r="C58" s="123">
        <v>1</v>
      </c>
      <c r="D58" s="123" t="s">
        <v>47</v>
      </c>
      <c r="E58" s="123">
        <f t="shared" si="26"/>
        <v>14</v>
      </c>
      <c r="F58" s="123" t="s">
        <v>269</v>
      </c>
      <c r="G58" s="123" t="s">
        <v>269</v>
      </c>
      <c r="H58" s="257">
        <v>43.4</v>
      </c>
      <c r="I58" s="257">
        <f t="shared" si="27"/>
        <v>3.1</v>
      </c>
      <c r="J58" s="257">
        <f t="shared" si="0"/>
        <v>43.4</v>
      </c>
      <c r="K58" s="257"/>
      <c r="L58" s="257">
        <f t="shared" si="4"/>
        <v>0.98163394553514893</v>
      </c>
      <c r="M58" s="257">
        <f t="shared" si="28"/>
        <v>13.742875237492083</v>
      </c>
      <c r="N58" s="257">
        <f t="shared" si="5"/>
        <v>1.0699810006333124</v>
      </c>
      <c r="O58" s="257">
        <f t="shared" si="29"/>
        <v>14.979734008866373</v>
      </c>
      <c r="P58" s="257">
        <v>1.8</v>
      </c>
      <c r="Q58" s="257">
        <f t="shared" si="1"/>
        <v>25.2</v>
      </c>
      <c r="R58" s="257">
        <f t="shared" si="2"/>
        <v>0.73001899936668768</v>
      </c>
      <c r="S58" s="257">
        <f t="shared" si="2"/>
        <v>10.220265991133626</v>
      </c>
      <c r="T58" s="246">
        <f t="shared" si="3"/>
        <v>0.4055661107592709</v>
      </c>
      <c r="U58" s="138"/>
      <c r="V58" s="268">
        <f t="shared" si="6"/>
        <v>1.8</v>
      </c>
      <c r="W58" s="269">
        <v>0.18</v>
      </c>
      <c r="X58" s="270">
        <f t="shared" si="7"/>
        <v>2.1951219512195119</v>
      </c>
      <c r="Y58" s="271">
        <f t="shared" si="8"/>
        <v>0.39512195121951216</v>
      </c>
      <c r="Z58" s="267">
        <f t="shared" si="9"/>
        <v>3.5560975609756094E-2</v>
      </c>
      <c r="AA58" s="271">
        <f t="shared" si="10"/>
        <v>0.43068292682926823</v>
      </c>
      <c r="AB58" s="271">
        <f t="shared" si="11"/>
        <v>1.7644390243902437</v>
      </c>
      <c r="AC58" s="284">
        <f t="shared" si="12"/>
        <v>0.39358573130455599</v>
      </c>
      <c r="AD58" s="285">
        <f t="shared" si="13"/>
        <v>-1.1980379454714918E-2</v>
      </c>
      <c r="AE58" s="221" t="s">
        <v>269</v>
      </c>
    </row>
    <row r="59" spans="1:31" ht="40" customHeight="1" x14ac:dyDescent="0.2">
      <c r="A59" s="123">
        <v>54</v>
      </c>
      <c r="B59" s="274" t="s">
        <v>197</v>
      </c>
      <c r="C59" s="123">
        <v>1</v>
      </c>
      <c r="D59" s="123" t="s">
        <v>47</v>
      </c>
      <c r="E59" s="123">
        <f t="shared" si="26"/>
        <v>14</v>
      </c>
      <c r="F59" s="123" t="s">
        <v>269</v>
      </c>
      <c r="G59" s="123" t="s">
        <v>269</v>
      </c>
      <c r="H59" s="257">
        <v>43.4</v>
      </c>
      <c r="I59" s="257">
        <f t="shared" si="27"/>
        <v>3.1</v>
      </c>
      <c r="J59" s="257">
        <f t="shared" si="0"/>
        <v>43.4</v>
      </c>
      <c r="K59" s="257"/>
      <c r="L59" s="257">
        <f t="shared" si="4"/>
        <v>0.98163394553514893</v>
      </c>
      <c r="M59" s="257">
        <f t="shared" si="28"/>
        <v>13.742875237492083</v>
      </c>
      <c r="N59" s="257">
        <f t="shared" si="5"/>
        <v>1.0699810006333124</v>
      </c>
      <c r="O59" s="257">
        <f t="shared" si="29"/>
        <v>14.979734008866373</v>
      </c>
      <c r="P59" s="257">
        <v>1.8</v>
      </c>
      <c r="Q59" s="257">
        <f t="shared" si="1"/>
        <v>25.2</v>
      </c>
      <c r="R59" s="257">
        <f t="shared" si="2"/>
        <v>0.73001899936668768</v>
      </c>
      <c r="S59" s="257">
        <f t="shared" si="2"/>
        <v>10.220265991133626</v>
      </c>
      <c r="T59" s="246">
        <f t="shared" si="3"/>
        <v>0.4055661107592709</v>
      </c>
      <c r="U59" s="138"/>
      <c r="V59" s="268">
        <f t="shared" si="6"/>
        <v>1.8</v>
      </c>
      <c r="W59" s="269">
        <v>0.18</v>
      </c>
      <c r="X59" s="270">
        <f t="shared" si="7"/>
        <v>2.1951219512195119</v>
      </c>
      <c r="Y59" s="271">
        <f t="shared" si="8"/>
        <v>0.39512195121951216</v>
      </c>
      <c r="Z59" s="267">
        <f t="shared" si="9"/>
        <v>3.5560975609756094E-2</v>
      </c>
      <c r="AA59" s="271">
        <f t="shared" si="10"/>
        <v>0.43068292682926823</v>
      </c>
      <c r="AB59" s="271">
        <f t="shared" si="11"/>
        <v>1.7644390243902437</v>
      </c>
      <c r="AC59" s="284">
        <f t="shared" si="12"/>
        <v>0.39358573130455599</v>
      </c>
      <c r="AD59" s="285">
        <f t="shared" si="13"/>
        <v>-1.1980379454714918E-2</v>
      </c>
      <c r="AE59" s="221" t="s">
        <v>269</v>
      </c>
    </row>
    <row r="60" spans="1:31" ht="40" customHeight="1" x14ac:dyDescent="0.2">
      <c r="A60" s="123">
        <v>55</v>
      </c>
      <c r="B60" s="274" t="s">
        <v>198</v>
      </c>
      <c r="C60" s="123">
        <v>1</v>
      </c>
      <c r="D60" s="123" t="s">
        <v>47</v>
      </c>
      <c r="E60" s="123">
        <f t="shared" si="26"/>
        <v>14</v>
      </c>
      <c r="F60" s="123" t="s">
        <v>269</v>
      </c>
      <c r="G60" s="123" t="s">
        <v>269</v>
      </c>
      <c r="H60" s="257">
        <v>43.4</v>
      </c>
      <c r="I60" s="257">
        <f t="shared" si="27"/>
        <v>3.1</v>
      </c>
      <c r="J60" s="257">
        <f t="shared" si="0"/>
        <v>43.4</v>
      </c>
      <c r="K60" s="257"/>
      <c r="L60" s="257">
        <f t="shared" si="4"/>
        <v>0.98163394553514893</v>
      </c>
      <c r="M60" s="257">
        <f t="shared" si="28"/>
        <v>13.742875237492083</v>
      </c>
      <c r="N60" s="257">
        <f t="shared" si="5"/>
        <v>1.0699810006333124</v>
      </c>
      <c r="O60" s="257">
        <f t="shared" si="29"/>
        <v>14.979734008866373</v>
      </c>
      <c r="P60" s="257">
        <v>1.8</v>
      </c>
      <c r="Q60" s="257">
        <f t="shared" si="1"/>
        <v>25.2</v>
      </c>
      <c r="R60" s="257">
        <f t="shared" si="2"/>
        <v>0.73001899936668768</v>
      </c>
      <c r="S60" s="257">
        <f t="shared" si="2"/>
        <v>10.220265991133626</v>
      </c>
      <c r="T60" s="246">
        <f t="shared" si="3"/>
        <v>0.4055661107592709</v>
      </c>
      <c r="U60" s="138"/>
      <c r="V60" s="268">
        <f t="shared" si="6"/>
        <v>1.8</v>
      </c>
      <c r="W60" s="269">
        <v>0.18</v>
      </c>
      <c r="X60" s="270">
        <f t="shared" si="7"/>
        <v>2.1951219512195119</v>
      </c>
      <c r="Y60" s="271">
        <f t="shared" si="8"/>
        <v>0.39512195121951216</v>
      </c>
      <c r="Z60" s="267">
        <f t="shared" si="9"/>
        <v>3.5560975609756094E-2</v>
      </c>
      <c r="AA60" s="271">
        <f t="shared" si="10"/>
        <v>0.43068292682926823</v>
      </c>
      <c r="AB60" s="271">
        <f t="shared" si="11"/>
        <v>1.7644390243902437</v>
      </c>
      <c r="AC60" s="284">
        <f t="shared" si="12"/>
        <v>0.39358573130455599</v>
      </c>
      <c r="AD60" s="285">
        <f t="shared" si="13"/>
        <v>-1.1980379454714918E-2</v>
      </c>
      <c r="AE60" s="221" t="s">
        <v>269</v>
      </c>
    </row>
    <row r="61" spans="1:31" ht="40" customHeight="1" x14ac:dyDescent="0.2">
      <c r="A61" s="123">
        <v>56</v>
      </c>
      <c r="B61" s="274" t="s">
        <v>199</v>
      </c>
      <c r="C61" s="123">
        <v>1</v>
      </c>
      <c r="D61" s="123" t="s">
        <v>47</v>
      </c>
      <c r="E61" s="123">
        <f t="shared" si="26"/>
        <v>14</v>
      </c>
      <c r="F61" s="123" t="s">
        <v>269</v>
      </c>
      <c r="G61" s="123" t="s">
        <v>269</v>
      </c>
      <c r="H61" s="257">
        <v>43.4</v>
      </c>
      <c r="I61" s="257">
        <f t="shared" si="27"/>
        <v>3.1</v>
      </c>
      <c r="J61" s="257">
        <f t="shared" si="0"/>
        <v>43.4</v>
      </c>
      <c r="K61" s="257"/>
      <c r="L61" s="257">
        <f t="shared" si="4"/>
        <v>0.98163394553514893</v>
      </c>
      <c r="M61" s="257">
        <f t="shared" si="28"/>
        <v>13.742875237492083</v>
      </c>
      <c r="N61" s="257">
        <f t="shared" si="5"/>
        <v>1.0699810006333124</v>
      </c>
      <c r="O61" s="257">
        <f t="shared" si="29"/>
        <v>14.979734008866373</v>
      </c>
      <c r="P61" s="257">
        <v>1.8</v>
      </c>
      <c r="Q61" s="257">
        <f t="shared" si="1"/>
        <v>25.2</v>
      </c>
      <c r="R61" s="257">
        <f t="shared" si="2"/>
        <v>0.73001899936668768</v>
      </c>
      <c r="S61" s="257">
        <f t="shared" si="2"/>
        <v>10.220265991133626</v>
      </c>
      <c r="T61" s="246">
        <f t="shared" si="3"/>
        <v>0.4055661107592709</v>
      </c>
      <c r="U61" s="138"/>
      <c r="V61" s="268">
        <f t="shared" si="6"/>
        <v>1.8</v>
      </c>
      <c r="W61" s="269">
        <v>0.18</v>
      </c>
      <c r="X61" s="270">
        <f t="shared" si="7"/>
        <v>2.1951219512195119</v>
      </c>
      <c r="Y61" s="271">
        <f t="shared" si="8"/>
        <v>0.39512195121951216</v>
      </c>
      <c r="Z61" s="267">
        <f t="shared" si="9"/>
        <v>3.5560975609756094E-2</v>
      </c>
      <c r="AA61" s="271">
        <f t="shared" si="10"/>
        <v>0.43068292682926823</v>
      </c>
      <c r="AB61" s="271">
        <f t="shared" si="11"/>
        <v>1.7644390243902437</v>
      </c>
      <c r="AC61" s="284">
        <f t="shared" si="12"/>
        <v>0.39358573130455599</v>
      </c>
      <c r="AD61" s="285">
        <f t="shared" si="13"/>
        <v>-1.1980379454714918E-2</v>
      </c>
      <c r="AE61" s="221" t="s">
        <v>269</v>
      </c>
    </row>
    <row r="62" spans="1:31" ht="40" customHeight="1" x14ac:dyDescent="0.2">
      <c r="A62" s="123">
        <v>57</v>
      </c>
      <c r="B62" s="274" t="s">
        <v>49</v>
      </c>
      <c r="C62" s="123">
        <v>1</v>
      </c>
      <c r="D62" s="123" t="s">
        <v>47</v>
      </c>
      <c r="E62" s="123">
        <f t="shared" si="26"/>
        <v>14</v>
      </c>
      <c r="F62" s="123" t="s">
        <v>269</v>
      </c>
      <c r="G62" s="123" t="s">
        <v>269</v>
      </c>
      <c r="H62" s="257">
        <v>43.4</v>
      </c>
      <c r="I62" s="257">
        <f t="shared" si="27"/>
        <v>3.1</v>
      </c>
      <c r="J62" s="257">
        <f t="shared" si="0"/>
        <v>43.4</v>
      </c>
      <c r="K62" s="257"/>
      <c r="L62" s="257">
        <f t="shared" si="4"/>
        <v>0.98163394553514893</v>
      </c>
      <c r="M62" s="257">
        <f t="shared" si="28"/>
        <v>13.742875237492083</v>
      </c>
      <c r="N62" s="257">
        <f t="shared" si="5"/>
        <v>1.0699810006333124</v>
      </c>
      <c r="O62" s="257">
        <f t="shared" si="29"/>
        <v>14.979734008866373</v>
      </c>
      <c r="P62" s="257">
        <v>1.8</v>
      </c>
      <c r="Q62" s="257">
        <f t="shared" si="1"/>
        <v>25.2</v>
      </c>
      <c r="R62" s="257">
        <f t="shared" si="2"/>
        <v>0.73001899936668768</v>
      </c>
      <c r="S62" s="257">
        <f t="shared" si="2"/>
        <v>10.220265991133626</v>
      </c>
      <c r="T62" s="246">
        <f t="shared" si="3"/>
        <v>0.4055661107592709</v>
      </c>
      <c r="U62" s="135"/>
      <c r="V62" s="268">
        <f t="shared" si="6"/>
        <v>1.8</v>
      </c>
      <c r="W62" s="269">
        <v>0.18</v>
      </c>
      <c r="X62" s="270">
        <f t="shared" si="7"/>
        <v>2.1951219512195119</v>
      </c>
      <c r="Y62" s="271">
        <f t="shared" si="8"/>
        <v>0.39512195121951216</v>
      </c>
      <c r="Z62" s="267">
        <f t="shared" si="9"/>
        <v>3.5560975609756094E-2</v>
      </c>
      <c r="AA62" s="271">
        <f t="shared" si="10"/>
        <v>0.43068292682926823</v>
      </c>
      <c r="AB62" s="271">
        <f t="shared" si="11"/>
        <v>1.7644390243902437</v>
      </c>
      <c r="AC62" s="284">
        <f t="shared" si="12"/>
        <v>0.39358573130455599</v>
      </c>
      <c r="AD62" s="285">
        <f t="shared" si="13"/>
        <v>-1.1980379454714918E-2</v>
      </c>
      <c r="AE62" s="221" t="s">
        <v>269</v>
      </c>
    </row>
    <row r="63" spans="1:31" ht="40" customHeight="1" x14ac:dyDescent="0.2">
      <c r="A63" s="123">
        <v>58</v>
      </c>
      <c r="B63" s="274" t="s">
        <v>50</v>
      </c>
      <c r="C63" s="123">
        <v>1</v>
      </c>
      <c r="D63" s="123" t="s">
        <v>44</v>
      </c>
      <c r="E63" s="123">
        <f t="shared" si="26"/>
        <v>144</v>
      </c>
      <c r="F63" s="123" t="s">
        <v>269</v>
      </c>
      <c r="G63" s="123" t="s">
        <v>269</v>
      </c>
      <c r="H63" s="257">
        <v>92.4</v>
      </c>
      <c r="I63" s="257">
        <f t="shared" si="27"/>
        <v>0.64166666666666672</v>
      </c>
      <c r="J63" s="257">
        <f t="shared" si="0"/>
        <v>92.4</v>
      </c>
      <c r="K63" s="257"/>
      <c r="L63" s="257">
        <f t="shared" si="4"/>
        <v>0.20318767152206041</v>
      </c>
      <c r="M63" s="257">
        <f t="shared" si="28"/>
        <v>29.259024699176695</v>
      </c>
      <c r="N63" s="257">
        <f t="shared" si="5"/>
        <v>0.22147456195904586</v>
      </c>
      <c r="O63" s="257">
        <f t="shared" si="29"/>
        <v>31.892336922102604</v>
      </c>
      <c r="P63" s="257">
        <v>0.5</v>
      </c>
      <c r="Q63" s="257">
        <f t="shared" si="1"/>
        <v>72</v>
      </c>
      <c r="R63" s="257">
        <f t="shared" si="2"/>
        <v>0.27852543804095414</v>
      </c>
      <c r="S63" s="257">
        <f t="shared" si="2"/>
        <v>40.107663077897399</v>
      </c>
      <c r="T63" s="246">
        <f t="shared" si="3"/>
        <v>0.55705087608190829</v>
      </c>
      <c r="U63" s="138"/>
      <c r="V63" s="268">
        <f t="shared" si="6"/>
        <v>0.5</v>
      </c>
      <c r="W63" s="269">
        <v>0.18</v>
      </c>
      <c r="X63" s="270">
        <f t="shared" si="7"/>
        <v>0.6097560975609756</v>
      </c>
      <c r="Y63" s="271">
        <f t="shared" si="8"/>
        <v>0.10975609756097561</v>
      </c>
      <c r="Z63" s="267">
        <f t="shared" si="9"/>
        <v>9.878048780487805E-3</v>
      </c>
      <c r="AA63" s="271">
        <f t="shared" si="10"/>
        <v>0.11963414634146341</v>
      </c>
      <c r="AB63" s="271">
        <f t="shared" si="11"/>
        <v>0.49012195121951219</v>
      </c>
      <c r="AC63" s="284">
        <f t="shared" si="12"/>
        <v>0.54812356106887883</v>
      </c>
      <c r="AD63" s="285">
        <f t="shared" si="13"/>
        <v>-8.9273150130294576E-3</v>
      </c>
      <c r="AE63" s="221" t="s">
        <v>269</v>
      </c>
    </row>
    <row r="64" spans="1:31" ht="40" customHeight="1" x14ac:dyDescent="0.2">
      <c r="A64" s="123">
        <v>59</v>
      </c>
      <c r="B64" s="274" t="s">
        <v>51</v>
      </c>
      <c r="C64" s="123">
        <v>1</v>
      </c>
      <c r="D64" s="123" t="s">
        <v>44</v>
      </c>
      <c r="E64" s="123">
        <f t="shared" si="26"/>
        <v>144</v>
      </c>
      <c r="F64" s="123">
        <v>186</v>
      </c>
      <c r="G64" s="257">
        <v>167.4</v>
      </c>
      <c r="H64" s="257">
        <v>167.4</v>
      </c>
      <c r="I64" s="257">
        <f t="shared" si="27"/>
        <v>1.1625000000000001</v>
      </c>
      <c r="J64" s="257">
        <f t="shared" si="0"/>
        <v>167.4</v>
      </c>
      <c r="K64" s="257"/>
      <c r="L64" s="257">
        <f t="shared" si="4"/>
        <v>0.36811272957568086</v>
      </c>
      <c r="M64" s="257">
        <f t="shared" si="28"/>
        <v>53.008233058898043</v>
      </c>
      <c r="N64" s="257">
        <f t="shared" si="5"/>
        <v>0.40124287523749219</v>
      </c>
      <c r="O64" s="257">
        <f t="shared" si="29"/>
        <v>57.778974034198875</v>
      </c>
      <c r="P64" s="257">
        <v>0.8</v>
      </c>
      <c r="Q64" s="257">
        <f t="shared" si="1"/>
        <v>115.2</v>
      </c>
      <c r="R64" s="257">
        <f t="shared" si="2"/>
        <v>0.39875712476250785</v>
      </c>
      <c r="S64" s="257">
        <f t="shared" si="2"/>
        <v>57.421025965801128</v>
      </c>
      <c r="T64" s="246">
        <f t="shared" si="3"/>
        <v>0.49844640595313477</v>
      </c>
      <c r="U64" s="138"/>
      <c r="V64" s="268">
        <f t="shared" si="6"/>
        <v>0.8</v>
      </c>
      <c r="W64" s="269">
        <v>0.18</v>
      </c>
      <c r="X64" s="270">
        <f t="shared" si="7"/>
        <v>0.97560975609756095</v>
      </c>
      <c r="Y64" s="271">
        <f t="shared" si="8"/>
        <v>0.17560975609756097</v>
      </c>
      <c r="Z64" s="267">
        <f t="shared" si="9"/>
        <v>1.5804878048780488E-2</v>
      </c>
      <c r="AA64" s="271">
        <f t="shared" si="10"/>
        <v>0.19141463414634147</v>
      </c>
      <c r="AB64" s="271">
        <f t="shared" si="11"/>
        <v>0.78419512195121954</v>
      </c>
      <c r="AC64" s="284">
        <f t="shared" si="12"/>
        <v>0.48833796078821912</v>
      </c>
      <c r="AD64" s="285">
        <f t="shared" si="13"/>
        <v>-1.0108445164915658E-2</v>
      </c>
      <c r="AE64" s="221">
        <v>1</v>
      </c>
    </row>
    <row r="65" spans="1:31" ht="40" customHeight="1" x14ac:dyDescent="0.2">
      <c r="A65" s="123">
        <v>60</v>
      </c>
      <c r="B65" s="274" t="s">
        <v>52</v>
      </c>
      <c r="C65" s="123">
        <v>1</v>
      </c>
      <c r="D65" s="123" t="s">
        <v>44</v>
      </c>
      <c r="E65" s="123">
        <f t="shared" si="26"/>
        <v>144</v>
      </c>
      <c r="F65" s="123">
        <v>186</v>
      </c>
      <c r="G65" s="257">
        <v>167.4</v>
      </c>
      <c r="H65" s="257">
        <v>167.4</v>
      </c>
      <c r="I65" s="257">
        <f t="shared" si="27"/>
        <v>1.1625000000000001</v>
      </c>
      <c r="J65" s="257">
        <f t="shared" si="0"/>
        <v>167.4</v>
      </c>
      <c r="K65" s="257"/>
      <c r="L65" s="257">
        <f t="shared" si="4"/>
        <v>0.36811272957568086</v>
      </c>
      <c r="M65" s="257">
        <f t="shared" si="28"/>
        <v>53.008233058898043</v>
      </c>
      <c r="N65" s="257">
        <f t="shared" si="5"/>
        <v>0.40124287523749219</v>
      </c>
      <c r="O65" s="257">
        <f t="shared" si="29"/>
        <v>57.778974034198875</v>
      </c>
      <c r="P65" s="257">
        <v>0.8</v>
      </c>
      <c r="Q65" s="257">
        <f t="shared" si="1"/>
        <v>115.2</v>
      </c>
      <c r="R65" s="257">
        <f t="shared" si="2"/>
        <v>0.39875712476250785</v>
      </c>
      <c r="S65" s="257">
        <f t="shared" si="2"/>
        <v>57.421025965801128</v>
      </c>
      <c r="T65" s="246">
        <f t="shared" si="3"/>
        <v>0.49844640595313477</v>
      </c>
      <c r="U65" s="138"/>
      <c r="V65" s="268">
        <f t="shared" si="6"/>
        <v>0.8</v>
      </c>
      <c r="W65" s="269">
        <v>0.18</v>
      </c>
      <c r="X65" s="270">
        <f t="shared" si="7"/>
        <v>0.97560975609756095</v>
      </c>
      <c r="Y65" s="271">
        <f t="shared" si="8"/>
        <v>0.17560975609756097</v>
      </c>
      <c r="Z65" s="267">
        <f t="shared" si="9"/>
        <v>1.5804878048780488E-2</v>
      </c>
      <c r="AA65" s="271">
        <f t="shared" si="10"/>
        <v>0.19141463414634147</v>
      </c>
      <c r="AB65" s="271">
        <f t="shared" si="11"/>
        <v>0.78419512195121954</v>
      </c>
      <c r="AC65" s="284">
        <f t="shared" si="12"/>
        <v>0.48833796078821912</v>
      </c>
      <c r="AD65" s="285">
        <f t="shared" si="13"/>
        <v>-1.0108445164915658E-2</v>
      </c>
      <c r="AE65" s="221">
        <v>1</v>
      </c>
    </row>
    <row r="66" spans="1:31" ht="40" customHeight="1" x14ac:dyDescent="0.2">
      <c r="A66" s="123">
        <v>61</v>
      </c>
      <c r="B66" s="274" t="s">
        <v>53</v>
      </c>
      <c r="C66" s="123">
        <v>1</v>
      </c>
      <c r="D66" s="123" t="s">
        <v>44</v>
      </c>
      <c r="E66" s="123">
        <f t="shared" si="26"/>
        <v>144</v>
      </c>
      <c r="F66" s="123">
        <v>186</v>
      </c>
      <c r="G66" s="257">
        <v>167.4</v>
      </c>
      <c r="H66" s="257">
        <v>167.4</v>
      </c>
      <c r="I66" s="257">
        <f t="shared" si="27"/>
        <v>1.1625000000000001</v>
      </c>
      <c r="J66" s="257">
        <f t="shared" si="0"/>
        <v>167.4</v>
      </c>
      <c r="K66" s="257"/>
      <c r="L66" s="257">
        <f t="shared" si="4"/>
        <v>0.36811272957568086</v>
      </c>
      <c r="M66" s="257">
        <f t="shared" si="28"/>
        <v>53.008233058898043</v>
      </c>
      <c r="N66" s="257">
        <f t="shared" si="5"/>
        <v>0.40124287523749219</v>
      </c>
      <c r="O66" s="257">
        <f t="shared" si="29"/>
        <v>57.778974034198875</v>
      </c>
      <c r="P66" s="257">
        <v>0.8</v>
      </c>
      <c r="Q66" s="257">
        <f t="shared" si="1"/>
        <v>115.2</v>
      </c>
      <c r="R66" s="257">
        <f t="shared" si="2"/>
        <v>0.39875712476250785</v>
      </c>
      <c r="S66" s="257">
        <f t="shared" si="2"/>
        <v>57.421025965801128</v>
      </c>
      <c r="T66" s="246">
        <f t="shared" si="3"/>
        <v>0.49844640595313477</v>
      </c>
      <c r="U66" s="138"/>
      <c r="V66" s="268">
        <f t="shared" si="6"/>
        <v>0.8</v>
      </c>
      <c r="W66" s="269">
        <v>0.18</v>
      </c>
      <c r="X66" s="270">
        <f t="shared" si="7"/>
        <v>0.97560975609756095</v>
      </c>
      <c r="Y66" s="271">
        <f t="shared" si="8"/>
        <v>0.17560975609756097</v>
      </c>
      <c r="Z66" s="267">
        <f t="shared" si="9"/>
        <v>1.5804878048780488E-2</v>
      </c>
      <c r="AA66" s="271">
        <f t="shared" si="10"/>
        <v>0.19141463414634147</v>
      </c>
      <c r="AB66" s="271">
        <f t="shared" si="11"/>
        <v>0.78419512195121954</v>
      </c>
      <c r="AC66" s="284">
        <f t="shared" si="12"/>
        <v>0.48833796078821912</v>
      </c>
      <c r="AD66" s="285">
        <f t="shared" si="13"/>
        <v>-1.0108445164915658E-2</v>
      </c>
      <c r="AE66" s="221">
        <v>1</v>
      </c>
    </row>
    <row r="67" spans="1:31" ht="40" customHeight="1" x14ac:dyDescent="0.2">
      <c r="A67" s="123">
        <v>62</v>
      </c>
      <c r="B67" s="274" t="s">
        <v>54</v>
      </c>
      <c r="C67" s="123">
        <v>1</v>
      </c>
      <c r="D67" s="123" t="s">
        <v>55</v>
      </c>
      <c r="E67" s="123">
        <f t="shared" si="26"/>
        <v>270</v>
      </c>
      <c r="F67" s="123" t="s">
        <v>269</v>
      </c>
      <c r="G67" s="123" t="s">
        <v>269</v>
      </c>
      <c r="H67" s="257">
        <v>374.4</v>
      </c>
      <c r="I67" s="257">
        <f t="shared" si="27"/>
        <v>1.3866666666666665</v>
      </c>
      <c r="J67" s="257">
        <f t="shared" si="0"/>
        <v>374.4</v>
      </c>
      <c r="K67" s="257"/>
      <c r="L67" s="257">
        <f t="shared" si="4"/>
        <v>0.43909647456195899</v>
      </c>
      <c r="M67" s="257">
        <f t="shared" si="28"/>
        <v>118.55604813172894</v>
      </c>
      <c r="N67" s="257">
        <f t="shared" si="5"/>
        <v>0.47861515727253534</v>
      </c>
      <c r="O67" s="257">
        <f t="shared" si="29"/>
        <v>129.22609246358454</v>
      </c>
      <c r="P67" s="257">
        <v>0.8</v>
      </c>
      <c r="Q67" s="257">
        <f t="shared" si="1"/>
        <v>216</v>
      </c>
      <c r="R67" s="257">
        <f t="shared" si="2"/>
        <v>0.3213848427274647</v>
      </c>
      <c r="S67" s="257">
        <f t="shared" si="2"/>
        <v>86.773907536415464</v>
      </c>
      <c r="T67" s="246">
        <f t="shared" si="3"/>
        <v>0.40173105340933085</v>
      </c>
      <c r="U67" s="135"/>
      <c r="V67" s="268">
        <f t="shared" si="6"/>
        <v>0.8</v>
      </c>
      <c r="W67" s="269">
        <v>0.18</v>
      </c>
      <c r="X67" s="270">
        <f t="shared" si="7"/>
        <v>0.97560975609756095</v>
      </c>
      <c r="Y67" s="271">
        <f t="shared" si="8"/>
        <v>0.17560975609756097</v>
      </c>
      <c r="Z67" s="267">
        <f t="shared" si="9"/>
        <v>1.5804878048780488E-2</v>
      </c>
      <c r="AA67" s="271">
        <f t="shared" si="10"/>
        <v>0.19141463414634147</v>
      </c>
      <c r="AB67" s="271">
        <f t="shared" si="11"/>
        <v>0.78419512195121954</v>
      </c>
      <c r="AC67" s="284">
        <f t="shared" si="12"/>
        <v>0.3896733811839404</v>
      </c>
      <c r="AD67" s="285">
        <f t="shared" si="13"/>
        <v>-1.2057672225390448E-2</v>
      </c>
      <c r="AE67" s="221" t="s">
        <v>269</v>
      </c>
    </row>
    <row r="68" spans="1:31" ht="40" customHeight="1" x14ac:dyDescent="0.2">
      <c r="A68" s="123">
        <v>63</v>
      </c>
      <c r="B68" s="274" t="s">
        <v>56</v>
      </c>
      <c r="C68" s="123">
        <v>1</v>
      </c>
      <c r="D68" s="123" t="s">
        <v>55</v>
      </c>
      <c r="E68" s="123">
        <f t="shared" si="26"/>
        <v>270</v>
      </c>
      <c r="F68" s="123" t="s">
        <v>269</v>
      </c>
      <c r="G68" s="123" t="s">
        <v>269</v>
      </c>
      <c r="H68" s="257">
        <v>374.4</v>
      </c>
      <c r="I68" s="257">
        <f t="shared" si="27"/>
        <v>1.3866666666666665</v>
      </c>
      <c r="J68" s="257">
        <f t="shared" si="0"/>
        <v>374.4</v>
      </c>
      <c r="K68" s="257"/>
      <c r="L68" s="257">
        <f t="shared" si="4"/>
        <v>0.43909647456195899</v>
      </c>
      <c r="M68" s="257">
        <f t="shared" si="28"/>
        <v>118.55604813172894</v>
      </c>
      <c r="N68" s="257">
        <f t="shared" si="5"/>
        <v>0.47861515727253534</v>
      </c>
      <c r="O68" s="257">
        <f t="shared" si="29"/>
        <v>129.22609246358454</v>
      </c>
      <c r="P68" s="257">
        <v>0.8</v>
      </c>
      <c r="Q68" s="257">
        <f t="shared" si="1"/>
        <v>216</v>
      </c>
      <c r="R68" s="257">
        <f t="shared" si="2"/>
        <v>0.3213848427274647</v>
      </c>
      <c r="S68" s="257">
        <f t="shared" si="2"/>
        <v>86.773907536415464</v>
      </c>
      <c r="T68" s="246">
        <f t="shared" si="3"/>
        <v>0.40173105340933085</v>
      </c>
      <c r="U68" s="135"/>
      <c r="V68" s="268">
        <f t="shared" si="6"/>
        <v>0.8</v>
      </c>
      <c r="W68" s="269">
        <v>0.18</v>
      </c>
      <c r="X68" s="270">
        <f t="shared" si="7"/>
        <v>0.97560975609756095</v>
      </c>
      <c r="Y68" s="271">
        <f t="shared" si="8"/>
        <v>0.17560975609756097</v>
      </c>
      <c r="Z68" s="267">
        <f t="shared" si="9"/>
        <v>1.5804878048780488E-2</v>
      </c>
      <c r="AA68" s="271">
        <f t="shared" si="10"/>
        <v>0.19141463414634147</v>
      </c>
      <c r="AB68" s="271">
        <f t="shared" si="11"/>
        <v>0.78419512195121954</v>
      </c>
      <c r="AC68" s="284">
        <f t="shared" si="12"/>
        <v>0.3896733811839404</v>
      </c>
      <c r="AD68" s="285">
        <f t="shared" si="13"/>
        <v>-1.2057672225390448E-2</v>
      </c>
      <c r="AE68" s="221" t="s">
        <v>269</v>
      </c>
    </row>
    <row r="69" spans="1:31" ht="40" customHeight="1" x14ac:dyDescent="0.2">
      <c r="A69" s="123">
        <v>64</v>
      </c>
      <c r="B69" s="274" t="s">
        <v>57</v>
      </c>
      <c r="C69" s="123">
        <v>1</v>
      </c>
      <c r="D69" s="123" t="s">
        <v>55</v>
      </c>
      <c r="E69" s="123">
        <f t="shared" si="26"/>
        <v>270</v>
      </c>
      <c r="F69" s="123" t="s">
        <v>269</v>
      </c>
      <c r="G69" s="123" t="s">
        <v>269</v>
      </c>
      <c r="H69" s="257">
        <v>374.4</v>
      </c>
      <c r="I69" s="257">
        <f t="shared" si="27"/>
        <v>1.3866666666666665</v>
      </c>
      <c r="J69" s="257">
        <f t="shared" si="0"/>
        <v>374.4</v>
      </c>
      <c r="K69" s="257"/>
      <c r="L69" s="257">
        <f t="shared" si="4"/>
        <v>0.43909647456195899</v>
      </c>
      <c r="M69" s="257">
        <f t="shared" si="28"/>
        <v>118.55604813172894</v>
      </c>
      <c r="N69" s="257">
        <f t="shared" si="5"/>
        <v>0.47861515727253534</v>
      </c>
      <c r="O69" s="257">
        <f t="shared" si="29"/>
        <v>129.22609246358454</v>
      </c>
      <c r="P69" s="257">
        <v>0.8</v>
      </c>
      <c r="Q69" s="257">
        <f t="shared" si="1"/>
        <v>216</v>
      </c>
      <c r="R69" s="257">
        <f t="shared" si="2"/>
        <v>0.3213848427274647</v>
      </c>
      <c r="S69" s="257">
        <f t="shared" si="2"/>
        <v>86.773907536415464</v>
      </c>
      <c r="T69" s="246">
        <f t="shared" si="3"/>
        <v>0.40173105340933085</v>
      </c>
      <c r="U69" s="137"/>
      <c r="V69" s="268">
        <f t="shared" si="6"/>
        <v>0.8</v>
      </c>
      <c r="W69" s="269">
        <v>0.18</v>
      </c>
      <c r="X69" s="270">
        <f t="shared" si="7"/>
        <v>0.97560975609756095</v>
      </c>
      <c r="Y69" s="271">
        <f t="shared" si="8"/>
        <v>0.17560975609756097</v>
      </c>
      <c r="Z69" s="267">
        <f t="shared" si="9"/>
        <v>1.5804878048780488E-2</v>
      </c>
      <c r="AA69" s="271">
        <f t="shared" si="10"/>
        <v>0.19141463414634147</v>
      </c>
      <c r="AB69" s="271">
        <f t="shared" si="11"/>
        <v>0.78419512195121954</v>
      </c>
      <c r="AC69" s="284">
        <f t="shared" si="12"/>
        <v>0.3896733811839404</v>
      </c>
      <c r="AD69" s="285">
        <f t="shared" si="13"/>
        <v>-1.2057672225390448E-2</v>
      </c>
      <c r="AE69" s="221" t="s">
        <v>269</v>
      </c>
    </row>
    <row r="70" spans="1:31" ht="40" customHeight="1" x14ac:dyDescent="0.2">
      <c r="A70" s="123">
        <v>65</v>
      </c>
      <c r="B70" s="274" t="s">
        <v>58</v>
      </c>
      <c r="C70" s="123">
        <v>1</v>
      </c>
      <c r="D70" s="123">
        <v>20</v>
      </c>
      <c r="E70" s="123">
        <f t="shared" si="26"/>
        <v>20</v>
      </c>
      <c r="F70" s="123" t="s">
        <v>269</v>
      </c>
      <c r="G70" s="123" t="s">
        <v>269</v>
      </c>
      <c r="H70" s="257">
        <v>296</v>
      </c>
      <c r="I70" s="257">
        <f t="shared" si="27"/>
        <v>14.8</v>
      </c>
      <c r="J70" s="257">
        <f t="shared" si="0"/>
        <v>296</v>
      </c>
      <c r="K70" s="257"/>
      <c r="L70" s="257">
        <f t="shared" si="4"/>
        <v>4.6865104496516787</v>
      </c>
      <c r="M70" s="257">
        <f t="shared" si="28"/>
        <v>93.730208993033571</v>
      </c>
      <c r="N70" s="257">
        <f t="shared" si="5"/>
        <v>5.10829639012033</v>
      </c>
      <c r="O70" s="257">
        <f t="shared" si="29"/>
        <v>102.1659278024066</v>
      </c>
      <c r="P70" s="257">
        <v>7.5</v>
      </c>
      <c r="Q70" s="257">
        <f t="shared" si="1"/>
        <v>150</v>
      </c>
      <c r="R70" s="257">
        <f t="shared" si="2"/>
        <v>2.39170360987967</v>
      </c>
      <c r="S70" s="257">
        <f t="shared" si="2"/>
        <v>47.8340721975934</v>
      </c>
      <c r="T70" s="246">
        <f t="shared" si="3"/>
        <v>0.31889381465062266</v>
      </c>
      <c r="U70" s="138"/>
      <c r="V70" s="268">
        <f t="shared" si="6"/>
        <v>7.5</v>
      </c>
      <c r="W70" s="269">
        <v>0.18</v>
      </c>
      <c r="X70" s="270">
        <f t="shared" si="7"/>
        <v>9.1463414634146343</v>
      </c>
      <c r="Y70" s="271">
        <f t="shared" si="8"/>
        <v>1.6463414634146341</v>
      </c>
      <c r="Z70" s="267">
        <f t="shared" si="9"/>
        <v>0.14817073170731707</v>
      </c>
      <c r="AA70" s="271">
        <f t="shared" si="10"/>
        <v>1.7945121951219511</v>
      </c>
      <c r="AB70" s="271">
        <f t="shared" si="11"/>
        <v>7.3518292682926827</v>
      </c>
      <c r="AC70" s="284">
        <f t="shared" si="12"/>
        <v>0.30516661857863969</v>
      </c>
      <c r="AD70" s="285">
        <f t="shared" si="13"/>
        <v>-1.3727196071982972E-2</v>
      </c>
      <c r="AE70" s="221" t="s">
        <v>269</v>
      </c>
    </row>
    <row r="71" spans="1:31" ht="40" customHeight="1" x14ac:dyDescent="0.2">
      <c r="A71" s="123">
        <v>66</v>
      </c>
      <c r="B71" s="274" t="s">
        <v>60</v>
      </c>
      <c r="C71" s="123">
        <v>1</v>
      </c>
      <c r="D71" s="123">
        <v>80</v>
      </c>
      <c r="E71" s="123">
        <f t="shared" si="26"/>
        <v>80</v>
      </c>
      <c r="F71" s="123" t="s">
        <v>269</v>
      </c>
      <c r="G71" s="123" t="s">
        <v>269</v>
      </c>
      <c r="H71" s="257">
        <v>289.60000000000002</v>
      </c>
      <c r="I71" s="257">
        <f t="shared" si="27"/>
        <v>3.62</v>
      </c>
      <c r="J71" s="257">
        <f t="shared" si="0"/>
        <v>289.60000000000002</v>
      </c>
      <c r="K71" s="257"/>
      <c r="L71" s="257">
        <f t="shared" si="4"/>
        <v>1.1462951234958836</v>
      </c>
      <c r="M71" s="257">
        <f t="shared" si="28"/>
        <v>91.703609879670694</v>
      </c>
      <c r="N71" s="257">
        <f t="shared" ref="N71:N134" si="31">L71*(1+$O$188+9%)</f>
        <v>1.2494616846105131</v>
      </c>
      <c r="O71" s="257">
        <f t="shared" si="29"/>
        <v>99.956934768841052</v>
      </c>
      <c r="P71" s="257"/>
      <c r="Q71" s="257">
        <f t="shared" si="1"/>
        <v>0</v>
      </c>
      <c r="R71" s="257">
        <f t="shared" si="2"/>
        <v>-1.2494616846105131</v>
      </c>
      <c r="S71" s="257">
        <f t="shared" si="2"/>
        <v>-99.956934768841052</v>
      </c>
      <c r="T71" s="246" t="e">
        <f t="shared" si="3"/>
        <v>#DIV/0!</v>
      </c>
      <c r="U71" s="138"/>
      <c r="V71" s="268">
        <f t="shared" ref="V71:V134" si="32">P71</f>
        <v>0</v>
      </c>
      <c r="W71" s="269">
        <v>0.18</v>
      </c>
      <c r="X71" s="270">
        <f t="shared" ref="X71:X134" si="33">V71/(1-18%)</f>
        <v>0</v>
      </c>
      <c r="Y71" s="271">
        <f t="shared" ref="Y71:Y134" si="34">X71*18%</f>
        <v>0</v>
      </c>
      <c r="Z71" s="267">
        <f t="shared" ref="Z71:Z134" si="35">Y71*9%</f>
        <v>0</v>
      </c>
      <c r="AA71" s="271">
        <f t="shared" ref="AA71:AA134" si="36">Y71+Z71</f>
        <v>0</v>
      </c>
      <c r="AB71" s="271">
        <f t="shared" ref="AB71:AB134" si="37">X71-AA71</f>
        <v>0</v>
      </c>
      <c r="AC71" s="284" t="e">
        <f t="shared" ref="AC71:AC134" si="38">(AB71-N71)/AB71</f>
        <v>#DIV/0!</v>
      </c>
      <c r="AD71" s="285" t="e">
        <f t="shared" ref="AD71:AD134" si="39">AC71-T71</f>
        <v>#DIV/0!</v>
      </c>
      <c r="AE71" s="221" t="s">
        <v>269</v>
      </c>
    </row>
    <row r="72" spans="1:31" ht="40" customHeight="1" x14ac:dyDescent="0.2">
      <c r="A72" s="123">
        <v>67</v>
      </c>
      <c r="B72" s="274" t="s">
        <v>62</v>
      </c>
      <c r="C72" s="123">
        <v>1</v>
      </c>
      <c r="D72" s="123">
        <v>10</v>
      </c>
      <c r="E72" s="123">
        <f t="shared" si="26"/>
        <v>10</v>
      </c>
      <c r="F72" s="123" t="s">
        <v>269</v>
      </c>
      <c r="G72" s="123" t="s">
        <v>269</v>
      </c>
      <c r="H72" s="257">
        <v>24.25</v>
      </c>
      <c r="I72" s="257">
        <f t="shared" si="27"/>
        <v>2.4249999999999998</v>
      </c>
      <c r="J72" s="257">
        <f t="shared" si="0"/>
        <v>24.25</v>
      </c>
      <c r="K72" s="257"/>
      <c r="L72" s="257">
        <f t="shared" si="4"/>
        <v>0.76789107029765669</v>
      </c>
      <c r="M72" s="257">
        <f t="shared" si="28"/>
        <v>7.6789107029765677</v>
      </c>
      <c r="N72" s="257">
        <f t="shared" si="31"/>
        <v>0.83700126662444585</v>
      </c>
      <c r="O72" s="257">
        <f t="shared" si="29"/>
        <v>8.3700126662444578</v>
      </c>
      <c r="P72" s="257">
        <v>1.95</v>
      </c>
      <c r="Q72" s="257">
        <f t="shared" si="1"/>
        <v>19.5</v>
      </c>
      <c r="R72" s="257">
        <f t="shared" si="2"/>
        <v>1.1129987333755542</v>
      </c>
      <c r="S72" s="257">
        <f t="shared" si="2"/>
        <v>11.129987333755542</v>
      </c>
      <c r="T72" s="246">
        <f t="shared" si="3"/>
        <v>0.57076858121823293</v>
      </c>
      <c r="U72" s="138"/>
      <c r="V72" s="268">
        <f t="shared" si="32"/>
        <v>1.95</v>
      </c>
      <c r="W72" s="269">
        <v>0.18</v>
      </c>
      <c r="X72" s="270">
        <f t="shared" si="33"/>
        <v>2.3780487804878048</v>
      </c>
      <c r="Y72" s="271">
        <f t="shared" si="34"/>
        <v>0.42804878048780487</v>
      </c>
      <c r="Z72" s="267">
        <f t="shared" si="35"/>
        <v>3.8524390243902439E-2</v>
      </c>
      <c r="AA72" s="271">
        <f t="shared" si="36"/>
        <v>0.46657317073170729</v>
      </c>
      <c r="AB72" s="271">
        <f t="shared" si="37"/>
        <v>1.9114756097560974</v>
      </c>
      <c r="AC72" s="284">
        <f t="shared" si="38"/>
        <v>0.56211773650031216</v>
      </c>
      <c r="AD72" s="285">
        <f t="shared" si="39"/>
        <v>-8.6508447179207693E-3</v>
      </c>
      <c r="AE72" s="221" t="s">
        <v>269</v>
      </c>
    </row>
    <row r="73" spans="1:31" ht="40" customHeight="1" x14ac:dyDescent="0.2">
      <c r="A73" s="123">
        <v>68</v>
      </c>
      <c r="B73" s="274" t="s">
        <v>233</v>
      </c>
      <c r="C73" s="123">
        <v>1</v>
      </c>
      <c r="D73" s="123">
        <v>10</v>
      </c>
      <c r="E73" s="123">
        <f t="shared" si="26"/>
        <v>10</v>
      </c>
      <c r="F73" s="123" t="s">
        <v>269</v>
      </c>
      <c r="G73" s="123" t="s">
        <v>269</v>
      </c>
      <c r="H73" s="257">
        <v>24.25</v>
      </c>
      <c r="I73" s="257">
        <f t="shared" si="27"/>
        <v>2.4249999999999998</v>
      </c>
      <c r="J73" s="257">
        <f t="shared" si="0"/>
        <v>24.25</v>
      </c>
      <c r="K73" s="257"/>
      <c r="L73" s="257">
        <f t="shared" si="4"/>
        <v>0.76789107029765669</v>
      </c>
      <c r="M73" s="257">
        <f t="shared" si="28"/>
        <v>7.6789107029765677</v>
      </c>
      <c r="N73" s="257">
        <f t="shared" si="31"/>
        <v>0.83700126662444585</v>
      </c>
      <c r="O73" s="257">
        <f t="shared" si="29"/>
        <v>8.3700126662444578</v>
      </c>
      <c r="P73" s="257">
        <v>1.95</v>
      </c>
      <c r="Q73" s="257">
        <f t="shared" si="1"/>
        <v>19.5</v>
      </c>
      <c r="R73" s="257">
        <f t="shared" si="2"/>
        <v>1.1129987333755542</v>
      </c>
      <c r="S73" s="257">
        <f t="shared" si="2"/>
        <v>11.129987333755542</v>
      </c>
      <c r="T73" s="246">
        <f t="shared" si="3"/>
        <v>0.57076858121823293</v>
      </c>
      <c r="U73" s="138"/>
      <c r="V73" s="268">
        <f t="shared" si="32"/>
        <v>1.95</v>
      </c>
      <c r="W73" s="269">
        <v>0.18</v>
      </c>
      <c r="X73" s="270">
        <f t="shared" si="33"/>
        <v>2.3780487804878048</v>
      </c>
      <c r="Y73" s="271">
        <f t="shared" si="34"/>
        <v>0.42804878048780487</v>
      </c>
      <c r="Z73" s="267">
        <f t="shared" si="35"/>
        <v>3.8524390243902439E-2</v>
      </c>
      <c r="AA73" s="271">
        <f t="shared" si="36"/>
        <v>0.46657317073170729</v>
      </c>
      <c r="AB73" s="271">
        <f t="shared" si="37"/>
        <v>1.9114756097560974</v>
      </c>
      <c r="AC73" s="284">
        <f t="shared" si="38"/>
        <v>0.56211773650031216</v>
      </c>
      <c r="AD73" s="285">
        <f t="shared" si="39"/>
        <v>-8.6508447179207693E-3</v>
      </c>
      <c r="AE73" s="221" t="s">
        <v>269</v>
      </c>
    </row>
    <row r="74" spans="1:31" ht="40" customHeight="1" x14ac:dyDescent="0.2">
      <c r="A74" s="123">
        <v>69</v>
      </c>
      <c r="B74" s="274" t="s">
        <v>63</v>
      </c>
      <c r="C74" s="123">
        <v>1</v>
      </c>
      <c r="D74" s="123">
        <v>10</v>
      </c>
      <c r="E74" s="123">
        <f t="shared" si="26"/>
        <v>10</v>
      </c>
      <c r="F74" s="123" t="s">
        <v>269</v>
      </c>
      <c r="G74" s="123" t="s">
        <v>269</v>
      </c>
      <c r="H74" s="257">
        <v>24.25</v>
      </c>
      <c r="I74" s="257">
        <f t="shared" si="27"/>
        <v>2.4249999999999998</v>
      </c>
      <c r="J74" s="257">
        <f t="shared" si="0"/>
        <v>24.25</v>
      </c>
      <c r="K74" s="257"/>
      <c r="L74" s="257">
        <f t="shared" si="4"/>
        <v>0.76789107029765669</v>
      </c>
      <c r="M74" s="257">
        <f t="shared" si="28"/>
        <v>7.6789107029765677</v>
      </c>
      <c r="N74" s="257">
        <f t="shared" si="31"/>
        <v>0.83700126662444585</v>
      </c>
      <c r="O74" s="257">
        <f t="shared" si="29"/>
        <v>8.3700126662444578</v>
      </c>
      <c r="P74" s="257">
        <v>1.95</v>
      </c>
      <c r="Q74" s="257">
        <f t="shared" si="1"/>
        <v>19.5</v>
      </c>
      <c r="R74" s="257">
        <f t="shared" si="2"/>
        <v>1.1129987333755542</v>
      </c>
      <c r="S74" s="257">
        <f t="shared" si="2"/>
        <v>11.129987333755542</v>
      </c>
      <c r="T74" s="246">
        <f t="shared" si="3"/>
        <v>0.57076858121823293</v>
      </c>
      <c r="U74" s="138"/>
      <c r="V74" s="268">
        <f t="shared" si="32"/>
        <v>1.95</v>
      </c>
      <c r="W74" s="269">
        <v>0.18</v>
      </c>
      <c r="X74" s="270">
        <f t="shared" si="33"/>
        <v>2.3780487804878048</v>
      </c>
      <c r="Y74" s="271">
        <f t="shared" si="34"/>
        <v>0.42804878048780487</v>
      </c>
      <c r="Z74" s="267">
        <f t="shared" si="35"/>
        <v>3.8524390243902439E-2</v>
      </c>
      <c r="AA74" s="271">
        <f t="shared" si="36"/>
        <v>0.46657317073170729</v>
      </c>
      <c r="AB74" s="271">
        <f t="shared" si="37"/>
        <v>1.9114756097560974</v>
      </c>
      <c r="AC74" s="284">
        <f t="shared" si="38"/>
        <v>0.56211773650031216</v>
      </c>
      <c r="AD74" s="285">
        <f t="shared" si="39"/>
        <v>-8.6508447179207693E-3</v>
      </c>
      <c r="AE74" s="221" t="s">
        <v>269</v>
      </c>
    </row>
    <row r="75" spans="1:31" ht="40" customHeight="1" x14ac:dyDescent="0.2">
      <c r="A75" s="123">
        <v>70</v>
      </c>
      <c r="B75" s="274" t="s">
        <v>64</v>
      </c>
      <c r="C75" s="123">
        <v>1</v>
      </c>
      <c r="D75" s="123" t="s">
        <v>59</v>
      </c>
      <c r="E75" s="123">
        <f t="shared" si="26"/>
        <v>40</v>
      </c>
      <c r="F75" s="123" t="s">
        <v>269</v>
      </c>
      <c r="G75" s="123" t="s">
        <v>269</v>
      </c>
      <c r="H75" s="257">
        <v>56</v>
      </c>
      <c r="I75" s="257">
        <f t="shared" si="27"/>
        <v>1.4</v>
      </c>
      <c r="J75" s="257">
        <f t="shared" si="0"/>
        <v>56</v>
      </c>
      <c r="K75" s="257"/>
      <c r="L75" s="257">
        <f t="shared" si="4"/>
        <v>0.4433185560481317</v>
      </c>
      <c r="M75" s="257">
        <f t="shared" si="28"/>
        <v>17.732742241925269</v>
      </c>
      <c r="N75" s="257">
        <f t="shared" si="31"/>
        <v>0.48321722609246359</v>
      </c>
      <c r="O75" s="257">
        <f t="shared" si="29"/>
        <v>19.328689043698542</v>
      </c>
      <c r="P75" s="257">
        <v>1</v>
      </c>
      <c r="Q75" s="257">
        <f t="shared" si="1"/>
        <v>40</v>
      </c>
      <c r="R75" s="257">
        <f t="shared" si="2"/>
        <v>0.51678277390753635</v>
      </c>
      <c r="S75" s="257">
        <f t="shared" si="2"/>
        <v>20.671310956301458</v>
      </c>
      <c r="T75" s="246">
        <f t="shared" si="3"/>
        <v>0.51678277390753635</v>
      </c>
      <c r="U75" s="135"/>
      <c r="V75" s="268">
        <f t="shared" si="32"/>
        <v>1</v>
      </c>
      <c r="W75" s="269">
        <v>0.18</v>
      </c>
      <c r="X75" s="270">
        <f t="shared" si="33"/>
        <v>1.2195121951219512</v>
      </c>
      <c r="Y75" s="271">
        <f t="shared" si="34"/>
        <v>0.21951219512195122</v>
      </c>
      <c r="Z75" s="267">
        <f t="shared" si="35"/>
        <v>1.975609756097561E-2</v>
      </c>
      <c r="AA75" s="271">
        <f t="shared" si="36"/>
        <v>0.23926829268292682</v>
      </c>
      <c r="AB75" s="271">
        <f t="shared" si="37"/>
        <v>0.98024390243902437</v>
      </c>
      <c r="AC75" s="284">
        <f t="shared" si="38"/>
        <v>0.50704388480241336</v>
      </c>
      <c r="AD75" s="285">
        <f t="shared" si="39"/>
        <v>-9.7388891051229942E-3</v>
      </c>
      <c r="AE75" s="221" t="s">
        <v>269</v>
      </c>
    </row>
    <row r="76" spans="1:31" ht="40" customHeight="1" x14ac:dyDescent="0.2">
      <c r="A76" s="123">
        <v>71</v>
      </c>
      <c r="B76" s="274" t="s">
        <v>235</v>
      </c>
      <c r="C76" s="123">
        <v>1</v>
      </c>
      <c r="D76" s="123" t="s">
        <v>59</v>
      </c>
      <c r="E76" s="123">
        <f t="shared" si="26"/>
        <v>40</v>
      </c>
      <c r="F76" s="123" t="s">
        <v>269</v>
      </c>
      <c r="G76" s="123" t="s">
        <v>269</v>
      </c>
      <c r="H76" s="257">
        <v>56</v>
      </c>
      <c r="I76" s="257">
        <f t="shared" si="27"/>
        <v>1.4</v>
      </c>
      <c r="J76" s="257">
        <f t="shared" si="0"/>
        <v>56</v>
      </c>
      <c r="K76" s="257"/>
      <c r="L76" s="257">
        <f t="shared" si="4"/>
        <v>0.4433185560481317</v>
      </c>
      <c r="M76" s="257">
        <f t="shared" si="28"/>
        <v>17.732742241925269</v>
      </c>
      <c r="N76" s="257">
        <f t="shared" si="31"/>
        <v>0.48321722609246359</v>
      </c>
      <c r="O76" s="257">
        <f t="shared" si="29"/>
        <v>19.328689043698542</v>
      </c>
      <c r="P76" s="257">
        <v>1</v>
      </c>
      <c r="Q76" s="257">
        <f t="shared" si="1"/>
        <v>40</v>
      </c>
      <c r="R76" s="257">
        <f t="shared" si="2"/>
        <v>0.51678277390753635</v>
      </c>
      <c r="S76" s="257">
        <f t="shared" si="2"/>
        <v>20.671310956301458</v>
      </c>
      <c r="T76" s="246">
        <f t="shared" si="3"/>
        <v>0.51678277390753635</v>
      </c>
      <c r="U76" s="138"/>
      <c r="V76" s="268">
        <f t="shared" si="32"/>
        <v>1</v>
      </c>
      <c r="W76" s="269">
        <v>0.18</v>
      </c>
      <c r="X76" s="270">
        <f t="shared" si="33"/>
        <v>1.2195121951219512</v>
      </c>
      <c r="Y76" s="271">
        <f t="shared" si="34"/>
        <v>0.21951219512195122</v>
      </c>
      <c r="Z76" s="267">
        <f t="shared" si="35"/>
        <v>1.975609756097561E-2</v>
      </c>
      <c r="AA76" s="271">
        <f t="shared" si="36"/>
        <v>0.23926829268292682</v>
      </c>
      <c r="AB76" s="271">
        <f t="shared" si="37"/>
        <v>0.98024390243902437</v>
      </c>
      <c r="AC76" s="284">
        <f t="shared" si="38"/>
        <v>0.50704388480241336</v>
      </c>
      <c r="AD76" s="285">
        <f t="shared" si="39"/>
        <v>-9.7388891051229942E-3</v>
      </c>
      <c r="AE76" s="221" t="s">
        <v>269</v>
      </c>
    </row>
    <row r="77" spans="1:31" ht="40" customHeight="1" x14ac:dyDescent="0.2">
      <c r="A77" s="123">
        <v>72</v>
      </c>
      <c r="B77" s="274" t="s">
        <v>65</v>
      </c>
      <c r="C77" s="123">
        <v>1</v>
      </c>
      <c r="D77" s="123" t="s">
        <v>59</v>
      </c>
      <c r="E77" s="123">
        <f t="shared" si="26"/>
        <v>40</v>
      </c>
      <c r="F77" s="123" t="s">
        <v>269</v>
      </c>
      <c r="G77" s="123" t="s">
        <v>269</v>
      </c>
      <c r="H77" s="257">
        <v>56</v>
      </c>
      <c r="I77" s="257">
        <f t="shared" si="27"/>
        <v>1.4</v>
      </c>
      <c r="J77" s="257">
        <f t="shared" si="0"/>
        <v>56</v>
      </c>
      <c r="K77" s="257"/>
      <c r="L77" s="257">
        <f t="shared" si="4"/>
        <v>0.4433185560481317</v>
      </c>
      <c r="M77" s="257">
        <f t="shared" si="28"/>
        <v>17.732742241925269</v>
      </c>
      <c r="N77" s="257">
        <f t="shared" si="31"/>
        <v>0.48321722609246359</v>
      </c>
      <c r="O77" s="257">
        <f t="shared" si="29"/>
        <v>19.328689043698542</v>
      </c>
      <c r="P77" s="257">
        <v>1</v>
      </c>
      <c r="Q77" s="257">
        <f t="shared" si="1"/>
        <v>40</v>
      </c>
      <c r="R77" s="257">
        <f t="shared" si="2"/>
        <v>0.51678277390753635</v>
      </c>
      <c r="S77" s="257">
        <f t="shared" si="2"/>
        <v>20.671310956301458</v>
      </c>
      <c r="T77" s="246">
        <f t="shared" si="3"/>
        <v>0.51678277390753635</v>
      </c>
      <c r="U77" s="138"/>
      <c r="V77" s="268">
        <f t="shared" si="32"/>
        <v>1</v>
      </c>
      <c r="W77" s="269">
        <v>0.18</v>
      </c>
      <c r="X77" s="270">
        <f t="shared" si="33"/>
        <v>1.2195121951219512</v>
      </c>
      <c r="Y77" s="271">
        <f t="shared" si="34"/>
        <v>0.21951219512195122</v>
      </c>
      <c r="Z77" s="267">
        <f t="shared" si="35"/>
        <v>1.975609756097561E-2</v>
      </c>
      <c r="AA77" s="271">
        <f t="shared" si="36"/>
        <v>0.23926829268292682</v>
      </c>
      <c r="AB77" s="271">
        <f t="shared" si="37"/>
        <v>0.98024390243902437</v>
      </c>
      <c r="AC77" s="284">
        <f t="shared" si="38"/>
        <v>0.50704388480241336</v>
      </c>
      <c r="AD77" s="285">
        <f t="shared" si="39"/>
        <v>-9.7388891051229942E-3</v>
      </c>
      <c r="AE77" s="221" t="s">
        <v>269</v>
      </c>
    </row>
    <row r="78" spans="1:31" ht="40" customHeight="1" x14ac:dyDescent="0.2">
      <c r="A78" s="123">
        <v>73</v>
      </c>
      <c r="B78" s="274" t="s">
        <v>234</v>
      </c>
      <c r="C78" s="123">
        <v>1</v>
      </c>
      <c r="D78" s="123">
        <v>24</v>
      </c>
      <c r="E78" s="123">
        <f t="shared" si="26"/>
        <v>24</v>
      </c>
      <c r="F78" s="123" t="s">
        <v>269</v>
      </c>
      <c r="G78" s="123" t="s">
        <v>269</v>
      </c>
      <c r="H78" s="257">
        <v>56.4</v>
      </c>
      <c r="I78" s="257">
        <f t="shared" si="27"/>
        <v>2.35</v>
      </c>
      <c r="J78" s="257">
        <f t="shared" si="0"/>
        <v>56.400000000000006</v>
      </c>
      <c r="K78" s="257"/>
      <c r="L78" s="257">
        <f t="shared" si="4"/>
        <v>0.74414186193793541</v>
      </c>
      <c r="M78" s="257">
        <f t="shared" si="28"/>
        <v>17.859404686510448</v>
      </c>
      <c r="N78" s="257">
        <f t="shared" si="31"/>
        <v>0.81111462951234969</v>
      </c>
      <c r="O78" s="257">
        <f t="shared" si="29"/>
        <v>19.466751108296393</v>
      </c>
      <c r="P78" s="257">
        <v>1.5</v>
      </c>
      <c r="Q78" s="257">
        <f t="shared" si="1"/>
        <v>36</v>
      </c>
      <c r="R78" s="257">
        <f t="shared" si="2"/>
        <v>0.68888537048765031</v>
      </c>
      <c r="S78" s="257">
        <f t="shared" si="2"/>
        <v>16.533248891703607</v>
      </c>
      <c r="T78" s="246">
        <f t="shared" si="3"/>
        <v>0.45925691365843352</v>
      </c>
      <c r="U78" s="138"/>
      <c r="V78" s="268">
        <f t="shared" si="32"/>
        <v>1.5</v>
      </c>
      <c r="W78" s="269">
        <v>0.18</v>
      </c>
      <c r="X78" s="270">
        <f t="shared" si="33"/>
        <v>1.8292682926829267</v>
      </c>
      <c r="Y78" s="271">
        <f t="shared" si="34"/>
        <v>0.32926829268292679</v>
      </c>
      <c r="Z78" s="267">
        <f t="shared" si="35"/>
        <v>2.963414634146341E-2</v>
      </c>
      <c r="AA78" s="271">
        <f t="shared" si="36"/>
        <v>0.35890243902439017</v>
      </c>
      <c r="AB78" s="271">
        <f t="shared" si="37"/>
        <v>1.4703658536585364</v>
      </c>
      <c r="AC78" s="284">
        <f t="shared" si="38"/>
        <v>0.44835863299317674</v>
      </c>
      <c r="AD78" s="285">
        <f t="shared" si="39"/>
        <v>-1.0898280665256777E-2</v>
      </c>
      <c r="AE78" s="221" t="s">
        <v>269</v>
      </c>
    </row>
    <row r="79" spans="1:31" ht="40" customHeight="1" x14ac:dyDescent="0.2">
      <c r="A79" s="123">
        <v>74</v>
      </c>
      <c r="B79" s="274" t="s">
        <v>187</v>
      </c>
      <c r="C79" s="123">
        <v>1</v>
      </c>
      <c r="D79" s="123">
        <v>24</v>
      </c>
      <c r="E79" s="123">
        <f t="shared" si="26"/>
        <v>24</v>
      </c>
      <c r="F79" s="123" t="s">
        <v>269</v>
      </c>
      <c r="G79" s="123" t="s">
        <v>269</v>
      </c>
      <c r="H79" s="257">
        <v>56.4</v>
      </c>
      <c r="I79" s="257">
        <f t="shared" si="27"/>
        <v>2.35</v>
      </c>
      <c r="J79" s="257">
        <f t="shared" si="0"/>
        <v>56.400000000000006</v>
      </c>
      <c r="K79" s="257"/>
      <c r="L79" s="257">
        <f t="shared" si="4"/>
        <v>0.74414186193793541</v>
      </c>
      <c r="M79" s="257">
        <f t="shared" si="28"/>
        <v>17.859404686510448</v>
      </c>
      <c r="N79" s="257">
        <f t="shared" si="31"/>
        <v>0.81111462951234969</v>
      </c>
      <c r="O79" s="257">
        <f t="shared" si="29"/>
        <v>19.466751108296393</v>
      </c>
      <c r="P79" s="257">
        <v>1.5</v>
      </c>
      <c r="Q79" s="257">
        <f t="shared" si="1"/>
        <v>36</v>
      </c>
      <c r="R79" s="257">
        <f t="shared" si="2"/>
        <v>0.68888537048765031</v>
      </c>
      <c r="S79" s="257">
        <f t="shared" si="2"/>
        <v>16.533248891703607</v>
      </c>
      <c r="T79" s="246">
        <f t="shared" si="3"/>
        <v>0.45925691365843352</v>
      </c>
      <c r="U79" s="138"/>
      <c r="V79" s="268">
        <f t="shared" si="32"/>
        <v>1.5</v>
      </c>
      <c r="W79" s="269">
        <v>0.18</v>
      </c>
      <c r="X79" s="270">
        <f t="shared" si="33"/>
        <v>1.8292682926829267</v>
      </c>
      <c r="Y79" s="271">
        <f t="shared" si="34"/>
        <v>0.32926829268292679</v>
      </c>
      <c r="Z79" s="267">
        <f t="shared" si="35"/>
        <v>2.963414634146341E-2</v>
      </c>
      <c r="AA79" s="271">
        <f t="shared" si="36"/>
        <v>0.35890243902439017</v>
      </c>
      <c r="AB79" s="271">
        <f t="shared" si="37"/>
        <v>1.4703658536585364</v>
      </c>
      <c r="AC79" s="284">
        <f t="shared" si="38"/>
        <v>0.44835863299317674</v>
      </c>
      <c r="AD79" s="285">
        <f t="shared" si="39"/>
        <v>-1.0898280665256777E-2</v>
      </c>
      <c r="AE79" s="221" t="s">
        <v>269</v>
      </c>
    </row>
    <row r="80" spans="1:31" ht="40" customHeight="1" x14ac:dyDescent="0.2">
      <c r="A80" s="123">
        <v>75</v>
      </c>
      <c r="B80" s="274" t="s">
        <v>183</v>
      </c>
      <c r="C80" s="123">
        <v>1</v>
      </c>
      <c r="D80" s="123">
        <v>24</v>
      </c>
      <c r="E80" s="123">
        <f t="shared" si="26"/>
        <v>24</v>
      </c>
      <c r="F80" s="123" t="s">
        <v>269</v>
      </c>
      <c r="G80" s="123" t="s">
        <v>269</v>
      </c>
      <c r="H80" s="257">
        <v>94.8</v>
      </c>
      <c r="I80" s="257">
        <f t="shared" si="27"/>
        <v>3.9499999999999997</v>
      </c>
      <c r="J80" s="257">
        <f t="shared" ref="J80:J143" si="40">I80*E80</f>
        <v>94.8</v>
      </c>
      <c r="K80" s="257"/>
      <c r="L80" s="257">
        <f t="shared" si="4"/>
        <v>1.2507916402786574</v>
      </c>
      <c r="M80" s="257">
        <f t="shared" si="28"/>
        <v>30.018999366687776</v>
      </c>
      <c r="N80" s="257">
        <f t="shared" si="31"/>
        <v>1.3633628879037367</v>
      </c>
      <c r="O80" s="257">
        <f t="shared" si="29"/>
        <v>32.720709309689681</v>
      </c>
      <c r="P80" s="257">
        <v>2.5</v>
      </c>
      <c r="Q80" s="257">
        <f t="shared" si="1"/>
        <v>60</v>
      </c>
      <c r="R80" s="257">
        <f t="shared" si="2"/>
        <v>1.1366371120962633</v>
      </c>
      <c r="S80" s="257">
        <f t="shared" si="2"/>
        <v>27.279290690310319</v>
      </c>
      <c r="T80" s="246">
        <f t="shared" si="3"/>
        <v>0.45465484483850532</v>
      </c>
      <c r="U80" s="138"/>
      <c r="V80" s="268">
        <f t="shared" si="32"/>
        <v>2.5</v>
      </c>
      <c r="W80" s="269">
        <v>0.18</v>
      </c>
      <c r="X80" s="270">
        <f t="shared" si="33"/>
        <v>3.0487804878048776</v>
      </c>
      <c r="Y80" s="271">
        <f t="shared" si="34"/>
        <v>0.54878048780487798</v>
      </c>
      <c r="Z80" s="267">
        <f t="shared" si="35"/>
        <v>4.939024390243902E-2</v>
      </c>
      <c r="AA80" s="271">
        <f t="shared" si="36"/>
        <v>0.59817073170731705</v>
      </c>
      <c r="AB80" s="271">
        <f t="shared" si="37"/>
        <v>2.4506097560975606</v>
      </c>
      <c r="AC80" s="284">
        <f t="shared" si="38"/>
        <v>0.44366381284843776</v>
      </c>
      <c r="AD80" s="285">
        <f t="shared" si="39"/>
        <v>-1.0991031990067568E-2</v>
      </c>
      <c r="AE80" s="221" t="s">
        <v>269</v>
      </c>
    </row>
    <row r="81" spans="1:31" ht="40" customHeight="1" x14ac:dyDescent="0.2">
      <c r="A81" s="123">
        <v>76</v>
      </c>
      <c r="B81" s="274" t="s">
        <v>184</v>
      </c>
      <c r="C81" s="123">
        <v>1</v>
      </c>
      <c r="D81" s="123">
        <v>24</v>
      </c>
      <c r="E81" s="123">
        <f t="shared" si="26"/>
        <v>24</v>
      </c>
      <c r="F81" s="123" t="s">
        <v>269</v>
      </c>
      <c r="G81" s="123" t="s">
        <v>269</v>
      </c>
      <c r="H81" s="257">
        <v>94.8</v>
      </c>
      <c r="I81" s="257">
        <f t="shared" si="27"/>
        <v>3.9499999999999997</v>
      </c>
      <c r="J81" s="257">
        <f t="shared" si="40"/>
        <v>94.8</v>
      </c>
      <c r="K81" s="257"/>
      <c r="L81" s="257">
        <f t="shared" si="4"/>
        <v>1.2507916402786574</v>
      </c>
      <c r="M81" s="257">
        <f t="shared" si="28"/>
        <v>30.018999366687776</v>
      </c>
      <c r="N81" s="257">
        <f t="shared" si="31"/>
        <v>1.3633628879037367</v>
      </c>
      <c r="O81" s="257">
        <f t="shared" si="29"/>
        <v>32.720709309689681</v>
      </c>
      <c r="P81" s="257">
        <v>2.5</v>
      </c>
      <c r="Q81" s="257">
        <f t="shared" si="1"/>
        <v>60</v>
      </c>
      <c r="R81" s="257">
        <f t="shared" si="2"/>
        <v>1.1366371120962633</v>
      </c>
      <c r="S81" s="257">
        <f t="shared" si="2"/>
        <v>27.279290690310319</v>
      </c>
      <c r="T81" s="246">
        <f t="shared" si="3"/>
        <v>0.45465484483850532</v>
      </c>
      <c r="U81" s="138"/>
      <c r="V81" s="268">
        <f t="shared" si="32"/>
        <v>2.5</v>
      </c>
      <c r="W81" s="269">
        <v>0.18</v>
      </c>
      <c r="X81" s="270">
        <f t="shared" si="33"/>
        <v>3.0487804878048776</v>
      </c>
      <c r="Y81" s="271">
        <f t="shared" si="34"/>
        <v>0.54878048780487798</v>
      </c>
      <c r="Z81" s="267">
        <f t="shared" si="35"/>
        <v>4.939024390243902E-2</v>
      </c>
      <c r="AA81" s="271">
        <f t="shared" si="36"/>
        <v>0.59817073170731705</v>
      </c>
      <c r="AB81" s="271">
        <f t="shared" si="37"/>
        <v>2.4506097560975606</v>
      </c>
      <c r="AC81" s="284">
        <f t="shared" si="38"/>
        <v>0.44366381284843776</v>
      </c>
      <c r="AD81" s="285">
        <f t="shared" si="39"/>
        <v>-1.0991031990067568E-2</v>
      </c>
      <c r="AE81" s="221" t="s">
        <v>269</v>
      </c>
    </row>
    <row r="82" spans="1:31" ht="40" customHeight="1" x14ac:dyDescent="0.2">
      <c r="A82" s="123">
        <v>77</v>
      </c>
      <c r="B82" s="274" t="s">
        <v>185</v>
      </c>
      <c r="C82" s="123">
        <v>1</v>
      </c>
      <c r="D82" s="123">
        <v>24</v>
      </c>
      <c r="E82" s="123">
        <f t="shared" si="26"/>
        <v>24</v>
      </c>
      <c r="F82" s="123" t="s">
        <v>269</v>
      </c>
      <c r="G82" s="123" t="s">
        <v>269</v>
      </c>
      <c r="H82" s="257">
        <v>94.8</v>
      </c>
      <c r="I82" s="257">
        <f t="shared" si="27"/>
        <v>3.9499999999999997</v>
      </c>
      <c r="J82" s="257">
        <f t="shared" si="40"/>
        <v>94.8</v>
      </c>
      <c r="K82" s="257"/>
      <c r="L82" s="257">
        <f t="shared" si="4"/>
        <v>1.2507916402786574</v>
      </c>
      <c r="M82" s="257">
        <f t="shared" si="28"/>
        <v>30.018999366687776</v>
      </c>
      <c r="N82" s="257">
        <f t="shared" si="31"/>
        <v>1.3633628879037367</v>
      </c>
      <c r="O82" s="257">
        <f t="shared" si="29"/>
        <v>32.720709309689681</v>
      </c>
      <c r="P82" s="257">
        <v>2.5</v>
      </c>
      <c r="Q82" s="257">
        <f t="shared" si="1"/>
        <v>60</v>
      </c>
      <c r="R82" s="257">
        <f t="shared" si="2"/>
        <v>1.1366371120962633</v>
      </c>
      <c r="S82" s="257">
        <f t="shared" si="2"/>
        <v>27.279290690310319</v>
      </c>
      <c r="T82" s="246">
        <f t="shared" si="3"/>
        <v>0.45465484483850532</v>
      </c>
      <c r="U82" s="138"/>
      <c r="V82" s="268">
        <f t="shared" si="32"/>
        <v>2.5</v>
      </c>
      <c r="W82" s="269">
        <v>0.18</v>
      </c>
      <c r="X82" s="270">
        <f t="shared" si="33"/>
        <v>3.0487804878048776</v>
      </c>
      <c r="Y82" s="271">
        <f t="shared" si="34"/>
        <v>0.54878048780487798</v>
      </c>
      <c r="Z82" s="267">
        <f t="shared" si="35"/>
        <v>4.939024390243902E-2</v>
      </c>
      <c r="AA82" s="271">
        <f t="shared" si="36"/>
        <v>0.59817073170731705</v>
      </c>
      <c r="AB82" s="271">
        <f t="shared" si="37"/>
        <v>2.4506097560975606</v>
      </c>
      <c r="AC82" s="284">
        <f t="shared" si="38"/>
        <v>0.44366381284843776</v>
      </c>
      <c r="AD82" s="285">
        <f t="shared" si="39"/>
        <v>-1.0991031990067568E-2</v>
      </c>
      <c r="AE82" s="221" t="s">
        <v>269</v>
      </c>
    </row>
    <row r="83" spans="1:31" ht="40" customHeight="1" x14ac:dyDescent="0.2">
      <c r="A83" s="123">
        <v>78</v>
      </c>
      <c r="B83" s="274" t="s">
        <v>186</v>
      </c>
      <c r="C83" s="123">
        <v>1</v>
      </c>
      <c r="D83" s="123">
        <v>24</v>
      </c>
      <c r="E83" s="123">
        <f t="shared" si="26"/>
        <v>24</v>
      </c>
      <c r="F83" s="123" t="s">
        <v>269</v>
      </c>
      <c r="G83" s="123" t="s">
        <v>269</v>
      </c>
      <c r="H83" s="257">
        <v>94.8</v>
      </c>
      <c r="I83" s="257">
        <f t="shared" si="27"/>
        <v>3.9499999999999997</v>
      </c>
      <c r="J83" s="257">
        <f t="shared" si="40"/>
        <v>94.8</v>
      </c>
      <c r="K83" s="257"/>
      <c r="L83" s="257">
        <f t="shared" si="4"/>
        <v>1.2507916402786574</v>
      </c>
      <c r="M83" s="257">
        <f t="shared" si="28"/>
        <v>30.018999366687776</v>
      </c>
      <c r="N83" s="257">
        <f t="shared" si="31"/>
        <v>1.3633628879037367</v>
      </c>
      <c r="O83" s="257">
        <f t="shared" si="29"/>
        <v>32.720709309689681</v>
      </c>
      <c r="P83" s="257">
        <v>2.5</v>
      </c>
      <c r="Q83" s="257">
        <f t="shared" si="1"/>
        <v>60</v>
      </c>
      <c r="R83" s="257">
        <f t="shared" si="2"/>
        <v>1.1366371120962633</v>
      </c>
      <c r="S83" s="257">
        <f t="shared" si="2"/>
        <v>27.279290690310319</v>
      </c>
      <c r="T83" s="246">
        <f t="shared" si="3"/>
        <v>0.45465484483850532</v>
      </c>
      <c r="U83" s="138"/>
      <c r="V83" s="268">
        <f t="shared" si="32"/>
        <v>2.5</v>
      </c>
      <c r="W83" s="269">
        <v>0.18</v>
      </c>
      <c r="X83" s="270">
        <f t="shared" si="33"/>
        <v>3.0487804878048776</v>
      </c>
      <c r="Y83" s="271">
        <f t="shared" si="34"/>
        <v>0.54878048780487798</v>
      </c>
      <c r="Z83" s="267">
        <f t="shared" si="35"/>
        <v>4.939024390243902E-2</v>
      </c>
      <c r="AA83" s="271">
        <f t="shared" si="36"/>
        <v>0.59817073170731705</v>
      </c>
      <c r="AB83" s="271">
        <f t="shared" si="37"/>
        <v>2.4506097560975606</v>
      </c>
      <c r="AC83" s="284">
        <f t="shared" si="38"/>
        <v>0.44366381284843776</v>
      </c>
      <c r="AD83" s="285">
        <f t="shared" si="39"/>
        <v>-1.0991031990067568E-2</v>
      </c>
      <c r="AE83" s="221" t="s">
        <v>269</v>
      </c>
    </row>
    <row r="84" spans="1:31" ht="40" customHeight="1" x14ac:dyDescent="0.2">
      <c r="A84" s="123">
        <v>79</v>
      </c>
      <c r="B84" s="274" t="s">
        <v>66</v>
      </c>
      <c r="C84" s="123">
        <v>1</v>
      </c>
      <c r="D84" s="123" t="s">
        <v>59</v>
      </c>
      <c r="E84" s="123">
        <f t="shared" si="26"/>
        <v>40</v>
      </c>
      <c r="F84" s="123" t="s">
        <v>269</v>
      </c>
      <c r="G84" s="123" t="s">
        <v>269</v>
      </c>
      <c r="H84" s="257">
        <v>56</v>
      </c>
      <c r="I84" s="257">
        <f t="shared" si="27"/>
        <v>1.4</v>
      </c>
      <c r="J84" s="257">
        <f t="shared" si="40"/>
        <v>56</v>
      </c>
      <c r="K84" s="257"/>
      <c r="L84" s="257">
        <f t="shared" si="4"/>
        <v>0.4433185560481317</v>
      </c>
      <c r="M84" s="257">
        <f t="shared" si="28"/>
        <v>17.732742241925269</v>
      </c>
      <c r="N84" s="257">
        <f t="shared" si="31"/>
        <v>0.48321722609246359</v>
      </c>
      <c r="O84" s="257">
        <f t="shared" si="29"/>
        <v>19.328689043698542</v>
      </c>
      <c r="P84" s="257">
        <v>1</v>
      </c>
      <c r="Q84" s="257">
        <f t="shared" si="1"/>
        <v>40</v>
      </c>
      <c r="R84" s="257">
        <f t="shared" si="2"/>
        <v>0.51678277390753635</v>
      </c>
      <c r="S84" s="257">
        <f t="shared" si="2"/>
        <v>20.671310956301458</v>
      </c>
      <c r="T84" s="246">
        <f t="shared" si="3"/>
        <v>0.51678277390753635</v>
      </c>
      <c r="U84" s="138"/>
      <c r="V84" s="268">
        <f t="shared" si="32"/>
        <v>1</v>
      </c>
      <c r="W84" s="269">
        <v>0.18</v>
      </c>
      <c r="X84" s="270">
        <f t="shared" si="33"/>
        <v>1.2195121951219512</v>
      </c>
      <c r="Y84" s="271">
        <f t="shared" si="34"/>
        <v>0.21951219512195122</v>
      </c>
      <c r="Z84" s="267">
        <f t="shared" si="35"/>
        <v>1.975609756097561E-2</v>
      </c>
      <c r="AA84" s="271">
        <f t="shared" si="36"/>
        <v>0.23926829268292682</v>
      </c>
      <c r="AB84" s="271">
        <f t="shared" si="37"/>
        <v>0.98024390243902437</v>
      </c>
      <c r="AC84" s="284">
        <f t="shared" si="38"/>
        <v>0.50704388480241336</v>
      </c>
      <c r="AD84" s="285">
        <f t="shared" si="39"/>
        <v>-9.7388891051229942E-3</v>
      </c>
      <c r="AE84" s="221" t="s">
        <v>269</v>
      </c>
    </row>
    <row r="85" spans="1:31" ht="40" customHeight="1" x14ac:dyDescent="0.2">
      <c r="A85" s="123">
        <v>80</v>
      </c>
      <c r="B85" s="274" t="s">
        <v>67</v>
      </c>
      <c r="C85" s="123">
        <v>1</v>
      </c>
      <c r="D85" s="123" t="s">
        <v>59</v>
      </c>
      <c r="E85" s="123">
        <f t="shared" si="26"/>
        <v>40</v>
      </c>
      <c r="F85" s="123" t="s">
        <v>269</v>
      </c>
      <c r="G85" s="123" t="s">
        <v>269</v>
      </c>
      <c r="H85" s="257">
        <v>56</v>
      </c>
      <c r="I85" s="257">
        <f t="shared" si="27"/>
        <v>1.4</v>
      </c>
      <c r="J85" s="257">
        <f t="shared" si="40"/>
        <v>56</v>
      </c>
      <c r="K85" s="257"/>
      <c r="L85" s="257">
        <f t="shared" si="4"/>
        <v>0.4433185560481317</v>
      </c>
      <c r="M85" s="257">
        <f t="shared" si="28"/>
        <v>17.732742241925269</v>
      </c>
      <c r="N85" s="257">
        <f t="shared" si="31"/>
        <v>0.48321722609246359</v>
      </c>
      <c r="O85" s="257">
        <f t="shared" si="29"/>
        <v>19.328689043698542</v>
      </c>
      <c r="P85" s="257">
        <v>1</v>
      </c>
      <c r="Q85" s="257">
        <f t="shared" si="1"/>
        <v>40</v>
      </c>
      <c r="R85" s="257">
        <f t="shared" si="2"/>
        <v>0.51678277390753635</v>
      </c>
      <c r="S85" s="257">
        <f t="shared" si="2"/>
        <v>20.671310956301458</v>
      </c>
      <c r="T85" s="246">
        <f t="shared" si="3"/>
        <v>0.51678277390753635</v>
      </c>
      <c r="U85" s="138"/>
      <c r="V85" s="268">
        <f t="shared" si="32"/>
        <v>1</v>
      </c>
      <c r="W85" s="269">
        <v>0.18</v>
      </c>
      <c r="X85" s="270">
        <f t="shared" si="33"/>
        <v>1.2195121951219512</v>
      </c>
      <c r="Y85" s="271">
        <f t="shared" si="34"/>
        <v>0.21951219512195122</v>
      </c>
      <c r="Z85" s="267">
        <f t="shared" si="35"/>
        <v>1.975609756097561E-2</v>
      </c>
      <c r="AA85" s="271">
        <f t="shared" si="36"/>
        <v>0.23926829268292682</v>
      </c>
      <c r="AB85" s="271">
        <f t="shared" si="37"/>
        <v>0.98024390243902437</v>
      </c>
      <c r="AC85" s="284">
        <f t="shared" si="38"/>
        <v>0.50704388480241336</v>
      </c>
      <c r="AD85" s="285">
        <f t="shared" si="39"/>
        <v>-9.7388891051229942E-3</v>
      </c>
      <c r="AE85" s="221" t="s">
        <v>269</v>
      </c>
    </row>
    <row r="86" spans="1:31" ht="40" customHeight="1" x14ac:dyDescent="0.2">
      <c r="A86" s="123">
        <v>81</v>
      </c>
      <c r="B86" s="274" t="s">
        <v>68</v>
      </c>
      <c r="C86" s="123">
        <v>1</v>
      </c>
      <c r="D86" s="123" t="s">
        <v>44</v>
      </c>
      <c r="E86" s="123">
        <f t="shared" si="26"/>
        <v>144</v>
      </c>
      <c r="F86" s="123" t="s">
        <v>269</v>
      </c>
      <c r="G86" s="123" t="s">
        <v>269</v>
      </c>
      <c r="H86" s="257">
        <v>223.2</v>
      </c>
      <c r="I86" s="257">
        <f t="shared" si="27"/>
        <v>1.5499999999999998</v>
      </c>
      <c r="J86" s="257">
        <f t="shared" si="40"/>
        <v>223.2</v>
      </c>
      <c r="K86" s="257"/>
      <c r="L86" s="257">
        <f t="shared" si="4"/>
        <v>0.49081697276757436</v>
      </c>
      <c r="M86" s="257">
        <f t="shared" si="28"/>
        <v>70.677644078530719</v>
      </c>
      <c r="N86" s="257">
        <f t="shared" si="31"/>
        <v>0.53499050031665607</v>
      </c>
      <c r="O86" s="257">
        <f t="shared" si="29"/>
        <v>77.038632045598476</v>
      </c>
      <c r="P86" s="257">
        <v>0.8</v>
      </c>
      <c r="Q86" s="257">
        <f t="shared" si="1"/>
        <v>115.2</v>
      </c>
      <c r="R86" s="257">
        <f t="shared" si="2"/>
        <v>0.26500949968334397</v>
      </c>
      <c r="S86" s="257">
        <f t="shared" si="2"/>
        <v>38.161367954401527</v>
      </c>
      <c r="T86" s="246">
        <f t="shared" si="3"/>
        <v>0.33126187460417994</v>
      </c>
      <c r="U86" s="138"/>
      <c r="V86" s="268">
        <f t="shared" si="32"/>
        <v>0.8</v>
      </c>
      <c r="W86" s="269">
        <v>0.18</v>
      </c>
      <c r="X86" s="270">
        <f t="shared" si="33"/>
        <v>0.97560975609756095</v>
      </c>
      <c r="Y86" s="271">
        <f t="shared" si="34"/>
        <v>0.17560975609756097</v>
      </c>
      <c r="Z86" s="267">
        <f t="shared" si="35"/>
        <v>1.5804878048780488E-2</v>
      </c>
      <c r="AA86" s="271">
        <f t="shared" si="36"/>
        <v>0.19141463414634147</v>
      </c>
      <c r="AB86" s="271">
        <f t="shared" si="37"/>
        <v>0.78419512195121954</v>
      </c>
      <c r="AC86" s="284">
        <f t="shared" si="38"/>
        <v>0.31778394771762569</v>
      </c>
      <c r="AD86" s="285">
        <f t="shared" si="39"/>
        <v>-1.3477926886554248E-2</v>
      </c>
      <c r="AE86" s="221" t="s">
        <v>269</v>
      </c>
    </row>
    <row r="87" spans="1:31" ht="40" customHeight="1" x14ac:dyDescent="0.2">
      <c r="A87" s="123">
        <v>82</v>
      </c>
      <c r="B87" s="274" t="s">
        <v>69</v>
      </c>
      <c r="C87" s="123">
        <v>1</v>
      </c>
      <c r="D87" s="123" t="s">
        <v>44</v>
      </c>
      <c r="E87" s="123">
        <f t="shared" si="26"/>
        <v>144</v>
      </c>
      <c r="F87" s="123" t="s">
        <v>269</v>
      </c>
      <c r="G87" s="123" t="s">
        <v>269</v>
      </c>
      <c r="H87" s="257">
        <v>230.4</v>
      </c>
      <c r="I87" s="257">
        <f t="shared" si="27"/>
        <v>1.6</v>
      </c>
      <c r="J87" s="257">
        <f t="shared" si="40"/>
        <v>230.4</v>
      </c>
      <c r="K87" s="257"/>
      <c r="L87" s="257">
        <f t="shared" si="4"/>
        <v>0.506649778340722</v>
      </c>
      <c r="M87" s="257">
        <f t="shared" si="28"/>
        <v>72.957568081063968</v>
      </c>
      <c r="N87" s="257">
        <f t="shared" si="31"/>
        <v>0.55224825839138703</v>
      </c>
      <c r="O87" s="257">
        <f t="shared" si="29"/>
        <v>79.523749208359732</v>
      </c>
      <c r="P87" s="257">
        <v>0.8</v>
      </c>
      <c r="Q87" s="257">
        <f t="shared" si="1"/>
        <v>115.2</v>
      </c>
      <c r="R87" s="257">
        <f t="shared" si="2"/>
        <v>0.24775174160861302</v>
      </c>
      <c r="S87" s="257">
        <f t="shared" si="2"/>
        <v>35.676250791640271</v>
      </c>
      <c r="T87" s="246">
        <f t="shared" si="3"/>
        <v>0.30968967701076627</v>
      </c>
      <c r="U87" s="135"/>
      <c r="V87" s="268">
        <f t="shared" si="32"/>
        <v>0.8</v>
      </c>
      <c r="W87" s="269">
        <v>0.18</v>
      </c>
      <c r="X87" s="270">
        <f t="shared" si="33"/>
        <v>0.97560975609756095</v>
      </c>
      <c r="Y87" s="271">
        <f t="shared" si="34"/>
        <v>0.17560975609756097</v>
      </c>
      <c r="Z87" s="267">
        <f t="shared" si="35"/>
        <v>1.5804878048780488E-2</v>
      </c>
      <c r="AA87" s="271">
        <f t="shared" si="36"/>
        <v>0.19141463414634147</v>
      </c>
      <c r="AB87" s="271">
        <f t="shared" si="37"/>
        <v>0.78419512195121954</v>
      </c>
      <c r="AC87" s="284">
        <f t="shared" si="38"/>
        <v>0.29577697828916188</v>
      </c>
      <c r="AD87" s="285">
        <f t="shared" si="39"/>
        <v>-1.3912698721604388E-2</v>
      </c>
      <c r="AE87" s="221" t="s">
        <v>269</v>
      </c>
    </row>
    <row r="88" spans="1:31" ht="40" customHeight="1" x14ac:dyDescent="0.2">
      <c r="A88" s="123">
        <v>83</v>
      </c>
      <c r="B88" s="274" t="s">
        <v>70</v>
      </c>
      <c r="C88" s="123">
        <v>1</v>
      </c>
      <c r="D88" s="123" t="s">
        <v>71</v>
      </c>
      <c r="E88" s="123">
        <f t="shared" si="26"/>
        <v>24</v>
      </c>
      <c r="F88" s="123" t="s">
        <v>269</v>
      </c>
      <c r="G88" s="123" t="s">
        <v>269</v>
      </c>
      <c r="H88" s="257">
        <v>110.4</v>
      </c>
      <c r="I88" s="257">
        <f t="shared" si="27"/>
        <v>4.6000000000000005</v>
      </c>
      <c r="J88" s="257">
        <f t="shared" si="40"/>
        <v>110.4</v>
      </c>
      <c r="K88" s="257"/>
      <c r="L88" s="257">
        <f t="shared" si="4"/>
        <v>1.4566181127295759</v>
      </c>
      <c r="M88" s="257">
        <f t="shared" si="28"/>
        <v>34.958834705509823</v>
      </c>
      <c r="N88" s="257">
        <f t="shared" si="31"/>
        <v>1.5877137428752377</v>
      </c>
      <c r="O88" s="257">
        <f t="shared" si="29"/>
        <v>38.105129829005705</v>
      </c>
      <c r="P88" s="257">
        <v>2.5</v>
      </c>
      <c r="Q88" s="257">
        <f t="shared" si="1"/>
        <v>60</v>
      </c>
      <c r="R88" s="257">
        <f t="shared" si="2"/>
        <v>0.9122862571247623</v>
      </c>
      <c r="S88" s="257">
        <f t="shared" si="2"/>
        <v>21.894870170994295</v>
      </c>
      <c r="T88" s="246">
        <f t="shared" si="3"/>
        <v>0.3649145028499049</v>
      </c>
      <c r="U88" s="135"/>
      <c r="V88" s="268">
        <f t="shared" si="32"/>
        <v>2.5</v>
      </c>
      <c r="W88" s="269">
        <v>0.18</v>
      </c>
      <c r="X88" s="270">
        <f t="shared" si="33"/>
        <v>3.0487804878048776</v>
      </c>
      <c r="Y88" s="271">
        <f t="shared" si="34"/>
        <v>0.54878048780487798</v>
      </c>
      <c r="Z88" s="267">
        <f t="shared" si="35"/>
        <v>4.939024390243902E-2</v>
      </c>
      <c r="AA88" s="271">
        <f t="shared" si="36"/>
        <v>0.59817073170731705</v>
      </c>
      <c r="AB88" s="271">
        <f t="shared" si="37"/>
        <v>2.4506097560975606</v>
      </c>
      <c r="AC88" s="284">
        <f t="shared" si="38"/>
        <v>0.35211482002602879</v>
      </c>
      <c r="AD88" s="285">
        <f t="shared" si="39"/>
        <v>-1.2799682823876113E-2</v>
      </c>
      <c r="AE88" s="221" t="s">
        <v>269</v>
      </c>
    </row>
    <row r="89" spans="1:31" ht="40" customHeight="1" x14ac:dyDescent="0.2">
      <c r="A89" s="123">
        <v>84</v>
      </c>
      <c r="B89" s="274" t="s">
        <v>216</v>
      </c>
      <c r="C89" s="123">
        <v>1</v>
      </c>
      <c r="D89" s="123" t="s">
        <v>71</v>
      </c>
      <c r="E89" s="123">
        <f t="shared" si="26"/>
        <v>24</v>
      </c>
      <c r="F89" s="123" t="s">
        <v>269</v>
      </c>
      <c r="G89" s="123" t="s">
        <v>269</v>
      </c>
      <c r="H89" s="257">
        <v>110.4</v>
      </c>
      <c r="I89" s="257">
        <f t="shared" si="27"/>
        <v>4.6000000000000005</v>
      </c>
      <c r="J89" s="257">
        <f t="shared" si="40"/>
        <v>110.4</v>
      </c>
      <c r="K89" s="257"/>
      <c r="L89" s="257">
        <f t="shared" si="4"/>
        <v>1.4566181127295759</v>
      </c>
      <c r="M89" s="257">
        <f t="shared" si="28"/>
        <v>34.958834705509823</v>
      </c>
      <c r="N89" s="257">
        <f t="shared" si="31"/>
        <v>1.5877137428752377</v>
      </c>
      <c r="O89" s="257">
        <f t="shared" si="29"/>
        <v>38.105129829005705</v>
      </c>
      <c r="P89" s="257">
        <v>2.5</v>
      </c>
      <c r="Q89" s="257">
        <f t="shared" si="1"/>
        <v>60</v>
      </c>
      <c r="R89" s="257">
        <f t="shared" si="2"/>
        <v>0.9122862571247623</v>
      </c>
      <c r="S89" s="257">
        <f t="shared" si="2"/>
        <v>21.894870170994295</v>
      </c>
      <c r="T89" s="246">
        <f t="shared" si="3"/>
        <v>0.3649145028499049</v>
      </c>
      <c r="U89" s="137"/>
      <c r="V89" s="268">
        <f t="shared" si="32"/>
        <v>2.5</v>
      </c>
      <c r="W89" s="269">
        <v>0.18</v>
      </c>
      <c r="X89" s="270">
        <f t="shared" si="33"/>
        <v>3.0487804878048776</v>
      </c>
      <c r="Y89" s="271">
        <f t="shared" si="34"/>
        <v>0.54878048780487798</v>
      </c>
      <c r="Z89" s="267">
        <f t="shared" si="35"/>
        <v>4.939024390243902E-2</v>
      </c>
      <c r="AA89" s="271">
        <f t="shared" si="36"/>
        <v>0.59817073170731705</v>
      </c>
      <c r="AB89" s="271">
        <f t="shared" si="37"/>
        <v>2.4506097560975606</v>
      </c>
      <c r="AC89" s="284">
        <f t="shared" si="38"/>
        <v>0.35211482002602879</v>
      </c>
      <c r="AD89" s="285">
        <f t="shared" si="39"/>
        <v>-1.2799682823876113E-2</v>
      </c>
      <c r="AE89" s="221" t="s">
        <v>269</v>
      </c>
    </row>
    <row r="90" spans="1:31" ht="40" customHeight="1" x14ac:dyDescent="0.2">
      <c r="A90" s="123">
        <v>85</v>
      </c>
      <c r="B90" s="274" t="s">
        <v>72</v>
      </c>
      <c r="C90" s="123">
        <v>1</v>
      </c>
      <c r="D90" s="123" t="s">
        <v>71</v>
      </c>
      <c r="E90" s="123">
        <f t="shared" si="26"/>
        <v>24</v>
      </c>
      <c r="F90" s="123" t="s">
        <v>269</v>
      </c>
      <c r="G90" s="123" t="s">
        <v>269</v>
      </c>
      <c r="H90" s="257">
        <v>110.4</v>
      </c>
      <c r="I90" s="257">
        <f t="shared" si="27"/>
        <v>4.6000000000000005</v>
      </c>
      <c r="J90" s="257">
        <f t="shared" si="40"/>
        <v>110.4</v>
      </c>
      <c r="K90" s="257"/>
      <c r="L90" s="257">
        <f t="shared" si="4"/>
        <v>1.4566181127295759</v>
      </c>
      <c r="M90" s="257">
        <f t="shared" si="28"/>
        <v>34.958834705509823</v>
      </c>
      <c r="N90" s="257">
        <f t="shared" si="31"/>
        <v>1.5877137428752377</v>
      </c>
      <c r="O90" s="257">
        <f t="shared" si="29"/>
        <v>38.105129829005705</v>
      </c>
      <c r="P90" s="257">
        <v>2.5</v>
      </c>
      <c r="Q90" s="257">
        <f t="shared" si="1"/>
        <v>60</v>
      </c>
      <c r="R90" s="257">
        <f t="shared" si="2"/>
        <v>0.9122862571247623</v>
      </c>
      <c r="S90" s="257">
        <f t="shared" si="2"/>
        <v>21.894870170994295</v>
      </c>
      <c r="T90" s="246">
        <f t="shared" si="3"/>
        <v>0.3649145028499049</v>
      </c>
      <c r="U90" s="137"/>
      <c r="V90" s="268">
        <f t="shared" si="32"/>
        <v>2.5</v>
      </c>
      <c r="W90" s="269">
        <v>0.18</v>
      </c>
      <c r="X90" s="270">
        <f t="shared" si="33"/>
        <v>3.0487804878048776</v>
      </c>
      <c r="Y90" s="271">
        <f t="shared" si="34"/>
        <v>0.54878048780487798</v>
      </c>
      <c r="Z90" s="267">
        <f t="shared" si="35"/>
        <v>4.939024390243902E-2</v>
      </c>
      <c r="AA90" s="271">
        <f t="shared" si="36"/>
        <v>0.59817073170731705</v>
      </c>
      <c r="AB90" s="271">
        <f t="shared" si="37"/>
        <v>2.4506097560975606</v>
      </c>
      <c r="AC90" s="284">
        <f t="shared" si="38"/>
        <v>0.35211482002602879</v>
      </c>
      <c r="AD90" s="285">
        <f t="shared" si="39"/>
        <v>-1.2799682823876113E-2</v>
      </c>
      <c r="AE90" s="221" t="s">
        <v>269</v>
      </c>
    </row>
    <row r="91" spans="1:31" ht="40" customHeight="1" x14ac:dyDescent="0.2">
      <c r="A91" s="123">
        <v>86</v>
      </c>
      <c r="B91" s="274" t="s">
        <v>73</v>
      </c>
      <c r="C91" s="123">
        <v>1</v>
      </c>
      <c r="D91" s="123" t="s">
        <v>71</v>
      </c>
      <c r="E91" s="123">
        <f t="shared" si="26"/>
        <v>24</v>
      </c>
      <c r="F91" s="123" t="s">
        <v>269</v>
      </c>
      <c r="G91" s="123" t="s">
        <v>269</v>
      </c>
      <c r="H91" s="258">
        <v>87.6</v>
      </c>
      <c r="I91" s="257">
        <f t="shared" si="27"/>
        <v>3.65</v>
      </c>
      <c r="J91" s="257">
        <f t="shared" si="40"/>
        <v>87.6</v>
      </c>
      <c r="K91" s="257"/>
      <c r="L91" s="257">
        <f t="shared" si="4"/>
        <v>1.1557948068397721</v>
      </c>
      <c r="M91" s="257">
        <f t="shared" si="28"/>
        <v>27.739075364154527</v>
      </c>
      <c r="N91" s="257">
        <f t="shared" si="31"/>
        <v>1.2598163394553517</v>
      </c>
      <c r="O91" s="257">
        <f t="shared" si="29"/>
        <v>30.23559214692844</v>
      </c>
      <c r="P91" s="257">
        <v>1.95</v>
      </c>
      <c r="Q91" s="257">
        <f t="shared" si="1"/>
        <v>46.8</v>
      </c>
      <c r="R91" s="257">
        <f t="shared" si="2"/>
        <v>0.6901836605446483</v>
      </c>
      <c r="S91" s="257">
        <f t="shared" si="2"/>
        <v>16.564407853071557</v>
      </c>
      <c r="T91" s="246">
        <f t="shared" si="3"/>
        <v>0.3539403387408453</v>
      </c>
      <c r="U91" s="138"/>
      <c r="V91" s="268">
        <f t="shared" si="32"/>
        <v>1.95</v>
      </c>
      <c r="W91" s="269">
        <v>0.18</v>
      </c>
      <c r="X91" s="270">
        <f t="shared" si="33"/>
        <v>2.3780487804878048</v>
      </c>
      <c r="Y91" s="271">
        <f t="shared" si="34"/>
        <v>0.42804878048780487</v>
      </c>
      <c r="Z91" s="267">
        <f t="shared" si="35"/>
        <v>3.8524390243902439E-2</v>
      </c>
      <c r="AA91" s="271">
        <f t="shared" si="36"/>
        <v>0.46657317073170729</v>
      </c>
      <c r="AB91" s="271">
        <f t="shared" si="37"/>
        <v>1.9114756097560974</v>
      </c>
      <c r="AC91" s="284">
        <f t="shared" si="38"/>
        <v>0.34091947968088221</v>
      </c>
      <c r="AD91" s="285">
        <f t="shared" si="39"/>
        <v>-1.3020859059963086E-2</v>
      </c>
      <c r="AE91" s="221" t="s">
        <v>269</v>
      </c>
    </row>
    <row r="92" spans="1:31" ht="40" customHeight="1" x14ac:dyDescent="0.2">
      <c r="A92" s="123">
        <v>87</v>
      </c>
      <c r="B92" s="274" t="s">
        <v>74</v>
      </c>
      <c r="C92" s="123">
        <v>1</v>
      </c>
      <c r="D92" s="123" t="s">
        <v>71</v>
      </c>
      <c r="E92" s="123">
        <f t="shared" si="26"/>
        <v>24</v>
      </c>
      <c r="F92" s="123" t="s">
        <v>269</v>
      </c>
      <c r="G92" s="123" t="s">
        <v>269</v>
      </c>
      <c r="H92" s="258">
        <v>87.6</v>
      </c>
      <c r="I92" s="257">
        <f t="shared" si="27"/>
        <v>3.65</v>
      </c>
      <c r="J92" s="257">
        <f t="shared" si="40"/>
        <v>87.6</v>
      </c>
      <c r="K92" s="257"/>
      <c r="L92" s="257">
        <f t="shared" si="4"/>
        <v>1.1557948068397721</v>
      </c>
      <c r="M92" s="257">
        <f t="shared" si="28"/>
        <v>27.739075364154527</v>
      </c>
      <c r="N92" s="257">
        <f t="shared" si="31"/>
        <v>1.2598163394553517</v>
      </c>
      <c r="O92" s="257">
        <f t="shared" si="29"/>
        <v>30.23559214692844</v>
      </c>
      <c r="P92" s="257">
        <v>1.95</v>
      </c>
      <c r="Q92" s="257">
        <f t="shared" si="1"/>
        <v>46.8</v>
      </c>
      <c r="R92" s="257">
        <f t="shared" si="2"/>
        <v>0.6901836605446483</v>
      </c>
      <c r="S92" s="257">
        <f t="shared" si="2"/>
        <v>16.564407853071557</v>
      </c>
      <c r="T92" s="246">
        <f t="shared" si="3"/>
        <v>0.3539403387408453</v>
      </c>
      <c r="U92" s="138"/>
      <c r="V92" s="268">
        <f t="shared" si="32"/>
        <v>1.95</v>
      </c>
      <c r="W92" s="269">
        <v>0.18</v>
      </c>
      <c r="X92" s="270">
        <f t="shared" si="33"/>
        <v>2.3780487804878048</v>
      </c>
      <c r="Y92" s="271">
        <f t="shared" si="34"/>
        <v>0.42804878048780487</v>
      </c>
      <c r="Z92" s="267">
        <f t="shared" si="35"/>
        <v>3.8524390243902439E-2</v>
      </c>
      <c r="AA92" s="271">
        <f t="shared" si="36"/>
        <v>0.46657317073170729</v>
      </c>
      <c r="AB92" s="271">
        <f t="shared" si="37"/>
        <v>1.9114756097560974</v>
      </c>
      <c r="AC92" s="284">
        <f t="shared" si="38"/>
        <v>0.34091947968088221</v>
      </c>
      <c r="AD92" s="285">
        <f t="shared" si="39"/>
        <v>-1.3020859059963086E-2</v>
      </c>
      <c r="AE92" s="221" t="s">
        <v>269</v>
      </c>
    </row>
    <row r="93" spans="1:31" ht="40" customHeight="1" x14ac:dyDescent="0.2">
      <c r="A93" s="123">
        <v>88</v>
      </c>
      <c r="B93" s="274" t="s">
        <v>75</v>
      </c>
      <c r="C93" s="123">
        <v>1</v>
      </c>
      <c r="D93" s="123" t="s">
        <v>71</v>
      </c>
      <c r="E93" s="123">
        <f t="shared" si="26"/>
        <v>24</v>
      </c>
      <c r="F93" s="123" t="s">
        <v>269</v>
      </c>
      <c r="G93" s="123" t="s">
        <v>269</v>
      </c>
      <c r="H93" s="258">
        <v>87.6</v>
      </c>
      <c r="I93" s="257">
        <f t="shared" si="27"/>
        <v>3.65</v>
      </c>
      <c r="J93" s="257">
        <f t="shared" si="40"/>
        <v>87.6</v>
      </c>
      <c r="K93" s="257"/>
      <c r="L93" s="257">
        <f t="shared" si="4"/>
        <v>1.1557948068397721</v>
      </c>
      <c r="M93" s="257">
        <f t="shared" si="28"/>
        <v>27.739075364154527</v>
      </c>
      <c r="N93" s="257">
        <f t="shared" si="31"/>
        <v>1.2598163394553517</v>
      </c>
      <c r="O93" s="257">
        <f t="shared" si="29"/>
        <v>30.23559214692844</v>
      </c>
      <c r="P93" s="257">
        <v>1.95</v>
      </c>
      <c r="Q93" s="257">
        <f t="shared" si="1"/>
        <v>46.8</v>
      </c>
      <c r="R93" s="257">
        <f t="shared" si="2"/>
        <v>0.6901836605446483</v>
      </c>
      <c r="S93" s="257">
        <f t="shared" si="2"/>
        <v>16.564407853071557</v>
      </c>
      <c r="T93" s="246">
        <f t="shared" si="3"/>
        <v>0.3539403387408453</v>
      </c>
      <c r="U93" s="138"/>
      <c r="V93" s="268">
        <f t="shared" si="32"/>
        <v>1.95</v>
      </c>
      <c r="W93" s="269">
        <v>0.18</v>
      </c>
      <c r="X93" s="270">
        <f t="shared" si="33"/>
        <v>2.3780487804878048</v>
      </c>
      <c r="Y93" s="271">
        <f t="shared" si="34"/>
        <v>0.42804878048780487</v>
      </c>
      <c r="Z93" s="267">
        <f t="shared" si="35"/>
        <v>3.8524390243902439E-2</v>
      </c>
      <c r="AA93" s="271">
        <f t="shared" si="36"/>
        <v>0.46657317073170729</v>
      </c>
      <c r="AB93" s="271">
        <f t="shared" si="37"/>
        <v>1.9114756097560974</v>
      </c>
      <c r="AC93" s="284">
        <f t="shared" si="38"/>
        <v>0.34091947968088221</v>
      </c>
      <c r="AD93" s="285">
        <f t="shared" si="39"/>
        <v>-1.3020859059963086E-2</v>
      </c>
      <c r="AE93" s="221" t="s">
        <v>269</v>
      </c>
    </row>
    <row r="94" spans="1:31" ht="40" customHeight="1" x14ac:dyDescent="0.2">
      <c r="A94" s="123">
        <v>89</v>
      </c>
      <c r="B94" s="274" t="s">
        <v>76</v>
      </c>
      <c r="C94" s="123">
        <v>1</v>
      </c>
      <c r="D94" s="123" t="s">
        <v>71</v>
      </c>
      <c r="E94" s="123">
        <f t="shared" si="26"/>
        <v>24</v>
      </c>
      <c r="F94" s="123" t="s">
        <v>269</v>
      </c>
      <c r="G94" s="123" t="s">
        <v>269</v>
      </c>
      <c r="H94" s="258">
        <v>87.6</v>
      </c>
      <c r="I94" s="257">
        <f t="shared" si="27"/>
        <v>3.65</v>
      </c>
      <c r="J94" s="257">
        <f t="shared" si="40"/>
        <v>87.6</v>
      </c>
      <c r="K94" s="257"/>
      <c r="L94" s="257">
        <f t="shared" si="4"/>
        <v>1.1557948068397721</v>
      </c>
      <c r="M94" s="257">
        <f t="shared" si="28"/>
        <v>27.739075364154527</v>
      </c>
      <c r="N94" s="257">
        <f t="shared" si="31"/>
        <v>1.2598163394553517</v>
      </c>
      <c r="O94" s="257">
        <f t="shared" si="29"/>
        <v>30.23559214692844</v>
      </c>
      <c r="P94" s="257">
        <v>1.95</v>
      </c>
      <c r="Q94" s="257">
        <f t="shared" si="1"/>
        <v>46.8</v>
      </c>
      <c r="R94" s="257">
        <f t="shared" si="2"/>
        <v>0.6901836605446483</v>
      </c>
      <c r="S94" s="257">
        <f t="shared" si="2"/>
        <v>16.564407853071557</v>
      </c>
      <c r="T94" s="246">
        <f t="shared" si="3"/>
        <v>0.3539403387408453</v>
      </c>
      <c r="U94" s="138"/>
      <c r="V94" s="268">
        <f t="shared" si="32"/>
        <v>1.95</v>
      </c>
      <c r="W94" s="269">
        <v>0.18</v>
      </c>
      <c r="X94" s="270">
        <f t="shared" si="33"/>
        <v>2.3780487804878048</v>
      </c>
      <c r="Y94" s="271">
        <f t="shared" si="34"/>
        <v>0.42804878048780487</v>
      </c>
      <c r="Z94" s="267">
        <f t="shared" si="35"/>
        <v>3.8524390243902439E-2</v>
      </c>
      <c r="AA94" s="271">
        <f t="shared" si="36"/>
        <v>0.46657317073170729</v>
      </c>
      <c r="AB94" s="271">
        <f t="shared" si="37"/>
        <v>1.9114756097560974</v>
      </c>
      <c r="AC94" s="284">
        <f t="shared" si="38"/>
        <v>0.34091947968088221</v>
      </c>
      <c r="AD94" s="285">
        <f t="shared" si="39"/>
        <v>-1.3020859059963086E-2</v>
      </c>
      <c r="AE94" s="221" t="s">
        <v>269</v>
      </c>
    </row>
    <row r="95" spans="1:31" ht="40" customHeight="1" x14ac:dyDescent="0.2">
      <c r="A95" s="123">
        <v>90</v>
      </c>
      <c r="B95" s="274" t="s">
        <v>77</v>
      </c>
      <c r="C95" s="123">
        <v>1</v>
      </c>
      <c r="D95" s="123" t="s">
        <v>71</v>
      </c>
      <c r="E95" s="123">
        <f t="shared" si="26"/>
        <v>24</v>
      </c>
      <c r="F95" s="123" t="s">
        <v>269</v>
      </c>
      <c r="G95" s="123" t="s">
        <v>269</v>
      </c>
      <c r="H95" s="258">
        <v>87.6</v>
      </c>
      <c r="I95" s="257">
        <f t="shared" si="27"/>
        <v>3.65</v>
      </c>
      <c r="J95" s="257">
        <f t="shared" si="40"/>
        <v>87.6</v>
      </c>
      <c r="K95" s="257"/>
      <c r="L95" s="257">
        <f t="shared" si="4"/>
        <v>1.1557948068397721</v>
      </c>
      <c r="M95" s="257">
        <f t="shared" si="28"/>
        <v>27.739075364154527</v>
      </c>
      <c r="N95" s="257">
        <f t="shared" si="31"/>
        <v>1.2598163394553517</v>
      </c>
      <c r="O95" s="257">
        <f t="shared" si="29"/>
        <v>30.23559214692844</v>
      </c>
      <c r="P95" s="257">
        <v>1.95</v>
      </c>
      <c r="Q95" s="257">
        <f t="shared" si="1"/>
        <v>46.8</v>
      </c>
      <c r="R95" s="257">
        <f t="shared" si="2"/>
        <v>0.6901836605446483</v>
      </c>
      <c r="S95" s="257">
        <f t="shared" si="2"/>
        <v>16.564407853071557</v>
      </c>
      <c r="T95" s="246">
        <f t="shared" si="3"/>
        <v>0.3539403387408453</v>
      </c>
      <c r="U95" s="135"/>
      <c r="V95" s="268">
        <f t="shared" si="32"/>
        <v>1.95</v>
      </c>
      <c r="W95" s="269">
        <v>0.18</v>
      </c>
      <c r="X95" s="270">
        <f t="shared" si="33"/>
        <v>2.3780487804878048</v>
      </c>
      <c r="Y95" s="271">
        <f t="shared" si="34"/>
        <v>0.42804878048780487</v>
      </c>
      <c r="Z95" s="267">
        <f t="shared" si="35"/>
        <v>3.8524390243902439E-2</v>
      </c>
      <c r="AA95" s="271">
        <f t="shared" si="36"/>
        <v>0.46657317073170729</v>
      </c>
      <c r="AB95" s="271">
        <f t="shared" si="37"/>
        <v>1.9114756097560974</v>
      </c>
      <c r="AC95" s="284">
        <f t="shared" si="38"/>
        <v>0.34091947968088221</v>
      </c>
      <c r="AD95" s="285">
        <f t="shared" si="39"/>
        <v>-1.3020859059963086E-2</v>
      </c>
      <c r="AE95" s="221" t="s">
        <v>269</v>
      </c>
    </row>
    <row r="96" spans="1:31" ht="40" customHeight="1" x14ac:dyDescent="0.2">
      <c r="A96" s="123">
        <v>91</v>
      </c>
      <c r="B96" s="274" t="s">
        <v>78</v>
      </c>
      <c r="C96" s="123">
        <v>1</v>
      </c>
      <c r="D96" s="123">
        <v>30</v>
      </c>
      <c r="E96" s="123">
        <f t="shared" si="26"/>
        <v>30</v>
      </c>
      <c r="F96" s="123" t="s">
        <v>269</v>
      </c>
      <c r="G96" s="123" t="s">
        <v>269</v>
      </c>
      <c r="H96" s="257">
        <v>168</v>
      </c>
      <c r="I96" s="257">
        <f t="shared" si="27"/>
        <v>5.6</v>
      </c>
      <c r="J96" s="257">
        <f t="shared" si="40"/>
        <v>168</v>
      </c>
      <c r="K96" s="257"/>
      <c r="L96" s="257">
        <f t="shared" si="4"/>
        <v>1.7732742241925268</v>
      </c>
      <c r="M96" s="257">
        <f t="shared" si="28"/>
        <v>53.198226725775811</v>
      </c>
      <c r="N96" s="257">
        <f t="shared" si="31"/>
        <v>1.9328689043698544</v>
      </c>
      <c r="O96" s="257">
        <f t="shared" si="29"/>
        <v>57.986067131095631</v>
      </c>
      <c r="P96" s="257">
        <v>2.95</v>
      </c>
      <c r="Q96" s="257">
        <f t="shared" si="1"/>
        <v>88.5</v>
      </c>
      <c r="R96" s="257">
        <f t="shared" si="2"/>
        <v>1.0171310956301458</v>
      </c>
      <c r="S96" s="257">
        <f t="shared" si="2"/>
        <v>30.513932868904369</v>
      </c>
      <c r="T96" s="246">
        <f t="shared" si="3"/>
        <v>0.344790201908524</v>
      </c>
      <c r="U96" s="138"/>
      <c r="V96" s="268">
        <f t="shared" si="32"/>
        <v>2.95</v>
      </c>
      <c r="W96" s="269">
        <v>0.18</v>
      </c>
      <c r="X96" s="270">
        <f t="shared" si="33"/>
        <v>3.5975609756097562</v>
      </c>
      <c r="Y96" s="271">
        <f t="shared" si="34"/>
        <v>0.64756097560975612</v>
      </c>
      <c r="Z96" s="267">
        <f t="shared" si="35"/>
        <v>5.8280487804878045E-2</v>
      </c>
      <c r="AA96" s="271">
        <f t="shared" si="36"/>
        <v>0.70584146341463416</v>
      </c>
      <c r="AB96" s="271">
        <f t="shared" si="37"/>
        <v>2.891719512195122</v>
      </c>
      <c r="AC96" s="284">
        <f t="shared" si="38"/>
        <v>0.33158492854564525</v>
      </c>
      <c r="AD96" s="285">
        <f t="shared" si="39"/>
        <v>-1.3205273362878744E-2</v>
      </c>
      <c r="AE96" s="221" t="s">
        <v>269</v>
      </c>
    </row>
    <row r="97" spans="1:31" ht="40" customHeight="1" x14ac:dyDescent="0.2">
      <c r="A97" s="123">
        <v>92</v>
      </c>
      <c r="B97" s="274" t="s">
        <v>236</v>
      </c>
      <c r="C97" s="123">
        <v>1</v>
      </c>
      <c r="D97" s="123">
        <v>24</v>
      </c>
      <c r="E97" s="123">
        <f t="shared" si="26"/>
        <v>24</v>
      </c>
      <c r="F97" s="123" t="s">
        <v>269</v>
      </c>
      <c r="G97" s="123" t="s">
        <v>269</v>
      </c>
      <c r="H97" s="257">
        <v>18.8</v>
      </c>
      <c r="I97" s="257">
        <f t="shared" si="27"/>
        <v>0.78333333333333333</v>
      </c>
      <c r="J97" s="257">
        <f t="shared" si="40"/>
        <v>18.8</v>
      </c>
      <c r="K97" s="257"/>
      <c r="L97" s="257">
        <f t="shared" si="4"/>
        <v>0.24804728731264514</v>
      </c>
      <c r="M97" s="257">
        <f t="shared" si="28"/>
        <v>5.9531348955034833</v>
      </c>
      <c r="N97" s="257">
        <f t="shared" si="31"/>
        <v>0.27037154317078321</v>
      </c>
      <c r="O97" s="257">
        <f t="shared" si="29"/>
        <v>6.4889170360987976</v>
      </c>
      <c r="P97" s="257">
        <v>0.75</v>
      </c>
      <c r="Q97" s="257">
        <f t="shared" si="1"/>
        <v>18</v>
      </c>
      <c r="R97" s="257">
        <f t="shared" si="2"/>
        <v>0.47962845682921679</v>
      </c>
      <c r="S97" s="257">
        <f t="shared" si="2"/>
        <v>11.511082963901202</v>
      </c>
      <c r="T97" s="246">
        <f t="shared" si="3"/>
        <v>0.63950460910562235</v>
      </c>
      <c r="U97" s="138"/>
      <c r="V97" s="268">
        <f t="shared" si="32"/>
        <v>0.75</v>
      </c>
      <c r="W97" s="269">
        <v>0.18</v>
      </c>
      <c r="X97" s="270">
        <f t="shared" si="33"/>
        <v>0.91463414634146334</v>
      </c>
      <c r="Y97" s="271">
        <f t="shared" si="34"/>
        <v>0.16463414634146339</v>
      </c>
      <c r="Z97" s="267">
        <f t="shared" si="35"/>
        <v>1.4817073170731705E-2</v>
      </c>
      <c r="AA97" s="271">
        <f t="shared" si="36"/>
        <v>0.17945121951219509</v>
      </c>
      <c r="AB97" s="271">
        <f t="shared" si="37"/>
        <v>0.73518292682926822</v>
      </c>
      <c r="AC97" s="284">
        <f t="shared" si="38"/>
        <v>0.63223908866211787</v>
      </c>
      <c r="AD97" s="285">
        <f t="shared" si="39"/>
        <v>-7.2655204435044807E-3</v>
      </c>
      <c r="AE97" s="221" t="s">
        <v>269</v>
      </c>
    </row>
    <row r="98" spans="1:31" ht="40" customHeight="1" x14ac:dyDescent="0.2">
      <c r="A98" s="123">
        <v>93</v>
      </c>
      <c r="B98" s="274" t="s">
        <v>80</v>
      </c>
      <c r="C98" s="123">
        <v>1</v>
      </c>
      <c r="D98" s="123" t="s">
        <v>44</v>
      </c>
      <c r="E98" s="123">
        <f t="shared" si="26"/>
        <v>144</v>
      </c>
      <c r="F98" s="123" t="s">
        <v>269</v>
      </c>
      <c r="G98" s="123" t="s">
        <v>269</v>
      </c>
      <c r="H98" s="257">
        <v>220.8</v>
      </c>
      <c r="I98" s="257">
        <f t="shared" si="27"/>
        <v>1.5333333333333334</v>
      </c>
      <c r="J98" s="257">
        <f t="shared" si="40"/>
        <v>220.8</v>
      </c>
      <c r="K98" s="257"/>
      <c r="L98" s="257">
        <f t="shared" si="4"/>
        <v>0.4855393709098586</v>
      </c>
      <c r="M98" s="257">
        <f t="shared" si="28"/>
        <v>69.917669411019645</v>
      </c>
      <c r="N98" s="257">
        <f t="shared" si="31"/>
        <v>0.52923791429174594</v>
      </c>
      <c r="O98" s="257">
        <f t="shared" si="29"/>
        <v>76.21025965801141</v>
      </c>
      <c r="P98" s="257"/>
      <c r="Q98" s="257">
        <f t="shared" si="1"/>
        <v>0</v>
      </c>
      <c r="R98" s="257">
        <f t="shared" si="2"/>
        <v>-0.52923791429174594</v>
      </c>
      <c r="S98" s="257">
        <f t="shared" si="2"/>
        <v>-76.21025965801141</v>
      </c>
      <c r="T98" s="246" t="e">
        <f t="shared" si="3"/>
        <v>#DIV/0!</v>
      </c>
      <c r="U98" s="138"/>
      <c r="V98" s="268">
        <f t="shared" si="32"/>
        <v>0</v>
      </c>
      <c r="W98" s="269">
        <v>0.18</v>
      </c>
      <c r="X98" s="270">
        <f t="shared" si="33"/>
        <v>0</v>
      </c>
      <c r="Y98" s="271">
        <f t="shared" si="34"/>
        <v>0</v>
      </c>
      <c r="Z98" s="267">
        <f t="shared" si="35"/>
        <v>0</v>
      </c>
      <c r="AA98" s="271">
        <f t="shared" si="36"/>
        <v>0</v>
      </c>
      <c r="AB98" s="271">
        <f t="shared" si="37"/>
        <v>0</v>
      </c>
      <c r="AC98" s="284" t="e">
        <f t="shared" si="38"/>
        <v>#DIV/0!</v>
      </c>
      <c r="AD98" s="285" t="e">
        <f t="shared" si="39"/>
        <v>#DIV/0!</v>
      </c>
      <c r="AE98" s="221" t="s">
        <v>269</v>
      </c>
    </row>
    <row r="99" spans="1:31" ht="40" customHeight="1" x14ac:dyDescent="0.2">
      <c r="A99" s="123">
        <v>94</v>
      </c>
      <c r="B99" s="274" t="s">
        <v>189</v>
      </c>
      <c r="C99" s="123">
        <v>1</v>
      </c>
      <c r="D99" s="123">
        <v>48</v>
      </c>
      <c r="E99" s="123">
        <f t="shared" si="26"/>
        <v>48</v>
      </c>
      <c r="F99" s="123" t="s">
        <v>269</v>
      </c>
      <c r="G99" s="123" t="s">
        <v>269</v>
      </c>
      <c r="H99" s="257">
        <v>98.4</v>
      </c>
      <c r="I99" s="257">
        <f t="shared" si="27"/>
        <v>2.0500000000000003</v>
      </c>
      <c r="J99" s="257">
        <f t="shared" si="40"/>
        <v>98.4</v>
      </c>
      <c r="K99" s="257"/>
      <c r="L99" s="257">
        <f t="shared" si="4"/>
        <v>0.64914502849905009</v>
      </c>
      <c r="M99" s="257">
        <f t="shared" si="28"/>
        <v>31.158961367954404</v>
      </c>
      <c r="N99" s="257">
        <f t="shared" si="31"/>
        <v>0.70756808106396463</v>
      </c>
      <c r="O99" s="257">
        <f t="shared" si="29"/>
        <v>33.963267891070302</v>
      </c>
      <c r="P99" s="257">
        <v>1.25</v>
      </c>
      <c r="Q99" s="257">
        <f t="shared" si="1"/>
        <v>60</v>
      </c>
      <c r="R99" s="257">
        <f t="shared" si="2"/>
        <v>0.54243191893603537</v>
      </c>
      <c r="S99" s="257">
        <f t="shared" si="2"/>
        <v>26.036732108929698</v>
      </c>
      <c r="T99" s="246">
        <f t="shared" si="3"/>
        <v>0.43394553514882828</v>
      </c>
      <c r="U99" s="138"/>
      <c r="V99" s="268">
        <f t="shared" si="32"/>
        <v>1.25</v>
      </c>
      <c r="W99" s="269">
        <v>0.18</v>
      </c>
      <c r="X99" s="270">
        <f t="shared" si="33"/>
        <v>1.5243902439024388</v>
      </c>
      <c r="Y99" s="271">
        <f t="shared" si="34"/>
        <v>0.27439024390243899</v>
      </c>
      <c r="Z99" s="267">
        <f t="shared" si="35"/>
        <v>2.469512195121951E-2</v>
      </c>
      <c r="AA99" s="271">
        <f t="shared" si="36"/>
        <v>0.29908536585365852</v>
      </c>
      <c r="AB99" s="271">
        <f t="shared" si="37"/>
        <v>1.2253048780487803</v>
      </c>
      <c r="AC99" s="284">
        <f t="shared" si="38"/>
        <v>0.42253712219711265</v>
      </c>
      <c r="AD99" s="285">
        <f t="shared" si="39"/>
        <v>-1.140841295171563E-2</v>
      </c>
      <c r="AE99" s="221">
        <v>1.05</v>
      </c>
    </row>
    <row r="100" spans="1:31" ht="40" customHeight="1" x14ac:dyDescent="0.2">
      <c r="A100" s="123">
        <v>95</v>
      </c>
      <c r="B100" s="274" t="s">
        <v>190</v>
      </c>
      <c r="C100" s="123">
        <v>1</v>
      </c>
      <c r="D100" s="123">
        <v>48</v>
      </c>
      <c r="E100" s="123">
        <f t="shared" si="26"/>
        <v>48</v>
      </c>
      <c r="F100" s="123" t="s">
        <v>269</v>
      </c>
      <c r="G100" s="123" t="s">
        <v>269</v>
      </c>
      <c r="H100" s="257">
        <v>98.4</v>
      </c>
      <c r="I100" s="257">
        <f t="shared" si="27"/>
        <v>2.0500000000000003</v>
      </c>
      <c r="J100" s="257">
        <f t="shared" si="40"/>
        <v>98.4</v>
      </c>
      <c r="K100" s="257"/>
      <c r="L100" s="257">
        <f t="shared" si="4"/>
        <v>0.64914502849905009</v>
      </c>
      <c r="M100" s="257">
        <f t="shared" si="28"/>
        <v>31.158961367954404</v>
      </c>
      <c r="N100" s="257">
        <f t="shared" si="31"/>
        <v>0.70756808106396463</v>
      </c>
      <c r="O100" s="257">
        <f t="shared" si="29"/>
        <v>33.963267891070302</v>
      </c>
      <c r="P100" s="257">
        <v>1.25</v>
      </c>
      <c r="Q100" s="257">
        <f t="shared" si="1"/>
        <v>60</v>
      </c>
      <c r="R100" s="257">
        <f t="shared" si="2"/>
        <v>0.54243191893603537</v>
      </c>
      <c r="S100" s="257">
        <f t="shared" si="2"/>
        <v>26.036732108929698</v>
      </c>
      <c r="T100" s="246">
        <f t="shared" si="3"/>
        <v>0.43394553514882828</v>
      </c>
      <c r="U100" s="138"/>
      <c r="V100" s="268">
        <f t="shared" si="32"/>
        <v>1.25</v>
      </c>
      <c r="W100" s="269">
        <v>0.18</v>
      </c>
      <c r="X100" s="270">
        <f t="shared" si="33"/>
        <v>1.5243902439024388</v>
      </c>
      <c r="Y100" s="271">
        <f t="shared" si="34"/>
        <v>0.27439024390243899</v>
      </c>
      <c r="Z100" s="267">
        <f t="shared" si="35"/>
        <v>2.469512195121951E-2</v>
      </c>
      <c r="AA100" s="271">
        <f t="shared" si="36"/>
        <v>0.29908536585365852</v>
      </c>
      <c r="AB100" s="271">
        <f t="shared" si="37"/>
        <v>1.2253048780487803</v>
      </c>
      <c r="AC100" s="284">
        <f t="shared" si="38"/>
        <v>0.42253712219711265</v>
      </c>
      <c r="AD100" s="285">
        <f t="shared" si="39"/>
        <v>-1.140841295171563E-2</v>
      </c>
      <c r="AE100" s="221">
        <v>1.05</v>
      </c>
    </row>
    <row r="101" spans="1:31" ht="40" customHeight="1" x14ac:dyDescent="0.2">
      <c r="A101" s="123">
        <v>96</v>
      </c>
      <c r="B101" s="274" t="s">
        <v>192</v>
      </c>
      <c r="C101" s="123">
        <v>1</v>
      </c>
      <c r="D101" s="123">
        <v>48</v>
      </c>
      <c r="E101" s="123">
        <f t="shared" si="26"/>
        <v>48</v>
      </c>
      <c r="F101" s="123" t="s">
        <v>269</v>
      </c>
      <c r="G101" s="123" t="s">
        <v>269</v>
      </c>
      <c r="H101" s="257">
        <v>98.4</v>
      </c>
      <c r="I101" s="257">
        <f t="shared" si="27"/>
        <v>2.0500000000000003</v>
      </c>
      <c r="J101" s="257">
        <f t="shared" si="40"/>
        <v>98.4</v>
      </c>
      <c r="K101" s="257"/>
      <c r="L101" s="257">
        <f t="shared" si="4"/>
        <v>0.64914502849905009</v>
      </c>
      <c r="M101" s="257">
        <f t="shared" si="28"/>
        <v>31.158961367954404</v>
      </c>
      <c r="N101" s="257">
        <f t="shared" si="31"/>
        <v>0.70756808106396463</v>
      </c>
      <c r="O101" s="257">
        <f t="shared" si="29"/>
        <v>33.963267891070302</v>
      </c>
      <c r="P101" s="257">
        <v>1.25</v>
      </c>
      <c r="Q101" s="257">
        <f t="shared" si="1"/>
        <v>60</v>
      </c>
      <c r="R101" s="257">
        <f t="shared" si="2"/>
        <v>0.54243191893603537</v>
      </c>
      <c r="S101" s="257">
        <f t="shared" si="2"/>
        <v>26.036732108929698</v>
      </c>
      <c r="T101" s="246">
        <f t="shared" si="3"/>
        <v>0.43394553514882828</v>
      </c>
      <c r="U101" s="138"/>
      <c r="V101" s="268">
        <f t="shared" si="32"/>
        <v>1.25</v>
      </c>
      <c r="W101" s="269">
        <v>0.18</v>
      </c>
      <c r="X101" s="270">
        <f t="shared" si="33"/>
        <v>1.5243902439024388</v>
      </c>
      <c r="Y101" s="271">
        <f t="shared" si="34"/>
        <v>0.27439024390243899</v>
      </c>
      <c r="Z101" s="267">
        <f t="shared" si="35"/>
        <v>2.469512195121951E-2</v>
      </c>
      <c r="AA101" s="271">
        <f t="shared" si="36"/>
        <v>0.29908536585365852</v>
      </c>
      <c r="AB101" s="271">
        <f t="shared" si="37"/>
        <v>1.2253048780487803</v>
      </c>
      <c r="AC101" s="284">
        <f t="shared" si="38"/>
        <v>0.42253712219711265</v>
      </c>
      <c r="AD101" s="285">
        <f t="shared" si="39"/>
        <v>-1.140841295171563E-2</v>
      </c>
      <c r="AE101" s="221">
        <v>1.05</v>
      </c>
    </row>
    <row r="102" spans="1:31" ht="40" customHeight="1" x14ac:dyDescent="0.2">
      <c r="A102" s="123">
        <v>98</v>
      </c>
      <c r="B102" s="274" t="s">
        <v>212</v>
      </c>
      <c r="C102" s="123">
        <v>1</v>
      </c>
      <c r="D102" s="123">
        <v>48</v>
      </c>
      <c r="E102" s="123">
        <f t="shared" si="26"/>
        <v>48</v>
      </c>
      <c r="F102" s="123" t="s">
        <v>269</v>
      </c>
      <c r="G102" s="123" t="s">
        <v>269</v>
      </c>
      <c r="H102" s="257">
        <v>98.4</v>
      </c>
      <c r="I102" s="257">
        <f t="shared" si="27"/>
        <v>2.0500000000000003</v>
      </c>
      <c r="J102" s="257">
        <f t="shared" si="40"/>
        <v>98.4</v>
      </c>
      <c r="K102" s="257"/>
      <c r="L102" s="257">
        <f t="shared" si="4"/>
        <v>0.64914502849905009</v>
      </c>
      <c r="M102" s="257">
        <f t="shared" si="28"/>
        <v>31.158961367954404</v>
      </c>
      <c r="N102" s="257">
        <f t="shared" si="31"/>
        <v>0.70756808106396463</v>
      </c>
      <c r="O102" s="257">
        <f t="shared" si="29"/>
        <v>33.963267891070302</v>
      </c>
      <c r="P102" s="257">
        <v>1.25</v>
      </c>
      <c r="Q102" s="257">
        <f t="shared" si="1"/>
        <v>60</v>
      </c>
      <c r="R102" s="257">
        <f t="shared" si="2"/>
        <v>0.54243191893603537</v>
      </c>
      <c r="S102" s="257">
        <f t="shared" si="2"/>
        <v>26.036732108929698</v>
      </c>
      <c r="T102" s="246">
        <f t="shared" si="3"/>
        <v>0.43394553514882828</v>
      </c>
      <c r="U102" s="138"/>
      <c r="V102" s="268">
        <f t="shared" si="32"/>
        <v>1.25</v>
      </c>
      <c r="W102" s="269">
        <v>0.18</v>
      </c>
      <c r="X102" s="270">
        <f t="shared" si="33"/>
        <v>1.5243902439024388</v>
      </c>
      <c r="Y102" s="271">
        <f t="shared" si="34"/>
        <v>0.27439024390243899</v>
      </c>
      <c r="Z102" s="267">
        <f t="shared" si="35"/>
        <v>2.469512195121951E-2</v>
      </c>
      <c r="AA102" s="271">
        <f t="shared" si="36"/>
        <v>0.29908536585365852</v>
      </c>
      <c r="AB102" s="271">
        <f t="shared" si="37"/>
        <v>1.2253048780487803</v>
      </c>
      <c r="AC102" s="284">
        <f t="shared" si="38"/>
        <v>0.42253712219711265</v>
      </c>
      <c r="AD102" s="285">
        <f t="shared" si="39"/>
        <v>-1.140841295171563E-2</v>
      </c>
      <c r="AE102" s="221">
        <v>1.05</v>
      </c>
    </row>
    <row r="103" spans="1:31" ht="40" customHeight="1" x14ac:dyDescent="0.2">
      <c r="A103" s="123">
        <v>99</v>
      </c>
      <c r="B103" s="274" t="s">
        <v>213</v>
      </c>
      <c r="C103" s="123">
        <v>1</v>
      </c>
      <c r="D103" s="123">
        <v>48</v>
      </c>
      <c r="E103" s="123">
        <f t="shared" si="26"/>
        <v>48</v>
      </c>
      <c r="F103" s="123" t="s">
        <v>269</v>
      </c>
      <c r="G103" s="123" t="s">
        <v>269</v>
      </c>
      <c r="H103" s="257">
        <v>98.4</v>
      </c>
      <c r="I103" s="257">
        <f t="shared" si="27"/>
        <v>2.0500000000000003</v>
      </c>
      <c r="J103" s="257">
        <f t="shared" si="40"/>
        <v>98.4</v>
      </c>
      <c r="K103" s="257"/>
      <c r="L103" s="257">
        <f t="shared" si="4"/>
        <v>0.64914502849905009</v>
      </c>
      <c r="M103" s="257">
        <f t="shared" si="28"/>
        <v>31.158961367954404</v>
      </c>
      <c r="N103" s="257">
        <f t="shared" si="31"/>
        <v>0.70756808106396463</v>
      </c>
      <c r="O103" s="257">
        <f t="shared" si="29"/>
        <v>33.963267891070302</v>
      </c>
      <c r="P103" s="257">
        <v>1.25</v>
      </c>
      <c r="Q103" s="257">
        <f t="shared" si="1"/>
        <v>60</v>
      </c>
      <c r="R103" s="257">
        <f t="shared" si="2"/>
        <v>0.54243191893603537</v>
      </c>
      <c r="S103" s="257">
        <f t="shared" si="2"/>
        <v>26.036732108929698</v>
      </c>
      <c r="T103" s="246">
        <f t="shared" si="3"/>
        <v>0.43394553514882828</v>
      </c>
      <c r="U103" s="138"/>
      <c r="V103" s="268">
        <f t="shared" si="32"/>
        <v>1.25</v>
      </c>
      <c r="W103" s="269">
        <v>0.18</v>
      </c>
      <c r="X103" s="270">
        <f t="shared" si="33"/>
        <v>1.5243902439024388</v>
      </c>
      <c r="Y103" s="271">
        <f t="shared" si="34"/>
        <v>0.27439024390243899</v>
      </c>
      <c r="Z103" s="267">
        <f t="shared" si="35"/>
        <v>2.469512195121951E-2</v>
      </c>
      <c r="AA103" s="271">
        <f t="shared" si="36"/>
        <v>0.29908536585365852</v>
      </c>
      <c r="AB103" s="271">
        <f t="shared" si="37"/>
        <v>1.2253048780487803</v>
      </c>
      <c r="AC103" s="284">
        <f t="shared" si="38"/>
        <v>0.42253712219711265</v>
      </c>
      <c r="AD103" s="285">
        <f t="shared" si="39"/>
        <v>-1.140841295171563E-2</v>
      </c>
      <c r="AE103" s="221">
        <v>1.05</v>
      </c>
    </row>
    <row r="104" spans="1:31" ht="40" customHeight="1" x14ac:dyDescent="0.2">
      <c r="A104" s="123">
        <v>100</v>
      </c>
      <c r="B104" s="274" t="s">
        <v>191</v>
      </c>
      <c r="C104" s="123">
        <v>1</v>
      </c>
      <c r="D104" s="123">
        <v>48</v>
      </c>
      <c r="E104" s="123">
        <f t="shared" si="26"/>
        <v>48</v>
      </c>
      <c r="F104" s="123" t="s">
        <v>269</v>
      </c>
      <c r="G104" s="123" t="s">
        <v>269</v>
      </c>
      <c r="H104" s="257">
        <v>98.4</v>
      </c>
      <c r="I104" s="257">
        <f t="shared" si="27"/>
        <v>2.0500000000000003</v>
      </c>
      <c r="J104" s="257">
        <f t="shared" si="40"/>
        <v>98.4</v>
      </c>
      <c r="K104" s="257"/>
      <c r="L104" s="257">
        <f t="shared" si="4"/>
        <v>0.64914502849905009</v>
      </c>
      <c r="M104" s="257">
        <f t="shared" si="28"/>
        <v>31.158961367954404</v>
      </c>
      <c r="N104" s="257">
        <f t="shared" si="31"/>
        <v>0.70756808106396463</v>
      </c>
      <c r="O104" s="257">
        <f t="shared" si="29"/>
        <v>33.963267891070302</v>
      </c>
      <c r="P104" s="257">
        <v>1.25</v>
      </c>
      <c r="Q104" s="257">
        <f t="shared" si="1"/>
        <v>60</v>
      </c>
      <c r="R104" s="257">
        <f t="shared" si="2"/>
        <v>0.54243191893603537</v>
      </c>
      <c r="S104" s="257">
        <f t="shared" si="2"/>
        <v>26.036732108929698</v>
      </c>
      <c r="T104" s="246">
        <f t="shared" si="3"/>
        <v>0.43394553514882828</v>
      </c>
      <c r="U104" s="138"/>
      <c r="V104" s="268">
        <f t="shared" si="32"/>
        <v>1.25</v>
      </c>
      <c r="W104" s="269">
        <v>0.18</v>
      </c>
      <c r="X104" s="270">
        <f t="shared" si="33"/>
        <v>1.5243902439024388</v>
      </c>
      <c r="Y104" s="271">
        <f t="shared" si="34"/>
        <v>0.27439024390243899</v>
      </c>
      <c r="Z104" s="267">
        <f t="shared" si="35"/>
        <v>2.469512195121951E-2</v>
      </c>
      <c r="AA104" s="271">
        <f t="shared" si="36"/>
        <v>0.29908536585365852</v>
      </c>
      <c r="AB104" s="271">
        <f t="shared" si="37"/>
        <v>1.2253048780487803</v>
      </c>
      <c r="AC104" s="284">
        <f t="shared" si="38"/>
        <v>0.42253712219711265</v>
      </c>
      <c r="AD104" s="285">
        <f t="shared" si="39"/>
        <v>-1.140841295171563E-2</v>
      </c>
      <c r="AE104" s="221">
        <v>1.05</v>
      </c>
    </row>
    <row r="105" spans="1:31" ht="40" customHeight="1" x14ac:dyDescent="0.2">
      <c r="A105" s="123">
        <v>101</v>
      </c>
      <c r="B105" s="274" t="s">
        <v>81</v>
      </c>
      <c r="C105" s="123">
        <v>1</v>
      </c>
      <c r="D105" s="123" t="s">
        <v>71</v>
      </c>
      <c r="E105" s="123">
        <f t="shared" si="26"/>
        <v>24</v>
      </c>
      <c r="F105" s="123" t="s">
        <v>269</v>
      </c>
      <c r="G105" s="123" t="s">
        <v>269</v>
      </c>
      <c r="H105" s="257">
        <v>118.56</v>
      </c>
      <c r="I105" s="257">
        <f t="shared" si="27"/>
        <v>4.9400000000000004</v>
      </c>
      <c r="J105" s="257">
        <f t="shared" si="40"/>
        <v>118.56</v>
      </c>
      <c r="K105" s="257"/>
      <c r="L105" s="257">
        <f t="shared" si="4"/>
        <v>1.5642811906269793</v>
      </c>
      <c r="M105" s="257">
        <f t="shared" si="28"/>
        <v>37.542748575047497</v>
      </c>
      <c r="N105" s="257">
        <f t="shared" si="31"/>
        <v>1.7050664977834076</v>
      </c>
      <c r="O105" s="257">
        <f t="shared" si="29"/>
        <v>40.92159594680178</v>
      </c>
      <c r="P105" s="257">
        <v>2.5</v>
      </c>
      <c r="Q105" s="257">
        <f t="shared" si="1"/>
        <v>60</v>
      </c>
      <c r="R105" s="257">
        <f t="shared" si="2"/>
        <v>0.79493350221659242</v>
      </c>
      <c r="S105" s="257">
        <f t="shared" si="2"/>
        <v>19.07840405319822</v>
      </c>
      <c r="T105" s="246">
        <f t="shared" si="3"/>
        <v>0.31797340088663695</v>
      </c>
      <c r="U105" s="138"/>
      <c r="V105" s="268">
        <f t="shared" si="32"/>
        <v>2.5</v>
      </c>
      <c r="W105" s="269">
        <v>0.18</v>
      </c>
      <c r="X105" s="270">
        <f t="shared" si="33"/>
        <v>3.0487804878048776</v>
      </c>
      <c r="Y105" s="271">
        <f t="shared" si="34"/>
        <v>0.54878048780487798</v>
      </c>
      <c r="Z105" s="267">
        <f t="shared" si="35"/>
        <v>4.939024390243902E-2</v>
      </c>
      <c r="AA105" s="271">
        <f t="shared" si="36"/>
        <v>0.59817073170731705</v>
      </c>
      <c r="AB105" s="271">
        <f t="shared" si="37"/>
        <v>2.4506097560975606</v>
      </c>
      <c r="AC105" s="284">
        <f t="shared" si="38"/>
        <v>0.30422765454969175</v>
      </c>
      <c r="AD105" s="285">
        <f t="shared" si="39"/>
        <v>-1.3745746336945197E-2</v>
      </c>
      <c r="AE105" s="221" t="s">
        <v>269</v>
      </c>
    </row>
    <row r="106" spans="1:31" ht="40" customHeight="1" x14ac:dyDescent="0.2">
      <c r="A106" s="123">
        <v>102</v>
      </c>
      <c r="B106" s="274" t="s">
        <v>82</v>
      </c>
      <c r="C106" s="123">
        <v>1</v>
      </c>
      <c r="D106" s="123" t="s">
        <v>71</v>
      </c>
      <c r="E106" s="123">
        <f t="shared" si="26"/>
        <v>24</v>
      </c>
      <c r="F106" s="123" t="s">
        <v>269</v>
      </c>
      <c r="G106" s="123" t="s">
        <v>269</v>
      </c>
      <c r="H106" s="257">
        <v>118.56</v>
      </c>
      <c r="I106" s="257">
        <f t="shared" si="27"/>
        <v>4.9400000000000004</v>
      </c>
      <c r="J106" s="257">
        <f t="shared" si="40"/>
        <v>118.56</v>
      </c>
      <c r="K106" s="257"/>
      <c r="L106" s="257">
        <f t="shared" si="4"/>
        <v>1.5642811906269793</v>
      </c>
      <c r="M106" s="257">
        <f t="shared" si="28"/>
        <v>37.542748575047497</v>
      </c>
      <c r="N106" s="257">
        <f t="shared" si="31"/>
        <v>1.7050664977834076</v>
      </c>
      <c r="O106" s="257">
        <f t="shared" si="29"/>
        <v>40.92159594680178</v>
      </c>
      <c r="P106" s="257">
        <v>2.5</v>
      </c>
      <c r="Q106" s="257">
        <f t="shared" si="1"/>
        <v>60</v>
      </c>
      <c r="R106" s="257">
        <f t="shared" si="2"/>
        <v>0.79493350221659242</v>
      </c>
      <c r="S106" s="257">
        <f t="shared" si="2"/>
        <v>19.07840405319822</v>
      </c>
      <c r="T106" s="246">
        <f t="shared" si="3"/>
        <v>0.31797340088663695</v>
      </c>
      <c r="U106" s="138"/>
      <c r="V106" s="268">
        <f t="shared" si="32"/>
        <v>2.5</v>
      </c>
      <c r="W106" s="269">
        <v>0.18</v>
      </c>
      <c r="X106" s="270">
        <f t="shared" si="33"/>
        <v>3.0487804878048776</v>
      </c>
      <c r="Y106" s="271">
        <f t="shared" si="34"/>
        <v>0.54878048780487798</v>
      </c>
      <c r="Z106" s="267">
        <f t="shared" si="35"/>
        <v>4.939024390243902E-2</v>
      </c>
      <c r="AA106" s="271">
        <f t="shared" si="36"/>
        <v>0.59817073170731705</v>
      </c>
      <c r="AB106" s="271">
        <f t="shared" si="37"/>
        <v>2.4506097560975606</v>
      </c>
      <c r="AC106" s="284">
        <f t="shared" si="38"/>
        <v>0.30422765454969175</v>
      </c>
      <c r="AD106" s="285">
        <f t="shared" si="39"/>
        <v>-1.3745746336945197E-2</v>
      </c>
      <c r="AE106" s="221" t="s">
        <v>269</v>
      </c>
    </row>
    <row r="107" spans="1:31" ht="40" customHeight="1" x14ac:dyDescent="0.2">
      <c r="A107" s="123">
        <v>103</v>
      </c>
      <c r="B107" s="274" t="s">
        <v>83</v>
      </c>
      <c r="C107" s="123">
        <v>1</v>
      </c>
      <c r="D107" s="123" t="s">
        <v>71</v>
      </c>
      <c r="E107" s="123">
        <f t="shared" si="26"/>
        <v>24</v>
      </c>
      <c r="F107" s="123" t="s">
        <v>269</v>
      </c>
      <c r="G107" s="123" t="s">
        <v>269</v>
      </c>
      <c r="H107" s="257">
        <v>118.56</v>
      </c>
      <c r="I107" s="257">
        <f t="shared" si="27"/>
        <v>4.9400000000000004</v>
      </c>
      <c r="J107" s="257">
        <f t="shared" si="40"/>
        <v>118.56</v>
      </c>
      <c r="K107" s="257"/>
      <c r="L107" s="257">
        <f t="shared" si="4"/>
        <v>1.5642811906269793</v>
      </c>
      <c r="M107" s="257">
        <f t="shared" si="28"/>
        <v>37.542748575047497</v>
      </c>
      <c r="N107" s="257">
        <f t="shared" si="31"/>
        <v>1.7050664977834076</v>
      </c>
      <c r="O107" s="257">
        <f t="shared" si="29"/>
        <v>40.92159594680178</v>
      </c>
      <c r="P107" s="257">
        <v>2.5</v>
      </c>
      <c r="Q107" s="257">
        <f t="shared" si="1"/>
        <v>60</v>
      </c>
      <c r="R107" s="257">
        <f t="shared" si="2"/>
        <v>0.79493350221659242</v>
      </c>
      <c r="S107" s="257">
        <f t="shared" si="2"/>
        <v>19.07840405319822</v>
      </c>
      <c r="T107" s="246">
        <f t="shared" si="3"/>
        <v>0.31797340088663695</v>
      </c>
      <c r="U107" s="135"/>
      <c r="V107" s="268">
        <f t="shared" si="32"/>
        <v>2.5</v>
      </c>
      <c r="W107" s="269">
        <v>0.18</v>
      </c>
      <c r="X107" s="270">
        <f t="shared" si="33"/>
        <v>3.0487804878048776</v>
      </c>
      <c r="Y107" s="271">
        <f t="shared" si="34"/>
        <v>0.54878048780487798</v>
      </c>
      <c r="Z107" s="267">
        <f t="shared" si="35"/>
        <v>4.939024390243902E-2</v>
      </c>
      <c r="AA107" s="271">
        <f t="shared" si="36"/>
        <v>0.59817073170731705</v>
      </c>
      <c r="AB107" s="271">
        <f t="shared" si="37"/>
        <v>2.4506097560975606</v>
      </c>
      <c r="AC107" s="284">
        <f t="shared" si="38"/>
        <v>0.30422765454969175</v>
      </c>
      <c r="AD107" s="285">
        <f t="shared" si="39"/>
        <v>-1.3745746336945197E-2</v>
      </c>
      <c r="AE107" s="221" t="s">
        <v>269</v>
      </c>
    </row>
    <row r="108" spans="1:31" ht="40" customHeight="1" x14ac:dyDescent="0.2">
      <c r="A108" s="123">
        <v>104</v>
      </c>
      <c r="B108" s="274" t="s">
        <v>84</v>
      </c>
      <c r="C108" s="123">
        <v>1</v>
      </c>
      <c r="D108" s="123" t="s">
        <v>71</v>
      </c>
      <c r="E108" s="123">
        <f t="shared" si="26"/>
        <v>24</v>
      </c>
      <c r="F108" s="123" t="s">
        <v>269</v>
      </c>
      <c r="G108" s="123" t="s">
        <v>269</v>
      </c>
      <c r="H108" s="257">
        <v>118.56</v>
      </c>
      <c r="I108" s="257">
        <f t="shared" si="27"/>
        <v>4.9400000000000004</v>
      </c>
      <c r="J108" s="257">
        <f t="shared" si="40"/>
        <v>118.56</v>
      </c>
      <c r="K108" s="257"/>
      <c r="L108" s="257">
        <f t="shared" si="4"/>
        <v>1.5642811906269793</v>
      </c>
      <c r="M108" s="257">
        <f t="shared" si="28"/>
        <v>37.542748575047497</v>
      </c>
      <c r="N108" s="257">
        <f t="shared" si="31"/>
        <v>1.7050664977834076</v>
      </c>
      <c r="O108" s="257">
        <f t="shared" si="29"/>
        <v>40.92159594680178</v>
      </c>
      <c r="P108" s="257">
        <v>2.5</v>
      </c>
      <c r="Q108" s="257">
        <f t="shared" si="1"/>
        <v>60</v>
      </c>
      <c r="R108" s="257">
        <f t="shared" si="2"/>
        <v>0.79493350221659242</v>
      </c>
      <c r="S108" s="257">
        <f t="shared" si="2"/>
        <v>19.07840405319822</v>
      </c>
      <c r="T108" s="246">
        <f t="shared" si="3"/>
        <v>0.31797340088663695</v>
      </c>
      <c r="U108" s="135"/>
      <c r="V108" s="268">
        <f t="shared" si="32"/>
        <v>2.5</v>
      </c>
      <c r="W108" s="269">
        <v>0.18</v>
      </c>
      <c r="X108" s="270">
        <f t="shared" si="33"/>
        <v>3.0487804878048776</v>
      </c>
      <c r="Y108" s="271">
        <f t="shared" si="34"/>
        <v>0.54878048780487798</v>
      </c>
      <c r="Z108" s="267">
        <f t="shared" si="35"/>
        <v>4.939024390243902E-2</v>
      </c>
      <c r="AA108" s="271">
        <f t="shared" si="36"/>
        <v>0.59817073170731705</v>
      </c>
      <c r="AB108" s="271">
        <f t="shared" si="37"/>
        <v>2.4506097560975606</v>
      </c>
      <c r="AC108" s="284">
        <f t="shared" si="38"/>
        <v>0.30422765454969175</v>
      </c>
      <c r="AD108" s="285">
        <f t="shared" si="39"/>
        <v>-1.3745746336945197E-2</v>
      </c>
      <c r="AE108" s="221" t="s">
        <v>269</v>
      </c>
    </row>
    <row r="109" spans="1:31" ht="40" customHeight="1" x14ac:dyDescent="0.2">
      <c r="A109" s="123">
        <v>105</v>
      </c>
      <c r="B109" s="274" t="s">
        <v>85</v>
      </c>
      <c r="C109" s="123">
        <v>1</v>
      </c>
      <c r="D109" s="123" t="s">
        <v>71</v>
      </c>
      <c r="E109" s="123">
        <f t="shared" si="26"/>
        <v>24</v>
      </c>
      <c r="F109" s="123" t="s">
        <v>269</v>
      </c>
      <c r="G109" s="123" t="s">
        <v>269</v>
      </c>
      <c r="H109" s="257">
        <v>118.56</v>
      </c>
      <c r="I109" s="257">
        <f t="shared" si="27"/>
        <v>4.9400000000000004</v>
      </c>
      <c r="J109" s="257">
        <f t="shared" si="40"/>
        <v>118.56</v>
      </c>
      <c r="K109" s="257"/>
      <c r="L109" s="257">
        <f t="shared" si="4"/>
        <v>1.5642811906269793</v>
      </c>
      <c r="M109" s="257">
        <f t="shared" si="28"/>
        <v>37.542748575047497</v>
      </c>
      <c r="N109" s="257">
        <f t="shared" si="31"/>
        <v>1.7050664977834076</v>
      </c>
      <c r="O109" s="257">
        <f t="shared" si="29"/>
        <v>40.92159594680178</v>
      </c>
      <c r="P109" s="257">
        <v>2.5</v>
      </c>
      <c r="Q109" s="257">
        <f t="shared" si="1"/>
        <v>60</v>
      </c>
      <c r="R109" s="257">
        <f t="shared" si="2"/>
        <v>0.79493350221659242</v>
      </c>
      <c r="S109" s="257">
        <f t="shared" si="2"/>
        <v>19.07840405319822</v>
      </c>
      <c r="T109" s="246">
        <f t="shared" si="3"/>
        <v>0.31797340088663695</v>
      </c>
      <c r="U109" s="137"/>
      <c r="V109" s="268">
        <f t="shared" si="32"/>
        <v>2.5</v>
      </c>
      <c r="W109" s="269">
        <v>0.18</v>
      </c>
      <c r="X109" s="270">
        <f t="shared" si="33"/>
        <v>3.0487804878048776</v>
      </c>
      <c r="Y109" s="271">
        <f t="shared" si="34"/>
        <v>0.54878048780487798</v>
      </c>
      <c r="Z109" s="267">
        <f t="shared" si="35"/>
        <v>4.939024390243902E-2</v>
      </c>
      <c r="AA109" s="271">
        <f t="shared" si="36"/>
        <v>0.59817073170731705</v>
      </c>
      <c r="AB109" s="271">
        <f t="shared" si="37"/>
        <v>2.4506097560975606</v>
      </c>
      <c r="AC109" s="284">
        <f t="shared" si="38"/>
        <v>0.30422765454969175</v>
      </c>
      <c r="AD109" s="285">
        <f t="shared" si="39"/>
        <v>-1.3745746336945197E-2</v>
      </c>
      <c r="AE109" s="221" t="s">
        <v>269</v>
      </c>
    </row>
    <row r="110" spans="1:31" ht="40" customHeight="1" x14ac:dyDescent="0.2">
      <c r="A110" s="123">
        <v>106</v>
      </c>
      <c r="B110" s="274" t="s">
        <v>86</v>
      </c>
      <c r="C110" s="123">
        <v>1</v>
      </c>
      <c r="D110" s="123" t="s">
        <v>71</v>
      </c>
      <c r="E110" s="123">
        <f t="shared" si="26"/>
        <v>24</v>
      </c>
      <c r="F110" s="123" t="s">
        <v>269</v>
      </c>
      <c r="G110" s="123" t="s">
        <v>269</v>
      </c>
      <c r="H110" s="257">
        <v>118.56</v>
      </c>
      <c r="I110" s="257">
        <f t="shared" si="27"/>
        <v>4.9400000000000004</v>
      </c>
      <c r="J110" s="257">
        <f t="shared" si="40"/>
        <v>118.56</v>
      </c>
      <c r="K110" s="257"/>
      <c r="L110" s="257">
        <f t="shared" si="4"/>
        <v>1.5642811906269793</v>
      </c>
      <c r="M110" s="257">
        <f t="shared" si="28"/>
        <v>37.542748575047497</v>
      </c>
      <c r="N110" s="257">
        <f t="shared" si="31"/>
        <v>1.7050664977834076</v>
      </c>
      <c r="O110" s="257">
        <f t="shared" si="29"/>
        <v>40.92159594680178</v>
      </c>
      <c r="P110" s="257">
        <v>2.5</v>
      </c>
      <c r="Q110" s="257">
        <f t="shared" si="1"/>
        <v>60</v>
      </c>
      <c r="R110" s="257">
        <f t="shared" si="2"/>
        <v>0.79493350221659242</v>
      </c>
      <c r="S110" s="257">
        <f t="shared" si="2"/>
        <v>19.07840405319822</v>
      </c>
      <c r="T110" s="246">
        <f t="shared" si="3"/>
        <v>0.31797340088663695</v>
      </c>
      <c r="U110" s="138"/>
      <c r="V110" s="268">
        <f t="shared" si="32"/>
        <v>2.5</v>
      </c>
      <c r="W110" s="269">
        <v>0.18</v>
      </c>
      <c r="X110" s="270">
        <f t="shared" si="33"/>
        <v>3.0487804878048776</v>
      </c>
      <c r="Y110" s="271">
        <f t="shared" si="34"/>
        <v>0.54878048780487798</v>
      </c>
      <c r="Z110" s="267">
        <f t="shared" si="35"/>
        <v>4.939024390243902E-2</v>
      </c>
      <c r="AA110" s="271">
        <f t="shared" si="36"/>
        <v>0.59817073170731705</v>
      </c>
      <c r="AB110" s="271">
        <f t="shared" si="37"/>
        <v>2.4506097560975606</v>
      </c>
      <c r="AC110" s="284">
        <f t="shared" si="38"/>
        <v>0.30422765454969175</v>
      </c>
      <c r="AD110" s="285">
        <f t="shared" si="39"/>
        <v>-1.3745746336945197E-2</v>
      </c>
      <c r="AE110" s="221" t="s">
        <v>269</v>
      </c>
    </row>
    <row r="111" spans="1:31" ht="40" customHeight="1" x14ac:dyDescent="0.2">
      <c r="A111" s="123">
        <v>107</v>
      </c>
      <c r="B111" s="274" t="s">
        <v>87</v>
      </c>
      <c r="C111" s="123">
        <v>1</v>
      </c>
      <c r="D111" s="123">
        <v>16</v>
      </c>
      <c r="E111" s="123">
        <f t="shared" si="26"/>
        <v>16</v>
      </c>
      <c r="F111" s="123" t="s">
        <v>269</v>
      </c>
      <c r="G111" s="123" t="s">
        <v>269</v>
      </c>
      <c r="H111" s="257">
        <v>60</v>
      </c>
      <c r="I111" s="257">
        <f t="shared" si="27"/>
        <v>3.75</v>
      </c>
      <c r="J111" s="257">
        <f t="shared" si="40"/>
        <v>60</v>
      </c>
      <c r="K111" s="257"/>
      <c r="L111" s="257">
        <f t="shared" si="4"/>
        <v>1.1874604179860671</v>
      </c>
      <c r="M111" s="257">
        <f t="shared" si="28"/>
        <v>18.999366687777073</v>
      </c>
      <c r="N111" s="257">
        <f t="shared" si="31"/>
        <v>1.2943318556048131</v>
      </c>
      <c r="O111" s="257">
        <f t="shared" si="29"/>
        <v>20.70930968967701</v>
      </c>
      <c r="P111" s="257">
        <v>2</v>
      </c>
      <c r="Q111" s="257">
        <f t="shared" si="1"/>
        <v>32</v>
      </c>
      <c r="R111" s="257">
        <f t="shared" si="2"/>
        <v>0.70566814439518688</v>
      </c>
      <c r="S111" s="257">
        <f t="shared" si="2"/>
        <v>11.29069031032299</v>
      </c>
      <c r="T111" s="246">
        <f t="shared" si="3"/>
        <v>0.35283407219759344</v>
      </c>
      <c r="U111" s="138"/>
      <c r="V111" s="268">
        <f t="shared" si="32"/>
        <v>2</v>
      </c>
      <c r="W111" s="269">
        <v>0.18</v>
      </c>
      <c r="X111" s="270">
        <f t="shared" si="33"/>
        <v>2.4390243902439024</v>
      </c>
      <c r="Y111" s="271">
        <f t="shared" si="34"/>
        <v>0.43902439024390244</v>
      </c>
      <c r="Z111" s="267">
        <f t="shared" si="35"/>
        <v>3.951219512195122E-2</v>
      </c>
      <c r="AA111" s="271">
        <f t="shared" si="36"/>
        <v>0.47853658536585364</v>
      </c>
      <c r="AB111" s="271">
        <f t="shared" si="37"/>
        <v>1.9604878048780487</v>
      </c>
      <c r="AC111" s="284">
        <f t="shared" si="38"/>
        <v>0.33979091714608933</v>
      </c>
      <c r="AD111" s="285">
        <f t="shared" si="39"/>
        <v>-1.3043155051504107E-2</v>
      </c>
      <c r="AE111" s="221" t="s">
        <v>269</v>
      </c>
    </row>
    <row r="112" spans="1:31" ht="40" customHeight="1" x14ac:dyDescent="0.2">
      <c r="A112" s="123">
        <v>108</v>
      </c>
      <c r="B112" s="274" t="s">
        <v>200</v>
      </c>
      <c r="C112" s="123">
        <v>1</v>
      </c>
      <c r="D112" s="123">
        <v>30</v>
      </c>
      <c r="E112" s="123">
        <f t="shared" si="26"/>
        <v>30</v>
      </c>
      <c r="F112" s="123" t="s">
        <v>269</v>
      </c>
      <c r="G112" s="123" t="s">
        <v>269</v>
      </c>
      <c r="H112" s="257">
        <v>84</v>
      </c>
      <c r="I112" s="257">
        <f t="shared" si="27"/>
        <v>2.8</v>
      </c>
      <c r="J112" s="257">
        <f t="shared" si="40"/>
        <v>84</v>
      </c>
      <c r="K112" s="257"/>
      <c r="L112" s="257">
        <f t="shared" si="4"/>
        <v>0.88663711209626339</v>
      </c>
      <c r="M112" s="257">
        <f t="shared" si="28"/>
        <v>26.599113362887906</v>
      </c>
      <c r="N112" s="257">
        <f t="shared" si="31"/>
        <v>0.96643445218492718</v>
      </c>
      <c r="O112" s="257">
        <f t="shared" si="29"/>
        <v>28.993033565547815</v>
      </c>
      <c r="P112" s="257">
        <v>1.35</v>
      </c>
      <c r="Q112" s="257">
        <f t="shared" si="1"/>
        <v>40.5</v>
      </c>
      <c r="R112" s="257">
        <f t="shared" si="2"/>
        <v>0.3835655478150729</v>
      </c>
      <c r="S112" s="257">
        <f t="shared" si="2"/>
        <v>11.506966434452185</v>
      </c>
      <c r="T112" s="246">
        <f t="shared" si="3"/>
        <v>0.28412262801116511</v>
      </c>
      <c r="U112" s="138"/>
      <c r="V112" s="268">
        <f t="shared" si="32"/>
        <v>1.35</v>
      </c>
      <c r="W112" s="269">
        <v>0.18</v>
      </c>
      <c r="X112" s="270">
        <f t="shared" si="33"/>
        <v>1.6463414634146341</v>
      </c>
      <c r="Y112" s="271">
        <f t="shared" si="34"/>
        <v>0.29634146341463413</v>
      </c>
      <c r="Z112" s="267">
        <f t="shared" si="35"/>
        <v>2.6670731707317073E-2</v>
      </c>
      <c r="AA112" s="271">
        <f t="shared" si="36"/>
        <v>0.32301219512195123</v>
      </c>
      <c r="AB112" s="271">
        <f t="shared" si="37"/>
        <v>1.3233292682926829</v>
      </c>
      <c r="AC112" s="284">
        <f t="shared" si="38"/>
        <v>0.26969464415172351</v>
      </c>
      <c r="AD112" s="285">
        <f t="shared" si="39"/>
        <v>-1.4427983859441607E-2</v>
      </c>
      <c r="AE112" s="221" t="s">
        <v>269</v>
      </c>
    </row>
    <row r="113" spans="1:31" ht="40" customHeight="1" x14ac:dyDescent="0.2">
      <c r="A113" s="123">
        <v>109</v>
      </c>
      <c r="B113" s="274" t="s">
        <v>201</v>
      </c>
      <c r="C113" s="123">
        <v>1</v>
      </c>
      <c r="D113" s="123">
        <v>30</v>
      </c>
      <c r="E113" s="123">
        <f t="shared" si="26"/>
        <v>30</v>
      </c>
      <c r="F113" s="123" t="s">
        <v>269</v>
      </c>
      <c r="G113" s="123" t="s">
        <v>269</v>
      </c>
      <c r="H113" s="257">
        <v>84</v>
      </c>
      <c r="I113" s="257">
        <f t="shared" si="27"/>
        <v>2.8</v>
      </c>
      <c r="J113" s="257">
        <f t="shared" si="40"/>
        <v>84</v>
      </c>
      <c r="K113" s="257"/>
      <c r="L113" s="257">
        <f t="shared" si="4"/>
        <v>0.88663711209626339</v>
      </c>
      <c r="M113" s="257">
        <f t="shared" si="28"/>
        <v>26.599113362887906</v>
      </c>
      <c r="N113" s="257">
        <f t="shared" si="31"/>
        <v>0.96643445218492718</v>
      </c>
      <c r="O113" s="257">
        <f t="shared" si="29"/>
        <v>28.993033565547815</v>
      </c>
      <c r="P113" s="257">
        <v>1.35</v>
      </c>
      <c r="Q113" s="257">
        <f t="shared" si="1"/>
        <v>40.5</v>
      </c>
      <c r="R113" s="257">
        <f t="shared" si="2"/>
        <v>0.3835655478150729</v>
      </c>
      <c r="S113" s="257">
        <f t="shared" si="2"/>
        <v>11.506966434452185</v>
      </c>
      <c r="T113" s="246">
        <f t="shared" si="3"/>
        <v>0.28412262801116511</v>
      </c>
      <c r="U113" s="138"/>
      <c r="V113" s="268">
        <f t="shared" si="32"/>
        <v>1.35</v>
      </c>
      <c r="W113" s="269">
        <v>0.18</v>
      </c>
      <c r="X113" s="270">
        <f t="shared" si="33"/>
        <v>1.6463414634146341</v>
      </c>
      <c r="Y113" s="271">
        <f t="shared" si="34"/>
        <v>0.29634146341463413</v>
      </c>
      <c r="Z113" s="267">
        <f t="shared" si="35"/>
        <v>2.6670731707317073E-2</v>
      </c>
      <c r="AA113" s="271">
        <f t="shared" si="36"/>
        <v>0.32301219512195123</v>
      </c>
      <c r="AB113" s="271">
        <f t="shared" si="37"/>
        <v>1.3233292682926829</v>
      </c>
      <c r="AC113" s="284">
        <f t="shared" si="38"/>
        <v>0.26969464415172351</v>
      </c>
      <c r="AD113" s="285">
        <f t="shared" si="39"/>
        <v>-1.4427983859441607E-2</v>
      </c>
      <c r="AE113" s="221" t="s">
        <v>269</v>
      </c>
    </row>
    <row r="114" spans="1:31" ht="40" customHeight="1" x14ac:dyDescent="0.2">
      <c r="A114" s="123">
        <v>110</v>
      </c>
      <c r="B114" s="274" t="s">
        <v>202</v>
      </c>
      <c r="C114" s="123">
        <v>1</v>
      </c>
      <c r="D114" s="123">
        <v>30</v>
      </c>
      <c r="E114" s="123">
        <f t="shared" si="26"/>
        <v>30</v>
      </c>
      <c r="F114" s="123" t="s">
        <v>269</v>
      </c>
      <c r="G114" s="123" t="s">
        <v>269</v>
      </c>
      <c r="H114" s="257">
        <v>84</v>
      </c>
      <c r="I114" s="257">
        <f t="shared" si="27"/>
        <v>2.8</v>
      </c>
      <c r="J114" s="257">
        <f t="shared" si="40"/>
        <v>84</v>
      </c>
      <c r="K114" s="257"/>
      <c r="L114" s="257">
        <f t="shared" si="4"/>
        <v>0.88663711209626339</v>
      </c>
      <c r="M114" s="257">
        <f t="shared" si="28"/>
        <v>26.599113362887906</v>
      </c>
      <c r="N114" s="257">
        <f t="shared" si="31"/>
        <v>0.96643445218492718</v>
      </c>
      <c r="O114" s="257">
        <f t="shared" si="29"/>
        <v>28.993033565547815</v>
      </c>
      <c r="P114" s="257">
        <v>1.35</v>
      </c>
      <c r="Q114" s="257">
        <f t="shared" si="1"/>
        <v>40.5</v>
      </c>
      <c r="R114" s="257">
        <f t="shared" si="2"/>
        <v>0.3835655478150729</v>
      </c>
      <c r="S114" s="257">
        <f t="shared" si="2"/>
        <v>11.506966434452185</v>
      </c>
      <c r="T114" s="246">
        <f t="shared" si="3"/>
        <v>0.28412262801116511</v>
      </c>
      <c r="U114" s="138"/>
      <c r="V114" s="268">
        <f t="shared" si="32"/>
        <v>1.35</v>
      </c>
      <c r="W114" s="269">
        <v>0.18</v>
      </c>
      <c r="X114" s="270">
        <f t="shared" si="33"/>
        <v>1.6463414634146341</v>
      </c>
      <c r="Y114" s="271">
        <f t="shared" si="34"/>
        <v>0.29634146341463413</v>
      </c>
      <c r="Z114" s="267">
        <f t="shared" si="35"/>
        <v>2.6670731707317073E-2</v>
      </c>
      <c r="AA114" s="271">
        <f t="shared" si="36"/>
        <v>0.32301219512195123</v>
      </c>
      <c r="AB114" s="271">
        <f t="shared" si="37"/>
        <v>1.3233292682926829</v>
      </c>
      <c r="AC114" s="284">
        <f t="shared" si="38"/>
        <v>0.26969464415172351</v>
      </c>
      <c r="AD114" s="285">
        <f t="shared" si="39"/>
        <v>-1.4427983859441607E-2</v>
      </c>
      <c r="AE114" s="221" t="s">
        <v>269</v>
      </c>
    </row>
    <row r="115" spans="1:31" ht="40" customHeight="1" x14ac:dyDescent="0.2">
      <c r="A115" s="123">
        <v>111</v>
      </c>
      <c r="B115" s="274" t="s">
        <v>89</v>
      </c>
      <c r="C115" s="123">
        <v>1</v>
      </c>
      <c r="D115" s="123" t="s">
        <v>90</v>
      </c>
      <c r="E115" s="123">
        <f t="shared" si="26"/>
        <v>36</v>
      </c>
      <c r="F115" s="123" t="s">
        <v>269</v>
      </c>
      <c r="G115" s="123" t="s">
        <v>269</v>
      </c>
      <c r="H115" s="257">
        <v>69</v>
      </c>
      <c r="I115" s="257">
        <f t="shared" si="27"/>
        <v>1.9166666666666667</v>
      </c>
      <c r="J115" s="257">
        <f t="shared" si="40"/>
        <v>69</v>
      </c>
      <c r="K115" s="257"/>
      <c r="L115" s="257">
        <f t="shared" si="4"/>
        <v>0.60692421363732318</v>
      </c>
      <c r="M115" s="257">
        <f t="shared" si="28"/>
        <v>21.849271690943635</v>
      </c>
      <c r="N115" s="257">
        <f t="shared" si="31"/>
        <v>0.66154739286468234</v>
      </c>
      <c r="O115" s="257">
        <f t="shared" si="29"/>
        <v>23.815706143128565</v>
      </c>
      <c r="P115" s="257">
        <v>1</v>
      </c>
      <c r="Q115" s="257">
        <f t="shared" si="1"/>
        <v>36</v>
      </c>
      <c r="R115" s="257">
        <f t="shared" si="2"/>
        <v>0.33845260713531766</v>
      </c>
      <c r="S115" s="257">
        <f t="shared" si="2"/>
        <v>12.184293856871435</v>
      </c>
      <c r="T115" s="246">
        <f t="shared" si="3"/>
        <v>0.33845260713531766</v>
      </c>
      <c r="U115" s="138"/>
      <c r="V115" s="268">
        <f t="shared" si="32"/>
        <v>1</v>
      </c>
      <c r="W115" s="269">
        <v>0.18</v>
      </c>
      <c r="X115" s="270">
        <f t="shared" si="33"/>
        <v>1.2195121951219512</v>
      </c>
      <c r="Y115" s="271">
        <f t="shared" si="34"/>
        <v>0.21951219512195122</v>
      </c>
      <c r="Z115" s="267">
        <f t="shared" si="35"/>
        <v>1.975609756097561E-2</v>
      </c>
      <c r="AA115" s="271">
        <f t="shared" si="36"/>
        <v>0.23926829268292682</v>
      </c>
      <c r="AB115" s="271">
        <f t="shared" si="37"/>
        <v>0.98024390243902437</v>
      </c>
      <c r="AC115" s="284">
        <f t="shared" si="38"/>
        <v>0.32511960419378011</v>
      </c>
      <c r="AD115" s="285">
        <f t="shared" si="39"/>
        <v>-1.3333002941537553E-2</v>
      </c>
      <c r="AE115" s="221" t="s">
        <v>269</v>
      </c>
    </row>
    <row r="116" spans="1:31" ht="40" customHeight="1" x14ac:dyDescent="0.2">
      <c r="A116" s="123">
        <v>112</v>
      </c>
      <c r="B116" s="274" t="s">
        <v>91</v>
      </c>
      <c r="C116" s="123">
        <v>1</v>
      </c>
      <c r="D116" s="123" t="s">
        <v>90</v>
      </c>
      <c r="E116" s="123">
        <f t="shared" si="26"/>
        <v>36</v>
      </c>
      <c r="F116" s="123" t="s">
        <v>269</v>
      </c>
      <c r="G116" s="123" t="s">
        <v>269</v>
      </c>
      <c r="H116" s="257">
        <v>69</v>
      </c>
      <c r="I116" s="257">
        <f t="shared" si="27"/>
        <v>1.9166666666666667</v>
      </c>
      <c r="J116" s="257">
        <f t="shared" si="40"/>
        <v>69</v>
      </c>
      <c r="K116" s="257"/>
      <c r="L116" s="257">
        <f t="shared" si="4"/>
        <v>0.60692421363732318</v>
      </c>
      <c r="M116" s="257">
        <f t="shared" si="28"/>
        <v>21.849271690943635</v>
      </c>
      <c r="N116" s="257">
        <f t="shared" si="31"/>
        <v>0.66154739286468234</v>
      </c>
      <c r="O116" s="257">
        <f t="shared" si="29"/>
        <v>23.815706143128565</v>
      </c>
      <c r="P116" s="257">
        <v>1</v>
      </c>
      <c r="Q116" s="257">
        <f t="shared" si="1"/>
        <v>36</v>
      </c>
      <c r="R116" s="257">
        <f t="shared" si="2"/>
        <v>0.33845260713531766</v>
      </c>
      <c r="S116" s="257">
        <f t="shared" si="2"/>
        <v>12.184293856871435</v>
      </c>
      <c r="T116" s="246">
        <f t="shared" si="3"/>
        <v>0.33845260713531766</v>
      </c>
      <c r="U116" s="138"/>
      <c r="V116" s="268">
        <f t="shared" si="32"/>
        <v>1</v>
      </c>
      <c r="W116" s="269">
        <v>0.18</v>
      </c>
      <c r="X116" s="270">
        <f t="shared" si="33"/>
        <v>1.2195121951219512</v>
      </c>
      <c r="Y116" s="271">
        <f t="shared" si="34"/>
        <v>0.21951219512195122</v>
      </c>
      <c r="Z116" s="267">
        <f t="shared" si="35"/>
        <v>1.975609756097561E-2</v>
      </c>
      <c r="AA116" s="271">
        <f t="shared" si="36"/>
        <v>0.23926829268292682</v>
      </c>
      <c r="AB116" s="271">
        <f t="shared" si="37"/>
        <v>0.98024390243902437</v>
      </c>
      <c r="AC116" s="284">
        <f t="shared" si="38"/>
        <v>0.32511960419378011</v>
      </c>
      <c r="AD116" s="285">
        <f t="shared" si="39"/>
        <v>-1.3333002941537553E-2</v>
      </c>
      <c r="AE116" s="221" t="s">
        <v>269</v>
      </c>
    </row>
    <row r="117" spans="1:31" ht="40" customHeight="1" x14ac:dyDescent="0.2">
      <c r="A117" s="123">
        <v>113</v>
      </c>
      <c r="B117" s="274" t="s">
        <v>92</v>
      </c>
      <c r="C117" s="123">
        <v>1</v>
      </c>
      <c r="D117" s="123" t="s">
        <v>90</v>
      </c>
      <c r="E117" s="123">
        <f t="shared" si="26"/>
        <v>36</v>
      </c>
      <c r="F117" s="123" t="s">
        <v>269</v>
      </c>
      <c r="G117" s="123" t="s">
        <v>269</v>
      </c>
      <c r="H117" s="257">
        <v>69</v>
      </c>
      <c r="I117" s="257">
        <f t="shared" si="27"/>
        <v>1.9166666666666667</v>
      </c>
      <c r="J117" s="257">
        <f t="shared" si="40"/>
        <v>69</v>
      </c>
      <c r="K117" s="257"/>
      <c r="L117" s="257">
        <f t="shared" si="4"/>
        <v>0.60692421363732318</v>
      </c>
      <c r="M117" s="257">
        <f t="shared" si="28"/>
        <v>21.849271690943635</v>
      </c>
      <c r="N117" s="257">
        <f t="shared" si="31"/>
        <v>0.66154739286468234</v>
      </c>
      <c r="O117" s="257">
        <f t="shared" si="29"/>
        <v>23.815706143128565</v>
      </c>
      <c r="P117" s="257">
        <v>1</v>
      </c>
      <c r="Q117" s="257">
        <f t="shared" si="1"/>
        <v>36</v>
      </c>
      <c r="R117" s="257">
        <f t="shared" si="2"/>
        <v>0.33845260713531766</v>
      </c>
      <c r="S117" s="257">
        <f t="shared" si="2"/>
        <v>12.184293856871435</v>
      </c>
      <c r="T117" s="246">
        <f t="shared" si="3"/>
        <v>0.33845260713531766</v>
      </c>
      <c r="U117" s="135"/>
      <c r="V117" s="268">
        <f t="shared" si="32"/>
        <v>1</v>
      </c>
      <c r="W117" s="269">
        <v>0.18</v>
      </c>
      <c r="X117" s="270">
        <f t="shared" si="33"/>
        <v>1.2195121951219512</v>
      </c>
      <c r="Y117" s="271">
        <f t="shared" si="34"/>
        <v>0.21951219512195122</v>
      </c>
      <c r="Z117" s="267">
        <f t="shared" si="35"/>
        <v>1.975609756097561E-2</v>
      </c>
      <c r="AA117" s="271">
        <f t="shared" si="36"/>
        <v>0.23926829268292682</v>
      </c>
      <c r="AB117" s="271">
        <f t="shared" si="37"/>
        <v>0.98024390243902437</v>
      </c>
      <c r="AC117" s="284">
        <f t="shared" si="38"/>
        <v>0.32511960419378011</v>
      </c>
      <c r="AD117" s="285">
        <f t="shared" si="39"/>
        <v>-1.3333002941537553E-2</v>
      </c>
      <c r="AE117" s="221" t="s">
        <v>269</v>
      </c>
    </row>
    <row r="118" spans="1:31" ht="40" customHeight="1" x14ac:dyDescent="0.2">
      <c r="A118" s="123">
        <v>114</v>
      </c>
      <c r="B118" s="274" t="s">
        <v>93</v>
      </c>
      <c r="C118" s="123">
        <v>1</v>
      </c>
      <c r="D118" s="123" t="s">
        <v>90</v>
      </c>
      <c r="E118" s="123">
        <f t="shared" si="26"/>
        <v>36</v>
      </c>
      <c r="F118" s="123" t="s">
        <v>269</v>
      </c>
      <c r="G118" s="123" t="s">
        <v>269</v>
      </c>
      <c r="H118" s="257">
        <v>69</v>
      </c>
      <c r="I118" s="257">
        <f t="shared" si="27"/>
        <v>1.9166666666666667</v>
      </c>
      <c r="J118" s="257">
        <f t="shared" si="40"/>
        <v>69</v>
      </c>
      <c r="K118" s="257"/>
      <c r="L118" s="257">
        <f t="shared" si="4"/>
        <v>0.60692421363732318</v>
      </c>
      <c r="M118" s="257">
        <f t="shared" si="28"/>
        <v>21.849271690943635</v>
      </c>
      <c r="N118" s="257">
        <f t="shared" si="31"/>
        <v>0.66154739286468234</v>
      </c>
      <c r="O118" s="257">
        <f t="shared" si="29"/>
        <v>23.815706143128565</v>
      </c>
      <c r="P118" s="257">
        <v>1</v>
      </c>
      <c r="Q118" s="257">
        <f t="shared" si="1"/>
        <v>36</v>
      </c>
      <c r="R118" s="257">
        <f t="shared" si="2"/>
        <v>0.33845260713531766</v>
      </c>
      <c r="S118" s="257">
        <f t="shared" si="2"/>
        <v>12.184293856871435</v>
      </c>
      <c r="T118" s="246">
        <f t="shared" si="3"/>
        <v>0.33845260713531766</v>
      </c>
      <c r="U118" s="138"/>
      <c r="V118" s="268">
        <f t="shared" si="32"/>
        <v>1</v>
      </c>
      <c r="W118" s="269">
        <v>0.18</v>
      </c>
      <c r="X118" s="270">
        <f t="shared" si="33"/>
        <v>1.2195121951219512</v>
      </c>
      <c r="Y118" s="271">
        <f t="shared" si="34"/>
        <v>0.21951219512195122</v>
      </c>
      <c r="Z118" s="267">
        <f t="shared" si="35"/>
        <v>1.975609756097561E-2</v>
      </c>
      <c r="AA118" s="271">
        <f t="shared" si="36"/>
        <v>0.23926829268292682</v>
      </c>
      <c r="AB118" s="271">
        <f t="shared" si="37"/>
        <v>0.98024390243902437</v>
      </c>
      <c r="AC118" s="284">
        <f t="shared" si="38"/>
        <v>0.32511960419378011</v>
      </c>
      <c r="AD118" s="285">
        <f t="shared" si="39"/>
        <v>-1.3333002941537553E-2</v>
      </c>
      <c r="AE118" s="221" t="s">
        <v>269</v>
      </c>
    </row>
    <row r="119" spans="1:31" ht="40" customHeight="1" x14ac:dyDescent="0.2">
      <c r="A119" s="123">
        <v>115</v>
      </c>
      <c r="B119" s="274" t="s">
        <v>94</v>
      </c>
      <c r="C119" s="123">
        <v>1</v>
      </c>
      <c r="D119" s="123">
        <v>12</v>
      </c>
      <c r="E119" s="123">
        <f t="shared" si="26"/>
        <v>12</v>
      </c>
      <c r="F119" s="123" t="s">
        <v>269</v>
      </c>
      <c r="G119" s="123" t="s">
        <v>269</v>
      </c>
      <c r="H119" s="257">
        <v>68.400000000000006</v>
      </c>
      <c r="I119" s="257">
        <f t="shared" si="27"/>
        <v>5.7</v>
      </c>
      <c r="J119" s="257">
        <f t="shared" si="40"/>
        <v>68.400000000000006</v>
      </c>
      <c r="K119" s="257"/>
      <c r="L119" s="257">
        <f t="shared" si="4"/>
        <v>1.8049398353388222</v>
      </c>
      <c r="M119" s="257">
        <f t="shared" si="28"/>
        <v>21.659278024065866</v>
      </c>
      <c r="N119" s="257">
        <f t="shared" si="31"/>
        <v>1.9673844205193163</v>
      </c>
      <c r="O119" s="257">
        <f t="shared" si="29"/>
        <v>23.608613046231795</v>
      </c>
      <c r="P119" s="257">
        <v>2.95</v>
      </c>
      <c r="Q119" s="257">
        <f t="shared" si="1"/>
        <v>35.400000000000006</v>
      </c>
      <c r="R119" s="257">
        <f t="shared" si="2"/>
        <v>0.9826155794806839</v>
      </c>
      <c r="S119" s="257">
        <f t="shared" si="2"/>
        <v>11.79138695376821</v>
      </c>
      <c r="T119" s="246">
        <f t="shared" si="3"/>
        <v>0.3330900269426047</v>
      </c>
      <c r="U119" s="138"/>
      <c r="V119" s="268">
        <f t="shared" si="32"/>
        <v>2.95</v>
      </c>
      <c r="W119" s="269">
        <v>0.18</v>
      </c>
      <c r="X119" s="270">
        <f t="shared" si="33"/>
        <v>3.5975609756097562</v>
      </c>
      <c r="Y119" s="271">
        <f t="shared" si="34"/>
        <v>0.64756097560975612</v>
      </c>
      <c r="Z119" s="267">
        <f t="shared" si="35"/>
        <v>5.8280487804878045E-2</v>
      </c>
      <c r="AA119" s="271">
        <f t="shared" si="36"/>
        <v>0.70584146341463416</v>
      </c>
      <c r="AB119" s="271">
        <f t="shared" si="37"/>
        <v>2.891719512195122</v>
      </c>
      <c r="AC119" s="284">
        <f t="shared" si="38"/>
        <v>0.31964894512681741</v>
      </c>
      <c r="AD119" s="285">
        <f t="shared" si="39"/>
        <v>-1.3441081815787292E-2</v>
      </c>
      <c r="AE119" s="221" t="s">
        <v>269</v>
      </c>
    </row>
    <row r="120" spans="1:31" ht="40" customHeight="1" x14ac:dyDescent="0.2">
      <c r="A120" s="123">
        <v>116</v>
      </c>
      <c r="B120" s="274" t="s">
        <v>96</v>
      </c>
      <c r="C120" s="123">
        <v>1</v>
      </c>
      <c r="D120" s="123">
        <v>12</v>
      </c>
      <c r="E120" s="123">
        <f t="shared" si="26"/>
        <v>12</v>
      </c>
      <c r="F120" s="123" t="s">
        <v>269</v>
      </c>
      <c r="G120" s="123" t="s">
        <v>269</v>
      </c>
      <c r="H120" s="257">
        <v>68.400000000000006</v>
      </c>
      <c r="I120" s="257">
        <f t="shared" si="27"/>
        <v>5.7</v>
      </c>
      <c r="J120" s="257">
        <f t="shared" si="40"/>
        <v>68.400000000000006</v>
      </c>
      <c r="K120" s="257"/>
      <c r="L120" s="257">
        <f t="shared" si="4"/>
        <v>1.8049398353388222</v>
      </c>
      <c r="M120" s="257">
        <f t="shared" si="28"/>
        <v>21.659278024065866</v>
      </c>
      <c r="N120" s="257">
        <f t="shared" si="31"/>
        <v>1.9673844205193163</v>
      </c>
      <c r="O120" s="257">
        <f t="shared" si="29"/>
        <v>23.608613046231795</v>
      </c>
      <c r="P120" s="257">
        <v>2.95</v>
      </c>
      <c r="Q120" s="257">
        <f t="shared" si="1"/>
        <v>35.400000000000006</v>
      </c>
      <c r="R120" s="257">
        <f t="shared" si="2"/>
        <v>0.9826155794806839</v>
      </c>
      <c r="S120" s="257">
        <f t="shared" si="2"/>
        <v>11.79138695376821</v>
      </c>
      <c r="T120" s="246">
        <f t="shared" si="3"/>
        <v>0.3330900269426047</v>
      </c>
      <c r="U120" s="138"/>
      <c r="V120" s="268">
        <f t="shared" si="32"/>
        <v>2.95</v>
      </c>
      <c r="W120" s="269">
        <v>0.18</v>
      </c>
      <c r="X120" s="270">
        <f t="shared" si="33"/>
        <v>3.5975609756097562</v>
      </c>
      <c r="Y120" s="271">
        <f t="shared" si="34"/>
        <v>0.64756097560975612</v>
      </c>
      <c r="Z120" s="267">
        <f t="shared" si="35"/>
        <v>5.8280487804878045E-2</v>
      </c>
      <c r="AA120" s="271">
        <f t="shared" si="36"/>
        <v>0.70584146341463416</v>
      </c>
      <c r="AB120" s="271">
        <f t="shared" si="37"/>
        <v>2.891719512195122</v>
      </c>
      <c r="AC120" s="284">
        <f t="shared" si="38"/>
        <v>0.31964894512681741</v>
      </c>
      <c r="AD120" s="285">
        <f t="shared" si="39"/>
        <v>-1.3441081815787292E-2</v>
      </c>
      <c r="AE120" s="221" t="s">
        <v>269</v>
      </c>
    </row>
    <row r="121" spans="1:31" ht="40" customHeight="1" x14ac:dyDescent="0.2">
      <c r="A121" s="123">
        <v>117</v>
      </c>
      <c r="B121" s="274" t="s">
        <v>97</v>
      </c>
      <c r="C121" s="123">
        <v>1</v>
      </c>
      <c r="D121" s="123">
        <v>12</v>
      </c>
      <c r="E121" s="123">
        <f t="shared" si="26"/>
        <v>12</v>
      </c>
      <c r="F121" s="123" t="s">
        <v>269</v>
      </c>
      <c r="G121" s="123" t="s">
        <v>269</v>
      </c>
      <c r="H121" s="257">
        <v>68.400000000000006</v>
      </c>
      <c r="I121" s="257">
        <f t="shared" si="27"/>
        <v>5.7</v>
      </c>
      <c r="J121" s="257">
        <f t="shared" si="40"/>
        <v>68.400000000000006</v>
      </c>
      <c r="K121" s="257"/>
      <c r="L121" s="257">
        <f t="shared" si="4"/>
        <v>1.8049398353388222</v>
      </c>
      <c r="M121" s="257">
        <f t="shared" si="28"/>
        <v>21.659278024065866</v>
      </c>
      <c r="N121" s="257">
        <f t="shared" si="31"/>
        <v>1.9673844205193163</v>
      </c>
      <c r="O121" s="257">
        <f t="shared" si="29"/>
        <v>23.608613046231795</v>
      </c>
      <c r="P121" s="257">
        <v>2.95</v>
      </c>
      <c r="Q121" s="257">
        <f t="shared" si="1"/>
        <v>35.400000000000006</v>
      </c>
      <c r="R121" s="257">
        <f t="shared" si="2"/>
        <v>0.9826155794806839</v>
      </c>
      <c r="S121" s="257">
        <f t="shared" si="2"/>
        <v>11.79138695376821</v>
      </c>
      <c r="T121" s="246">
        <f t="shared" si="3"/>
        <v>0.3330900269426047</v>
      </c>
      <c r="U121" s="138"/>
      <c r="V121" s="268">
        <f t="shared" si="32"/>
        <v>2.95</v>
      </c>
      <c r="W121" s="269">
        <v>0.18</v>
      </c>
      <c r="X121" s="270">
        <f t="shared" si="33"/>
        <v>3.5975609756097562</v>
      </c>
      <c r="Y121" s="271">
        <f t="shared" si="34"/>
        <v>0.64756097560975612</v>
      </c>
      <c r="Z121" s="267">
        <f t="shared" si="35"/>
        <v>5.8280487804878045E-2</v>
      </c>
      <c r="AA121" s="271">
        <f t="shared" si="36"/>
        <v>0.70584146341463416</v>
      </c>
      <c r="AB121" s="271">
        <f t="shared" si="37"/>
        <v>2.891719512195122</v>
      </c>
      <c r="AC121" s="284">
        <f t="shared" si="38"/>
        <v>0.31964894512681741</v>
      </c>
      <c r="AD121" s="285">
        <f t="shared" si="39"/>
        <v>-1.3441081815787292E-2</v>
      </c>
      <c r="AE121" s="221" t="s">
        <v>269</v>
      </c>
    </row>
    <row r="122" spans="1:31" ht="40" customHeight="1" x14ac:dyDescent="0.2">
      <c r="A122" s="123">
        <v>118</v>
      </c>
      <c r="B122" s="274" t="s">
        <v>98</v>
      </c>
      <c r="C122" s="123">
        <v>1</v>
      </c>
      <c r="D122" s="123">
        <v>12</v>
      </c>
      <c r="E122" s="123">
        <f t="shared" si="26"/>
        <v>12</v>
      </c>
      <c r="F122" s="123" t="s">
        <v>269</v>
      </c>
      <c r="G122" s="123" t="s">
        <v>269</v>
      </c>
      <c r="H122" s="257">
        <v>68.400000000000006</v>
      </c>
      <c r="I122" s="257">
        <f t="shared" si="27"/>
        <v>5.7</v>
      </c>
      <c r="J122" s="257">
        <f t="shared" si="40"/>
        <v>68.400000000000006</v>
      </c>
      <c r="K122" s="257"/>
      <c r="L122" s="257">
        <f t="shared" si="4"/>
        <v>1.8049398353388222</v>
      </c>
      <c r="M122" s="257">
        <f t="shared" si="28"/>
        <v>21.659278024065866</v>
      </c>
      <c r="N122" s="257">
        <f t="shared" si="31"/>
        <v>1.9673844205193163</v>
      </c>
      <c r="O122" s="257">
        <f t="shared" si="29"/>
        <v>23.608613046231795</v>
      </c>
      <c r="P122" s="257">
        <v>2.95</v>
      </c>
      <c r="Q122" s="257">
        <f t="shared" si="1"/>
        <v>35.400000000000006</v>
      </c>
      <c r="R122" s="257">
        <f t="shared" si="2"/>
        <v>0.9826155794806839</v>
      </c>
      <c r="S122" s="257">
        <f t="shared" si="2"/>
        <v>11.79138695376821</v>
      </c>
      <c r="T122" s="246">
        <f t="shared" si="3"/>
        <v>0.3330900269426047</v>
      </c>
      <c r="U122" s="135"/>
      <c r="V122" s="268">
        <f t="shared" si="32"/>
        <v>2.95</v>
      </c>
      <c r="W122" s="269">
        <v>0.18</v>
      </c>
      <c r="X122" s="270">
        <f t="shared" si="33"/>
        <v>3.5975609756097562</v>
      </c>
      <c r="Y122" s="271">
        <f t="shared" si="34"/>
        <v>0.64756097560975612</v>
      </c>
      <c r="Z122" s="267">
        <f t="shared" si="35"/>
        <v>5.8280487804878045E-2</v>
      </c>
      <c r="AA122" s="271">
        <f t="shared" si="36"/>
        <v>0.70584146341463416</v>
      </c>
      <c r="AB122" s="271">
        <f t="shared" si="37"/>
        <v>2.891719512195122</v>
      </c>
      <c r="AC122" s="284">
        <f t="shared" si="38"/>
        <v>0.31964894512681741</v>
      </c>
      <c r="AD122" s="285">
        <f t="shared" si="39"/>
        <v>-1.3441081815787292E-2</v>
      </c>
      <c r="AE122" s="221" t="s">
        <v>269</v>
      </c>
    </row>
    <row r="123" spans="1:31" ht="40" customHeight="1" x14ac:dyDescent="0.2">
      <c r="A123" s="123">
        <v>119</v>
      </c>
      <c r="B123" s="274" t="s">
        <v>178</v>
      </c>
      <c r="C123" s="123">
        <v>1</v>
      </c>
      <c r="D123" s="123">
        <v>24</v>
      </c>
      <c r="E123" s="123">
        <f t="shared" si="26"/>
        <v>24</v>
      </c>
      <c r="F123" s="123" t="s">
        <v>269</v>
      </c>
      <c r="G123" s="123" t="s">
        <v>269</v>
      </c>
      <c r="H123" s="257">
        <f t="shared" ref="H123:H128" si="41">72*0.95</f>
        <v>68.399999999999991</v>
      </c>
      <c r="I123" s="257">
        <f t="shared" si="27"/>
        <v>2.8499999999999996</v>
      </c>
      <c r="J123" s="257">
        <f t="shared" si="40"/>
        <v>68.399999999999991</v>
      </c>
      <c r="K123" s="257"/>
      <c r="L123" s="257">
        <f t="shared" si="4"/>
        <v>0.90246991766941098</v>
      </c>
      <c r="M123" s="257">
        <f t="shared" si="28"/>
        <v>21.659278024065863</v>
      </c>
      <c r="N123" s="257">
        <f t="shared" si="31"/>
        <v>0.98369221025965803</v>
      </c>
      <c r="O123" s="257">
        <f t="shared" si="29"/>
        <v>23.608613046231792</v>
      </c>
      <c r="P123" s="257">
        <v>1.95</v>
      </c>
      <c r="Q123" s="257">
        <f t="shared" si="1"/>
        <v>46.8</v>
      </c>
      <c r="R123" s="257">
        <f>P123-N123</f>
        <v>0.96630778974034193</v>
      </c>
      <c r="S123" s="257">
        <f t="shared" ref="S123:S184" si="42">Q123-O123</f>
        <v>23.191386953768205</v>
      </c>
      <c r="T123" s="246">
        <f>R123/P123</f>
        <v>0.49554245627709842</v>
      </c>
      <c r="U123" s="247"/>
      <c r="V123" s="268">
        <f t="shared" si="32"/>
        <v>1.95</v>
      </c>
      <c r="W123" s="269">
        <v>0.18</v>
      </c>
      <c r="X123" s="270">
        <f t="shared" si="33"/>
        <v>2.3780487804878048</v>
      </c>
      <c r="Y123" s="271">
        <f t="shared" si="34"/>
        <v>0.42804878048780487</v>
      </c>
      <c r="Z123" s="267">
        <f t="shared" si="35"/>
        <v>3.8524390243902439E-2</v>
      </c>
      <c r="AA123" s="271">
        <f t="shared" si="36"/>
        <v>0.46657317073170729</v>
      </c>
      <c r="AB123" s="271">
        <f t="shared" si="37"/>
        <v>1.9114756097560974</v>
      </c>
      <c r="AC123" s="284">
        <f t="shared" si="38"/>
        <v>0.48537548413438752</v>
      </c>
      <c r="AD123" s="285">
        <f t="shared" si="39"/>
        <v>-1.0166972142710895E-2</v>
      </c>
      <c r="AE123" s="221" t="s">
        <v>269</v>
      </c>
    </row>
    <row r="124" spans="1:31" ht="40" customHeight="1" x14ac:dyDescent="0.2">
      <c r="A124" s="123">
        <v>120</v>
      </c>
      <c r="B124" s="274" t="s">
        <v>179</v>
      </c>
      <c r="C124" s="123">
        <v>1</v>
      </c>
      <c r="D124" s="123">
        <v>24</v>
      </c>
      <c r="E124" s="123">
        <f t="shared" si="26"/>
        <v>24</v>
      </c>
      <c r="F124" s="123" t="s">
        <v>269</v>
      </c>
      <c r="G124" s="123" t="s">
        <v>269</v>
      </c>
      <c r="H124" s="257">
        <f t="shared" si="41"/>
        <v>68.399999999999991</v>
      </c>
      <c r="I124" s="257">
        <f t="shared" si="27"/>
        <v>2.8499999999999996</v>
      </c>
      <c r="J124" s="257">
        <f t="shared" si="40"/>
        <v>68.399999999999991</v>
      </c>
      <c r="K124" s="257"/>
      <c r="L124" s="257">
        <f t="shared" si="4"/>
        <v>0.90246991766941098</v>
      </c>
      <c r="M124" s="257">
        <f t="shared" si="28"/>
        <v>21.659278024065863</v>
      </c>
      <c r="N124" s="257">
        <f t="shared" si="31"/>
        <v>0.98369221025965803</v>
      </c>
      <c r="O124" s="257">
        <f t="shared" si="29"/>
        <v>23.608613046231792</v>
      </c>
      <c r="P124" s="257">
        <v>1.95</v>
      </c>
      <c r="Q124" s="257">
        <f t="shared" si="1"/>
        <v>46.8</v>
      </c>
      <c r="R124" s="257">
        <f>P124-N124</f>
        <v>0.96630778974034193</v>
      </c>
      <c r="S124" s="257">
        <f t="shared" si="42"/>
        <v>23.191386953768205</v>
      </c>
      <c r="T124" s="246">
        <f>R124/P124</f>
        <v>0.49554245627709842</v>
      </c>
      <c r="U124" s="247"/>
      <c r="V124" s="268">
        <f t="shared" si="32"/>
        <v>1.95</v>
      </c>
      <c r="W124" s="269">
        <v>0.18</v>
      </c>
      <c r="X124" s="270">
        <f t="shared" si="33"/>
        <v>2.3780487804878048</v>
      </c>
      <c r="Y124" s="271">
        <f t="shared" si="34"/>
        <v>0.42804878048780487</v>
      </c>
      <c r="Z124" s="267">
        <f t="shared" si="35"/>
        <v>3.8524390243902439E-2</v>
      </c>
      <c r="AA124" s="271">
        <f t="shared" si="36"/>
        <v>0.46657317073170729</v>
      </c>
      <c r="AB124" s="271">
        <f t="shared" si="37"/>
        <v>1.9114756097560974</v>
      </c>
      <c r="AC124" s="284">
        <f t="shared" si="38"/>
        <v>0.48537548413438752</v>
      </c>
      <c r="AD124" s="285">
        <f t="shared" si="39"/>
        <v>-1.0166972142710895E-2</v>
      </c>
      <c r="AE124" s="221" t="s">
        <v>269</v>
      </c>
    </row>
    <row r="125" spans="1:31" ht="40" customHeight="1" x14ac:dyDescent="0.2">
      <c r="A125" s="123">
        <v>121</v>
      </c>
      <c r="B125" s="274" t="s">
        <v>180</v>
      </c>
      <c r="C125" s="123">
        <v>1</v>
      </c>
      <c r="D125" s="123">
        <v>24</v>
      </c>
      <c r="E125" s="123">
        <f t="shared" si="26"/>
        <v>24</v>
      </c>
      <c r="F125" s="123" t="s">
        <v>269</v>
      </c>
      <c r="G125" s="123" t="s">
        <v>269</v>
      </c>
      <c r="H125" s="257">
        <f t="shared" si="41"/>
        <v>68.399999999999991</v>
      </c>
      <c r="I125" s="257">
        <f t="shared" si="27"/>
        <v>2.8499999999999996</v>
      </c>
      <c r="J125" s="257">
        <f t="shared" si="40"/>
        <v>68.399999999999991</v>
      </c>
      <c r="K125" s="257"/>
      <c r="L125" s="257">
        <f t="shared" si="4"/>
        <v>0.90246991766941098</v>
      </c>
      <c r="M125" s="257">
        <f t="shared" si="28"/>
        <v>21.659278024065863</v>
      </c>
      <c r="N125" s="257">
        <f t="shared" si="31"/>
        <v>0.98369221025965803</v>
      </c>
      <c r="O125" s="257">
        <f t="shared" si="29"/>
        <v>23.608613046231792</v>
      </c>
      <c r="P125" s="257">
        <v>1.95</v>
      </c>
      <c r="Q125" s="257">
        <f t="shared" si="1"/>
        <v>46.8</v>
      </c>
      <c r="R125" s="257">
        <f>P125-N125</f>
        <v>0.96630778974034193</v>
      </c>
      <c r="S125" s="257">
        <f t="shared" si="42"/>
        <v>23.191386953768205</v>
      </c>
      <c r="T125" s="246">
        <f>R125/P125</f>
        <v>0.49554245627709842</v>
      </c>
      <c r="U125" s="247"/>
      <c r="V125" s="268">
        <f t="shared" si="32"/>
        <v>1.95</v>
      </c>
      <c r="W125" s="269">
        <v>0.18</v>
      </c>
      <c r="X125" s="270">
        <f t="shared" si="33"/>
        <v>2.3780487804878048</v>
      </c>
      <c r="Y125" s="271">
        <f t="shared" si="34"/>
        <v>0.42804878048780487</v>
      </c>
      <c r="Z125" s="267">
        <f t="shared" si="35"/>
        <v>3.8524390243902439E-2</v>
      </c>
      <c r="AA125" s="271">
        <f t="shared" si="36"/>
        <v>0.46657317073170729</v>
      </c>
      <c r="AB125" s="271">
        <f t="shared" si="37"/>
        <v>1.9114756097560974</v>
      </c>
      <c r="AC125" s="284">
        <f t="shared" si="38"/>
        <v>0.48537548413438752</v>
      </c>
      <c r="AD125" s="285">
        <f t="shared" si="39"/>
        <v>-1.0166972142710895E-2</v>
      </c>
      <c r="AE125" s="221" t="s">
        <v>269</v>
      </c>
    </row>
    <row r="126" spans="1:31" ht="40" customHeight="1" x14ac:dyDescent="0.2">
      <c r="A126" s="123">
        <v>122</v>
      </c>
      <c r="B126" s="274" t="s">
        <v>181</v>
      </c>
      <c r="C126" s="123">
        <v>1</v>
      </c>
      <c r="D126" s="123">
        <v>24</v>
      </c>
      <c r="E126" s="123">
        <f t="shared" si="26"/>
        <v>24</v>
      </c>
      <c r="F126" s="123" t="s">
        <v>269</v>
      </c>
      <c r="G126" s="123" t="s">
        <v>269</v>
      </c>
      <c r="H126" s="257">
        <f t="shared" si="41"/>
        <v>68.399999999999991</v>
      </c>
      <c r="I126" s="257">
        <f t="shared" si="27"/>
        <v>2.8499999999999996</v>
      </c>
      <c r="J126" s="257">
        <f t="shared" si="40"/>
        <v>68.399999999999991</v>
      </c>
      <c r="K126" s="257"/>
      <c r="L126" s="257">
        <f t="shared" ref="L126:L184" si="43">I126/$S$2</f>
        <v>0.90246991766941098</v>
      </c>
      <c r="M126" s="257">
        <f t="shared" si="28"/>
        <v>21.659278024065863</v>
      </c>
      <c r="N126" s="257">
        <f t="shared" si="31"/>
        <v>0.98369221025965803</v>
      </c>
      <c r="O126" s="257">
        <f t="shared" si="29"/>
        <v>23.608613046231792</v>
      </c>
      <c r="P126" s="257">
        <v>1.95</v>
      </c>
      <c r="Q126" s="257">
        <f t="shared" si="1"/>
        <v>46.8</v>
      </c>
      <c r="R126" s="257">
        <f>P126-N126</f>
        <v>0.96630778974034193</v>
      </c>
      <c r="S126" s="257">
        <f t="shared" si="42"/>
        <v>23.191386953768205</v>
      </c>
      <c r="T126" s="246">
        <f>R126/P126</f>
        <v>0.49554245627709842</v>
      </c>
      <c r="U126" s="247"/>
      <c r="V126" s="268">
        <f t="shared" si="32"/>
        <v>1.95</v>
      </c>
      <c r="W126" s="269">
        <v>0.18</v>
      </c>
      <c r="X126" s="270">
        <f t="shared" si="33"/>
        <v>2.3780487804878048</v>
      </c>
      <c r="Y126" s="271">
        <f t="shared" si="34"/>
        <v>0.42804878048780487</v>
      </c>
      <c r="Z126" s="267">
        <f t="shared" si="35"/>
        <v>3.8524390243902439E-2</v>
      </c>
      <c r="AA126" s="271">
        <f t="shared" si="36"/>
        <v>0.46657317073170729</v>
      </c>
      <c r="AB126" s="271">
        <f t="shared" si="37"/>
        <v>1.9114756097560974</v>
      </c>
      <c r="AC126" s="284">
        <f t="shared" si="38"/>
        <v>0.48537548413438752</v>
      </c>
      <c r="AD126" s="285">
        <f t="shared" si="39"/>
        <v>-1.0166972142710895E-2</v>
      </c>
      <c r="AE126" s="221" t="s">
        <v>269</v>
      </c>
    </row>
    <row r="127" spans="1:31" ht="40" customHeight="1" x14ac:dyDescent="0.2">
      <c r="A127" s="123">
        <v>123</v>
      </c>
      <c r="B127" s="274" t="s">
        <v>118</v>
      </c>
      <c r="C127" s="123">
        <v>1</v>
      </c>
      <c r="D127" s="123">
        <v>24</v>
      </c>
      <c r="E127" s="123">
        <f t="shared" si="26"/>
        <v>24</v>
      </c>
      <c r="F127" s="123" t="s">
        <v>269</v>
      </c>
      <c r="G127" s="123" t="s">
        <v>269</v>
      </c>
      <c r="H127" s="257">
        <f t="shared" si="41"/>
        <v>68.399999999999991</v>
      </c>
      <c r="I127" s="257">
        <f t="shared" si="27"/>
        <v>2.8499999999999996</v>
      </c>
      <c r="J127" s="257">
        <f t="shared" si="40"/>
        <v>68.399999999999991</v>
      </c>
      <c r="K127" s="257"/>
      <c r="L127" s="257">
        <f t="shared" si="43"/>
        <v>0.90246991766941098</v>
      </c>
      <c r="M127" s="257">
        <f t="shared" si="28"/>
        <v>21.659278024065863</v>
      </c>
      <c r="N127" s="257">
        <f t="shared" si="31"/>
        <v>0.98369221025965803</v>
      </c>
      <c r="O127" s="257">
        <f t="shared" si="29"/>
        <v>23.608613046231792</v>
      </c>
      <c r="P127" s="257">
        <v>1.95</v>
      </c>
      <c r="Q127" s="257">
        <f t="shared" si="1"/>
        <v>46.8</v>
      </c>
      <c r="R127" s="257">
        <f>P127-N127</f>
        <v>0.96630778974034193</v>
      </c>
      <c r="S127" s="257">
        <f t="shared" si="42"/>
        <v>23.191386953768205</v>
      </c>
      <c r="T127" s="246">
        <f>R127/P127</f>
        <v>0.49554245627709842</v>
      </c>
      <c r="U127" s="247"/>
      <c r="V127" s="268">
        <f t="shared" si="32"/>
        <v>1.95</v>
      </c>
      <c r="W127" s="269">
        <v>0.18</v>
      </c>
      <c r="X127" s="270">
        <f t="shared" si="33"/>
        <v>2.3780487804878048</v>
      </c>
      <c r="Y127" s="271">
        <f t="shared" si="34"/>
        <v>0.42804878048780487</v>
      </c>
      <c r="Z127" s="267">
        <f t="shared" si="35"/>
        <v>3.8524390243902439E-2</v>
      </c>
      <c r="AA127" s="271">
        <f t="shared" si="36"/>
        <v>0.46657317073170729</v>
      </c>
      <c r="AB127" s="271">
        <f t="shared" si="37"/>
        <v>1.9114756097560974</v>
      </c>
      <c r="AC127" s="284">
        <f t="shared" si="38"/>
        <v>0.48537548413438752</v>
      </c>
      <c r="AD127" s="285">
        <f t="shared" si="39"/>
        <v>-1.0166972142710895E-2</v>
      </c>
      <c r="AE127" s="221" t="s">
        <v>269</v>
      </c>
    </row>
    <row r="128" spans="1:31" ht="40" customHeight="1" x14ac:dyDescent="0.2">
      <c r="A128" s="123">
        <v>124</v>
      </c>
      <c r="B128" s="274" t="s">
        <v>119</v>
      </c>
      <c r="C128" s="123">
        <v>1</v>
      </c>
      <c r="D128" s="123">
        <v>24</v>
      </c>
      <c r="E128" s="123">
        <f t="shared" si="26"/>
        <v>24</v>
      </c>
      <c r="F128" s="123" t="s">
        <v>269</v>
      </c>
      <c r="G128" s="123" t="s">
        <v>269</v>
      </c>
      <c r="H128" s="257">
        <f t="shared" si="41"/>
        <v>68.399999999999991</v>
      </c>
      <c r="I128" s="257">
        <f t="shared" si="27"/>
        <v>2.8499999999999996</v>
      </c>
      <c r="J128" s="257">
        <f t="shared" si="40"/>
        <v>68.399999999999991</v>
      </c>
      <c r="K128" s="257"/>
      <c r="L128" s="257">
        <f t="shared" si="43"/>
        <v>0.90246991766941098</v>
      </c>
      <c r="M128" s="257">
        <f t="shared" si="28"/>
        <v>21.659278024065863</v>
      </c>
      <c r="N128" s="257">
        <f t="shared" si="31"/>
        <v>0.98369221025965803</v>
      </c>
      <c r="O128" s="257">
        <f t="shared" si="29"/>
        <v>23.608613046231792</v>
      </c>
      <c r="P128" s="257">
        <v>1.95</v>
      </c>
      <c r="Q128" s="257">
        <f t="shared" ref="Q128:Q184" si="44">P128*E128</f>
        <v>46.8</v>
      </c>
      <c r="R128" s="257">
        <f t="shared" ref="R128:R184" si="45">P128-N128</f>
        <v>0.96630778974034193</v>
      </c>
      <c r="S128" s="257">
        <f t="shared" si="42"/>
        <v>23.191386953768205</v>
      </c>
      <c r="T128" s="246">
        <f t="shared" ref="T128:T184" si="46">R128/P128</f>
        <v>0.49554245627709842</v>
      </c>
      <c r="U128" s="247"/>
      <c r="V128" s="268">
        <f t="shared" si="32"/>
        <v>1.95</v>
      </c>
      <c r="W128" s="269">
        <v>0.18</v>
      </c>
      <c r="X128" s="270">
        <f t="shared" si="33"/>
        <v>2.3780487804878048</v>
      </c>
      <c r="Y128" s="271">
        <f t="shared" si="34"/>
        <v>0.42804878048780487</v>
      </c>
      <c r="Z128" s="267">
        <f t="shared" si="35"/>
        <v>3.8524390243902439E-2</v>
      </c>
      <c r="AA128" s="271">
        <f t="shared" si="36"/>
        <v>0.46657317073170729</v>
      </c>
      <c r="AB128" s="271">
        <f t="shared" si="37"/>
        <v>1.9114756097560974</v>
      </c>
      <c r="AC128" s="284">
        <f t="shared" si="38"/>
        <v>0.48537548413438752</v>
      </c>
      <c r="AD128" s="285">
        <f t="shared" si="39"/>
        <v>-1.0166972142710895E-2</v>
      </c>
      <c r="AE128" s="221" t="s">
        <v>269</v>
      </c>
    </row>
    <row r="129" spans="1:31" ht="40" customHeight="1" x14ac:dyDescent="0.2">
      <c r="A129" s="123">
        <v>125</v>
      </c>
      <c r="B129" s="274" t="s">
        <v>120</v>
      </c>
      <c r="C129" s="123">
        <v>1</v>
      </c>
      <c r="D129" s="123">
        <v>24</v>
      </c>
      <c r="E129" s="123">
        <f t="shared" si="26"/>
        <v>24</v>
      </c>
      <c r="F129" s="123" t="s">
        <v>269</v>
      </c>
      <c r="G129" s="123" t="s">
        <v>269</v>
      </c>
      <c r="H129" s="257">
        <v>66</v>
      </c>
      <c r="I129" s="257">
        <f t="shared" si="27"/>
        <v>2.75</v>
      </c>
      <c r="J129" s="257">
        <f t="shared" si="40"/>
        <v>66</v>
      </c>
      <c r="K129" s="257"/>
      <c r="L129" s="257">
        <f t="shared" si="43"/>
        <v>0.87080430652311591</v>
      </c>
      <c r="M129" s="257">
        <f t="shared" si="28"/>
        <v>20.899303356554782</v>
      </c>
      <c r="N129" s="257">
        <f t="shared" si="31"/>
        <v>0.94917669411019645</v>
      </c>
      <c r="O129" s="257">
        <f t="shared" si="29"/>
        <v>22.780240658644715</v>
      </c>
      <c r="P129" s="257">
        <v>1.5</v>
      </c>
      <c r="Q129" s="257">
        <f t="shared" si="44"/>
        <v>36</v>
      </c>
      <c r="R129" s="257">
        <f t="shared" si="45"/>
        <v>0.55082330588980355</v>
      </c>
      <c r="S129" s="257">
        <f t="shared" si="42"/>
        <v>13.219759341355285</v>
      </c>
      <c r="T129" s="246">
        <f t="shared" si="46"/>
        <v>0.36721553725986905</v>
      </c>
      <c r="U129" s="222"/>
      <c r="V129" s="268">
        <f t="shared" si="32"/>
        <v>1.5</v>
      </c>
      <c r="W129" s="269">
        <v>0.18</v>
      </c>
      <c r="X129" s="270">
        <f t="shared" si="33"/>
        <v>1.8292682926829267</v>
      </c>
      <c r="Y129" s="271">
        <f t="shared" si="34"/>
        <v>0.32926829268292679</v>
      </c>
      <c r="Z129" s="267">
        <f t="shared" si="35"/>
        <v>2.963414634146341E-2</v>
      </c>
      <c r="AA129" s="271">
        <f t="shared" si="36"/>
        <v>0.35890243902439017</v>
      </c>
      <c r="AB129" s="271">
        <f t="shared" si="37"/>
        <v>1.4703658536585364</v>
      </c>
      <c r="AC129" s="284">
        <f t="shared" si="38"/>
        <v>0.35446223009839828</v>
      </c>
      <c r="AD129" s="285">
        <f t="shared" si="39"/>
        <v>-1.2753307161470773E-2</v>
      </c>
      <c r="AE129" s="221" t="s">
        <v>269</v>
      </c>
    </row>
    <row r="130" spans="1:31" ht="40" customHeight="1" x14ac:dyDescent="0.2">
      <c r="A130" s="123">
        <v>126</v>
      </c>
      <c r="B130" s="274" t="s">
        <v>121</v>
      </c>
      <c r="C130" s="123">
        <v>1</v>
      </c>
      <c r="D130" s="123">
        <v>400</v>
      </c>
      <c r="E130" s="123">
        <f t="shared" si="26"/>
        <v>400</v>
      </c>
      <c r="F130" s="123" t="s">
        <v>269</v>
      </c>
      <c r="G130" s="123" t="s">
        <v>269</v>
      </c>
      <c r="H130" s="257">
        <v>374</v>
      </c>
      <c r="I130" s="257">
        <f t="shared" si="27"/>
        <v>0.93500000000000005</v>
      </c>
      <c r="J130" s="257">
        <f t="shared" si="40"/>
        <v>374</v>
      </c>
      <c r="K130" s="257"/>
      <c r="L130" s="257">
        <f t="shared" si="43"/>
        <v>0.29607346421785941</v>
      </c>
      <c r="M130" s="257">
        <f t="shared" si="28"/>
        <v>118.42938568714376</v>
      </c>
      <c r="N130" s="257">
        <f t="shared" si="31"/>
        <v>0.32272007599746677</v>
      </c>
      <c r="O130" s="257">
        <f t="shared" si="29"/>
        <v>129.08803039898672</v>
      </c>
      <c r="P130" s="257">
        <v>0.4</v>
      </c>
      <c r="Q130" s="257">
        <f t="shared" si="44"/>
        <v>160</v>
      </c>
      <c r="R130" s="257">
        <f t="shared" si="45"/>
        <v>7.7279924002533251E-2</v>
      </c>
      <c r="S130" s="257">
        <f t="shared" si="42"/>
        <v>30.911969601013283</v>
      </c>
      <c r="T130" s="246">
        <f t="shared" si="46"/>
        <v>0.19319981000633313</v>
      </c>
      <c r="U130" s="248"/>
      <c r="V130" s="268">
        <f t="shared" si="32"/>
        <v>0.4</v>
      </c>
      <c r="W130" s="269">
        <v>0.18</v>
      </c>
      <c r="X130" s="270">
        <f t="shared" si="33"/>
        <v>0.48780487804878048</v>
      </c>
      <c r="Y130" s="271">
        <f t="shared" si="34"/>
        <v>8.7804878048780483E-2</v>
      </c>
      <c r="Z130" s="267">
        <f t="shared" si="35"/>
        <v>7.902439024390244E-3</v>
      </c>
      <c r="AA130" s="271">
        <f t="shared" si="36"/>
        <v>9.5707317073170733E-2</v>
      </c>
      <c r="AB130" s="271">
        <f t="shared" si="37"/>
        <v>0.39209756097560977</v>
      </c>
      <c r="AC130" s="284">
        <f t="shared" si="38"/>
        <v>0.176939343375458</v>
      </c>
      <c r="AD130" s="285">
        <f t="shared" si="39"/>
        <v>-1.6260466630875131E-2</v>
      </c>
      <c r="AE130" s="221" t="s">
        <v>269</v>
      </c>
    </row>
    <row r="131" spans="1:31" ht="40" customHeight="1" x14ac:dyDescent="0.2">
      <c r="A131" s="123">
        <v>127</v>
      </c>
      <c r="B131" s="274" t="s">
        <v>122</v>
      </c>
      <c r="C131" s="123">
        <v>1</v>
      </c>
      <c r="D131" s="123">
        <v>50</v>
      </c>
      <c r="E131" s="123">
        <f t="shared" si="26"/>
        <v>50</v>
      </c>
      <c r="F131" s="123" t="s">
        <v>269</v>
      </c>
      <c r="G131" s="123" t="s">
        <v>269</v>
      </c>
      <c r="H131" s="257">
        <v>83</v>
      </c>
      <c r="I131" s="257">
        <f t="shared" si="27"/>
        <v>1.66</v>
      </c>
      <c r="J131" s="257">
        <f t="shared" si="40"/>
        <v>83</v>
      </c>
      <c r="K131" s="257"/>
      <c r="L131" s="257">
        <f t="shared" si="43"/>
        <v>0.52564914502849902</v>
      </c>
      <c r="M131" s="257">
        <f t="shared" si="28"/>
        <v>26.282457251424955</v>
      </c>
      <c r="N131" s="257">
        <f t="shared" si="31"/>
        <v>0.57295756808106402</v>
      </c>
      <c r="O131" s="257">
        <f t="shared" si="29"/>
        <v>28.647878404053202</v>
      </c>
      <c r="P131" s="257">
        <v>1</v>
      </c>
      <c r="Q131" s="257">
        <f t="shared" si="44"/>
        <v>50</v>
      </c>
      <c r="R131" s="257">
        <f t="shared" si="45"/>
        <v>0.42704243191893598</v>
      </c>
      <c r="S131" s="257">
        <f t="shared" si="42"/>
        <v>21.352121595946798</v>
      </c>
      <c r="T131" s="246">
        <f t="shared" si="46"/>
        <v>0.42704243191893598</v>
      </c>
      <c r="U131" s="248"/>
      <c r="V131" s="268">
        <f t="shared" si="32"/>
        <v>1</v>
      </c>
      <c r="W131" s="269">
        <v>0.18</v>
      </c>
      <c r="X131" s="270">
        <f t="shared" si="33"/>
        <v>1.2195121951219512</v>
      </c>
      <c r="Y131" s="271">
        <f t="shared" si="34"/>
        <v>0.21951219512195122</v>
      </c>
      <c r="Z131" s="267">
        <f t="shared" si="35"/>
        <v>1.975609756097561E-2</v>
      </c>
      <c r="AA131" s="271">
        <f t="shared" si="36"/>
        <v>0.23926829268292682</v>
      </c>
      <c r="AB131" s="271">
        <f t="shared" si="37"/>
        <v>0.98024390243902437</v>
      </c>
      <c r="AC131" s="284">
        <f t="shared" si="38"/>
        <v>0.41549489198000433</v>
      </c>
      <c r="AD131" s="285">
        <f t="shared" si="39"/>
        <v>-1.154753993893165E-2</v>
      </c>
      <c r="AE131" s="221" t="s">
        <v>269</v>
      </c>
    </row>
    <row r="132" spans="1:31" ht="40" customHeight="1" x14ac:dyDescent="0.2">
      <c r="A132" s="123">
        <v>128</v>
      </c>
      <c r="B132" s="274" t="s">
        <v>123</v>
      </c>
      <c r="C132" s="123">
        <v>1</v>
      </c>
      <c r="D132" s="123">
        <v>50</v>
      </c>
      <c r="E132" s="123">
        <f t="shared" ref="E132:E184" si="47">D132*C132</f>
        <v>50</v>
      </c>
      <c r="F132" s="123" t="s">
        <v>269</v>
      </c>
      <c r="G132" s="123" t="s">
        <v>269</v>
      </c>
      <c r="H132" s="257">
        <v>83</v>
      </c>
      <c r="I132" s="257">
        <f t="shared" ref="I132:I184" si="48">H132/D132</f>
        <v>1.66</v>
      </c>
      <c r="J132" s="257">
        <f t="shared" si="40"/>
        <v>83</v>
      </c>
      <c r="K132" s="257"/>
      <c r="L132" s="257">
        <f t="shared" si="43"/>
        <v>0.52564914502849902</v>
      </c>
      <c r="M132" s="257">
        <f t="shared" ref="M132:M184" si="49">H132/$S$2</f>
        <v>26.282457251424955</v>
      </c>
      <c r="N132" s="257">
        <f t="shared" si="31"/>
        <v>0.57295756808106402</v>
      </c>
      <c r="O132" s="257">
        <f t="shared" ref="O132:O184" si="50">N132*E132</f>
        <v>28.647878404053202</v>
      </c>
      <c r="P132" s="257">
        <v>1</v>
      </c>
      <c r="Q132" s="257">
        <f t="shared" si="44"/>
        <v>50</v>
      </c>
      <c r="R132" s="257">
        <f t="shared" si="45"/>
        <v>0.42704243191893598</v>
      </c>
      <c r="S132" s="257">
        <f t="shared" si="42"/>
        <v>21.352121595946798</v>
      </c>
      <c r="T132" s="246">
        <f t="shared" si="46"/>
        <v>0.42704243191893598</v>
      </c>
      <c r="U132" s="248"/>
      <c r="V132" s="268">
        <f t="shared" si="32"/>
        <v>1</v>
      </c>
      <c r="W132" s="269">
        <v>0.18</v>
      </c>
      <c r="X132" s="270">
        <f t="shared" si="33"/>
        <v>1.2195121951219512</v>
      </c>
      <c r="Y132" s="271">
        <f t="shared" si="34"/>
        <v>0.21951219512195122</v>
      </c>
      <c r="Z132" s="267">
        <f t="shared" si="35"/>
        <v>1.975609756097561E-2</v>
      </c>
      <c r="AA132" s="271">
        <f t="shared" si="36"/>
        <v>0.23926829268292682</v>
      </c>
      <c r="AB132" s="271">
        <f t="shared" si="37"/>
        <v>0.98024390243902437</v>
      </c>
      <c r="AC132" s="284">
        <f t="shared" si="38"/>
        <v>0.41549489198000433</v>
      </c>
      <c r="AD132" s="285">
        <f t="shared" si="39"/>
        <v>-1.154753993893165E-2</v>
      </c>
      <c r="AE132" s="221" t="s">
        <v>269</v>
      </c>
    </row>
    <row r="133" spans="1:31" ht="40" customHeight="1" x14ac:dyDescent="0.2">
      <c r="A133" s="123">
        <v>129</v>
      </c>
      <c r="B133" s="274" t="s">
        <v>124</v>
      </c>
      <c r="C133" s="123">
        <v>1</v>
      </c>
      <c r="D133" s="123">
        <v>100</v>
      </c>
      <c r="E133" s="123">
        <f t="shared" si="47"/>
        <v>100</v>
      </c>
      <c r="F133" s="123" t="s">
        <v>269</v>
      </c>
      <c r="G133" s="123" t="s">
        <v>269</v>
      </c>
      <c r="H133" s="257">
        <v>365</v>
      </c>
      <c r="I133" s="257">
        <f t="shared" si="48"/>
        <v>3.65</v>
      </c>
      <c r="J133" s="257">
        <f t="shared" si="40"/>
        <v>365</v>
      </c>
      <c r="K133" s="257"/>
      <c r="L133" s="257">
        <f t="shared" si="43"/>
        <v>1.1557948068397721</v>
      </c>
      <c r="M133" s="257">
        <f t="shared" si="49"/>
        <v>115.57948068397721</v>
      </c>
      <c r="N133" s="257">
        <f t="shared" si="31"/>
        <v>1.2598163394553517</v>
      </c>
      <c r="O133" s="257">
        <f t="shared" si="50"/>
        <v>125.98163394553517</v>
      </c>
      <c r="P133" s="257">
        <v>1.75</v>
      </c>
      <c r="Q133" s="257">
        <f t="shared" si="44"/>
        <v>175</v>
      </c>
      <c r="R133" s="257">
        <f t="shared" si="45"/>
        <v>0.49018366054464835</v>
      </c>
      <c r="S133" s="257">
        <f t="shared" si="42"/>
        <v>49.018366054464835</v>
      </c>
      <c r="T133" s="246">
        <f t="shared" si="46"/>
        <v>0.28010494888265619</v>
      </c>
      <c r="U133" s="248"/>
      <c r="V133" s="268">
        <f t="shared" si="32"/>
        <v>1.75</v>
      </c>
      <c r="W133" s="269">
        <v>0.18</v>
      </c>
      <c r="X133" s="270">
        <f t="shared" si="33"/>
        <v>2.1341463414634143</v>
      </c>
      <c r="Y133" s="271">
        <f t="shared" si="34"/>
        <v>0.38414634146341459</v>
      </c>
      <c r="Z133" s="267">
        <f t="shared" si="35"/>
        <v>3.4573170731707313E-2</v>
      </c>
      <c r="AA133" s="271">
        <f t="shared" si="36"/>
        <v>0.41871951219512188</v>
      </c>
      <c r="AB133" s="271">
        <f t="shared" si="37"/>
        <v>1.7154268292682924</v>
      </c>
      <c r="AC133" s="284">
        <f t="shared" si="38"/>
        <v>0.2655959916444115</v>
      </c>
      <c r="AD133" s="285">
        <f t="shared" si="39"/>
        <v>-1.4508957238244691E-2</v>
      </c>
      <c r="AE133" s="221" t="s">
        <v>269</v>
      </c>
    </row>
    <row r="134" spans="1:31" ht="40" customHeight="1" x14ac:dyDescent="0.2">
      <c r="A134" s="123">
        <v>130</v>
      </c>
      <c r="B134" s="274" t="s">
        <v>127</v>
      </c>
      <c r="C134" s="123">
        <v>1</v>
      </c>
      <c r="D134" s="123">
        <v>50</v>
      </c>
      <c r="E134" s="123">
        <f t="shared" si="47"/>
        <v>50</v>
      </c>
      <c r="F134" s="123" t="s">
        <v>269</v>
      </c>
      <c r="G134" s="123" t="s">
        <v>269</v>
      </c>
      <c r="H134" s="257">
        <v>155</v>
      </c>
      <c r="I134" s="257">
        <f t="shared" si="48"/>
        <v>3.1</v>
      </c>
      <c r="J134" s="257">
        <f t="shared" si="40"/>
        <v>155</v>
      </c>
      <c r="K134" s="257"/>
      <c r="L134" s="257">
        <f t="shared" si="43"/>
        <v>0.98163394553514893</v>
      </c>
      <c r="M134" s="257">
        <f t="shared" si="49"/>
        <v>49.081697276757446</v>
      </c>
      <c r="N134" s="257">
        <f t="shared" si="31"/>
        <v>1.0699810006333124</v>
      </c>
      <c r="O134" s="257">
        <f t="shared" si="50"/>
        <v>53.499050031665618</v>
      </c>
      <c r="P134" s="257">
        <v>1.95</v>
      </c>
      <c r="Q134" s="257">
        <f t="shared" si="44"/>
        <v>97.5</v>
      </c>
      <c r="R134" s="257">
        <f t="shared" si="45"/>
        <v>0.88001899936668759</v>
      </c>
      <c r="S134" s="257">
        <f t="shared" si="42"/>
        <v>44.000949968334382</v>
      </c>
      <c r="T134" s="246">
        <f t="shared" si="46"/>
        <v>0.45129179454701929</v>
      </c>
      <c r="U134" s="248"/>
      <c r="V134" s="268">
        <f t="shared" si="32"/>
        <v>1.95</v>
      </c>
      <c r="W134" s="269">
        <v>0.18</v>
      </c>
      <c r="X134" s="270">
        <f t="shared" si="33"/>
        <v>2.3780487804878048</v>
      </c>
      <c r="Y134" s="271">
        <f t="shared" si="34"/>
        <v>0.42804878048780487</v>
      </c>
      <c r="Z134" s="267">
        <f t="shared" si="35"/>
        <v>3.8524390243902439E-2</v>
      </c>
      <c r="AA134" s="271">
        <f t="shared" si="36"/>
        <v>0.46657317073170729</v>
      </c>
      <c r="AB134" s="271">
        <f t="shared" si="37"/>
        <v>1.9114756097560974</v>
      </c>
      <c r="AC134" s="284">
        <f t="shared" si="38"/>
        <v>0.44023298274266709</v>
      </c>
      <c r="AD134" s="285">
        <f t="shared" si="39"/>
        <v>-1.1058811804352198E-2</v>
      </c>
      <c r="AE134" s="221" t="s">
        <v>269</v>
      </c>
    </row>
    <row r="135" spans="1:31" ht="40" customHeight="1" x14ac:dyDescent="0.2">
      <c r="A135" s="123">
        <v>131</v>
      </c>
      <c r="B135" s="274" t="s">
        <v>128</v>
      </c>
      <c r="C135" s="123">
        <v>1</v>
      </c>
      <c r="D135" s="123">
        <v>144</v>
      </c>
      <c r="E135" s="123">
        <f t="shared" si="47"/>
        <v>144</v>
      </c>
      <c r="F135" s="123">
        <v>186</v>
      </c>
      <c r="G135" s="257">
        <v>167.4</v>
      </c>
      <c r="H135" s="257">
        <v>167.4</v>
      </c>
      <c r="I135" s="257">
        <f t="shared" si="48"/>
        <v>1.1625000000000001</v>
      </c>
      <c r="J135" s="257">
        <f t="shared" si="40"/>
        <v>167.4</v>
      </c>
      <c r="K135" s="257"/>
      <c r="L135" s="257">
        <f t="shared" si="43"/>
        <v>0.36811272957568086</v>
      </c>
      <c r="M135" s="257">
        <f t="shared" si="49"/>
        <v>53.008233058898043</v>
      </c>
      <c r="N135" s="257">
        <f t="shared" ref="N135:N184" si="51">L135*(1+$O$188+9%)</f>
        <v>0.40124287523749219</v>
      </c>
      <c r="O135" s="257">
        <f t="shared" si="50"/>
        <v>57.778974034198875</v>
      </c>
      <c r="P135" s="257">
        <v>0.8</v>
      </c>
      <c r="Q135" s="257">
        <f t="shared" si="44"/>
        <v>115.2</v>
      </c>
      <c r="R135" s="257">
        <f t="shared" si="45"/>
        <v>0.39875712476250785</v>
      </c>
      <c r="S135" s="257">
        <f t="shared" si="42"/>
        <v>57.421025965801128</v>
      </c>
      <c r="T135" s="246">
        <f t="shared" si="46"/>
        <v>0.49844640595313477</v>
      </c>
      <c r="U135" s="123"/>
      <c r="V135" s="268">
        <f t="shared" ref="V135:V184" si="52">P135</f>
        <v>0.8</v>
      </c>
      <c r="W135" s="269">
        <v>0.18</v>
      </c>
      <c r="X135" s="270">
        <f t="shared" ref="X135:X184" si="53">V135/(1-18%)</f>
        <v>0.97560975609756095</v>
      </c>
      <c r="Y135" s="271">
        <f t="shared" ref="Y135:Y184" si="54">X135*18%</f>
        <v>0.17560975609756097</v>
      </c>
      <c r="Z135" s="267">
        <f t="shared" ref="Z135:Z184" si="55">Y135*9%</f>
        <v>1.5804878048780488E-2</v>
      </c>
      <c r="AA135" s="271">
        <f t="shared" ref="AA135:AA184" si="56">Y135+Z135</f>
        <v>0.19141463414634147</v>
      </c>
      <c r="AB135" s="271">
        <f t="shared" ref="AB135:AB184" si="57">X135-AA135</f>
        <v>0.78419512195121954</v>
      </c>
      <c r="AC135" s="284">
        <f t="shared" ref="AC135:AC184" si="58">(AB135-N135)/AB135</f>
        <v>0.48833796078821912</v>
      </c>
      <c r="AD135" s="285">
        <f t="shared" ref="AD135:AD184" si="59">AC135-T135</f>
        <v>-1.0108445164915658E-2</v>
      </c>
      <c r="AE135" s="221">
        <v>1</v>
      </c>
    </row>
    <row r="136" spans="1:31" ht="40" customHeight="1" x14ac:dyDescent="0.2">
      <c r="A136" s="123">
        <v>132</v>
      </c>
      <c r="B136" s="274" t="s">
        <v>129</v>
      </c>
      <c r="C136" s="123">
        <v>1</v>
      </c>
      <c r="D136" s="123">
        <v>144</v>
      </c>
      <c r="E136" s="123">
        <f t="shared" si="47"/>
        <v>144</v>
      </c>
      <c r="F136" s="123">
        <v>186</v>
      </c>
      <c r="G136" s="257">
        <v>167.4</v>
      </c>
      <c r="H136" s="257">
        <v>167.4</v>
      </c>
      <c r="I136" s="257">
        <f t="shared" si="48"/>
        <v>1.1625000000000001</v>
      </c>
      <c r="J136" s="257">
        <f t="shared" si="40"/>
        <v>167.4</v>
      </c>
      <c r="K136" s="257"/>
      <c r="L136" s="257">
        <f t="shared" si="43"/>
        <v>0.36811272957568086</v>
      </c>
      <c r="M136" s="257">
        <f t="shared" si="49"/>
        <v>53.008233058898043</v>
      </c>
      <c r="N136" s="257">
        <f t="shared" si="51"/>
        <v>0.40124287523749219</v>
      </c>
      <c r="O136" s="257">
        <f t="shared" si="50"/>
        <v>57.778974034198875</v>
      </c>
      <c r="P136" s="257">
        <v>0.8</v>
      </c>
      <c r="Q136" s="257">
        <f t="shared" si="44"/>
        <v>115.2</v>
      </c>
      <c r="R136" s="257">
        <f t="shared" si="45"/>
        <v>0.39875712476250785</v>
      </c>
      <c r="S136" s="257">
        <f t="shared" si="42"/>
        <v>57.421025965801128</v>
      </c>
      <c r="T136" s="246">
        <f t="shared" si="46"/>
        <v>0.49844640595313477</v>
      </c>
      <c r="U136" s="123"/>
      <c r="V136" s="268">
        <f t="shared" si="52"/>
        <v>0.8</v>
      </c>
      <c r="W136" s="269">
        <v>0.18</v>
      </c>
      <c r="X136" s="270">
        <f t="shared" si="53"/>
        <v>0.97560975609756095</v>
      </c>
      <c r="Y136" s="271">
        <f t="shared" si="54"/>
        <v>0.17560975609756097</v>
      </c>
      <c r="Z136" s="267">
        <f t="shared" si="55"/>
        <v>1.5804878048780488E-2</v>
      </c>
      <c r="AA136" s="271">
        <f t="shared" si="56"/>
        <v>0.19141463414634147</v>
      </c>
      <c r="AB136" s="271">
        <f t="shared" si="57"/>
        <v>0.78419512195121954</v>
      </c>
      <c r="AC136" s="284">
        <f t="shared" si="58"/>
        <v>0.48833796078821912</v>
      </c>
      <c r="AD136" s="285">
        <f t="shared" si="59"/>
        <v>-1.0108445164915658E-2</v>
      </c>
      <c r="AE136" s="221">
        <v>1</v>
      </c>
    </row>
    <row r="137" spans="1:31" ht="40" customHeight="1" x14ac:dyDescent="0.2">
      <c r="A137" s="123">
        <v>133</v>
      </c>
      <c r="B137" s="274" t="s">
        <v>130</v>
      </c>
      <c r="C137" s="123">
        <v>1</v>
      </c>
      <c r="D137" s="123">
        <v>144</v>
      </c>
      <c r="E137" s="123">
        <f t="shared" si="47"/>
        <v>144</v>
      </c>
      <c r="F137" s="123">
        <v>186</v>
      </c>
      <c r="G137" s="257">
        <v>167.4</v>
      </c>
      <c r="H137" s="257">
        <v>167.4</v>
      </c>
      <c r="I137" s="257">
        <f t="shared" si="48"/>
        <v>1.1625000000000001</v>
      </c>
      <c r="J137" s="257">
        <f t="shared" si="40"/>
        <v>167.4</v>
      </c>
      <c r="K137" s="257"/>
      <c r="L137" s="257">
        <f t="shared" si="43"/>
        <v>0.36811272957568086</v>
      </c>
      <c r="M137" s="257">
        <f t="shared" si="49"/>
        <v>53.008233058898043</v>
      </c>
      <c r="N137" s="257">
        <f t="shared" si="51"/>
        <v>0.40124287523749219</v>
      </c>
      <c r="O137" s="257">
        <f t="shared" si="50"/>
        <v>57.778974034198875</v>
      </c>
      <c r="P137" s="257">
        <v>0.8</v>
      </c>
      <c r="Q137" s="257">
        <f t="shared" si="44"/>
        <v>115.2</v>
      </c>
      <c r="R137" s="257">
        <f t="shared" si="45"/>
        <v>0.39875712476250785</v>
      </c>
      <c r="S137" s="257">
        <f t="shared" si="42"/>
        <v>57.421025965801128</v>
      </c>
      <c r="T137" s="246">
        <f t="shared" si="46"/>
        <v>0.49844640595313477</v>
      </c>
      <c r="U137" s="123"/>
      <c r="V137" s="268">
        <f t="shared" si="52"/>
        <v>0.8</v>
      </c>
      <c r="W137" s="269">
        <v>0.18</v>
      </c>
      <c r="X137" s="270">
        <f t="shared" si="53"/>
        <v>0.97560975609756095</v>
      </c>
      <c r="Y137" s="271">
        <f t="shared" si="54"/>
        <v>0.17560975609756097</v>
      </c>
      <c r="Z137" s="267">
        <f t="shared" si="55"/>
        <v>1.5804878048780488E-2</v>
      </c>
      <c r="AA137" s="271">
        <f t="shared" si="56"/>
        <v>0.19141463414634147</v>
      </c>
      <c r="AB137" s="271">
        <f t="shared" si="57"/>
        <v>0.78419512195121954</v>
      </c>
      <c r="AC137" s="284">
        <f t="shared" si="58"/>
        <v>0.48833796078821912</v>
      </c>
      <c r="AD137" s="285">
        <f t="shared" si="59"/>
        <v>-1.0108445164915658E-2</v>
      </c>
      <c r="AE137" s="221">
        <v>1</v>
      </c>
    </row>
    <row r="138" spans="1:31" ht="40" customHeight="1" x14ac:dyDescent="0.2">
      <c r="A138" s="123">
        <v>134</v>
      </c>
      <c r="B138" s="274" t="s">
        <v>131</v>
      </c>
      <c r="C138" s="123">
        <v>1</v>
      </c>
      <c r="D138" s="123">
        <v>48</v>
      </c>
      <c r="E138" s="123">
        <f t="shared" si="47"/>
        <v>48</v>
      </c>
      <c r="F138" s="123" t="s">
        <v>269</v>
      </c>
      <c r="G138" s="123" t="s">
        <v>269</v>
      </c>
      <c r="H138" s="257">
        <v>175.2</v>
      </c>
      <c r="I138" s="257">
        <f t="shared" si="48"/>
        <v>3.65</v>
      </c>
      <c r="J138" s="257">
        <f t="shared" si="40"/>
        <v>175.2</v>
      </c>
      <c r="K138" s="257"/>
      <c r="L138" s="257">
        <f t="shared" si="43"/>
        <v>1.1557948068397721</v>
      </c>
      <c r="M138" s="257">
        <f t="shared" si="49"/>
        <v>55.478150728309053</v>
      </c>
      <c r="N138" s="257">
        <f t="shared" si="51"/>
        <v>1.2598163394553517</v>
      </c>
      <c r="O138" s="257">
        <f t="shared" si="50"/>
        <v>60.471184293856879</v>
      </c>
      <c r="P138" s="257">
        <v>1.95</v>
      </c>
      <c r="Q138" s="257">
        <f t="shared" si="44"/>
        <v>93.6</v>
      </c>
      <c r="R138" s="257">
        <f t="shared" si="45"/>
        <v>0.6901836605446483</v>
      </c>
      <c r="S138" s="257">
        <f t="shared" si="42"/>
        <v>33.128815706143115</v>
      </c>
      <c r="T138" s="246">
        <f t="shared" si="46"/>
        <v>0.3539403387408453</v>
      </c>
      <c r="U138" s="123"/>
      <c r="V138" s="268">
        <f t="shared" si="52"/>
        <v>1.95</v>
      </c>
      <c r="W138" s="269">
        <v>0.18</v>
      </c>
      <c r="X138" s="270">
        <f t="shared" si="53"/>
        <v>2.3780487804878048</v>
      </c>
      <c r="Y138" s="271">
        <f t="shared" si="54"/>
        <v>0.42804878048780487</v>
      </c>
      <c r="Z138" s="267">
        <f t="shared" si="55"/>
        <v>3.8524390243902439E-2</v>
      </c>
      <c r="AA138" s="271">
        <f t="shared" si="56"/>
        <v>0.46657317073170729</v>
      </c>
      <c r="AB138" s="271">
        <f t="shared" si="57"/>
        <v>1.9114756097560974</v>
      </c>
      <c r="AC138" s="284">
        <f t="shared" si="58"/>
        <v>0.34091947968088221</v>
      </c>
      <c r="AD138" s="285">
        <f t="shared" si="59"/>
        <v>-1.3020859059963086E-2</v>
      </c>
      <c r="AE138" s="221" t="s">
        <v>269</v>
      </c>
    </row>
    <row r="139" spans="1:31" ht="40" customHeight="1" x14ac:dyDescent="0.2">
      <c r="A139" s="123">
        <v>135</v>
      </c>
      <c r="B139" s="274" t="s">
        <v>132</v>
      </c>
      <c r="C139" s="123">
        <v>1</v>
      </c>
      <c r="D139" s="123">
        <v>150</v>
      </c>
      <c r="E139" s="123">
        <f t="shared" si="47"/>
        <v>150</v>
      </c>
      <c r="F139" s="123" t="s">
        <v>269</v>
      </c>
      <c r="G139" s="123" t="s">
        <v>269</v>
      </c>
      <c r="H139" s="257">
        <v>135.75</v>
      </c>
      <c r="I139" s="257">
        <f t="shared" si="48"/>
        <v>0.90500000000000003</v>
      </c>
      <c r="J139" s="257">
        <f t="shared" si="40"/>
        <v>135.75</v>
      </c>
      <c r="K139" s="257"/>
      <c r="L139" s="257">
        <f t="shared" si="43"/>
        <v>0.2865737808739709</v>
      </c>
      <c r="M139" s="257">
        <f t="shared" si="49"/>
        <v>42.986067131095631</v>
      </c>
      <c r="N139" s="257">
        <f t="shared" si="51"/>
        <v>0.31236542115262828</v>
      </c>
      <c r="O139" s="257">
        <f t="shared" si="50"/>
        <v>46.854813172894239</v>
      </c>
      <c r="P139" s="257">
        <v>0.6</v>
      </c>
      <c r="Q139" s="257">
        <f t="shared" si="44"/>
        <v>90</v>
      </c>
      <c r="R139" s="257">
        <f t="shared" si="45"/>
        <v>0.2876345788473717</v>
      </c>
      <c r="S139" s="257">
        <f t="shared" si="42"/>
        <v>43.145186827105761</v>
      </c>
      <c r="T139" s="246">
        <f t="shared" si="46"/>
        <v>0.47939096474561954</v>
      </c>
      <c r="U139" s="123"/>
      <c r="V139" s="268">
        <f t="shared" si="52"/>
        <v>0.6</v>
      </c>
      <c r="W139" s="269">
        <v>0.18</v>
      </c>
      <c r="X139" s="270">
        <f t="shared" si="53"/>
        <v>0.7317073170731706</v>
      </c>
      <c r="Y139" s="271">
        <f t="shared" si="54"/>
        <v>0.13170731707317071</v>
      </c>
      <c r="Z139" s="267">
        <f t="shared" si="55"/>
        <v>1.1853658536585364E-2</v>
      </c>
      <c r="AA139" s="271">
        <f t="shared" si="56"/>
        <v>0.14356097560975609</v>
      </c>
      <c r="AB139" s="271">
        <f t="shared" si="57"/>
        <v>0.58814634146341449</v>
      </c>
      <c r="AC139" s="284">
        <f t="shared" si="58"/>
        <v>0.46889847112640948</v>
      </c>
      <c r="AD139" s="285">
        <f t="shared" si="59"/>
        <v>-1.0492493619210064E-2</v>
      </c>
      <c r="AE139" s="221" t="s">
        <v>269</v>
      </c>
    </row>
    <row r="140" spans="1:31" ht="40" customHeight="1" x14ac:dyDescent="0.2">
      <c r="A140" s="123">
        <v>136</v>
      </c>
      <c r="B140" s="274" t="s">
        <v>258</v>
      </c>
      <c r="C140" s="123">
        <v>1</v>
      </c>
      <c r="D140" s="123">
        <v>72</v>
      </c>
      <c r="E140" s="123">
        <f t="shared" si="47"/>
        <v>72</v>
      </c>
      <c r="F140" s="123" t="s">
        <v>269</v>
      </c>
      <c r="G140" s="123" t="s">
        <v>269</v>
      </c>
      <c r="H140" s="257">
        <f t="shared" ref="H140:H145" si="60">75.6*0.97</f>
        <v>73.331999999999994</v>
      </c>
      <c r="I140" s="257">
        <f t="shared" si="48"/>
        <v>1.0185</v>
      </c>
      <c r="J140" s="257">
        <f t="shared" si="40"/>
        <v>73.331999999999994</v>
      </c>
      <c r="K140" s="257"/>
      <c r="L140" s="257">
        <f t="shared" si="43"/>
        <v>0.32251424952501584</v>
      </c>
      <c r="M140" s="257">
        <f t="shared" si="49"/>
        <v>23.22102596580114</v>
      </c>
      <c r="N140" s="257">
        <f t="shared" si="51"/>
        <v>0.35154053198226731</v>
      </c>
      <c r="O140" s="257">
        <f t="shared" si="50"/>
        <v>25.310918302723245</v>
      </c>
      <c r="P140" s="257">
        <v>0.8</v>
      </c>
      <c r="Q140" s="257">
        <f t="shared" si="44"/>
        <v>57.6</v>
      </c>
      <c r="R140" s="257">
        <f t="shared" si="45"/>
        <v>0.44845946801773273</v>
      </c>
      <c r="S140" s="257">
        <f>Q140-O140</f>
        <v>32.289081697276757</v>
      </c>
      <c r="T140" s="246">
        <f t="shared" si="46"/>
        <v>0.56057433502216591</v>
      </c>
      <c r="U140" s="123"/>
      <c r="V140" s="268">
        <f t="shared" si="52"/>
        <v>0.8</v>
      </c>
      <c r="W140" s="269">
        <v>0.18</v>
      </c>
      <c r="X140" s="270">
        <f t="shared" si="53"/>
        <v>0.97560975609756095</v>
      </c>
      <c r="Y140" s="271">
        <f t="shared" si="54"/>
        <v>0.17560975609756097</v>
      </c>
      <c r="Z140" s="267">
        <f t="shared" si="55"/>
        <v>1.5804878048780488E-2</v>
      </c>
      <c r="AA140" s="271">
        <f t="shared" si="56"/>
        <v>0.19141463414634147</v>
      </c>
      <c r="AB140" s="271">
        <f t="shared" si="57"/>
        <v>0.78419512195121954</v>
      </c>
      <c r="AC140" s="284">
        <f t="shared" si="58"/>
        <v>0.55171803274219455</v>
      </c>
      <c r="AD140" s="285">
        <f t="shared" si="59"/>
        <v>-8.856302279971362E-3</v>
      </c>
      <c r="AE140" s="221" t="s">
        <v>269</v>
      </c>
    </row>
    <row r="141" spans="1:31" ht="40" customHeight="1" x14ac:dyDescent="0.2">
      <c r="A141" s="123">
        <v>137</v>
      </c>
      <c r="B141" s="274" t="s">
        <v>257</v>
      </c>
      <c r="C141" s="123">
        <v>1</v>
      </c>
      <c r="D141" s="123">
        <v>72</v>
      </c>
      <c r="E141" s="123">
        <f t="shared" si="47"/>
        <v>72</v>
      </c>
      <c r="F141" s="123" t="s">
        <v>269</v>
      </c>
      <c r="G141" s="123" t="s">
        <v>269</v>
      </c>
      <c r="H141" s="257">
        <f t="shared" si="60"/>
        <v>73.331999999999994</v>
      </c>
      <c r="I141" s="257">
        <f t="shared" si="48"/>
        <v>1.0185</v>
      </c>
      <c r="J141" s="257">
        <f t="shared" si="40"/>
        <v>73.331999999999994</v>
      </c>
      <c r="K141" s="257"/>
      <c r="L141" s="257">
        <f t="shared" si="43"/>
        <v>0.32251424952501584</v>
      </c>
      <c r="M141" s="257">
        <f t="shared" si="49"/>
        <v>23.22102596580114</v>
      </c>
      <c r="N141" s="257">
        <f t="shared" si="51"/>
        <v>0.35154053198226731</v>
      </c>
      <c r="O141" s="257">
        <f t="shared" si="50"/>
        <v>25.310918302723245</v>
      </c>
      <c r="P141" s="257">
        <v>0.8</v>
      </c>
      <c r="Q141" s="257">
        <f t="shared" si="44"/>
        <v>57.6</v>
      </c>
      <c r="R141" s="257">
        <f t="shared" si="45"/>
        <v>0.44845946801773273</v>
      </c>
      <c r="S141" s="257">
        <f t="shared" si="42"/>
        <v>32.289081697276757</v>
      </c>
      <c r="T141" s="246">
        <f t="shared" si="46"/>
        <v>0.56057433502216591</v>
      </c>
      <c r="U141" s="123"/>
      <c r="V141" s="268">
        <f t="shared" si="52"/>
        <v>0.8</v>
      </c>
      <c r="W141" s="269">
        <v>0.18</v>
      </c>
      <c r="X141" s="270">
        <f t="shared" si="53"/>
        <v>0.97560975609756095</v>
      </c>
      <c r="Y141" s="271">
        <f t="shared" si="54"/>
        <v>0.17560975609756097</v>
      </c>
      <c r="Z141" s="267">
        <f t="shared" si="55"/>
        <v>1.5804878048780488E-2</v>
      </c>
      <c r="AA141" s="271">
        <f t="shared" si="56"/>
        <v>0.19141463414634147</v>
      </c>
      <c r="AB141" s="271">
        <f t="shared" si="57"/>
        <v>0.78419512195121954</v>
      </c>
      <c r="AC141" s="284">
        <f t="shared" si="58"/>
        <v>0.55171803274219455</v>
      </c>
      <c r="AD141" s="285">
        <f t="shared" si="59"/>
        <v>-8.856302279971362E-3</v>
      </c>
      <c r="AE141" s="221" t="s">
        <v>269</v>
      </c>
    </row>
    <row r="142" spans="1:31" ht="40" customHeight="1" x14ac:dyDescent="0.2">
      <c r="A142" s="123">
        <v>138</v>
      </c>
      <c r="B142" s="274" t="s">
        <v>256</v>
      </c>
      <c r="C142" s="123">
        <v>1</v>
      </c>
      <c r="D142" s="123">
        <v>72</v>
      </c>
      <c r="E142" s="123">
        <f t="shared" si="47"/>
        <v>72</v>
      </c>
      <c r="F142" s="123" t="s">
        <v>269</v>
      </c>
      <c r="G142" s="123" t="s">
        <v>269</v>
      </c>
      <c r="H142" s="257">
        <f t="shared" si="60"/>
        <v>73.331999999999994</v>
      </c>
      <c r="I142" s="257">
        <f t="shared" si="48"/>
        <v>1.0185</v>
      </c>
      <c r="J142" s="257">
        <f t="shared" si="40"/>
        <v>73.331999999999994</v>
      </c>
      <c r="K142" s="257"/>
      <c r="L142" s="257">
        <f t="shared" si="43"/>
        <v>0.32251424952501584</v>
      </c>
      <c r="M142" s="257">
        <f t="shared" si="49"/>
        <v>23.22102596580114</v>
      </c>
      <c r="N142" s="257">
        <f t="shared" si="51"/>
        <v>0.35154053198226731</v>
      </c>
      <c r="O142" s="257">
        <f t="shared" si="50"/>
        <v>25.310918302723245</v>
      </c>
      <c r="P142" s="257">
        <v>0.8</v>
      </c>
      <c r="Q142" s="257">
        <f t="shared" si="44"/>
        <v>57.6</v>
      </c>
      <c r="R142" s="257">
        <f t="shared" si="45"/>
        <v>0.44845946801773273</v>
      </c>
      <c r="S142" s="257">
        <f t="shared" si="42"/>
        <v>32.289081697276757</v>
      </c>
      <c r="T142" s="246">
        <f t="shared" si="46"/>
        <v>0.56057433502216591</v>
      </c>
      <c r="U142" s="123"/>
      <c r="V142" s="268">
        <f t="shared" si="52"/>
        <v>0.8</v>
      </c>
      <c r="W142" s="269">
        <v>0.18</v>
      </c>
      <c r="X142" s="270">
        <f t="shared" si="53"/>
        <v>0.97560975609756095</v>
      </c>
      <c r="Y142" s="271">
        <f t="shared" si="54"/>
        <v>0.17560975609756097</v>
      </c>
      <c r="Z142" s="267">
        <f t="shared" si="55"/>
        <v>1.5804878048780488E-2</v>
      </c>
      <c r="AA142" s="271">
        <f t="shared" si="56"/>
        <v>0.19141463414634147</v>
      </c>
      <c r="AB142" s="271">
        <f t="shared" si="57"/>
        <v>0.78419512195121954</v>
      </c>
      <c r="AC142" s="284">
        <f t="shared" si="58"/>
        <v>0.55171803274219455</v>
      </c>
      <c r="AD142" s="285">
        <f t="shared" si="59"/>
        <v>-8.856302279971362E-3</v>
      </c>
      <c r="AE142" s="221" t="s">
        <v>269</v>
      </c>
    </row>
    <row r="143" spans="1:31" ht="40" customHeight="1" x14ac:dyDescent="0.2">
      <c r="A143" s="123">
        <v>139</v>
      </c>
      <c r="B143" s="274" t="s">
        <v>253</v>
      </c>
      <c r="C143" s="123">
        <v>1</v>
      </c>
      <c r="D143" s="123">
        <v>72</v>
      </c>
      <c r="E143" s="123">
        <f t="shared" si="47"/>
        <v>72</v>
      </c>
      <c r="F143" s="123" t="s">
        <v>269</v>
      </c>
      <c r="G143" s="123" t="s">
        <v>269</v>
      </c>
      <c r="H143" s="257">
        <f t="shared" si="60"/>
        <v>73.331999999999994</v>
      </c>
      <c r="I143" s="257">
        <f t="shared" si="48"/>
        <v>1.0185</v>
      </c>
      <c r="J143" s="257">
        <f t="shared" si="40"/>
        <v>73.331999999999994</v>
      </c>
      <c r="K143" s="257"/>
      <c r="L143" s="257">
        <f t="shared" si="43"/>
        <v>0.32251424952501584</v>
      </c>
      <c r="M143" s="257">
        <f t="shared" si="49"/>
        <v>23.22102596580114</v>
      </c>
      <c r="N143" s="257">
        <f t="shared" si="51"/>
        <v>0.35154053198226731</v>
      </c>
      <c r="O143" s="257">
        <f t="shared" si="50"/>
        <v>25.310918302723245</v>
      </c>
      <c r="P143" s="257">
        <v>0.8</v>
      </c>
      <c r="Q143" s="257">
        <f t="shared" si="44"/>
        <v>57.6</v>
      </c>
      <c r="R143" s="257">
        <f t="shared" si="45"/>
        <v>0.44845946801773273</v>
      </c>
      <c r="S143" s="257">
        <f t="shared" si="42"/>
        <v>32.289081697276757</v>
      </c>
      <c r="T143" s="246">
        <f t="shared" si="46"/>
        <v>0.56057433502216591</v>
      </c>
      <c r="U143" s="123"/>
      <c r="V143" s="268">
        <f t="shared" si="52"/>
        <v>0.8</v>
      </c>
      <c r="W143" s="269">
        <v>0.18</v>
      </c>
      <c r="X143" s="270">
        <f t="shared" si="53"/>
        <v>0.97560975609756095</v>
      </c>
      <c r="Y143" s="271">
        <f t="shared" si="54"/>
        <v>0.17560975609756097</v>
      </c>
      <c r="Z143" s="267">
        <f t="shared" si="55"/>
        <v>1.5804878048780488E-2</v>
      </c>
      <c r="AA143" s="271">
        <f t="shared" si="56"/>
        <v>0.19141463414634147</v>
      </c>
      <c r="AB143" s="271">
        <f t="shared" si="57"/>
        <v>0.78419512195121954</v>
      </c>
      <c r="AC143" s="284">
        <f t="shared" si="58"/>
        <v>0.55171803274219455</v>
      </c>
      <c r="AD143" s="285">
        <f t="shared" si="59"/>
        <v>-8.856302279971362E-3</v>
      </c>
      <c r="AE143" s="221" t="s">
        <v>269</v>
      </c>
    </row>
    <row r="144" spans="1:31" ht="40" customHeight="1" x14ac:dyDescent="0.2">
      <c r="A144" s="123">
        <v>140</v>
      </c>
      <c r="B144" s="274" t="s">
        <v>254</v>
      </c>
      <c r="C144" s="123">
        <v>1</v>
      </c>
      <c r="D144" s="123">
        <v>72</v>
      </c>
      <c r="E144" s="123">
        <f t="shared" si="47"/>
        <v>72</v>
      </c>
      <c r="F144" s="123" t="s">
        <v>269</v>
      </c>
      <c r="G144" s="123" t="s">
        <v>269</v>
      </c>
      <c r="H144" s="257">
        <f t="shared" si="60"/>
        <v>73.331999999999994</v>
      </c>
      <c r="I144" s="257">
        <f t="shared" si="48"/>
        <v>1.0185</v>
      </c>
      <c r="J144" s="257">
        <f t="shared" ref="J144:J184" si="61">I144*E144</f>
        <v>73.331999999999994</v>
      </c>
      <c r="K144" s="257"/>
      <c r="L144" s="257">
        <f t="shared" si="43"/>
        <v>0.32251424952501584</v>
      </c>
      <c r="M144" s="257">
        <f t="shared" si="49"/>
        <v>23.22102596580114</v>
      </c>
      <c r="N144" s="257">
        <f t="shared" si="51"/>
        <v>0.35154053198226731</v>
      </c>
      <c r="O144" s="257">
        <f t="shared" si="50"/>
        <v>25.310918302723245</v>
      </c>
      <c r="P144" s="257">
        <v>0.8</v>
      </c>
      <c r="Q144" s="257">
        <f t="shared" si="44"/>
        <v>57.6</v>
      </c>
      <c r="R144" s="257">
        <f t="shared" si="45"/>
        <v>0.44845946801773273</v>
      </c>
      <c r="S144" s="257">
        <f t="shared" si="42"/>
        <v>32.289081697276757</v>
      </c>
      <c r="T144" s="246">
        <f t="shared" si="46"/>
        <v>0.56057433502216591</v>
      </c>
      <c r="U144" s="123"/>
      <c r="V144" s="268">
        <f t="shared" si="52"/>
        <v>0.8</v>
      </c>
      <c r="W144" s="269">
        <v>0.18</v>
      </c>
      <c r="X144" s="270">
        <f t="shared" si="53"/>
        <v>0.97560975609756095</v>
      </c>
      <c r="Y144" s="271">
        <f t="shared" si="54"/>
        <v>0.17560975609756097</v>
      </c>
      <c r="Z144" s="267">
        <f t="shared" si="55"/>
        <v>1.5804878048780488E-2</v>
      </c>
      <c r="AA144" s="271">
        <f t="shared" si="56"/>
        <v>0.19141463414634147</v>
      </c>
      <c r="AB144" s="271">
        <f t="shared" si="57"/>
        <v>0.78419512195121954</v>
      </c>
      <c r="AC144" s="284">
        <f t="shared" si="58"/>
        <v>0.55171803274219455</v>
      </c>
      <c r="AD144" s="285">
        <f t="shared" si="59"/>
        <v>-8.856302279971362E-3</v>
      </c>
      <c r="AE144" s="221" t="s">
        <v>269</v>
      </c>
    </row>
    <row r="145" spans="1:31" ht="40" customHeight="1" x14ac:dyDescent="0.2">
      <c r="A145" s="123">
        <v>141</v>
      </c>
      <c r="B145" s="274" t="s">
        <v>255</v>
      </c>
      <c r="C145" s="123">
        <v>1</v>
      </c>
      <c r="D145" s="123">
        <v>72</v>
      </c>
      <c r="E145" s="123">
        <f t="shared" si="47"/>
        <v>72</v>
      </c>
      <c r="F145" s="123" t="s">
        <v>269</v>
      </c>
      <c r="G145" s="123" t="s">
        <v>269</v>
      </c>
      <c r="H145" s="257">
        <f t="shared" si="60"/>
        <v>73.331999999999994</v>
      </c>
      <c r="I145" s="257">
        <f t="shared" si="48"/>
        <v>1.0185</v>
      </c>
      <c r="J145" s="257">
        <f t="shared" si="61"/>
        <v>73.331999999999994</v>
      </c>
      <c r="K145" s="257"/>
      <c r="L145" s="257">
        <f t="shared" si="43"/>
        <v>0.32251424952501584</v>
      </c>
      <c r="M145" s="257">
        <f t="shared" si="49"/>
        <v>23.22102596580114</v>
      </c>
      <c r="N145" s="257">
        <f t="shared" si="51"/>
        <v>0.35154053198226731</v>
      </c>
      <c r="O145" s="257">
        <f t="shared" si="50"/>
        <v>25.310918302723245</v>
      </c>
      <c r="P145" s="257">
        <v>0.8</v>
      </c>
      <c r="Q145" s="257">
        <f t="shared" si="44"/>
        <v>57.6</v>
      </c>
      <c r="R145" s="257">
        <f t="shared" si="45"/>
        <v>0.44845946801773273</v>
      </c>
      <c r="S145" s="257">
        <f t="shared" si="42"/>
        <v>32.289081697276757</v>
      </c>
      <c r="T145" s="246">
        <f t="shared" si="46"/>
        <v>0.56057433502216591</v>
      </c>
      <c r="U145" s="123"/>
      <c r="V145" s="268">
        <f t="shared" si="52"/>
        <v>0.8</v>
      </c>
      <c r="W145" s="269">
        <v>0.18</v>
      </c>
      <c r="X145" s="270">
        <f t="shared" si="53"/>
        <v>0.97560975609756095</v>
      </c>
      <c r="Y145" s="271">
        <f t="shared" si="54"/>
        <v>0.17560975609756097</v>
      </c>
      <c r="Z145" s="267">
        <f t="shared" si="55"/>
        <v>1.5804878048780488E-2</v>
      </c>
      <c r="AA145" s="271">
        <f t="shared" si="56"/>
        <v>0.19141463414634147</v>
      </c>
      <c r="AB145" s="271">
        <f t="shared" si="57"/>
        <v>0.78419512195121954</v>
      </c>
      <c r="AC145" s="284">
        <f t="shared" si="58"/>
        <v>0.55171803274219455</v>
      </c>
      <c r="AD145" s="285">
        <f t="shared" si="59"/>
        <v>-8.856302279971362E-3</v>
      </c>
      <c r="AE145" s="221" t="s">
        <v>269</v>
      </c>
    </row>
    <row r="146" spans="1:31" ht="40" customHeight="1" x14ac:dyDescent="0.2">
      <c r="A146" s="123">
        <v>142</v>
      </c>
      <c r="B146" s="274" t="s">
        <v>139</v>
      </c>
      <c r="C146" s="123">
        <v>1</v>
      </c>
      <c r="D146" s="123">
        <v>48</v>
      </c>
      <c r="E146" s="123">
        <f t="shared" si="47"/>
        <v>48</v>
      </c>
      <c r="F146" s="123" t="s">
        <v>269</v>
      </c>
      <c r="G146" s="123" t="s">
        <v>269</v>
      </c>
      <c r="H146" s="257">
        <v>216.8</v>
      </c>
      <c r="I146" s="257">
        <f t="shared" si="48"/>
        <v>4.5166666666666666</v>
      </c>
      <c r="J146" s="257">
        <f t="shared" si="61"/>
        <v>216.8</v>
      </c>
      <c r="K146" s="257"/>
      <c r="L146" s="257">
        <f t="shared" si="43"/>
        <v>1.4302301034409963</v>
      </c>
      <c r="M146" s="257">
        <f t="shared" si="49"/>
        <v>68.651044965167827</v>
      </c>
      <c r="N146" s="257">
        <f t="shared" si="51"/>
        <v>1.5589508127506861</v>
      </c>
      <c r="O146" s="257">
        <f t="shared" si="50"/>
        <v>74.829639012032942</v>
      </c>
      <c r="P146" s="257">
        <v>2.5</v>
      </c>
      <c r="Q146" s="257">
        <f t="shared" si="44"/>
        <v>120</v>
      </c>
      <c r="R146" s="257">
        <f t="shared" si="45"/>
        <v>0.94104918724931386</v>
      </c>
      <c r="S146" s="257">
        <f t="shared" si="42"/>
        <v>45.170360987967058</v>
      </c>
      <c r="T146" s="246">
        <f t="shared" si="46"/>
        <v>0.37641967489972555</v>
      </c>
      <c r="U146" s="123"/>
      <c r="V146" s="268">
        <f t="shared" si="52"/>
        <v>2.5</v>
      </c>
      <c r="W146" s="269">
        <v>0.18</v>
      </c>
      <c r="X146" s="270">
        <f t="shared" si="53"/>
        <v>3.0487804878048776</v>
      </c>
      <c r="Y146" s="271">
        <f t="shared" si="54"/>
        <v>0.54878048780487798</v>
      </c>
      <c r="Z146" s="267">
        <f t="shared" si="55"/>
        <v>4.939024390243902E-2</v>
      </c>
      <c r="AA146" s="271">
        <f t="shared" si="56"/>
        <v>0.59817073170731705</v>
      </c>
      <c r="AB146" s="271">
        <f t="shared" si="57"/>
        <v>2.4506097560975606</v>
      </c>
      <c r="AC146" s="284">
        <f t="shared" si="58"/>
        <v>0.3638518703878762</v>
      </c>
      <c r="AD146" s="285">
        <f t="shared" si="59"/>
        <v>-1.2567804511849356E-2</v>
      </c>
      <c r="AE146" s="221" t="s">
        <v>269</v>
      </c>
    </row>
    <row r="147" spans="1:31" ht="40" customHeight="1" x14ac:dyDescent="0.2">
      <c r="A147" s="123">
        <v>143</v>
      </c>
      <c r="B147" s="274" t="s">
        <v>140</v>
      </c>
      <c r="C147" s="123">
        <v>1</v>
      </c>
      <c r="D147" s="123">
        <v>48</v>
      </c>
      <c r="E147" s="123">
        <f t="shared" si="47"/>
        <v>48</v>
      </c>
      <c r="F147" s="123" t="s">
        <v>269</v>
      </c>
      <c r="G147" s="123" t="s">
        <v>269</v>
      </c>
      <c r="H147" s="257">
        <v>216</v>
      </c>
      <c r="I147" s="257">
        <f t="shared" si="48"/>
        <v>4.5</v>
      </c>
      <c r="J147" s="257">
        <f t="shared" si="61"/>
        <v>216</v>
      </c>
      <c r="K147" s="257"/>
      <c r="L147" s="257">
        <f t="shared" si="43"/>
        <v>1.4249525015832807</v>
      </c>
      <c r="M147" s="257">
        <f t="shared" si="49"/>
        <v>68.397720075997469</v>
      </c>
      <c r="N147" s="257">
        <f t="shared" si="51"/>
        <v>1.553198226725776</v>
      </c>
      <c r="O147" s="257">
        <f t="shared" si="50"/>
        <v>74.553514882837248</v>
      </c>
      <c r="P147" s="257">
        <v>2.5</v>
      </c>
      <c r="Q147" s="257">
        <f t="shared" si="44"/>
        <v>120</v>
      </c>
      <c r="R147" s="257">
        <f t="shared" si="45"/>
        <v>0.94680177327422399</v>
      </c>
      <c r="S147" s="257">
        <f t="shared" si="42"/>
        <v>45.446485117162752</v>
      </c>
      <c r="T147" s="246">
        <f t="shared" si="46"/>
        <v>0.3787207093096896</v>
      </c>
      <c r="U147" s="123"/>
      <c r="V147" s="268">
        <f t="shared" si="52"/>
        <v>2.5</v>
      </c>
      <c r="W147" s="269">
        <v>0.18</v>
      </c>
      <c r="X147" s="270">
        <f t="shared" si="53"/>
        <v>3.0487804878048776</v>
      </c>
      <c r="Y147" s="271">
        <f t="shared" si="54"/>
        <v>0.54878048780487798</v>
      </c>
      <c r="Z147" s="267">
        <f t="shared" si="55"/>
        <v>4.939024390243902E-2</v>
      </c>
      <c r="AA147" s="271">
        <f t="shared" si="56"/>
        <v>0.59817073170731705</v>
      </c>
      <c r="AB147" s="271">
        <f t="shared" si="57"/>
        <v>2.4506097560975606</v>
      </c>
      <c r="AC147" s="284">
        <f t="shared" si="58"/>
        <v>0.36619928046024558</v>
      </c>
      <c r="AD147" s="285">
        <f t="shared" si="59"/>
        <v>-1.2521428849444016E-2</v>
      </c>
      <c r="AE147" s="221" t="s">
        <v>269</v>
      </c>
    </row>
    <row r="148" spans="1:31" ht="40" customHeight="1" x14ac:dyDescent="0.2">
      <c r="A148" s="123">
        <v>144</v>
      </c>
      <c r="B148" s="274" t="s">
        <v>141</v>
      </c>
      <c r="C148" s="123">
        <v>1</v>
      </c>
      <c r="D148" s="123">
        <v>48</v>
      </c>
      <c r="E148" s="123">
        <f t="shared" si="47"/>
        <v>48</v>
      </c>
      <c r="F148" s="123" t="s">
        <v>269</v>
      </c>
      <c r="G148" s="123" t="s">
        <v>269</v>
      </c>
      <c r="H148" s="257">
        <v>216</v>
      </c>
      <c r="I148" s="257">
        <f t="shared" si="48"/>
        <v>4.5</v>
      </c>
      <c r="J148" s="257">
        <f t="shared" si="61"/>
        <v>216</v>
      </c>
      <c r="K148" s="257"/>
      <c r="L148" s="257">
        <f t="shared" si="43"/>
        <v>1.4249525015832807</v>
      </c>
      <c r="M148" s="257">
        <f t="shared" si="49"/>
        <v>68.397720075997469</v>
      </c>
      <c r="N148" s="257">
        <f t="shared" si="51"/>
        <v>1.553198226725776</v>
      </c>
      <c r="O148" s="257">
        <f t="shared" si="50"/>
        <v>74.553514882837248</v>
      </c>
      <c r="P148" s="257">
        <v>2.5</v>
      </c>
      <c r="Q148" s="257">
        <f t="shared" si="44"/>
        <v>120</v>
      </c>
      <c r="R148" s="257">
        <f t="shared" si="45"/>
        <v>0.94680177327422399</v>
      </c>
      <c r="S148" s="257">
        <f t="shared" si="42"/>
        <v>45.446485117162752</v>
      </c>
      <c r="T148" s="246">
        <f t="shared" si="46"/>
        <v>0.3787207093096896</v>
      </c>
      <c r="U148" s="123"/>
      <c r="V148" s="268">
        <f t="shared" si="52"/>
        <v>2.5</v>
      </c>
      <c r="W148" s="269">
        <v>0.18</v>
      </c>
      <c r="X148" s="270">
        <f t="shared" si="53"/>
        <v>3.0487804878048776</v>
      </c>
      <c r="Y148" s="271">
        <f t="shared" si="54"/>
        <v>0.54878048780487798</v>
      </c>
      <c r="Z148" s="267">
        <f t="shared" si="55"/>
        <v>4.939024390243902E-2</v>
      </c>
      <c r="AA148" s="271">
        <f t="shared" si="56"/>
        <v>0.59817073170731705</v>
      </c>
      <c r="AB148" s="271">
        <f t="shared" si="57"/>
        <v>2.4506097560975606</v>
      </c>
      <c r="AC148" s="284">
        <f t="shared" si="58"/>
        <v>0.36619928046024558</v>
      </c>
      <c r="AD148" s="285">
        <f t="shared" si="59"/>
        <v>-1.2521428849444016E-2</v>
      </c>
      <c r="AE148" s="221" t="s">
        <v>269</v>
      </c>
    </row>
    <row r="149" spans="1:31" ht="40" customHeight="1" x14ac:dyDescent="0.2">
      <c r="A149" s="123">
        <v>145</v>
      </c>
      <c r="B149" s="274" t="s">
        <v>142</v>
      </c>
      <c r="C149" s="123">
        <v>1</v>
      </c>
      <c r="D149" s="123">
        <v>48</v>
      </c>
      <c r="E149" s="123">
        <f t="shared" si="47"/>
        <v>48</v>
      </c>
      <c r="F149" s="123" t="s">
        <v>269</v>
      </c>
      <c r="G149" s="123" t="s">
        <v>269</v>
      </c>
      <c r="H149" s="257">
        <v>216</v>
      </c>
      <c r="I149" s="257">
        <f t="shared" si="48"/>
        <v>4.5</v>
      </c>
      <c r="J149" s="257">
        <f t="shared" si="61"/>
        <v>216</v>
      </c>
      <c r="K149" s="257"/>
      <c r="L149" s="257">
        <f t="shared" si="43"/>
        <v>1.4249525015832807</v>
      </c>
      <c r="M149" s="257">
        <f t="shared" si="49"/>
        <v>68.397720075997469</v>
      </c>
      <c r="N149" s="257">
        <f t="shared" si="51"/>
        <v>1.553198226725776</v>
      </c>
      <c r="O149" s="257">
        <f t="shared" si="50"/>
        <v>74.553514882837248</v>
      </c>
      <c r="P149" s="257">
        <v>2.5</v>
      </c>
      <c r="Q149" s="257">
        <f t="shared" si="44"/>
        <v>120</v>
      </c>
      <c r="R149" s="257">
        <f t="shared" si="45"/>
        <v>0.94680177327422399</v>
      </c>
      <c r="S149" s="257">
        <f t="shared" si="42"/>
        <v>45.446485117162752</v>
      </c>
      <c r="T149" s="246">
        <f t="shared" si="46"/>
        <v>0.3787207093096896</v>
      </c>
      <c r="U149" s="123"/>
      <c r="V149" s="268">
        <f t="shared" si="52"/>
        <v>2.5</v>
      </c>
      <c r="W149" s="269">
        <v>0.18</v>
      </c>
      <c r="X149" s="270">
        <f t="shared" si="53"/>
        <v>3.0487804878048776</v>
      </c>
      <c r="Y149" s="271">
        <f t="shared" si="54"/>
        <v>0.54878048780487798</v>
      </c>
      <c r="Z149" s="267">
        <f t="shared" si="55"/>
        <v>4.939024390243902E-2</v>
      </c>
      <c r="AA149" s="271">
        <f t="shared" si="56"/>
        <v>0.59817073170731705</v>
      </c>
      <c r="AB149" s="271">
        <f t="shared" si="57"/>
        <v>2.4506097560975606</v>
      </c>
      <c r="AC149" s="284">
        <f t="shared" si="58"/>
        <v>0.36619928046024558</v>
      </c>
      <c r="AD149" s="285">
        <f t="shared" si="59"/>
        <v>-1.2521428849444016E-2</v>
      </c>
      <c r="AE149" s="221" t="s">
        <v>269</v>
      </c>
    </row>
    <row r="150" spans="1:31" ht="40" customHeight="1" x14ac:dyDescent="0.2">
      <c r="A150" s="123">
        <v>146</v>
      </c>
      <c r="B150" s="274" t="s">
        <v>143</v>
      </c>
      <c r="C150" s="123">
        <v>1</v>
      </c>
      <c r="D150" s="123">
        <v>48</v>
      </c>
      <c r="E150" s="123">
        <f t="shared" si="47"/>
        <v>48</v>
      </c>
      <c r="F150" s="123" t="s">
        <v>269</v>
      </c>
      <c r="G150" s="123" t="s">
        <v>269</v>
      </c>
      <c r="H150" s="257">
        <v>216</v>
      </c>
      <c r="I150" s="257">
        <f t="shared" si="48"/>
        <v>4.5</v>
      </c>
      <c r="J150" s="257">
        <f t="shared" si="61"/>
        <v>216</v>
      </c>
      <c r="K150" s="257"/>
      <c r="L150" s="257">
        <f t="shared" si="43"/>
        <v>1.4249525015832807</v>
      </c>
      <c r="M150" s="257">
        <f t="shared" si="49"/>
        <v>68.397720075997469</v>
      </c>
      <c r="N150" s="257">
        <f t="shared" si="51"/>
        <v>1.553198226725776</v>
      </c>
      <c r="O150" s="257">
        <f t="shared" si="50"/>
        <v>74.553514882837248</v>
      </c>
      <c r="P150" s="257">
        <v>2.5</v>
      </c>
      <c r="Q150" s="257">
        <f t="shared" si="44"/>
        <v>120</v>
      </c>
      <c r="R150" s="257">
        <f t="shared" si="45"/>
        <v>0.94680177327422399</v>
      </c>
      <c r="S150" s="257">
        <f t="shared" si="42"/>
        <v>45.446485117162752</v>
      </c>
      <c r="T150" s="246">
        <f t="shared" si="46"/>
        <v>0.3787207093096896</v>
      </c>
      <c r="U150" s="123"/>
      <c r="V150" s="268">
        <f t="shared" si="52"/>
        <v>2.5</v>
      </c>
      <c r="W150" s="269">
        <v>0.18</v>
      </c>
      <c r="X150" s="270">
        <f t="shared" si="53"/>
        <v>3.0487804878048776</v>
      </c>
      <c r="Y150" s="271">
        <f t="shared" si="54"/>
        <v>0.54878048780487798</v>
      </c>
      <c r="Z150" s="267">
        <f t="shared" si="55"/>
        <v>4.939024390243902E-2</v>
      </c>
      <c r="AA150" s="271">
        <f t="shared" si="56"/>
        <v>0.59817073170731705</v>
      </c>
      <c r="AB150" s="271">
        <f t="shared" si="57"/>
        <v>2.4506097560975606</v>
      </c>
      <c r="AC150" s="284">
        <f t="shared" si="58"/>
        <v>0.36619928046024558</v>
      </c>
      <c r="AD150" s="285">
        <f t="shared" si="59"/>
        <v>-1.2521428849444016E-2</v>
      </c>
      <c r="AE150" s="221" t="s">
        <v>269</v>
      </c>
    </row>
    <row r="151" spans="1:31" ht="40" customHeight="1" x14ac:dyDescent="0.2">
      <c r="A151" s="123">
        <v>147</v>
      </c>
      <c r="B151" s="274" t="s">
        <v>144</v>
      </c>
      <c r="C151" s="123">
        <v>1</v>
      </c>
      <c r="D151" s="123">
        <v>12</v>
      </c>
      <c r="E151" s="123">
        <f t="shared" si="47"/>
        <v>12</v>
      </c>
      <c r="F151" s="123" t="s">
        <v>269</v>
      </c>
      <c r="G151" s="123" t="s">
        <v>269</v>
      </c>
      <c r="H151" s="257">
        <v>92.4</v>
      </c>
      <c r="I151" s="257">
        <f t="shared" si="48"/>
        <v>7.7</v>
      </c>
      <c r="J151" s="257">
        <f t="shared" si="61"/>
        <v>92.4</v>
      </c>
      <c r="K151" s="257"/>
      <c r="L151" s="257">
        <f t="shared" si="43"/>
        <v>2.4382520582647245</v>
      </c>
      <c r="M151" s="257">
        <f t="shared" si="49"/>
        <v>29.259024699176695</v>
      </c>
      <c r="N151" s="257">
        <f t="shared" si="51"/>
        <v>2.6576947435085501</v>
      </c>
      <c r="O151" s="257">
        <f t="shared" si="50"/>
        <v>31.892336922102601</v>
      </c>
      <c r="P151" s="257">
        <v>3.95</v>
      </c>
      <c r="Q151" s="257">
        <f t="shared" si="44"/>
        <v>47.400000000000006</v>
      </c>
      <c r="R151" s="257">
        <f t="shared" si="45"/>
        <v>1.2923052564914501</v>
      </c>
      <c r="S151" s="257">
        <f t="shared" si="42"/>
        <v>15.507663077897405</v>
      </c>
      <c r="T151" s="246">
        <f t="shared" si="46"/>
        <v>0.32716588771935445</v>
      </c>
      <c r="U151" s="123"/>
      <c r="V151" s="268">
        <f t="shared" si="52"/>
        <v>3.95</v>
      </c>
      <c r="W151" s="269">
        <v>0.18</v>
      </c>
      <c r="X151" s="270">
        <f t="shared" si="53"/>
        <v>4.8170731707317076</v>
      </c>
      <c r="Y151" s="271">
        <f t="shared" si="54"/>
        <v>0.86707317073170731</v>
      </c>
      <c r="Z151" s="267">
        <f t="shared" si="55"/>
        <v>7.8036585365853658E-2</v>
      </c>
      <c r="AA151" s="271">
        <f t="shared" si="56"/>
        <v>0.94510975609756098</v>
      </c>
      <c r="AB151" s="271">
        <f t="shared" si="57"/>
        <v>3.8719634146341466</v>
      </c>
      <c r="AC151" s="284">
        <f t="shared" si="58"/>
        <v>0.31360540921855024</v>
      </c>
      <c r="AD151" s="285">
        <f t="shared" si="59"/>
        <v>-1.3560478500804218E-2</v>
      </c>
      <c r="AE151" s="221" t="s">
        <v>269</v>
      </c>
    </row>
    <row r="152" spans="1:31" ht="40" customHeight="1" x14ac:dyDescent="0.2">
      <c r="A152" s="123">
        <v>148</v>
      </c>
      <c r="B152" s="274" t="s">
        <v>145</v>
      </c>
      <c r="C152" s="123">
        <v>1</v>
      </c>
      <c r="D152" s="123">
        <v>24</v>
      </c>
      <c r="E152" s="123">
        <f t="shared" si="47"/>
        <v>24</v>
      </c>
      <c r="F152" s="123" t="s">
        <v>269</v>
      </c>
      <c r="G152" s="123" t="s">
        <v>269</v>
      </c>
      <c r="H152" s="257">
        <f>72*0.95</f>
        <v>68.399999999999991</v>
      </c>
      <c r="I152" s="257">
        <f t="shared" si="48"/>
        <v>2.8499999999999996</v>
      </c>
      <c r="J152" s="257">
        <f t="shared" si="61"/>
        <v>68.399999999999991</v>
      </c>
      <c r="K152" s="257"/>
      <c r="L152" s="257">
        <f t="shared" si="43"/>
        <v>0.90246991766941098</v>
      </c>
      <c r="M152" s="257">
        <f t="shared" si="49"/>
        <v>21.659278024065863</v>
      </c>
      <c r="N152" s="257">
        <f t="shared" si="51"/>
        <v>0.98369221025965803</v>
      </c>
      <c r="O152" s="257">
        <f t="shared" si="50"/>
        <v>23.608613046231792</v>
      </c>
      <c r="P152" s="257">
        <v>1.95</v>
      </c>
      <c r="Q152" s="257">
        <f t="shared" si="44"/>
        <v>46.8</v>
      </c>
      <c r="R152" s="257">
        <f t="shared" si="45"/>
        <v>0.96630778974034193</v>
      </c>
      <c r="S152" s="257">
        <f t="shared" si="42"/>
        <v>23.191386953768205</v>
      </c>
      <c r="T152" s="246">
        <f t="shared" si="46"/>
        <v>0.49554245627709842</v>
      </c>
      <c r="U152" s="123"/>
      <c r="V152" s="268">
        <f t="shared" si="52"/>
        <v>1.95</v>
      </c>
      <c r="W152" s="269">
        <v>0.18</v>
      </c>
      <c r="X152" s="270">
        <f t="shared" si="53"/>
        <v>2.3780487804878048</v>
      </c>
      <c r="Y152" s="271">
        <f t="shared" si="54"/>
        <v>0.42804878048780487</v>
      </c>
      <c r="Z152" s="267">
        <f t="shared" si="55"/>
        <v>3.8524390243902439E-2</v>
      </c>
      <c r="AA152" s="271">
        <f t="shared" si="56"/>
        <v>0.46657317073170729</v>
      </c>
      <c r="AB152" s="271">
        <f t="shared" si="57"/>
        <v>1.9114756097560974</v>
      </c>
      <c r="AC152" s="284">
        <f t="shared" si="58"/>
        <v>0.48537548413438752</v>
      </c>
      <c r="AD152" s="285">
        <f t="shared" si="59"/>
        <v>-1.0166972142710895E-2</v>
      </c>
      <c r="AE152" s="221" t="s">
        <v>269</v>
      </c>
    </row>
    <row r="153" spans="1:31" ht="40" customHeight="1" x14ac:dyDescent="0.2">
      <c r="A153" s="123">
        <v>149</v>
      </c>
      <c r="B153" s="274" t="s">
        <v>146</v>
      </c>
      <c r="C153" s="123">
        <v>1</v>
      </c>
      <c r="D153" s="123">
        <v>60</v>
      </c>
      <c r="E153" s="123">
        <f t="shared" si="47"/>
        <v>60</v>
      </c>
      <c r="F153" s="123" t="s">
        <v>269</v>
      </c>
      <c r="G153" s="123" t="s">
        <v>269</v>
      </c>
      <c r="H153" s="257">
        <v>85.2</v>
      </c>
      <c r="I153" s="257">
        <f t="shared" si="48"/>
        <v>1.4200000000000002</v>
      </c>
      <c r="J153" s="257">
        <f t="shared" si="61"/>
        <v>85.2</v>
      </c>
      <c r="K153" s="257"/>
      <c r="L153" s="257">
        <f t="shared" si="43"/>
        <v>0.44965167827739083</v>
      </c>
      <c r="M153" s="257">
        <f t="shared" si="49"/>
        <v>26.979100696643446</v>
      </c>
      <c r="N153" s="257">
        <f t="shared" si="51"/>
        <v>0.49012032932235605</v>
      </c>
      <c r="O153" s="257">
        <f t="shared" si="50"/>
        <v>29.407219759341363</v>
      </c>
      <c r="P153" s="257">
        <v>0.85</v>
      </c>
      <c r="Q153" s="257">
        <f t="shared" si="44"/>
        <v>51</v>
      </c>
      <c r="R153" s="257">
        <f t="shared" si="45"/>
        <v>0.35987967067764393</v>
      </c>
      <c r="S153" s="257">
        <f t="shared" si="42"/>
        <v>21.592780240658637</v>
      </c>
      <c r="T153" s="246">
        <f t="shared" si="46"/>
        <v>0.42338784785605171</v>
      </c>
      <c r="U153" s="123"/>
      <c r="V153" s="268">
        <f t="shared" si="52"/>
        <v>0.85</v>
      </c>
      <c r="W153" s="269">
        <v>0.18</v>
      </c>
      <c r="X153" s="270">
        <f t="shared" si="53"/>
        <v>1.0365853658536583</v>
      </c>
      <c r="Y153" s="271">
        <f t="shared" si="54"/>
        <v>0.18658536585365851</v>
      </c>
      <c r="Z153" s="267">
        <f t="shared" si="55"/>
        <v>1.6792682926829266E-2</v>
      </c>
      <c r="AA153" s="271">
        <f t="shared" si="56"/>
        <v>0.20337804878048776</v>
      </c>
      <c r="AB153" s="271">
        <f t="shared" si="57"/>
        <v>0.83320731707317064</v>
      </c>
      <c r="AC153" s="284">
        <f t="shared" si="58"/>
        <v>0.41176665245329974</v>
      </c>
      <c r="AD153" s="285">
        <f t="shared" si="59"/>
        <v>-1.1621195402751971E-2</v>
      </c>
      <c r="AE153" s="221" t="s">
        <v>269</v>
      </c>
    </row>
    <row r="154" spans="1:31" ht="40" customHeight="1" x14ac:dyDescent="0.2">
      <c r="A154" s="123">
        <v>150</v>
      </c>
      <c r="B154" s="274" t="s">
        <v>147</v>
      </c>
      <c r="C154" s="123">
        <v>1</v>
      </c>
      <c r="D154" s="123">
        <v>48</v>
      </c>
      <c r="E154" s="123">
        <f t="shared" si="47"/>
        <v>48</v>
      </c>
      <c r="F154" s="123" t="s">
        <v>269</v>
      </c>
      <c r="G154" s="123" t="s">
        <v>269</v>
      </c>
      <c r="H154" s="257">
        <v>216</v>
      </c>
      <c r="I154" s="257">
        <f t="shared" si="48"/>
        <v>4.5</v>
      </c>
      <c r="J154" s="257">
        <f t="shared" si="61"/>
        <v>216</v>
      </c>
      <c r="K154" s="257"/>
      <c r="L154" s="257">
        <f t="shared" si="43"/>
        <v>1.4249525015832807</v>
      </c>
      <c r="M154" s="257">
        <f t="shared" si="49"/>
        <v>68.397720075997469</v>
      </c>
      <c r="N154" s="257">
        <f t="shared" si="51"/>
        <v>1.553198226725776</v>
      </c>
      <c r="O154" s="257">
        <f t="shared" si="50"/>
        <v>74.553514882837248</v>
      </c>
      <c r="P154" s="257">
        <v>2.5</v>
      </c>
      <c r="Q154" s="257">
        <f t="shared" si="44"/>
        <v>120</v>
      </c>
      <c r="R154" s="257">
        <f t="shared" si="45"/>
        <v>0.94680177327422399</v>
      </c>
      <c r="S154" s="257">
        <f t="shared" si="42"/>
        <v>45.446485117162752</v>
      </c>
      <c r="T154" s="246">
        <f t="shared" si="46"/>
        <v>0.3787207093096896</v>
      </c>
      <c r="U154" s="123"/>
      <c r="V154" s="268">
        <f t="shared" si="52"/>
        <v>2.5</v>
      </c>
      <c r="W154" s="269">
        <v>0.18</v>
      </c>
      <c r="X154" s="270">
        <f t="shared" si="53"/>
        <v>3.0487804878048776</v>
      </c>
      <c r="Y154" s="271">
        <f t="shared" si="54"/>
        <v>0.54878048780487798</v>
      </c>
      <c r="Z154" s="267">
        <f t="shared" si="55"/>
        <v>4.939024390243902E-2</v>
      </c>
      <c r="AA154" s="271">
        <f t="shared" si="56"/>
        <v>0.59817073170731705</v>
      </c>
      <c r="AB154" s="271">
        <f t="shared" si="57"/>
        <v>2.4506097560975606</v>
      </c>
      <c r="AC154" s="284">
        <f t="shared" si="58"/>
        <v>0.36619928046024558</v>
      </c>
      <c r="AD154" s="285">
        <f t="shared" si="59"/>
        <v>-1.2521428849444016E-2</v>
      </c>
      <c r="AE154" s="221" t="s">
        <v>269</v>
      </c>
    </row>
    <row r="155" spans="1:31" ht="40" customHeight="1" x14ac:dyDescent="0.2">
      <c r="A155" s="123">
        <v>151</v>
      </c>
      <c r="B155" s="274" t="s">
        <v>148</v>
      </c>
      <c r="C155" s="123">
        <v>1</v>
      </c>
      <c r="D155" s="123">
        <v>8</v>
      </c>
      <c r="E155" s="123">
        <f t="shared" si="47"/>
        <v>8</v>
      </c>
      <c r="F155" s="123" t="s">
        <v>269</v>
      </c>
      <c r="G155" s="123" t="s">
        <v>269</v>
      </c>
      <c r="H155" s="257">
        <v>25.5</v>
      </c>
      <c r="I155" s="257">
        <f t="shared" si="48"/>
        <v>3.1875</v>
      </c>
      <c r="J155" s="257">
        <f t="shared" si="61"/>
        <v>25.5</v>
      </c>
      <c r="K155" s="257"/>
      <c r="L155" s="257">
        <f t="shared" si="43"/>
        <v>1.0093413552881572</v>
      </c>
      <c r="M155" s="257">
        <f t="shared" si="49"/>
        <v>8.0747308423052573</v>
      </c>
      <c r="N155" s="257">
        <f t="shared" si="51"/>
        <v>1.1001820772640913</v>
      </c>
      <c r="O155" s="257">
        <f t="shared" si="50"/>
        <v>8.8014566181127307</v>
      </c>
      <c r="P155" s="257">
        <v>2.5</v>
      </c>
      <c r="Q155" s="257">
        <f t="shared" si="44"/>
        <v>20</v>
      </c>
      <c r="R155" s="257">
        <f t="shared" si="45"/>
        <v>1.3998179227359087</v>
      </c>
      <c r="S155" s="257">
        <f t="shared" si="42"/>
        <v>11.198543381887269</v>
      </c>
      <c r="T155" s="246">
        <f t="shared" si="46"/>
        <v>0.55992716909436346</v>
      </c>
      <c r="U155" s="123"/>
      <c r="V155" s="268">
        <f t="shared" si="52"/>
        <v>2.5</v>
      </c>
      <c r="W155" s="269">
        <v>0.18</v>
      </c>
      <c r="X155" s="270">
        <f t="shared" si="53"/>
        <v>3.0487804878048776</v>
      </c>
      <c r="Y155" s="271">
        <f t="shared" si="54"/>
        <v>0.54878048780487798</v>
      </c>
      <c r="Z155" s="267">
        <f t="shared" si="55"/>
        <v>4.939024390243902E-2</v>
      </c>
      <c r="AA155" s="271">
        <f t="shared" si="56"/>
        <v>0.59817073170731705</v>
      </c>
      <c r="AB155" s="271">
        <f t="shared" si="57"/>
        <v>2.4506097560975606</v>
      </c>
      <c r="AC155" s="284">
        <f t="shared" si="58"/>
        <v>0.55105782365934064</v>
      </c>
      <c r="AD155" s="285">
        <f t="shared" si="59"/>
        <v>-8.869345435022824E-3</v>
      </c>
      <c r="AE155" s="221" t="s">
        <v>269</v>
      </c>
    </row>
    <row r="156" spans="1:31" ht="40" customHeight="1" x14ac:dyDescent="0.2">
      <c r="A156" s="123">
        <v>152</v>
      </c>
      <c r="B156" s="274" t="s">
        <v>149</v>
      </c>
      <c r="C156" s="123">
        <v>1</v>
      </c>
      <c r="D156" s="123">
        <v>8</v>
      </c>
      <c r="E156" s="123">
        <f t="shared" si="47"/>
        <v>8</v>
      </c>
      <c r="F156" s="123" t="s">
        <v>269</v>
      </c>
      <c r="G156" s="123" t="s">
        <v>269</v>
      </c>
      <c r="H156" s="257">
        <v>25.5</v>
      </c>
      <c r="I156" s="257">
        <f t="shared" si="48"/>
        <v>3.1875</v>
      </c>
      <c r="J156" s="257">
        <f t="shared" si="61"/>
        <v>25.5</v>
      </c>
      <c r="K156" s="257"/>
      <c r="L156" s="257">
        <f t="shared" si="43"/>
        <v>1.0093413552881572</v>
      </c>
      <c r="M156" s="257">
        <f t="shared" si="49"/>
        <v>8.0747308423052573</v>
      </c>
      <c r="N156" s="257">
        <f t="shared" si="51"/>
        <v>1.1001820772640913</v>
      </c>
      <c r="O156" s="257">
        <f t="shared" si="50"/>
        <v>8.8014566181127307</v>
      </c>
      <c r="P156" s="257">
        <v>2.5</v>
      </c>
      <c r="Q156" s="257">
        <f t="shared" si="44"/>
        <v>20</v>
      </c>
      <c r="R156" s="257">
        <f t="shared" si="45"/>
        <v>1.3998179227359087</v>
      </c>
      <c r="S156" s="257">
        <f t="shared" si="42"/>
        <v>11.198543381887269</v>
      </c>
      <c r="T156" s="246">
        <f t="shared" si="46"/>
        <v>0.55992716909436346</v>
      </c>
      <c r="U156" s="123"/>
      <c r="V156" s="268">
        <f t="shared" si="52"/>
        <v>2.5</v>
      </c>
      <c r="W156" s="269">
        <v>0.18</v>
      </c>
      <c r="X156" s="270">
        <f t="shared" si="53"/>
        <v>3.0487804878048776</v>
      </c>
      <c r="Y156" s="271">
        <f t="shared" si="54"/>
        <v>0.54878048780487798</v>
      </c>
      <c r="Z156" s="267">
        <f t="shared" si="55"/>
        <v>4.939024390243902E-2</v>
      </c>
      <c r="AA156" s="271">
        <f t="shared" si="56"/>
        <v>0.59817073170731705</v>
      </c>
      <c r="AB156" s="271">
        <f t="shared" si="57"/>
        <v>2.4506097560975606</v>
      </c>
      <c r="AC156" s="284">
        <f t="shared" si="58"/>
        <v>0.55105782365934064</v>
      </c>
      <c r="AD156" s="285">
        <f t="shared" si="59"/>
        <v>-8.869345435022824E-3</v>
      </c>
      <c r="AE156" s="221" t="s">
        <v>269</v>
      </c>
    </row>
    <row r="157" spans="1:31" ht="40" customHeight="1" x14ac:dyDescent="0.2">
      <c r="A157" s="123">
        <v>153</v>
      </c>
      <c r="B157" s="274" t="s">
        <v>150</v>
      </c>
      <c r="C157" s="123">
        <v>1</v>
      </c>
      <c r="D157" s="123">
        <v>8</v>
      </c>
      <c r="E157" s="123">
        <f t="shared" si="47"/>
        <v>8</v>
      </c>
      <c r="F157" s="123" t="s">
        <v>269</v>
      </c>
      <c r="G157" s="123" t="s">
        <v>269</v>
      </c>
      <c r="H157" s="257">
        <v>25.5</v>
      </c>
      <c r="I157" s="257">
        <f t="shared" si="48"/>
        <v>3.1875</v>
      </c>
      <c r="J157" s="257">
        <f t="shared" si="61"/>
        <v>25.5</v>
      </c>
      <c r="K157" s="257"/>
      <c r="L157" s="257">
        <f t="shared" si="43"/>
        <v>1.0093413552881572</v>
      </c>
      <c r="M157" s="257">
        <f t="shared" si="49"/>
        <v>8.0747308423052573</v>
      </c>
      <c r="N157" s="257">
        <f t="shared" si="51"/>
        <v>1.1001820772640913</v>
      </c>
      <c r="O157" s="257">
        <f t="shared" si="50"/>
        <v>8.8014566181127307</v>
      </c>
      <c r="P157" s="257">
        <v>2.5</v>
      </c>
      <c r="Q157" s="257">
        <f t="shared" si="44"/>
        <v>20</v>
      </c>
      <c r="R157" s="257">
        <f t="shared" si="45"/>
        <v>1.3998179227359087</v>
      </c>
      <c r="S157" s="257">
        <f t="shared" si="42"/>
        <v>11.198543381887269</v>
      </c>
      <c r="T157" s="246">
        <f t="shared" si="46"/>
        <v>0.55992716909436346</v>
      </c>
      <c r="U157" s="123"/>
      <c r="V157" s="268">
        <f t="shared" si="52"/>
        <v>2.5</v>
      </c>
      <c r="W157" s="269">
        <v>0.18</v>
      </c>
      <c r="X157" s="270">
        <f t="shared" si="53"/>
        <v>3.0487804878048776</v>
      </c>
      <c r="Y157" s="271">
        <f t="shared" si="54"/>
        <v>0.54878048780487798</v>
      </c>
      <c r="Z157" s="267">
        <f t="shared" si="55"/>
        <v>4.939024390243902E-2</v>
      </c>
      <c r="AA157" s="271">
        <f t="shared" si="56"/>
        <v>0.59817073170731705</v>
      </c>
      <c r="AB157" s="271">
        <f t="shared" si="57"/>
        <v>2.4506097560975606</v>
      </c>
      <c r="AC157" s="284">
        <f t="shared" si="58"/>
        <v>0.55105782365934064</v>
      </c>
      <c r="AD157" s="285">
        <f t="shared" si="59"/>
        <v>-8.869345435022824E-3</v>
      </c>
      <c r="AE157" s="221" t="s">
        <v>269</v>
      </c>
    </row>
    <row r="158" spans="1:31" ht="40" customHeight="1" x14ac:dyDescent="0.2">
      <c r="A158" s="123">
        <v>154</v>
      </c>
      <c r="B158" s="274" t="s">
        <v>151</v>
      </c>
      <c r="C158" s="123">
        <v>1</v>
      </c>
      <c r="D158" s="123">
        <v>8</v>
      </c>
      <c r="E158" s="123">
        <f t="shared" si="47"/>
        <v>8</v>
      </c>
      <c r="F158" s="123" t="s">
        <v>269</v>
      </c>
      <c r="G158" s="123" t="s">
        <v>269</v>
      </c>
      <c r="H158" s="257">
        <v>25.5</v>
      </c>
      <c r="I158" s="257">
        <f t="shared" si="48"/>
        <v>3.1875</v>
      </c>
      <c r="J158" s="257">
        <f t="shared" si="61"/>
        <v>25.5</v>
      </c>
      <c r="K158" s="257"/>
      <c r="L158" s="257">
        <f t="shared" si="43"/>
        <v>1.0093413552881572</v>
      </c>
      <c r="M158" s="257">
        <f t="shared" si="49"/>
        <v>8.0747308423052573</v>
      </c>
      <c r="N158" s="257">
        <f t="shared" si="51"/>
        <v>1.1001820772640913</v>
      </c>
      <c r="O158" s="257">
        <f t="shared" si="50"/>
        <v>8.8014566181127307</v>
      </c>
      <c r="P158" s="257">
        <v>2.5</v>
      </c>
      <c r="Q158" s="257">
        <f t="shared" si="44"/>
        <v>20</v>
      </c>
      <c r="R158" s="257">
        <f t="shared" si="45"/>
        <v>1.3998179227359087</v>
      </c>
      <c r="S158" s="257">
        <f t="shared" si="42"/>
        <v>11.198543381887269</v>
      </c>
      <c r="T158" s="246">
        <f t="shared" si="46"/>
        <v>0.55992716909436346</v>
      </c>
      <c r="U158" s="123"/>
      <c r="V158" s="268">
        <f t="shared" si="52"/>
        <v>2.5</v>
      </c>
      <c r="W158" s="269">
        <v>0.18</v>
      </c>
      <c r="X158" s="270">
        <f t="shared" si="53"/>
        <v>3.0487804878048776</v>
      </c>
      <c r="Y158" s="271">
        <f t="shared" si="54"/>
        <v>0.54878048780487798</v>
      </c>
      <c r="Z158" s="267">
        <f t="shared" si="55"/>
        <v>4.939024390243902E-2</v>
      </c>
      <c r="AA158" s="271">
        <f t="shared" si="56"/>
        <v>0.59817073170731705</v>
      </c>
      <c r="AB158" s="271">
        <f t="shared" si="57"/>
        <v>2.4506097560975606</v>
      </c>
      <c r="AC158" s="284">
        <f t="shared" si="58"/>
        <v>0.55105782365934064</v>
      </c>
      <c r="AD158" s="285">
        <f t="shared" si="59"/>
        <v>-8.869345435022824E-3</v>
      </c>
      <c r="AE158" s="221" t="s">
        <v>269</v>
      </c>
    </row>
    <row r="159" spans="1:31" ht="40" customHeight="1" x14ac:dyDescent="0.2">
      <c r="A159" s="123">
        <v>155</v>
      </c>
      <c r="B159" s="274" t="s">
        <v>153</v>
      </c>
      <c r="C159" s="123">
        <v>1</v>
      </c>
      <c r="D159" s="123">
        <v>16</v>
      </c>
      <c r="E159" s="123">
        <f t="shared" si="47"/>
        <v>16</v>
      </c>
      <c r="F159" s="123" t="s">
        <v>269</v>
      </c>
      <c r="G159" s="123" t="s">
        <v>269</v>
      </c>
      <c r="H159" s="257">
        <v>36.200000000000003</v>
      </c>
      <c r="I159" s="257">
        <f t="shared" si="48"/>
        <v>2.2625000000000002</v>
      </c>
      <c r="J159" s="257">
        <f t="shared" si="61"/>
        <v>36.200000000000003</v>
      </c>
      <c r="K159" s="257"/>
      <c r="L159" s="257">
        <f t="shared" si="43"/>
        <v>0.7164344521849273</v>
      </c>
      <c r="M159" s="257">
        <f t="shared" si="49"/>
        <v>11.462951234958837</v>
      </c>
      <c r="N159" s="257">
        <f t="shared" si="51"/>
        <v>0.78091355288157083</v>
      </c>
      <c r="O159" s="257">
        <f t="shared" si="50"/>
        <v>12.494616846105133</v>
      </c>
      <c r="P159" s="257">
        <v>1.25</v>
      </c>
      <c r="Q159" s="257">
        <f t="shared" si="44"/>
        <v>20</v>
      </c>
      <c r="R159" s="257">
        <f t="shared" si="45"/>
        <v>0.46908644711842917</v>
      </c>
      <c r="S159" s="257">
        <f t="shared" si="42"/>
        <v>7.5053831538948668</v>
      </c>
      <c r="T159" s="246">
        <f t="shared" si="46"/>
        <v>0.37526915769474334</v>
      </c>
      <c r="U159" s="123"/>
      <c r="V159" s="268">
        <f t="shared" si="52"/>
        <v>1.25</v>
      </c>
      <c r="W159" s="269">
        <v>0.18</v>
      </c>
      <c r="X159" s="270">
        <f t="shared" si="53"/>
        <v>1.5243902439024388</v>
      </c>
      <c r="Y159" s="271">
        <f t="shared" si="54"/>
        <v>0.27439024390243899</v>
      </c>
      <c r="Z159" s="267">
        <f t="shared" si="55"/>
        <v>2.469512195121951E-2</v>
      </c>
      <c r="AA159" s="271">
        <f t="shared" si="56"/>
        <v>0.29908536585365852</v>
      </c>
      <c r="AB159" s="271">
        <f t="shared" si="57"/>
        <v>1.2253048780487803</v>
      </c>
      <c r="AC159" s="284">
        <f t="shared" si="58"/>
        <v>0.36267816535169128</v>
      </c>
      <c r="AD159" s="285">
        <f t="shared" si="59"/>
        <v>-1.2590992343052054E-2</v>
      </c>
      <c r="AE159" s="221">
        <v>1.05</v>
      </c>
    </row>
    <row r="160" spans="1:31" ht="40" customHeight="1" x14ac:dyDescent="0.2">
      <c r="A160" s="123">
        <v>156</v>
      </c>
      <c r="B160" s="274" t="s">
        <v>154</v>
      </c>
      <c r="C160" s="123">
        <v>1</v>
      </c>
      <c r="D160" s="123">
        <v>30</v>
      </c>
      <c r="E160" s="123">
        <f t="shared" si="47"/>
        <v>30</v>
      </c>
      <c r="F160" s="123" t="s">
        <v>269</v>
      </c>
      <c r="G160" s="123" t="s">
        <v>269</v>
      </c>
      <c r="H160" s="257">
        <v>40.5</v>
      </c>
      <c r="I160" s="257">
        <f t="shared" si="48"/>
        <v>1.35</v>
      </c>
      <c r="J160" s="257">
        <f t="shared" si="61"/>
        <v>40.5</v>
      </c>
      <c r="K160" s="257"/>
      <c r="L160" s="257">
        <f t="shared" si="43"/>
        <v>0.42748575047498422</v>
      </c>
      <c r="M160" s="257">
        <f t="shared" si="49"/>
        <v>12.824572514249525</v>
      </c>
      <c r="N160" s="257">
        <f t="shared" si="51"/>
        <v>0.4659594680177328</v>
      </c>
      <c r="O160" s="257">
        <f t="shared" si="50"/>
        <v>13.978784040531984</v>
      </c>
      <c r="P160" s="257">
        <v>0.8</v>
      </c>
      <c r="Q160" s="257">
        <f t="shared" si="44"/>
        <v>24</v>
      </c>
      <c r="R160" s="257">
        <f t="shared" si="45"/>
        <v>0.33404053198226724</v>
      </c>
      <c r="S160" s="257">
        <f t="shared" si="42"/>
        <v>10.021215959468016</v>
      </c>
      <c r="T160" s="246">
        <f t="shared" si="46"/>
        <v>0.41755066497783405</v>
      </c>
      <c r="U160" s="123"/>
      <c r="V160" s="268">
        <f t="shared" si="52"/>
        <v>0.8</v>
      </c>
      <c r="W160" s="269">
        <v>0.18</v>
      </c>
      <c r="X160" s="270">
        <f t="shared" si="53"/>
        <v>0.97560975609756095</v>
      </c>
      <c r="Y160" s="271">
        <f t="shared" si="54"/>
        <v>0.17560975609756097</v>
      </c>
      <c r="Z160" s="267">
        <f t="shared" si="55"/>
        <v>1.5804878048780488E-2</v>
      </c>
      <c r="AA160" s="271">
        <f t="shared" si="56"/>
        <v>0.19141463414634147</v>
      </c>
      <c r="AB160" s="271">
        <f t="shared" si="57"/>
        <v>0.78419512195121954</v>
      </c>
      <c r="AC160" s="284">
        <f t="shared" si="58"/>
        <v>0.40581182543148031</v>
      </c>
      <c r="AD160" s="285">
        <f t="shared" si="59"/>
        <v>-1.1738839546353741E-2</v>
      </c>
      <c r="AE160" s="221">
        <v>1.05</v>
      </c>
    </row>
    <row r="161" spans="1:31" ht="40" customHeight="1" x14ac:dyDescent="0.2">
      <c r="A161" s="123">
        <v>157</v>
      </c>
      <c r="B161" s="274" t="s">
        <v>155</v>
      </c>
      <c r="C161" s="123">
        <v>1</v>
      </c>
      <c r="D161" s="123">
        <v>16</v>
      </c>
      <c r="E161" s="123">
        <f t="shared" si="47"/>
        <v>16</v>
      </c>
      <c r="F161" s="123" t="s">
        <v>269</v>
      </c>
      <c r="G161" s="123" t="s">
        <v>269</v>
      </c>
      <c r="H161" s="257">
        <v>60</v>
      </c>
      <c r="I161" s="257">
        <f t="shared" si="48"/>
        <v>3.75</v>
      </c>
      <c r="J161" s="257">
        <f t="shared" si="61"/>
        <v>60</v>
      </c>
      <c r="K161" s="257"/>
      <c r="L161" s="257">
        <f t="shared" si="43"/>
        <v>1.1874604179860671</v>
      </c>
      <c r="M161" s="257">
        <f t="shared" si="49"/>
        <v>18.999366687777073</v>
      </c>
      <c r="N161" s="257">
        <f t="shared" si="51"/>
        <v>1.2943318556048131</v>
      </c>
      <c r="O161" s="257">
        <f t="shared" si="50"/>
        <v>20.70930968967701</v>
      </c>
      <c r="P161" s="257">
        <v>2</v>
      </c>
      <c r="Q161" s="257">
        <f t="shared" si="44"/>
        <v>32</v>
      </c>
      <c r="R161" s="257">
        <f t="shared" si="45"/>
        <v>0.70566814439518688</v>
      </c>
      <c r="S161" s="257">
        <f t="shared" si="42"/>
        <v>11.29069031032299</v>
      </c>
      <c r="T161" s="246">
        <f t="shared" si="46"/>
        <v>0.35283407219759344</v>
      </c>
      <c r="U161" s="123"/>
      <c r="V161" s="268">
        <f t="shared" si="52"/>
        <v>2</v>
      </c>
      <c r="W161" s="269">
        <v>0.18</v>
      </c>
      <c r="X161" s="270">
        <f t="shared" si="53"/>
        <v>2.4390243902439024</v>
      </c>
      <c r="Y161" s="271">
        <f t="shared" si="54"/>
        <v>0.43902439024390244</v>
      </c>
      <c r="Z161" s="267">
        <f t="shared" si="55"/>
        <v>3.951219512195122E-2</v>
      </c>
      <c r="AA161" s="271">
        <f t="shared" si="56"/>
        <v>0.47853658536585364</v>
      </c>
      <c r="AB161" s="271">
        <f t="shared" si="57"/>
        <v>1.9604878048780487</v>
      </c>
      <c r="AC161" s="284">
        <f t="shared" si="58"/>
        <v>0.33979091714608933</v>
      </c>
      <c r="AD161" s="285">
        <f t="shared" si="59"/>
        <v>-1.3043155051504107E-2</v>
      </c>
      <c r="AE161" s="221" t="s">
        <v>269</v>
      </c>
    </row>
    <row r="162" spans="1:31" ht="40" customHeight="1" x14ac:dyDescent="0.2">
      <c r="A162" s="123">
        <v>158</v>
      </c>
      <c r="B162" s="274" t="s">
        <v>222</v>
      </c>
      <c r="C162" s="123">
        <v>1</v>
      </c>
      <c r="D162" s="123">
        <v>24</v>
      </c>
      <c r="E162" s="123">
        <f t="shared" si="47"/>
        <v>24</v>
      </c>
      <c r="F162" s="123" t="s">
        <v>269</v>
      </c>
      <c r="G162" s="123" t="s">
        <v>269</v>
      </c>
      <c r="H162" s="257">
        <f t="shared" ref="H162:H168" si="62">91.2*0.95</f>
        <v>86.64</v>
      </c>
      <c r="I162" s="257">
        <f t="shared" si="48"/>
        <v>3.61</v>
      </c>
      <c r="J162" s="257">
        <f t="shared" si="61"/>
        <v>86.64</v>
      </c>
      <c r="K162" s="257"/>
      <c r="L162" s="257">
        <f t="shared" si="43"/>
        <v>1.1431285623812539</v>
      </c>
      <c r="M162" s="257">
        <f t="shared" si="49"/>
        <v>27.435085497150094</v>
      </c>
      <c r="N162" s="257">
        <f t="shared" si="51"/>
        <v>1.2460101329955668</v>
      </c>
      <c r="O162" s="257">
        <f t="shared" si="50"/>
        <v>29.904243191893606</v>
      </c>
      <c r="P162" s="257">
        <v>1.95</v>
      </c>
      <c r="Q162" s="257">
        <f t="shared" si="44"/>
        <v>46.8</v>
      </c>
      <c r="R162" s="257">
        <f t="shared" si="45"/>
        <v>0.70398986700443311</v>
      </c>
      <c r="S162" s="257">
        <f t="shared" si="42"/>
        <v>16.895756808106391</v>
      </c>
      <c r="T162" s="246">
        <f t="shared" si="46"/>
        <v>0.36102044461765803</v>
      </c>
      <c r="U162" s="123"/>
      <c r="V162" s="268">
        <f t="shared" si="52"/>
        <v>1.95</v>
      </c>
      <c r="W162" s="269">
        <v>0.18</v>
      </c>
      <c r="X162" s="270">
        <f t="shared" si="53"/>
        <v>2.3780487804878048</v>
      </c>
      <c r="Y162" s="271">
        <f t="shared" si="54"/>
        <v>0.42804878048780487</v>
      </c>
      <c r="Z162" s="267">
        <f t="shared" si="55"/>
        <v>3.8524390243902439E-2</v>
      </c>
      <c r="AA162" s="271">
        <f t="shared" si="56"/>
        <v>0.46657317073170729</v>
      </c>
      <c r="AB162" s="271">
        <f t="shared" si="57"/>
        <v>1.9114756097560974</v>
      </c>
      <c r="AC162" s="284">
        <f t="shared" si="58"/>
        <v>0.34814227990355756</v>
      </c>
      <c r="AD162" s="285">
        <f t="shared" si="59"/>
        <v>-1.2878164714100471E-2</v>
      </c>
      <c r="AE162" s="221" t="s">
        <v>269</v>
      </c>
    </row>
    <row r="163" spans="1:31" ht="40" customHeight="1" x14ac:dyDescent="0.2">
      <c r="A163" s="123">
        <v>159</v>
      </c>
      <c r="B163" s="274" t="s">
        <v>223</v>
      </c>
      <c r="C163" s="123">
        <v>1</v>
      </c>
      <c r="D163" s="123">
        <v>24</v>
      </c>
      <c r="E163" s="123">
        <f t="shared" si="47"/>
        <v>24</v>
      </c>
      <c r="F163" s="123" t="s">
        <v>269</v>
      </c>
      <c r="G163" s="123" t="s">
        <v>269</v>
      </c>
      <c r="H163" s="257">
        <f t="shared" si="62"/>
        <v>86.64</v>
      </c>
      <c r="I163" s="257">
        <f t="shared" si="48"/>
        <v>3.61</v>
      </c>
      <c r="J163" s="257">
        <f t="shared" si="61"/>
        <v>86.64</v>
      </c>
      <c r="K163" s="257"/>
      <c r="L163" s="257">
        <f t="shared" si="43"/>
        <v>1.1431285623812539</v>
      </c>
      <c r="M163" s="257">
        <f t="shared" si="49"/>
        <v>27.435085497150094</v>
      </c>
      <c r="N163" s="257">
        <f t="shared" si="51"/>
        <v>1.2460101329955668</v>
      </c>
      <c r="O163" s="257">
        <f t="shared" si="50"/>
        <v>29.904243191893606</v>
      </c>
      <c r="P163" s="257">
        <v>1.95</v>
      </c>
      <c r="Q163" s="257">
        <f t="shared" si="44"/>
        <v>46.8</v>
      </c>
      <c r="R163" s="257">
        <f t="shared" si="45"/>
        <v>0.70398986700443311</v>
      </c>
      <c r="S163" s="257">
        <f t="shared" si="42"/>
        <v>16.895756808106391</v>
      </c>
      <c r="T163" s="246">
        <f t="shared" si="46"/>
        <v>0.36102044461765803</v>
      </c>
      <c r="U163" s="123"/>
      <c r="V163" s="268">
        <f t="shared" si="52"/>
        <v>1.95</v>
      </c>
      <c r="W163" s="269">
        <v>0.18</v>
      </c>
      <c r="X163" s="270">
        <f t="shared" si="53"/>
        <v>2.3780487804878048</v>
      </c>
      <c r="Y163" s="271">
        <f t="shared" si="54"/>
        <v>0.42804878048780487</v>
      </c>
      <c r="Z163" s="267">
        <f t="shared" si="55"/>
        <v>3.8524390243902439E-2</v>
      </c>
      <c r="AA163" s="271">
        <f t="shared" si="56"/>
        <v>0.46657317073170729</v>
      </c>
      <c r="AB163" s="271">
        <f t="shared" si="57"/>
        <v>1.9114756097560974</v>
      </c>
      <c r="AC163" s="284">
        <f t="shared" si="58"/>
        <v>0.34814227990355756</v>
      </c>
      <c r="AD163" s="285">
        <f t="shared" si="59"/>
        <v>-1.2878164714100471E-2</v>
      </c>
      <c r="AE163" s="221" t="s">
        <v>269</v>
      </c>
    </row>
    <row r="164" spans="1:31" ht="40" customHeight="1" x14ac:dyDescent="0.2">
      <c r="A164" s="123">
        <v>160</v>
      </c>
      <c r="B164" s="274" t="s">
        <v>224</v>
      </c>
      <c r="C164" s="123">
        <v>1</v>
      </c>
      <c r="D164" s="123">
        <v>24</v>
      </c>
      <c r="E164" s="123">
        <f t="shared" si="47"/>
        <v>24</v>
      </c>
      <c r="F164" s="123" t="s">
        <v>269</v>
      </c>
      <c r="G164" s="123" t="s">
        <v>269</v>
      </c>
      <c r="H164" s="257">
        <f t="shared" si="62"/>
        <v>86.64</v>
      </c>
      <c r="I164" s="257">
        <f t="shared" si="48"/>
        <v>3.61</v>
      </c>
      <c r="J164" s="257">
        <f t="shared" si="61"/>
        <v>86.64</v>
      </c>
      <c r="K164" s="257"/>
      <c r="L164" s="257">
        <f t="shared" si="43"/>
        <v>1.1431285623812539</v>
      </c>
      <c r="M164" s="257">
        <f t="shared" si="49"/>
        <v>27.435085497150094</v>
      </c>
      <c r="N164" s="257">
        <f t="shared" si="51"/>
        <v>1.2460101329955668</v>
      </c>
      <c r="O164" s="257">
        <f t="shared" si="50"/>
        <v>29.904243191893606</v>
      </c>
      <c r="P164" s="257">
        <v>1.95</v>
      </c>
      <c r="Q164" s="257">
        <f t="shared" si="44"/>
        <v>46.8</v>
      </c>
      <c r="R164" s="257">
        <f t="shared" si="45"/>
        <v>0.70398986700443311</v>
      </c>
      <c r="S164" s="257">
        <f t="shared" si="42"/>
        <v>16.895756808106391</v>
      </c>
      <c r="T164" s="246">
        <f t="shared" si="46"/>
        <v>0.36102044461765803</v>
      </c>
      <c r="U164" s="123"/>
      <c r="V164" s="268">
        <f t="shared" si="52"/>
        <v>1.95</v>
      </c>
      <c r="W164" s="269">
        <v>0.18</v>
      </c>
      <c r="X164" s="270">
        <f t="shared" si="53"/>
        <v>2.3780487804878048</v>
      </c>
      <c r="Y164" s="271">
        <f t="shared" si="54"/>
        <v>0.42804878048780487</v>
      </c>
      <c r="Z164" s="267">
        <f t="shared" si="55"/>
        <v>3.8524390243902439E-2</v>
      </c>
      <c r="AA164" s="271">
        <f t="shared" si="56"/>
        <v>0.46657317073170729</v>
      </c>
      <c r="AB164" s="271">
        <f t="shared" si="57"/>
        <v>1.9114756097560974</v>
      </c>
      <c r="AC164" s="284">
        <f t="shared" si="58"/>
        <v>0.34814227990355756</v>
      </c>
      <c r="AD164" s="285">
        <f t="shared" si="59"/>
        <v>-1.2878164714100471E-2</v>
      </c>
      <c r="AE164" s="221" t="s">
        <v>269</v>
      </c>
    </row>
    <row r="165" spans="1:31" ht="40" customHeight="1" x14ac:dyDescent="0.2">
      <c r="A165" s="123">
        <v>161</v>
      </c>
      <c r="B165" s="274" t="s">
        <v>225</v>
      </c>
      <c r="C165" s="123">
        <v>1</v>
      </c>
      <c r="D165" s="123">
        <v>24</v>
      </c>
      <c r="E165" s="123">
        <f t="shared" si="47"/>
        <v>24</v>
      </c>
      <c r="F165" s="123" t="s">
        <v>269</v>
      </c>
      <c r="G165" s="123" t="s">
        <v>269</v>
      </c>
      <c r="H165" s="257">
        <f t="shared" si="62"/>
        <v>86.64</v>
      </c>
      <c r="I165" s="257">
        <f t="shared" si="48"/>
        <v>3.61</v>
      </c>
      <c r="J165" s="257">
        <f t="shared" si="61"/>
        <v>86.64</v>
      </c>
      <c r="K165" s="257"/>
      <c r="L165" s="257">
        <f t="shared" si="43"/>
        <v>1.1431285623812539</v>
      </c>
      <c r="M165" s="257">
        <f t="shared" si="49"/>
        <v>27.435085497150094</v>
      </c>
      <c r="N165" s="257">
        <f t="shared" si="51"/>
        <v>1.2460101329955668</v>
      </c>
      <c r="O165" s="257">
        <f t="shared" si="50"/>
        <v>29.904243191893606</v>
      </c>
      <c r="P165" s="257">
        <v>1.95</v>
      </c>
      <c r="Q165" s="257">
        <f t="shared" si="44"/>
        <v>46.8</v>
      </c>
      <c r="R165" s="257">
        <f t="shared" si="45"/>
        <v>0.70398986700443311</v>
      </c>
      <c r="S165" s="257">
        <f t="shared" si="42"/>
        <v>16.895756808106391</v>
      </c>
      <c r="T165" s="246">
        <f t="shared" si="46"/>
        <v>0.36102044461765803</v>
      </c>
      <c r="U165" s="123"/>
      <c r="V165" s="268">
        <f t="shared" si="52"/>
        <v>1.95</v>
      </c>
      <c r="W165" s="269">
        <v>0.18</v>
      </c>
      <c r="X165" s="270">
        <f t="shared" si="53"/>
        <v>2.3780487804878048</v>
      </c>
      <c r="Y165" s="271">
        <f t="shared" si="54"/>
        <v>0.42804878048780487</v>
      </c>
      <c r="Z165" s="267">
        <f t="shared" si="55"/>
        <v>3.8524390243902439E-2</v>
      </c>
      <c r="AA165" s="271">
        <f t="shared" si="56"/>
        <v>0.46657317073170729</v>
      </c>
      <c r="AB165" s="271">
        <f t="shared" si="57"/>
        <v>1.9114756097560974</v>
      </c>
      <c r="AC165" s="284">
        <f t="shared" si="58"/>
        <v>0.34814227990355756</v>
      </c>
      <c r="AD165" s="285">
        <f t="shared" si="59"/>
        <v>-1.2878164714100471E-2</v>
      </c>
      <c r="AE165" s="221" t="s">
        <v>269</v>
      </c>
    </row>
    <row r="166" spans="1:31" ht="40" customHeight="1" x14ac:dyDescent="0.2">
      <c r="A166" s="123">
        <v>162</v>
      </c>
      <c r="B166" s="274" t="s">
        <v>160</v>
      </c>
      <c r="C166" s="123">
        <v>1</v>
      </c>
      <c r="D166" s="123">
        <v>24</v>
      </c>
      <c r="E166" s="123">
        <f t="shared" si="47"/>
        <v>24</v>
      </c>
      <c r="F166" s="123" t="s">
        <v>269</v>
      </c>
      <c r="G166" s="123" t="s">
        <v>269</v>
      </c>
      <c r="H166" s="257">
        <f t="shared" si="62"/>
        <v>86.64</v>
      </c>
      <c r="I166" s="257">
        <f t="shared" si="48"/>
        <v>3.61</v>
      </c>
      <c r="J166" s="257">
        <f t="shared" si="61"/>
        <v>86.64</v>
      </c>
      <c r="K166" s="257"/>
      <c r="L166" s="257">
        <f t="shared" si="43"/>
        <v>1.1431285623812539</v>
      </c>
      <c r="M166" s="257">
        <f t="shared" si="49"/>
        <v>27.435085497150094</v>
      </c>
      <c r="N166" s="257">
        <f t="shared" si="51"/>
        <v>1.2460101329955668</v>
      </c>
      <c r="O166" s="257">
        <f t="shared" si="50"/>
        <v>29.904243191893606</v>
      </c>
      <c r="P166" s="257">
        <v>1.95</v>
      </c>
      <c r="Q166" s="257">
        <f t="shared" si="44"/>
        <v>46.8</v>
      </c>
      <c r="R166" s="257">
        <f t="shared" si="45"/>
        <v>0.70398986700443311</v>
      </c>
      <c r="S166" s="257">
        <f t="shared" si="42"/>
        <v>16.895756808106391</v>
      </c>
      <c r="T166" s="246">
        <f t="shared" si="46"/>
        <v>0.36102044461765803</v>
      </c>
      <c r="U166" s="123"/>
      <c r="V166" s="268">
        <f t="shared" si="52"/>
        <v>1.95</v>
      </c>
      <c r="W166" s="269">
        <v>0.18</v>
      </c>
      <c r="X166" s="270">
        <f t="shared" si="53"/>
        <v>2.3780487804878048</v>
      </c>
      <c r="Y166" s="271">
        <f t="shared" si="54"/>
        <v>0.42804878048780487</v>
      </c>
      <c r="Z166" s="267">
        <f t="shared" si="55"/>
        <v>3.8524390243902439E-2</v>
      </c>
      <c r="AA166" s="271">
        <f t="shared" si="56"/>
        <v>0.46657317073170729</v>
      </c>
      <c r="AB166" s="271">
        <f t="shared" si="57"/>
        <v>1.9114756097560974</v>
      </c>
      <c r="AC166" s="284">
        <f t="shared" si="58"/>
        <v>0.34814227990355756</v>
      </c>
      <c r="AD166" s="285">
        <f t="shared" si="59"/>
        <v>-1.2878164714100471E-2</v>
      </c>
      <c r="AE166" s="221" t="s">
        <v>269</v>
      </c>
    </row>
    <row r="167" spans="1:31" ht="40" customHeight="1" x14ac:dyDescent="0.2">
      <c r="A167" s="123">
        <v>163</v>
      </c>
      <c r="B167" s="274" t="s">
        <v>203</v>
      </c>
      <c r="C167" s="123">
        <v>1</v>
      </c>
      <c r="D167" s="123">
        <v>24</v>
      </c>
      <c r="E167" s="123">
        <f t="shared" si="47"/>
        <v>24</v>
      </c>
      <c r="F167" s="123" t="s">
        <v>269</v>
      </c>
      <c r="G167" s="123" t="s">
        <v>269</v>
      </c>
      <c r="H167" s="257">
        <f t="shared" si="62"/>
        <v>86.64</v>
      </c>
      <c r="I167" s="257">
        <f t="shared" si="48"/>
        <v>3.61</v>
      </c>
      <c r="J167" s="257">
        <f t="shared" si="61"/>
        <v>86.64</v>
      </c>
      <c r="K167" s="257"/>
      <c r="L167" s="257">
        <f t="shared" si="43"/>
        <v>1.1431285623812539</v>
      </c>
      <c r="M167" s="257">
        <f t="shared" si="49"/>
        <v>27.435085497150094</v>
      </c>
      <c r="N167" s="257">
        <f t="shared" si="51"/>
        <v>1.2460101329955668</v>
      </c>
      <c r="O167" s="257">
        <f t="shared" si="50"/>
        <v>29.904243191893606</v>
      </c>
      <c r="P167" s="257">
        <v>1.95</v>
      </c>
      <c r="Q167" s="257">
        <f t="shared" si="44"/>
        <v>46.8</v>
      </c>
      <c r="R167" s="257">
        <f t="shared" si="45"/>
        <v>0.70398986700443311</v>
      </c>
      <c r="S167" s="257">
        <f t="shared" si="42"/>
        <v>16.895756808106391</v>
      </c>
      <c r="T167" s="246">
        <f t="shared" si="46"/>
        <v>0.36102044461765803</v>
      </c>
      <c r="U167" s="123"/>
      <c r="V167" s="268">
        <f t="shared" si="52"/>
        <v>1.95</v>
      </c>
      <c r="W167" s="269">
        <v>0.18</v>
      </c>
      <c r="X167" s="270">
        <f t="shared" si="53"/>
        <v>2.3780487804878048</v>
      </c>
      <c r="Y167" s="271">
        <f t="shared" si="54"/>
        <v>0.42804878048780487</v>
      </c>
      <c r="Z167" s="267">
        <f t="shared" si="55"/>
        <v>3.8524390243902439E-2</v>
      </c>
      <c r="AA167" s="271">
        <f t="shared" si="56"/>
        <v>0.46657317073170729</v>
      </c>
      <c r="AB167" s="271">
        <f t="shared" si="57"/>
        <v>1.9114756097560974</v>
      </c>
      <c r="AC167" s="284">
        <f t="shared" si="58"/>
        <v>0.34814227990355756</v>
      </c>
      <c r="AD167" s="285">
        <f t="shared" si="59"/>
        <v>-1.2878164714100471E-2</v>
      </c>
      <c r="AE167" s="221" t="s">
        <v>269</v>
      </c>
    </row>
    <row r="168" spans="1:31" ht="40" customHeight="1" x14ac:dyDescent="0.2">
      <c r="A168" s="123">
        <v>164</v>
      </c>
      <c r="B168" s="274" t="s">
        <v>161</v>
      </c>
      <c r="C168" s="123">
        <v>1</v>
      </c>
      <c r="D168" s="123">
        <v>24</v>
      </c>
      <c r="E168" s="123">
        <f t="shared" si="47"/>
        <v>24</v>
      </c>
      <c r="F168" s="123" t="s">
        <v>269</v>
      </c>
      <c r="G168" s="123" t="s">
        <v>269</v>
      </c>
      <c r="H168" s="257">
        <f t="shared" si="62"/>
        <v>86.64</v>
      </c>
      <c r="I168" s="257">
        <f t="shared" si="48"/>
        <v>3.61</v>
      </c>
      <c r="J168" s="257">
        <f t="shared" si="61"/>
        <v>86.64</v>
      </c>
      <c r="K168" s="257"/>
      <c r="L168" s="257">
        <f t="shared" si="43"/>
        <v>1.1431285623812539</v>
      </c>
      <c r="M168" s="257">
        <f t="shared" si="49"/>
        <v>27.435085497150094</v>
      </c>
      <c r="N168" s="257">
        <f t="shared" si="51"/>
        <v>1.2460101329955668</v>
      </c>
      <c r="O168" s="257">
        <f t="shared" si="50"/>
        <v>29.904243191893606</v>
      </c>
      <c r="P168" s="257">
        <v>1.95</v>
      </c>
      <c r="Q168" s="257">
        <f t="shared" si="44"/>
        <v>46.8</v>
      </c>
      <c r="R168" s="257">
        <f t="shared" si="45"/>
        <v>0.70398986700443311</v>
      </c>
      <c r="S168" s="257">
        <f t="shared" si="42"/>
        <v>16.895756808106391</v>
      </c>
      <c r="T168" s="246">
        <f t="shared" si="46"/>
        <v>0.36102044461765803</v>
      </c>
      <c r="U168" s="123"/>
      <c r="V168" s="268">
        <f t="shared" si="52"/>
        <v>1.95</v>
      </c>
      <c r="W168" s="269">
        <v>0.18</v>
      </c>
      <c r="X168" s="270">
        <f t="shared" si="53"/>
        <v>2.3780487804878048</v>
      </c>
      <c r="Y168" s="271">
        <f t="shared" si="54"/>
        <v>0.42804878048780487</v>
      </c>
      <c r="Z168" s="267">
        <f t="shared" si="55"/>
        <v>3.8524390243902439E-2</v>
      </c>
      <c r="AA168" s="271">
        <f t="shared" si="56"/>
        <v>0.46657317073170729</v>
      </c>
      <c r="AB168" s="271">
        <f t="shared" si="57"/>
        <v>1.9114756097560974</v>
      </c>
      <c r="AC168" s="284">
        <f t="shared" si="58"/>
        <v>0.34814227990355756</v>
      </c>
      <c r="AD168" s="285">
        <f t="shared" si="59"/>
        <v>-1.2878164714100471E-2</v>
      </c>
      <c r="AE168" s="221" t="s">
        <v>269</v>
      </c>
    </row>
    <row r="169" spans="1:31" ht="40" customHeight="1" x14ac:dyDescent="0.2">
      <c r="A169" s="123">
        <v>165</v>
      </c>
      <c r="B169" s="274" t="s">
        <v>237</v>
      </c>
      <c r="C169" s="123">
        <v>1</v>
      </c>
      <c r="D169" s="123">
        <v>60</v>
      </c>
      <c r="E169" s="123">
        <f t="shared" si="47"/>
        <v>60</v>
      </c>
      <c r="F169" s="123" t="s">
        <v>269</v>
      </c>
      <c r="G169" s="123" t="s">
        <v>269</v>
      </c>
      <c r="H169" s="257">
        <v>79.8</v>
      </c>
      <c r="I169" s="257">
        <f t="shared" si="48"/>
        <v>1.3299999999999998</v>
      </c>
      <c r="J169" s="257">
        <f t="shared" si="61"/>
        <v>79.8</v>
      </c>
      <c r="K169" s="257"/>
      <c r="L169" s="257">
        <f t="shared" si="43"/>
        <v>0.42115262824572508</v>
      </c>
      <c r="M169" s="257">
        <f t="shared" si="49"/>
        <v>25.269157694743509</v>
      </c>
      <c r="N169" s="257">
        <f t="shared" si="51"/>
        <v>0.4590563647878404</v>
      </c>
      <c r="O169" s="257">
        <f t="shared" si="50"/>
        <v>27.543381887270424</v>
      </c>
      <c r="P169" s="257">
        <v>0.85</v>
      </c>
      <c r="Q169" s="257">
        <f t="shared" si="44"/>
        <v>51</v>
      </c>
      <c r="R169" s="257">
        <f t="shared" si="45"/>
        <v>0.39094363521215958</v>
      </c>
      <c r="S169" s="257">
        <f t="shared" si="42"/>
        <v>23.456618112729576</v>
      </c>
      <c r="T169" s="246">
        <f t="shared" si="46"/>
        <v>0.45993368848489363</v>
      </c>
      <c r="U169" s="123"/>
      <c r="V169" s="268">
        <f t="shared" si="52"/>
        <v>0.85</v>
      </c>
      <c r="W169" s="269">
        <v>0.18</v>
      </c>
      <c r="X169" s="270">
        <f t="shared" si="53"/>
        <v>1.0365853658536583</v>
      </c>
      <c r="Y169" s="271">
        <f t="shared" si="54"/>
        <v>0.18658536585365851</v>
      </c>
      <c r="Z169" s="267">
        <f t="shared" si="55"/>
        <v>1.6792682926829266E-2</v>
      </c>
      <c r="AA169" s="271">
        <f t="shared" si="56"/>
        <v>0.20337804878048776</v>
      </c>
      <c r="AB169" s="271">
        <f t="shared" si="57"/>
        <v>0.83320731707317064</v>
      </c>
      <c r="AC169" s="284">
        <f t="shared" si="58"/>
        <v>0.44904904772034432</v>
      </c>
      <c r="AD169" s="285">
        <f t="shared" si="59"/>
        <v>-1.0884640764549314E-2</v>
      </c>
      <c r="AE169" s="221" t="s">
        <v>269</v>
      </c>
    </row>
    <row r="170" spans="1:31" ht="40" customHeight="1" x14ac:dyDescent="0.2">
      <c r="A170" s="123">
        <v>166</v>
      </c>
      <c r="B170" s="274" t="s">
        <v>226</v>
      </c>
      <c r="C170" s="123">
        <v>1</v>
      </c>
      <c r="D170" s="123">
        <v>60</v>
      </c>
      <c r="E170" s="123">
        <f t="shared" si="47"/>
        <v>60</v>
      </c>
      <c r="F170" s="123" t="s">
        <v>269</v>
      </c>
      <c r="G170" s="123" t="s">
        <v>269</v>
      </c>
      <c r="H170" s="257">
        <v>79.8</v>
      </c>
      <c r="I170" s="257">
        <f t="shared" si="48"/>
        <v>1.3299999999999998</v>
      </c>
      <c r="J170" s="257">
        <f t="shared" si="61"/>
        <v>79.8</v>
      </c>
      <c r="K170" s="257"/>
      <c r="L170" s="257">
        <f t="shared" si="43"/>
        <v>0.42115262824572508</v>
      </c>
      <c r="M170" s="257">
        <f t="shared" si="49"/>
        <v>25.269157694743509</v>
      </c>
      <c r="N170" s="257">
        <f t="shared" si="51"/>
        <v>0.4590563647878404</v>
      </c>
      <c r="O170" s="257">
        <f t="shared" si="50"/>
        <v>27.543381887270424</v>
      </c>
      <c r="P170" s="257">
        <v>0.85</v>
      </c>
      <c r="Q170" s="257">
        <f t="shared" si="44"/>
        <v>51</v>
      </c>
      <c r="R170" s="257">
        <f t="shared" si="45"/>
        <v>0.39094363521215958</v>
      </c>
      <c r="S170" s="257">
        <f t="shared" si="42"/>
        <v>23.456618112729576</v>
      </c>
      <c r="T170" s="246">
        <f t="shared" si="46"/>
        <v>0.45993368848489363</v>
      </c>
      <c r="U170" s="123"/>
      <c r="V170" s="268">
        <f t="shared" si="52"/>
        <v>0.85</v>
      </c>
      <c r="W170" s="269">
        <v>0.18</v>
      </c>
      <c r="X170" s="270">
        <f t="shared" si="53"/>
        <v>1.0365853658536583</v>
      </c>
      <c r="Y170" s="271">
        <f t="shared" si="54"/>
        <v>0.18658536585365851</v>
      </c>
      <c r="Z170" s="267">
        <f t="shared" si="55"/>
        <v>1.6792682926829266E-2</v>
      </c>
      <c r="AA170" s="271">
        <f t="shared" si="56"/>
        <v>0.20337804878048776</v>
      </c>
      <c r="AB170" s="271">
        <f t="shared" si="57"/>
        <v>0.83320731707317064</v>
      </c>
      <c r="AC170" s="284">
        <f t="shared" si="58"/>
        <v>0.44904904772034432</v>
      </c>
      <c r="AD170" s="285">
        <f t="shared" si="59"/>
        <v>-1.0884640764549314E-2</v>
      </c>
      <c r="AE170" s="221" t="s">
        <v>269</v>
      </c>
    </row>
    <row r="171" spans="1:31" ht="40" customHeight="1" x14ac:dyDescent="0.2">
      <c r="A171" s="123">
        <v>167</v>
      </c>
      <c r="B171" s="274" t="s">
        <v>227</v>
      </c>
      <c r="C171" s="123">
        <v>1</v>
      </c>
      <c r="D171" s="123">
        <v>60</v>
      </c>
      <c r="E171" s="123">
        <f t="shared" si="47"/>
        <v>60</v>
      </c>
      <c r="F171" s="123" t="s">
        <v>269</v>
      </c>
      <c r="G171" s="123" t="s">
        <v>269</v>
      </c>
      <c r="H171" s="257">
        <v>79.8</v>
      </c>
      <c r="I171" s="257">
        <f t="shared" si="48"/>
        <v>1.3299999999999998</v>
      </c>
      <c r="J171" s="257">
        <f t="shared" si="61"/>
        <v>79.8</v>
      </c>
      <c r="K171" s="257"/>
      <c r="L171" s="257">
        <f t="shared" si="43"/>
        <v>0.42115262824572508</v>
      </c>
      <c r="M171" s="257">
        <f t="shared" si="49"/>
        <v>25.269157694743509</v>
      </c>
      <c r="N171" s="257">
        <f t="shared" si="51"/>
        <v>0.4590563647878404</v>
      </c>
      <c r="O171" s="257">
        <f t="shared" si="50"/>
        <v>27.543381887270424</v>
      </c>
      <c r="P171" s="257">
        <v>0.85</v>
      </c>
      <c r="Q171" s="257">
        <f t="shared" si="44"/>
        <v>51</v>
      </c>
      <c r="R171" s="257">
        <f t="shared" si="45"/>
        <v>0.39094363521215958</v>
      </c>
      <c r="S171" s="257">
        <f t="shared" si="42"/>
        <v>23.456618112729576</v>
      </c>
      <c r="T171" s="246">
        <f t="shared" si="46"/>
        <v>0.45993368848489363</v>
      </c>
      <c r="U171" s="123"/>
      <c r="V171" s="268">
        <f t="shared" si="52"/>
        <v>0.85</v>
      </c>
      <c r="W171" s="269">
        <v>0.18</v>
      </c>
      <c r="X171" s="270">
        <f t="shared" si="53"/>
        <v>1.0365853658536583</v>
      </c>
      <c r="Y171" s="271">
        <f t="shared" si="54"/>
        <v>0.18658536585365851</v>
      </c>
      <c r="Z171" s="267">
        <f t="shared" si="55"/>
        <v>1.6792682926829266E-2</v>
      </c>
      <c r="AA171" s="271">
        <f t="shared" si="56"/>
        <v>0.20337804878048776</v>
      </c>
      <c r="AB171" s="271">
        <f t="shared" si="57"/>
        <v>0.83320731707317064</v>
      </c>
      <c r="AC171" s="284">
        <f t="shared" si="58"/>
        <v>0.44904904772034432</v>
      </c>
      <c r="AD171" s="285">
        <f t="shared" si="59"/>
        <v>-1.0884640764549314E-2</v>
      </c>
      <c r="AE171" s="221" t="s">
        <v>269</v>
      </c>
    </row>
    <row r="172" spans="1:31" ht="40" customHeight="1" x14ac:dyDescent="0.2">
      <c r="A172" s="123">
        <v>168</v>
      </c>
      <c r="B172" s="274" t="s">
        <v>238</v>
      </c>
      <c r="C172" s="123">
        <v>1</v>
      </c>
      <c r="D172" s="123">
        <v>60</v>
      </c>
      <c r="E172" s="123">
        <f t="shared" si="47"/>
        <v>60</v>
      </c>
      <c r="F172" s="123" t="s">
        <v>269</v>
      </c>
      <c r="G172" s="123" t="s">
        <v>269</v>
      </c>
      <c r="H172" s="257">
        <v>79.8</v>
      </c>
      <c r="I172" s="257">
        <f t="shared" si="48"/>
        <v>1.3299999999999998</v>
      </c>
      <c r="J172" s="257">
        <f t="shared" si="61"/>
        <v>79.8</v>
      </c>
      <c r="K172" s="257"/>
      <c r="L172" s="257">
        <f t="shared" si="43"/>
        <v>0.42115262824572508</v>
      </c>
      <c r="M172" s="257">
        <f t="shared" si="49"/>
        <v>25.269157694743509</v>
      </c>
      <c r="N172" s="257">
        <f t="shared" si="51"/>
        <v>0.4590563647878404</v>
      </c>
      <c r="O172" s="257">
        <f t="shared" si="50"/>
        <v>27.543381887270424</v>
      </c>
      <c r="P172" s="257">
        <v>0.85</v>
      </c>
      <c r="Q172" s="257">
        <f t="shared" si="44"/>
        <v>51</v>
      </c>
      <c r="R172" s="257">
        <f t="shared" si="45"/>
        <v>0.39094363521215958</v>
      </c>
      <c r="S172" s="257">
        <f t="shared" si="42"/>
        <v>23.456618112729576</v>
      </c>
      <c r="T172" s="246">
        <f t="shared" si="46"/>
        <v>0.45993368848489363</v>
      </c>
      <c r="U172" s="123"/>
      <c r="V172" s="268">
        <f t="shared" si="52"/>
        <v>0.85</v>
      </c>
      <c r="W172" s="269">
        <v>0.18</v>
      </c>
      <c r="X172" s="270">
        <f t="shared" si="53"/>
        <v>1.0365853658536583</v>
      </c>
      <c r="Y172" s="271">
        <f t="shared" si="54"/>
        <v>0.18658536585365851</v>
      </c>
      <c r="Z172" s="267">
        <f t="shared" si="55"/>
        <v>1.6792682926829266E-2</v>
      </c>
      <c r="AA172" s="271">
        <f t="shared" si="56"/>
        <v>0.20337804878048776</v>
      </c>
      <c r="AB172" s="271">
        <f t="shared" si="57"/>
        <v>0.83320731707317064</v>
      </c>
      <c r="AC172" s="284">
        <f t="shared" si="58"/>
        <v>0.44904904772034432</v>
      </c>
      <c r="AD172" s="285">
        <f t="shared" si="59"/>
        <v>-1.0884640764549314E-2</v>
      </c>
      <c r="AE172" s="221" t="s">
        <v>269</v>
      </c>
    </row>
    <row r="173" spans="1:31" ht="40" customHeight="1" x14ac:dyDescent="0.2">
      <c r="A173" s="123">
        <v>169</v>
      </c>
      <c r="B173" s="274" t="s">
        <v>164</v>
      </c>
      <c r="C173" s="123">
        <v>1</v>
      </c>
      <c r="D173" s="123">
        <v>60</v>
      </c>
      <c r="E173" s="123">
        <f t="shared" si="47"/>
        <v>60</v>
      </c>
      <c r="F173" s="123" t="s">
        <v>269</v>
      </c>
      <c r="G173" s="123" t="s">
        <v>269</v>
      </c>
      <c r="H173" s="257">
        <v>79.8</v>
      </c>
      <c r="I173" s="257">
        <f t="shared" si="48"/>
        <v>1.3299999999999998</v>
      </c>
      <c r="J173" s="257">
        <f t="shared" si="61"/>
        <v>79.8</v>
      </c>
      <c r="K173" s="257"/>
      <c r="L173" s="257">
        <f t="shared" si="43"/>
        <v>0.42115262824572508</v>
      </c>
      <c r="M173" s="257">
        <f t="shared" si="49"/>
        <v>25.269157694743509</v>
      </c>
      <c r="N173" s="257">
        <f t="shared" si="51"/>
        <v>0.4590563647878404</v>
      </c>
      <c r="O173" s="257">
        <f t="shared" si="50"/>
        <v>27.543381887270424</v>
      </c>
      <c r="P173" s="257">
        <v>0.85</v>
      </c>
      <c r="Q173" s="257">
        <f t="shared" si="44"/>
        <v>51</v>
      </c>
      <c r="R173" s="257">
        <f t="shared" si="45"/>
        <v>0.39094363521215958</v>
      </c>
      <c r="S173" s="257">
        <f t="shared" si="42"/>
        <v>23.456618112729576</v>
      </c>
      <c r="T173" s="246">
        <f t="shared" si="46"/>
        <v>0.45993368848489363</v>
      </c>
      <c r="U173" s="123"/>
      <c r="V173" s="268">
        <f t="shared" si="52"/>
        <v>0.85</v>
      </c>
      <c r="W173" s="269">
        <v>0.18</v>
      </c>
      <c r="X173" s="270">
        <f t="shared" si="53"/>
        <v>1.0365853658536583</v>
      </c>
      <c r="Y173" s="271">
        <f t="shared" si="54"/>
        <v>0.18658536585365851</v>
      </c>
      <c r="Z173" s="267">
        <f t="shared" si="55"/>
        <v>1.6792682926829266E-2</v>
      </c>
      <c r="AA173" s="271">
        <f t="shared" si="56"/>
        <v>0.20337804878048776</v>
      </c>
      <c r="AB173" s="271">
        <f t="shared" si="57"/>
        <v>0.83320731707317064</v>
      </c>
      <c r="AC173" s="284">
        <f t="shared" si="58"/>
        <v>0.44904904772034432</v>
      </c>
      <c r="AD173" s="285">
        <f t="shared" si="59"/>
        <v>-1.0884640764549314E-2</v>
      </c>
      <c r="AE173" s="221" t="s">
        <v>269</v>
      </c>
    </row>
    <row r="174" spans="1:31" ht="40" customHeight="1" x14ac:dyDescent="0.2">
      <c r="A174" s="123">
        <v>170</v>
      </c>
      <c r="B174" s="274" t="s">
        <v>228</v>
      </c>
      <c r="C174" s="123">
        <v>1</v>
      </c>
      <c r="D174" s="123">
        <v>60</v>
      </c>
      <c r="E174" s="123">
        <f t="shared" si="47"/>
        <v>60</v>
      </c>
      <c r="F174" s="123" t="s">
        <v>269</v>
      </c>
      <c r="G174" s="123" t="s">
        <v>269</v>
      </c>
      <c r="H174" s="257">
        <v>79.8</v>
      </c>
      <c r="I174" s="257">
        <f t="shared" si="48"/>
        <v>1.3299999999999998</v>
      </c>
      <c r="J174" s="257">
        <f t="shared" si="61"/>
        <v>79.8</v>
      </c>
      <c r="K174" s="257"/>
      <c r="L174" s="257">
        <f t="shared" si="43"/>
        <v>0.42115262824572508</v>
      </c>
      <c r="M174" s="257">
        <f t="shared" si="49"/>
        <v>25.269157694743509</v>
      </c>
      <c r="N174" s="257">
        <f t="shared" si="51"/>
        <v>0.4590563647878404</v>
      </c>
      <c r="O174" s="257">
        <f t="shared" si="50"/>
        <v>27.543381887270424</v>
      </c>
      <c r="P174" s="257">
        <v>0.85</v>
      </c>
      <c r="Q174" s="257">
        <f t="shared" si="44"/>
        <v>51</v>
      </c>
      <c r="R174" s="257">
        <f t="shared" si="45"/>
        <v>0.39094363521215958</v>
      </c>
      <c r="S174" s="257">
        <f t="shared" si="42"/>
        <v>23.456618112729576</v>
      </c>
      <c r="T174" s="246">
        <f t="shared" si="46"/>
        <v>0.45993368848489363</v>
      </c>
      <c r="U174" s="123"/>
      <c r="V174" s="268">
        <f t="shared" si="52"/>
        <v>0.85</v>
      </c>
      <c r="W174" s="269">
        <v>0.18</v>
      </c>
      <c r="X174" s="270">
        <f t="shared" si="53"/>
        <v>1.0365853658536583</v>
      </c>
      <c r="Y174" s="271">
        <f t="shared" si="54"/>
        <v>0.18658536585365851</v>
      </c>
      <c r="Z174" s="267">
        <f t="shared" si="55"/>
        <v>1.6792682926829266E-2</v>
      </c>
      <c r="AA174" s="271">
        <f t="shared" si="56"/>
        <v>0.20337804878048776</v>
      </c>
      <c r="AB174" s="271">
        <f t="shared" si="57"/>
        <v>0.83320731707317064</v>
      </c>
      <c r="AC174" s="284">
        <f t="shared" si="58"/>
        <v>0.44904904772034432</v>
      </c>
      <c r="AD174" s="285">
        <f t="shared" si="59"/>
        <v>-1.0884640764549314E-2</v>
      </c>
      <c r="AE174" s="221" t="s">
        <v>269</v>
      </c>
    </row>
    <row r="175" spans="1:31" ht="40" customHeight="1" x14ac:dyDescent="0.2">
      <c r="A175" s="123">
        <v>171</v>
      </c>
      <c r="B175" s="274" t="s">
        <v>166</v>
      </c>
      <c r="C175" s="123">
        <v>1</v>
      </c>
      <c r="D175" s="123">
        <v>60</v>
      </c>
      <c r="E175" s="123">
        <f t="shared" si="47"/>
        <v>60</v>
      </c>
      <c r="F175" s="123" t="s">
        <v>269</v>
      </c>
      <c r="G175" s="123" t="s">
        <v>269</v>
      </c>
      <c r="H175" s="257">
        <v>79.8</v>
      </c>
      <c r="I175" s="257">
        <f t="shared" si="48"/>
        <v>1.3299999999999998</v>
      </c>
      <c r="J175" s="257">
        <f t="shared" si="61"/>
        <v>79.8</v>
      </c>
      <c r="K175" s="257"/>
      <c r="L175" s="257">
        <f t="shared" si="43"/>
        <v>0.42115262824572508</v>
      </c>
      <c r="M175" s="257">
        <f t="shared" si="49"/>
        <v>25.269157694743509</v>
      </c>
      <c r="N175" s="257">
        <f t="shared" si="51"/>
        <v>0.4590563647878404</v>
      </c>
      <c r="O175" s="257">
        <f t="shared" si="50"/>
        <v>27.543381887270424</v>
      </c>
      <c r="P175" s="257">
        <v>0.85</v>
      </c>
      <c r="Q175" s="257">
        <f t="shared" si="44"/>
        <v>51</v>
      </c>
      <c r="R175" s="257">
        <f t="shared" si="45"/>
        <v>0.39094363521215958</v>
      </c>
      <c r="S175" s="257">
        <f t="shared" si="42"/>
        <v>23.456618112729576</v>
      </c>
      <c r="T175" s="246">
        <f t="shared" si="46"/>
        <v>0.45993368848489363</v>
      </c>
      <c r="U175" s="123"/>
      <c r="V175" s="268">
        <f t="shared" si="52"/>
        <v>0.85</v>
      </c>
      <c r="W175" s="269">
        <v>0.18</v>
      </c>
      <c r="X175" s="270">
        <f t="shared" si="53"/>
        <v>1.0365853658536583</v>
      </c>
      <c r="Y175" s="271">
        <f t="shared" si="54"/>
        <v>0.18658536585365851</v>
      </c>
      <c r="Z175" s="267">
        <f t="shared" si="55"/>
        <v>1.6792682926829266E-2</v>
      </c>
      <c r="AA175" s="271">
        <f t="shared" si="56"/>
        <v>0.20337804878048776</v>
      </c>
      <c r="AB175" s="271">
        <f t="shared" si="57"/>
        <v>0.83320731707317064</v>
      </c>
      <c r="AC175" s="284">
        <f t="shared" si="58"/>
        <v>0.44904904772034432</v>
      </c>
      <c r="AD175" s="285">
        <f t="shared" si="59"/>
        <v>-1.0884640764549314E-2</v>
      </c>
      <c r="AE175" s="221" t="s">
        <v>269</v>
      </c>
    </row>
    <row r="176" spans="1:31" ht="40" customHeight="1" x14ac:dyDescent="0.2">
      <c r="A176" s="123">
        <v>172</v>
      </c>
      <c r="B176" s="274" t="s">
        <v>167</v>
      </c>
      <c r="C176" s="123">
        <v>1</v>
      </c>
      <c r="D176" s="123">
        <v>60</v>
      </c>
      <c r="E176" s="123">
        <f t="shared" si="47"/>
        <v>60</v>
      </c>
      <c r="F176" s="123" t="s">
        <v>269</v>
      </c>
      <c r="G176" s="123" t="s">
        <v>269</v>
      </c>
      <c r="H176" s="257">
        <v>79.8</v>
      </c>
      <c r="I176" s="257">
        <f t="shared" si="48"/>
        <v>1.3299999999999998</v>
      </c>
      <c r="J176" s="257">
        <f t="shared" si="61"/>
        <v>79.8</v>
      </c>
      <c r="K176" s="257"/>
      <c r="L176" s="257">
        <f t="shared" si="43"/>
        <v>0.42115262824572508</v>
      </c>
      <c r="M176" s="257">
        <f t="shared" si="49"/>
        <v>25.269157694743509</v>
      </c>
      <c r="N176" s="257">
        <f t="shared" si="51"/>
        <v>0.4590563647878404</v>
      </c>
      <c r="O176" s="257">
        <f t="shared" si="50"/>
        <v>27.543381887270424</v>
      </c>
      <c r="P176" s="257">
        <v>0.85</v>
      </c>
      <c r="Q176" s="257">
        <f t="shared" si="44"/>
        <v>51</v>
      </c>
      <c r="R176" s="257">
        <f t="shared" si="45"/>
        <v>0.39094363521215958</v>
      </c>
      <c r="S176" s="257">
        <f t="shared" si="42"/>
        <v>23.456618112729576</v>
      </c>
      <c r="T176" s="246">
        <f t="shared" si="46"/>
        <v>0.45993368848489363</v>
      </c>
      <c r="U176" s="123"/>
      <c r="V176" s="268">
        <f t="shared" si="52"/>
        <v>0.85</v>
      </c>
      <c r="W176" s="269">
        <v>0.18</v>
      </c>
      <c r="X176" s="270">
        <f t="shared" si="53"/>
        <v>1.0365853658536583</v>
      </c>
      <c r="Y176" s="271">
        <f t="shared" si="54"/>
        <v>0.18658536585365851</v>
      </c>
      <c r="Z176" s="267">
        <f t="shared" si="55"/>
        <v>1.6792682926829266E-2</v>
      </c>
      <c r="AA176" s="271">
        <f t="shared" si="56"/>
        <v>0.20337804878048776</v>
      </c>
      <c r="AB176" s="271">
        <f t="shared" si="57"/>
        <v>0.83320731707317064</v>
      </c>
      <c r="AC176" s="284">
        <f t="shared" si="58"/>
        <v>0.44904904772034432</v>
      </c>
      <c r="AD176" s="285">
        <f t="shared" si="59"/>
        <v>-1.0884640764549314E-2</v>
      </c>
      <c r="AE176" s="221" t="s">
        <v>269</v>
      </c>
    </row>
    <row r="177" spans="1:31" ht="40" customHeight="1" x14ac:dyDescent="0.2">
      <c r="A177" s="123">
        <v>173</v>
      </c>
      <c r="B177" s="274" t="s">
        <v>229</v>
      </c>
      <c r="C177" s="123">
        <v>1</v>
      </c>
      <c r="D177" s="123">
        <v>120</v>
      </c>
      <c r="E177" s="123">
        <f t="shared" si="47"/>
        <v>120</v>
      </c>
      <c r="F177" s="123" t="s">
        <v>269</v>
      </c>
      <c r="G177" s="123" t="s">
        <v>269</v>
      </c>
      <c r="H177" s="257">
        <v>115.2</v>
      </c>
      <c r="I177" s="257">
        <f t="shared" si="48"/>
        <v>0.96000000000000008</v>
      </c>
      <c r="J177" s="257">
        <f t="shared" si="61"/>
        <v>115.2</v>
      </c>
      <c r="K177" s="257"/>
      <c r="L177" s="257">
        <f t="shared" si="43"/>
        <v>0.3039898670044332</v>
      </c>
      <c r="M177" s="257">
        <f t="shared" si="49"/>
        <v>36.478784040531984</v>
      </c>
      <c r="N177" s="257">
        <f t="shared" si="51"/>
        <v>0.33134895503483219</v>
      </c>
      <c r="O177" s="257">
        <f t="shared" si="50"/>
        <v>39.761874604179866</v>
      </c>
      <c r="P177" s="257"/>
      <c r="Q177" s="257">
        <f t="shared" si="44"/>
        <v>0</v>
      </c>
      <c r="R177" s="257">
        <f t="shared" si="45"/>
        <v>-0.33134895503483219</v>
      </c>
      <c r="S177" s="257">
        <f t="shared" si="42"/>
        <v>-39.761874604179866</v>
      </c>
      <c r="T177" s="246" t="e">
        <f t="shared" si="46"/>
        <v>#DIV/0!</v>
      </c>
      <c r="U177" s="123"/>
      <c r="V177" s="268">
        <f t="shared" si="52"/>
        <v>0</v>
      </c>
      <c r="W177" s="269">
        <v>0.18</v>
      </c>
      <c r="X177" s="270">
        <f t="shared" si="53"/>
        <v>0</v>
      </c>
      <c r="Y177" s="271">
        <f t="shared" si="54"/>
        <v>0</v>
      </c>
      <c r="Z177" s="267">
        <f t="shared" si="55"/>
        <v>0</v>
      </c>
      <c r="AA177" s="271">
        <f t="shared" si="56"/>
        <v>0</v>
      </c>
      <c r="AB177" s="271">
        <f t="shared" si="57"/>
        <v>0</v>
      </c>
      <c r="AC177" s="284" t="e">
        <f t="shared" si="58"/>
        <v>#DIV/0!</v>
      </c>
      <c r="AD177" s="285" t="e">
        <f t="shared" si="59"/>
        <v>#DIV/0!</v>
      </c>
      <c r="AE177" s="221" t="s">
        <v>269</v>
      </c>
    </row>
    <row r="178" spans="1:31" ht="40" customHeight="1" x14ac:dyDescent="0.2">
      <c r="A178" s="123">
        <v>174</v>
      </c>
      <c r="B178" s="274" t="s">
        <v>168</v>
      </c>
      <c r="C178" s="123">
        <v>1</v>
      </c>
      <c r="D178" s="123">
        <v>40</v>
      </c>
      <c r="E178" s="123">
        <f t="shared" si="47"/>
        <v>40</v>
      </c>
      <c r="F178" s="123" t="s">
        <v>269</v>
      </c>
      <c r="G178" s="123" t="s">
        <v>269</v>
      </c>
      <c r="H178" s="257">
        <v>162</v>
      </c>
      <c r="I178" s="257">
        <f t="shared" si="48"/>
        <v>4.05</v>
      </c>
      <c r="J178" s="257">
        <f t="shared" si="61"/>
        <v>162</v>
      </c>
      <c r="K178" s="257"/>
      <c r="L178" s="257">
        <f t="shared" si="43"/>
        <v>1.2824572514249524</v>
      </c>
      <c r="M178" s="257">
        <f t="shared" si="49"/>
        <v>51.298290056998098</v>
      </c>
      <c r="N178" s="257">
        <f t="shared" si="51"/>
        <v>1.3978784040531982</v>
      </c>
      <c r="O178" s="257">
        <f t="shared" si="50"/>
        <v>55.915136162127929</v>
      </c>
      <c r="P178" s="257">
        <v>2.5</v>
      </c>
      <c r="Q178" s="257">
        <f t="shared" si="44"/>
        <v>100</v>
      </c>
      <c r="R178" s="257">
        <f t="shared" si="45"/>
        <v>1.1021215959468018</v>
      </c>
      <c r="S178" s="257">
        <f t="shared" si="42"/>
        <v>44.084863837872071</v>
      </c>
      <c r="T178" s="246">
        <f t="shared" si="46"/>
        <v>0.44084863837872074</v>
      </c>
      <c r="U178" s="123"/>
      <c r="V178" s="268">
        <f t="shared" si="52"/>
        <v>2.5</v>
      </c>
      <c r="W178" s="269">
        <v>0.18</v>
      </c>
      <c r="X178" s="270">
        <f t="shared" si="53"/>
        <v>3.0487804878048776</v>
      </c>
      <c r="Y178" s="271">
        <f t="shared" si="54"/>
        <v>0.54878048780487798</v>
      </c>
      <c r="Z178" s="267">
        <f t="shared" si="55"/>
        <v>4.939024390243902E-2</v>
      </c>
      <c r="AA178" s="271">
        <f t="shared" si="56"/>
        <v>0.59817073170731705</v>
      </c>
      <c r="AB178" s="271">
        <f t="shared" si="57"/>
        <v>2.4506097560975606</v>
      </c>
      <c r="AC178" s="284">
        <f t="shared" si="58"/>
        <v>0.42957935241422113</v>
      </c>
      <c r="AD178" s="285">
        <f t="shared" si="59"/>
        <v>-1.1269285964499609E-2</v>
      </c>
      <c r="AE178" s="221" t="s">
        <v>269</v>
      </c>
    </row>
    <row r="179" spans="1:31" ht="40" customHeight="1" x14ac:dyDescent="0.2">
      <c r="A179" s="123">
        <v>175</v>
      </c>
      <c r="B179" s="274" t="s">
        <v>169</v>
      </c>
      <c r="C179" s="123">
        <v>1</v>
      </c>
      <c r="D179" s="123">
        <v>40</v>
      </c>
      <c r="E179" s="123">
        <f t="shared" si="47"/>
        <v>40</v>
      </c>
      <c r="F179" s="123" t="s">
        <v>269</v>
      </c>
      <c r="G179" s="123" t="s">
        <v>269</v>
      </c>
      <c r="H179" s="257">
        <v>168</v>
      </c>
      <c r="I179" s="257">
        <f t="shared" si="48"/>
        <v>4.2</v>
      </c>
      <c r="J179" s="257">
        <f t="shared" si="61"/>
        <v>168</v>
      </c>
      <c r="K179" s="257"/>
      <c r="L179" s="257">
        <f t="shared" si="43"/>
        <v>1.3299556681443954</v>
      </c>
      <c r="M179" s="257">
        <f t="shared" si="49"/>
        <v>53.198226725775811</v>
      </c>
      <c r="N179" s="257">
        <f t="shared" si="51"/>
        <v>1.4496516782773909</v>
      </c>
      <c r="O179" s="257">
        <f t="shared" si="50"/>
        <v>57.986067131095638</v>
      </c>
      <c r="P179" s="257">
        <v>1.95</v>
      </c>
      <c r="Q179" s="257">
        <f t="shared" si="44"/>
        <v>78</v>
      </c>
      <c r="R179" s="257">
        <f t="shared" si="45"/>
        <v>0.50034832172260901</v>
      </c>
      <c r="S179" s="257">
        <f t="shared" si="42"/>
        <v>20.013932868904362</v>
      </c>
      <c r="T179" s="246">
        <f t="shared" si="46"/>
        <v>0.2565888829346713</v>
      </c>
      <c r="U179" s="123"/>
      <c r="V179" s="268">
        <f t="shared" si="52"/>
        <v>1.95</v>
      </c>
      <c r="W179" s="269">
        <v>0.18</v>
      </c>
      <c r="X179" s="270">
        <f t="shared" si="53"/>
        <v>2.3780487804878048</v>
      </c>
      <c r="Y179" s="271">
        <f t="shared" si="54"/>
        <v>0.42804878048780487</v>
      </c>
      <c r="Z179" s="267">
        <f t="shared" si="55"/>
        <v>3.8524390243902439E-2</v>
      </c>
      <c r="AA179" s="271">
        <f t="shared" si="56"/>
        <v>0.46657317073170729</v>
      </c>
      <c r="AB179" s="271">
        <f t="shared" si="57"/>
        <v>1.9114756097560974</v>
      </c>
      <c r="AC179" s="284">
        <f t="shared" si="58"/>
        <v>0.24160597661909733</v>
      </c>
      <c r="AD179" s="285">
        <f t="shared" si="59"/>
        <v>-1.4982906315573974E-2</v>
      </c>
      <c r="AE179" s="221" t="s">
        <v>269</v>
      </c>
    </row>
    <row r="180" spans="1:31" ht="40" customHeight="1" x14ac:dyDescent="0.2">
      <c r="A180" s="123">
        <v>176</v>
      </c>
      <c r="B180" s="274" t="s">
        <v>170</v>
      </c>
      <c r="C180" s="123">
        <v>1</v>
      </c>
      <c r="D180" s="123">
        <v>40</v>
      </c>
      <c r="E180" s="123">
        <f t="shared" si="47"/>
        <v>40</v>
      </c>
      <c r="F180" s="123" t="s">
        <v>269</v>
      </c>
      <c r="G180" s="123" t="s">
        <v>269</v>
      </c>
      <c r="H180" s="257">
        <v>48.8</v>
      </c>
      <c r="I180" s="257">
        <f t="shared" si="48"/>
        <v>1.22</v>
      </c>
      <c r="J180" s="257">
        <f t="shared" si="61"/>
        <v>48.8</v>
      </c>
      <c r="K180" s="257"/>
      <c r="L180" s="257">
        <f t="shared" si="43"/>
        <v>0.38632045598480053</v>
      </c>
      <c r="M180" s="257">
        <f t="shared" si="49"/>
        <v>15.45281823939202</v>
      </c>
      <c r="N180" s="257">
        <f t="shared" si="51"/>
        <v>0.42108929702343262</v>
      </c>
      <c r="O180" s="257">
        <f t="shared" si="50"/>
        <v>16.843571880937304</v>
      </c>
      <c r="P180" s="257">
        <v>0.8</v>
      </c>
      <c r="Q180" s="257">
        <f t="shared" si="44"/>
        <v>32</v>
      </c>
      <c r="R180" s="257">
        <f t="shared" si="45"/>
        <v>0.37891070297656743</v>
      </c>
      <c r="S180" s="257">
        <f t="shared" si="42"/>
        <v>15.156428119062696</v>
      </c>
      <c r="T180" s="246">
        <f t="shared" si="46"/>
        <v>0.47363837872070924</v>
      </c>
      <c r="U180" s="123"/>
      <c r="V180" s="268">
        <f t="shared" si="52"/>
        <v>0.8</v>
      </c>
      <c r="W180" s="269">
        <v>0.18</v>
      </c>
      <c r="X180" s="270">
        <f t="shared" si="53"/>
        <v>0.97560975609756095</v>
      </c>
      <c r="Y180" s="271">
        <f t="shared" si="54"/>
        <v>0.17560975609756097</v>
      </c>
      <c r="Z180" s="267">
        <f t="shared" si="55"/>
        <v>1.5804878048780488E-2</v>
      </c>
      <c r="AA180" s="271">
        <f t="shared" si="56"/>
        <v>0.19141463414634147</v>
      </c>
      <c r="AB180" s="271">
        <f t="shared" si="57"/>
        <v>0.78419512195121954</v>
      </c>
      <c r="AC180" s="284">
        <f t="shared" si="58"/>
        <v>0.46302994594548591</v>
      </c>
      <c r="AD180" s="285">
        <f t="shared" si="59"/>
        <v>-1.0608432775223331E-2</v>
      </c>
      <c r="AE180" s="221" t="s">
        <v>269</v>
      </c>
    </row>
    <row r="181" spans="1:31" ht="40" customHeight="1" x14ac:dyDescent="0.2">
      <c r="A181" s="123">
        <v>177</v>
      </c>
      <c r="B181" s="274" t="s">
        <v>171</v>
      </c>
      <c r="C181" s="123">
        <v>1</v>
      </c>
      <c r="D181" s="123">
        <v>270</v>
      </c>
      <c r="E181" s="123">
        <f t="shared" si="47"/>
        <v>270</v>
      </c>
      <c r="F181" s="123" t="s">
        <v>269</v>
      </c>
      <c r="G181" s="123" t="s">
        <v>269</v>
      </c>
      <c r="H181" s="257">
        <v>374.4</v>
      </c>
      <c r="I181" s="257">
        <f t="shared" si="48"/>
        <v>1.3866666666666665</v>
      </c>
      <c r="J181" s="257">
        <f t="shared" si="61"/>
        <v>374.4</v>
      </c>
      <c r="K181" s="257"/>
      <c r="L181" s="257">
        <f t="shared" si="43"/>
        <v>0.43909647456195899</v>
      </c>
      <c r="M181" s="257">
        <f t="shared" si="49"/>
        <v>118.55604813172894</v>
      </c>
      <c r="N181" s="257">
        <f t="shared" si="51"/>
        <v>0.47861515727253534</v>
      </c>
      <c r="O181" s="257">
        <f t="shared" si="50"/>
        <v>129.22609246358454</v>
      </c>
      <c r="P181" s="257">
        <v>0.8</v>
      </c>
      <c r="Q181" s="257">
        <f t="shared" si="44"/>
        <v>216</v>
      </c>
      <c r="R181" s="257">
        <f t="shared" si="45"/>
        <v>0.3213848427274647</v>
      </c>
      <c r="S181" s="257">
        <f t="shared" si="42"/>
        <v>86.773907536415464</v>
      </c>
      <c r="T181" s="246">
        <f t="shared" si="46"/>
        <v>0.40173105340933085</v>
      </c>
      <c r="U181" s="123"/>
      <c r="V181" s="268">
        <f t="shared" si="52"/>
        <v>0.8</v>
      </c>
      <c r="W181" s="269">
        <v>0.18</v>
      </c>
      <c r="X181" s="270">
        <f t="shared" si="53"/>
        <v>0.97560975609756095</v>
      </c>
      <c r="Y181" s="271">
        <f t="shared" si="54"/>
        <v>0.17560975609756097</v>
      </c>
      <c r="Z181" s="267">
        <f t="shared" si="55"/>
        <v>1.5804878048780488E-2</v>
      </c>
      <c r="AA181" s="271">
        <f t="shared" si="56"/>
        <v>0.19141463414634147</v>
      </c>
      <c r="AB181" s="271">
        <f t="shared" si="57"/>
        <v>0.78419512195121954</v>
      </c>
      <c r="AC181" s="284">
        <f t="shared" si="58"/>
        <v>0.3896733811839404</v>
      </c>
      <c r="AD181" s="285">
        <f t="shared" si="59"/>
        <v>-1.2057672225390448E-2</v>
      </c>
      <c r="AE181" s="221" t="s">
        <v>269</v>
      </c>
    </row>
    <row r="182" spans="1:31" ht="40" customHeight="1" x14ac:dyDescent="0.2">
      <c r="A182" s="123">
        <v>178</v>
      </c>
      <c r="B182" s="274" t="s">
        <v>172</v>
      </c>
      <c r="C182" s="123">
        <v>1</v>
      </c>
      <c r="D182" s="123">
        <v>270</v>
      </c>
      <c r="E182" s="123">
        <f t="shared" si="47"/>
        <v>270</v>
      </c>
      <c r="F182" s="123" t="s">
        <v>269</v>
      </c>
      <c r="G182" s="123" t="s">
        <v>269</v>
      </c>
      <c r="H182" s="257">
        <v>374.4</v>
      </c>
      <c r="I182" s="257">
        <f t="shared" si="48"/>
        <v>1.3866666666666665</v>
      </c>
      <c r="J182" s="257">
        <f t="shared" si="61"/>
        <v>374.4</v>
      </c>
      <c r="K182" s="257"/>
      <c r="L182" s="257">
        <f t="shared" si="43"/>
        <v>0.43909647456195899</v>
      </c>
      <c r="M182" s="257">
        <f t="shared" si="49"/>
        <v>118.55604813172894</v>
      </c>
      <c r="N182" s="257">
        <f t="shared" si="51"/>
        <v>0.47861515727253534</v>
      </c>
      <c r="O182" s="257">
        <f t="shared" si="50"/>
        <v>129.22609246358454</v>
      </c>
      <c r="P182" s="257">
        <v>0.8</v>
      </c>
      <c r="Q182" s="257">
        <f t="shared" si="44"/>
        <v>216</v>
      </c>
      <c r="R182" s="257">
        <f t="shared" si="45"/>
        <v>0.3213848427274647</v>
      </c>
      <c r="S182" s="257">
        <f t="shared" si="42"/>
        <v>86.773907536415464</v>
      </c>
      <c r="T182" s="246">
        <f t="shared" si="46"/>
        <v>0.40173105340933085</v>
      </c>
      <c r="U182" s="123"/>
      <c r="V182" s="268">
        <f t="shared" si="52"/>
        <v>0.8</v>
      </c>
      <c r="W182" s="269">
        <v>0.18</v>
      </c>
      <c r="X182" s="270">
        <f t="shared" si="53"/>
        <v>0.97560975609756095</v>
      </c>
      <c r="Y182" s="271">
        <f t="shared" si="54"/>
        <v>0.17560975609756097</v>
      </c>
      <c r="Z182" s="267">
        <f t="shared" si="55"/>
        <v>1.5804878048780488E-2</v>
      </c>
      <c r="AA182" s="271">
        <f t="shared" si="56"/>
        <v>0.19141463414634147</v>
      </c>
      <c r="AB182" s="271">
        <f t="shared" si="57"/>
        <v>0.78419512195121954</v>
      </c>
      <c r="AC182" s="284">
        <f t="shared" si="58"/>
        <v>0.3896733811839404</v>
      </c>
      <c r="AD182" s="285">
        <f t="shared" si="59"/>
        <v>-1.2057672225390448E-2</v>
      </c>
      <c r="AE182" s="221" t="s">
        <v>269</v>
      </c>
    </row>
    <row r="183" spans="1:31" ht="40" customHeight="1" x14ac:dyDescent="0.2">
      <c r="A183" s="123">
        <v>179</v>
      </c>
      <c r="B183" s="274" t="s">
        <v>173</v>
      </c>
      <c r="C183" s="123">
        <v>1</v>
      </c>
      <c r="D183" s="123">
        <v>270</v>
      </c>
      <c r="E183" s="123">
        <f t="shared" si="47"/>
        <v>270</v>
      </c>
      <c r="F183" s="123" t="s">
        <v>269</v>
      </c>
      <c r="G183" s="123" t="s">
        <v>269</v>
      </c>
      <c r="H183" s="257">
        <v>374.4</v>
      </c>
      <c r="I183" s="257">
        <f t="shared" si="48"/>
        <v>1.3866666666666665</v>
      </c>
      <c r="J183" s="257">
        <f t="shared" si="61"/>
        <v>374.4</v>
      </c>
      <c r="K183" s="257"/>
      <c r="L183" s="257">
        <f t="shared" si="43"/>
        <v>0.43909647456195899</v>
      </c>
      <c r="M183" s="257">
        <f t="shared" si="49"/>
        <v>118.55604813172894</v>
      </c>
      <c r="N183" s="257">
        <f t="shared" si="51"/>
        <v>0.47861515727253534</v>
      </c>
      <c r="O183" s="257">
        <f t="shared" si="50"/>
        <v>129.22609246358454</v>
      </c>
      <c r="P183" s="257">
        <v>0.8</v>
      </c>
      <c r="Q183" s="257">
        <f t="shared" si="44"/>
        <v>216</v>
      </c>
      <c r="R183" s="257">
        <f t="shared" si="45"/>
        <v>0.3213848427274647</v>
      </c>
      <c r="S183" s="257">
        <f t="shared" si="42"/>
        <v>86.773907536415464</v>
      </c>
      <c r="T183" s="246">
        <f t="shared" si="46"/>
        <v>0.40173105340933085</v>
      </c>
      <c r="U183" s="123"/>
      <c r="V183" s="268">
        <f t="shared" si="52"/>
        <v>0.8</v>
      </c>
      <c r="W183" s="269">
        <v>0.18</v>
      </c>
      <c r="X183" s="270">
        <f t="shared" si="53"/>
        <v>0.97560975609756095</v>
      </c>
      <c r="Y183" s="271">
        <f t="shared" si="54"/>
        <v>0.17560975609756097</v>
      </c>
      <c r="Z183" s="267">
        <f t="shared" si="55"/>
        <v>1.5804878048780488E-2</v>
      </c>
      <c r="AA183" s="271">
        <f t="shared" si="56"/>
        <v>0.19141463414634147</v>
      </c>
      <c r="AB183" s="271">
        <f t="shared" si="57"/>
        <v>0.78419512195121954</v>
      </c>
      <c r="AC183" s="284">
        <f t="shared" si="58"/>
        <v>0.3896733811839404</v>
      </c>
      <c r="AD183" s="285">
        <f t="shared" si="59"/>
        <v>-1.2057672225390448E-2</v>
      </c>
      <c r="AE183" s="221" t="s">
        <v>269</v>
      </c>
    </row>
    <row r="184" spans="1:31" ht="40" customHeight="1" x14ac:dyDescent="0.2">
      <c r="A184" s="123">
        <v>180</v>
      </c>
      <c r="B184" s="274" t="s">
        <v>174</v>
      </c>
      <c r="C184" s="123">
        <v>1</v>
      </c>
      <c r="D184" s="123">
        <v>270</v>
      </c>
      <c r="E184" s="123">
        <f t="shared" si="47"/>
        <v>270</v>
      </c>
      <c r="F184" s="123" t="s">
        <v>269</v>
      </c>
      <c r="G184" s="123" t="s">
        <v>269</v>
      </c>
      <c r="H184" s="257">
        <v>374.4</v>
      </c>
      <c r="I184" s="257">
        <f t="shared" si="48"/>
        <v>1.3866666666666665</v>
      </c>
      <c r="J184" s="257">
        <f t="shared" si="61"/>
        <v>374.4</v>
      </c>
      <c r="K184" s="257"/>
      <c r="L184" s="257">
        <f t="shared" si="43"/>
        <v>0.43909647456195899</v>
      </c>
      <c r="M184" s="257">
        <f t="shared" si="49"/>
        <v>118.55604813172894</v>
      </c>
      <c r="N184" s="257">
        <f t="shared" si="51"/>
        <v>0.47861515727253534</v>
      </c>
      <c r="O184" s="257">
        <f t="shared" si="50"/>
        <v>129.22609246358454</v>
      </c>
      <c r="P184" s="257">
        <v>0.8</v>
      </c>
      <c r="Q184" s="257">
        <f t="shared" si="44"/>
        <v>216</v>
      </c>
      <c r="R184" s="257">
        <f t="shared" si="45"/>
        <v>0.3213848427274647</v>
      </c>
      <c r="S184" s="257">
        <f t="shared" si="42"/>
        <v>86.773907536415464</v>
      </c>
      <c r="T184" s="246">
        <f t="shared" si="46"/>
        <v>0.40173105340933085</v>
      </c>
      <c r="U184" s="123"/>
      <c r="V184" s="268">
        <f t="shared" si="52"/>
        <v>0.8</v>
      </c>
      <c r="W184" s="269">
        <v>0.18</v>
      </c>
      <c r="X184" s="270">
        <f t="shared" si="53"/>
        <v>0.97560975609756095</v>
      </c>
      <c r="Y184" s="271">
        <f t="shared" si="54"/>
        <v>0.17560975609756097</v>
      </c>
      <c r="Z184" s="267">
        <f t="shared" si="55"/>
        <v>1.5804878048780488E-2</v>
      </c>
      <c r="AA184" s="271">
        <f t="shared" si="56"/>
        <v>0.19141463414634147</v>
      </c>
      <c r="AB184" s="271">
        <f t="shared" si="57"/>
        <v>0.78419512195121954</v>
      </c>
      <c r="AC184" s="284">
        <f t="shared" si="58"/>
        <v>0.3896733811839404</v>
      </c>
      <c r="AD184" s="285">
        <f t="shared" si="59"/>
        <v>-1.2057672225390448E-2</v>
      </c>
      <c r="AE184" s="221" t="s">
        <v>269</v>
      </c>
    </row>
    <row r="185" spans="1:31" ht="49" thickBot="1" x14ac:dyDescent="0.25">
      <c r="A185" s="302" t="s">
        <v>99</v>
      </c>
      <c r="B185" s="303"/>
      <c r="C185" s="303"/>
      <c r="D185" s="304"/>
      <c r="E185" s="231"/>
      <c r="F185" s="232"/>
      <c r="G185" s="232"/>
      <c r="H185" s="232"/>
      <c r="I185" s="309" t="s">
        <v>100</v>
      </c>
      <c r="J185" s="311">
        <f>SUM(J6:J184)</f>
        <v>20513.268999999986</v>
      </c>
      <c r="K185" s="249"/>
      <c r="L185" s="253" t="s">
        <v>101</v>
      </c>
      <c r="M185" s="233">
        <f>SUM(M6:M184)</f>
        <v>6469.9253065231114</v>
      </c>
      <c r="N185" s="313" t="s">
        <v>102</v>
      </c>
      <c r="O185" s="314"/>
      <c r="P185" s="315">
        <f>SUM(Q6:Q184)</f>
        <v>11463.399999999994</v>
      </c>
      <c r="Q185" s="316"/>
      <c r="R185" s="317" t="s">
        <v>103</v>
      </c>
      <c r="S185" s="304"/>
      <c r="T185" s="318">
        <f>P185-M188</f>
        <v>4411.1814158898032</v>
      </c>
      <c r="U185" s="283"/>
      <c r="AD185" s="280"/>
    </row>
    <row r="186" spans="1:31" ht="17" thickBot="1" x14ac:dyDescent="0.25">
      <c r="A186" s="305"/>
      <c r="B186" s="303"/>
      <c r="C186" s="303"/>
      <c r="D186" s="304"/>
      <c r="E186" s="231"/>
      <c r="F186" s="234"/>
      <c r="G186" s="234"/>
      <c r="H186" s="234"/>
      <c r="I186" s="310"/>
      <c r="J186" s="312"/>
      <c r="K186" s="250"/>
      <c r="L186" s="254" t="s">
        <v>104</v>
      </c>
      <c r="M186" s="235">
        <f>M185*0.09</f>
        <v>582.29327758707996</v>
      </c>
      <c r="N186" s="320"/>
      <c r="O186" s="321"/>
      <c r="P186" s="321"/>
      <c r="Q186" s="322"/>
      <c r="R186" s="307"/>
      <c r="S186" s="308"/>
      <c r="T186" s="319"/>
      <c r="U186" s="123"/>
      <c r="AD186" s="280"/>
    </row>
    <row r="187" spans="1:31" ht="49" thickBot="1" x14ac:dyDescent="0.25">
      <c r="A187" s="305"/>
      <c r="B187" s="303"/>
      <c r="C187" s="303"/>
      <c r="D187" s="304"/>
      <c r="E187" s="236"/>
      <c r="F187" s="237"/>
      <c r="G187" s="237"/>
      <c r="H187" s="237"/>
      <c r="I187" s="238" t="s">
        <v>105</v>
      </c>
      <c r="J187" s="239" t="s">
        <v>106</v>
      </c>
      <c r="K187" s="250"/>
      <c r="L187" s="255" t="s">
        <v>107</v>
      </c>
      <c r="M187" s="159">
        <v>0</v>
      </c>
      <c r="N187" s="323"/>
      <c r="O187" s="324"/>
      <c r="P187" s="324"/>
      <c r="Q187" s="325"/>
      <c r="R187" s="326" t="s">
        <v>108</v>
      </c>
      <c r="S187" s="327"/>
      <c r="T187" s="256">
        <f>T185/P185</f>
        <v>0.38480567858487058</v>
      </c>
      <c r="U187" s="123"/>
      <c r="AD187" s="280"/>
    </row>
    <row r="188" spans="1:31" ht="103" thickBot="1" x14ac:dyDescent="0.25">
      <c r="A188" s="306"/>
      <c r="B188" s="307"/>
      <c r="C188" s="307"/>
      <c r="D188" s="308"/>
      <c r="E188" s="240"/>
      <c r="F188" s="241"/>
      <c r="G188" s="241"/>
      <c r="H188" s="241"/>
      <c r="I188" s="242" t="s">
        <v>109</v>
      </c>
      <c r="J188" s="243">
        <f>SUM(J185:J187)</f>
        <v>20513.268999999986</v>
      </c>
      <c r="K188" s="250"/>
      <c r="L188" s="244" t="s">
        <v>109</v>
      </c>
      <c r="M188" s="167">
        <f>SUM(M185:M187)</f>
        <v>7052.2185841101909</v>
      </c>
      <c r="N188" s="168" t="s">
        <v>110</v>
      </c>
      <c r="O188" s="328">
        <f>M187/M185</f>
        <v>0</v>
      </c>
      <c r="P188" s="329"/>
      <c r="Q188" s="245"/>
      <c r="R188" s="251"/>
      <c r="S188" s="251"/>
      <c r="T188" s="252"/>
      <c r="U188" s="123"/>
    </row>
    <row r="189" spans="1:31" x14ac:dyDescent="0.2">
      <c r="A189" s="171"/>
      <c r="B189" s="275"/>
      <c r="C189" s="104"/>
      <c r="D189" s="104"/>
      <c r="E189" s="172"/>
      <c r="F189" s="172"/>
      <c r="G189" s="172"/>
      <c r="H189" s="172"/>
      <c r="I189" s="172"/>
      <c r="J189" s="173"/>
      <c r="K189" s="174"/>
      <c r="L189" s="104"/>
      <c r="M189" s="104"/>
      <c r="N189" s="175"/>
      <c r="O189" s="175"/>
      <c r="P189" s="176"/>
      <c r="Q189" s="177"/>
      <c r="R189" s="177"/>
      <c r="S189" s="178"/>
      <c r="T189" s="223"/>
      <c r="U189" s="221"/>
    </row>
    <row r="190" spans="1:31" x14ac:dyDescent="0.2">
      <c r="A190" s="174"/>
      <c r="B190" s="276"/>
      <c r="C190" s="177"/>
      <c r="D190" s="177"/>
      <c r="E190" s="179"/>
      <c r="F190" s="179"/>
      <c r="G190" s="179"/>
      <c r="H190" s="179"/>
      <c r="I190" s="179"/>
      <c r="J190" s="180"/>
      <c r="K190" s="174"/>
      <c r="L190" s="286"/>
      <c r="M190" s="287"/>
      <c r="N190" s="287"/>
      <c r="O190" s="287"/>
      <c r="P190" s="288"/>
      <c r="Q190" s="177"/>
      <c r="R190" s="177"/>
      <c r="S190" s="177"/>
      <c r="T190" s="223"/>
      <c r="U190" s="221"/>
    </row>
    <row r="191" spans="1:31" x14ac:dyDescent="0.2">
      <c r="A191" s="174"/>
      <c r="B191" s="276"/>
      <c r="C191" s="177"/>
      <c r="D191" s="177"/>
      <c r="E191" s="179"/>
      <c r="F191" s="179"/>
      <c r="G191" s="179"/>
      <c r="H191" s="179"/>
      <c r="I191" s="179"/>
      <c r="J191" s="180"/>
      <c r="K191" s="174"/>
      <c r="L191" s="181"/>
      <c r="M191" s="182"/>
      <c r="N191" s="183"/>
      <c r="O191" s="183"/>
      <c r="P191" s="184"/>
      <c r="Q191" s="177"/>
      <c r="R191" s="177"/>
      <c r="S191" s="177"/>
      <c r="T191" s="223"/>
      <c r="U191" s="221"/>
    </row>
    <row r="192" spans="1:31" x14ac:dyDescent="0.2">
      <c r="A192" s="185" t="s">
        <v>111</v>
      </c>
      <c r="B192" s="276"/>
      <c r="C192" s="177"/>
      <c r="D192" s="177"/>
      <c r="E192" s="179"/>
      <c r="F192" s="179"/>
      <c r="G192" s="179"/>
      <c r="H192" s="179"/>
      <c r="I192" s="179"/>
      <c r="J192" s="180"/>
      <c r="K192" s="174"/>
      <c r="L192" s="186"/>
      <c r="M192" s="186"/>
      <c r="N192" s="186"/>
      <c r="O192" s="186"/>
      <c r="P192" s="184"/>
      <c r="Q192" s="177"/>
      <c r="R192" s="177"/>
      <c r="S192" s="177"/>
      <c r="T192" s="223"/>
      <c r="U192" s="221"/>
    </row>
    <row r="193" spans="1:21" x14ac:dyDescent="0.2">
      <c r="A193" s="185" t="s">
        <v>112</v>
      </c>
      <c r="B193" s="276"/>
      <c r="C193" s="177"/>
      <c r="D193" s="177"/>
      <c r="E193" s="179"/>
      <c r="F193" s="179"/>
      <c r="G193" s="179"/>
      <c r="H193" s="179"/>
      <c r="I193" s="179"/>
      <c r="J193" s="180"/>
      <c r="K193" s="174"/>
      <c r="L193" s="186"/>
      <c r="M193" s="186"/>
      <c r="N193" s="181"/>
      <c r="O193" s="181"/>
      <c r="P193" s="187"/>
      <c r="Q193" s="177"/>
      <c r="R193" s="188"/>
      <c r="S193" s="177"/>
      <c r="T193" s="223"/>
      <c r="U193" s="221"/>
    </row>
    <row r="194" spans="1:21" ht="17" thickBot="1" x14ac:dyDescent="0.25">
      <c r="A194" s="189"/>
      <c r="B194" s="277"/>
      <c r="C194" s="190"/>
      <c r="D194" s="190"/>
      <c r="E194" s="191"/>
      <c r="F194" s="191"/>
      <c r="G194" s="191"/>
      <c r="H194" s="191"/>
      <c r="I194" s="191"/>
      <c r="J194" s="192"/>
      <c r="K194" s="174"/>
      <c r="L194" s="193"/>
      <c r="M194" s="193"/>
      <c r="N194" s="193"/>
      <c r="O194" s="193"/>
      <c r="P194" s="194"/>
      <c r="Q194" s="177"/>
      <c r="R194" s="177"/>
      <c r="S194" s="177"/>
      <c r="T194" s="223"/>
      <c r="U194" s="221"/>
    </row>
    <row r="1048576" spans="31:31" x14ac:dyDescent="0.2">
      <c r="AE1048576" t="s">
        <v>269</v>
      </c>
    </row>
  </sheetData>
  <mergeCells count="16">
    <mergeCell ref="L190:P190"/>
    <mergeCell ref="A1:Q1"/>
    <mergeCell ref="S1:T1"/>
    <mergeCell ref="A2:Q2"/>
    <mergeCell ref="A4:J4"/>
    <mergeCell ref="L4:T4"/>
    <mergeCell ref="A185:D188"/>
    <mergeCell ref="I185:I186"/>
    <mergeCell ref="J185:J186"/>
    <mergeCell ref="N185:O185"/>
    <mergeCell ref="P185:Q185"/>
    <mergeCell ref="R185:S186"/>
    <mergeCell ref="T185:T186"/>
    <mergeCell ref="N186:Q187"/>
    <mergeCell ref="R187:S187"/>
    <mergeCell ref="O188:P1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7A5AC-EA50-4B4F-93EA-E8F4A7339E9C}">
  <dimension ref="A1:AE1048576"/>
  <sheetViews>
    <sheetView tabSelected="1" workbookViewId="0">
      <selection activeCell="Z2" sqref="Z2"/>
    </sheetView>
  </sheetViews>
  <sheetFormatPr baseColWidth="10" defaultColWidth="8.83203125" defaultRowHeight="16" x14ac:dyDescent="0.2"/>
  <cols>
    <col min="1" max="1" width="5.5" customWidth="1"/>
    <col min="2" max="2" width="41.83203125" style="278" customWidth="1"/>
    <col min="3" max="3" width="5.33203125" hidden="1" customWidth="1"/>
    <col min="4" max="4" width="6.6640625" hidden="1" customWidth="1"/>
    <col min="5" max="6" width="7" hidden="1" customWidth="1"/>
    <col min="7" max="8" width="0" hidden="1" customWidth="1"/>
    <col min="9" max="9" width="8.6640625" hidden="1" customWidth="1"/>
    <col min="10" max="10" width="11.83203125" hidden="1" customWidth="1"/>
    <col min="11" max="11" width="12.83203125" hidden="1" customWidth="1"/>
    <col min="12" max="12" width="8" hidden="1" customWidth="1"/>
    <col min="13" max="13" width="9.5" hidden="1" customWidth="1"/>
    <col min="14" max="14" width="9" customWidth="1"/>
    <col min="15" max="15" width="8.1640625" hidden="1" customWidth="1"/>
    <col min="16" max="16" width="7" customWidth="1"/>
    <col min="17" max="17" width="8" hidden="1" customWidth="1"/>
    <col min="18" max="18" width="8.1640625" hidden="1" customWidth="1"/>
    <col min="19" max="19" width="11.33203125" hidden="1" customWidth="1"/>
    <col min="20" max="21" width="9.5" hidden="1" customWidth="1"/>
    <col min="22" max="23" width="8.83203125" style="259"/>
    <col min="24" max="24" width="8.83203125" style="263"/>
    <col min="25" max="25" width="8.83203125" style="259"/>
    <col min="26" max="26" width="8.83203125" style="264"/>
    <col min="27" max="27" width="8.83203125" style="259"/>
    <col min="28" max="28" width="17.33203125" style="259" customWidth="1"/>
    <col min="29" max="29" width="17" style="259" customWidth="1"/>
    <col min="31" max="31" width="13.6640625" customWidth="1"/>
  </cols>
  <sheetData>
    <row r="1" spans="1:31" ht="20" customHeight="1" x14ac:dyDescent="0.25">
      <c r="A1" s="289" t="s">
        <v>0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1"/>
      <c r="R1" s="229" t="s">
        <v>1</v>
      </c>
      <c r="S1" s="292"/>
      <c r="T1" s="293"/>
      <c r="U1" s="230"/>
      <c r="X1" s="260"/>
      <c r="Y1" s="261"/>
      <c r="Z1" s="262"/>
      <c r="AA1" s="261"/>
      <c r="AB1" s="261"/>
      <c r="AC1" s="261"/>
    </row>
    <row r="2" spans="1:31" ht="19" customHeight="1" thickBot="1" x14ac:dyDescent="0.25">
      <c r="A2" s="294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6"/>
      <c r="R2" s="5" t="s">
        <v>3</v>
      </c>
      <c r="S2" s="6">
        <v>3.1579999999999999</v>
      </c>
      <c r="T2" s="7"/>
      <c r="U2" s="99"/>
      <c r="AB2" s="261"/>
      <c r="AC2" s="261"/>
    </row>
    <row r="3" spans="1:31" ht="21" customHeight="1" thickBot="1" x14ac:dyDescent="0.25">
      <c r="A3" s="10"/>
      <c r="B3" s="272" t="s">
        <v>4</v>
      </c>
      <c r="C3" s="10"/>
      <c r="D3" s="10"/>
      <c r="E3" s="12"/>
      <c r="F3" s="12"/>
      <c r="G3" s="12"/>
      <c r="H3" s="12"/>
      <c r="I3" s="12"/>
      <c r="J3" s="13"/>
      <c r="K3" s="14"/>
      <c r="L3" s="15"/>
      <c r="M3" s="16"/>
      <c r="N3" s="16"/>
      <c r="O3" s="16"/>
      <c r="P3" s="17"/>
      <c r="Q3" s="16"/>
      <c r="R3" s="18"/>
      <c r="S3" s="18"/>
      <c r="T3" s="18"/>
      <c r="U3" s="109"/>
      <c r="W3" s="261"/>
    </row>
    <row r="4" spans="1:31" ht="17" customHeight="1" x14ac:dyDescent="0.2">
      <c r="A4" s="297" t="s">
        <v>5</v>
      </c>
      <c r="B4" s="298"/>
      <c r="C4" s="298"/>
      <c r="D4" s="298"/>
      <c r="E4" s="298"/>
      <c r="F4" s="298"/>
      <c r="G4" s="298"/>
      <c r="H4" s="298"/>
      <c r="I4" s="298"/>
      <c r="J4" s="299"/>
      <c r="K4" s="281"/>
      <c r="L4" s="300" t="s">
        <v>6</v>
      </c>
      <c r="M4" s="301"/>
      <c r="N4" s="301"/>
      <c r="O4" s="301"/>
      <c r="P4" s="301"/>
      <c r="Q4" s="301"/>
      <c r="R4" s="301"/>
      <c r="S4" s="301"/>
      <c r="T4" s="301"/>
      <c r="U4" s="282"/>
    </row>
    <row r="5" spans="1:31" ht="50" customHeight="1" x14ac:dyDescent="0.2">
      <c r="A5" s="224" t="s">
        <v>7</v>
      </c>
      <c r="B5" s="273" t="s">
        <v>8</v>
      </c>
      <c r="C5" s="225" t="s">
        <v>9</v>
      </c>
      <c r="D5" s="225" t="s">
        <v>10</v>
      </c>
      <c r="E5" s="225" t="s">
        <v>11</v>
      </c>
      <c r="F5" s="225" t="s">
        <v>271</v>
      </c>
      <c r="G5" s="225" t="s">
        <v>270</v>
      </c>
      <c r="H5" s="225" t="s">
        <v>12</v>
      </c>
      <c r="I5" s="225" t="s">
        <v>13</v>
      </c>
      <c r="J5" s="224" t="s">
        <v>14</v>
      </c>
      <c r="K5" s="226"/>
      <c r="L5" s="225" t="s">
        <v>15</v>
      </c>
      <c r="M5" s="225" t="s">
        <v>16</v>
      </c>
      <c r="N5" s="225" t="s">
        <v>17</v>
      </c>
      <c r="O5" s="225" t="s">
        <v>18</v>
      </c>
      <c r="P5" s="227" t="s">
        <v>19</v>
      </c>
      <c r="Q5" s="225" t="s">
        <v>20</v>
      </c>
      <c r="R5" s="225" t="s">
        <v>21</v>
      </c>
      <c r="S5" s="225" t="s">
        <v>113</v>
      </c>
      <c r="T5" s="225" t="s">
        <v>23</v>
      </c>
      <c r="U5" s="228" t="s">
        <v>24</v>
      </c>
      <c r="V5" s="265" t="s">
        <v>259</v>
      </c>
      <c r="W5" s="265" t="s">
        <v>260</v>
      </c>
      <c r="X5" s="266" t="s">
        <v>261</v>
      </c>
      <c r="Y5" s="265" t="s">
        <v>262</v>
      </c>
      <c r="Z5" s="267" t="s">
        <v>263</v>
      </c>
      <c r="AA5" s="265" t="s">
        <v>264</v>
      </c>
      <c r="AB5" s="265" t="s">
        <v>265</v>
      </c>
      <c r="AC5" s="265" t="s">
        <v>268</v>
      </c>
      <c r="AD5" s="265" t="s">
        <v>266</v>
      </c>
      <c r="AE5" s="279" t="s">
        <v>267</v>
      </c>
    </row>
    <row r="6" spans="1:31" ht="40" customHeight="1" x14ac:dyDescent="0.2">
      <c r="A6" s="123">
        <v>1</v>
      </c>
      <c r="B6" s="274" t="s">
        <v>25</v>
      </c>
      <c r="C6" s="123">
        <v>1</v>
      </c>
      <c r="D6" s="123" t="s">
        <v>26</v>
      </c>
      <c r="E6" s="123">
        <f>D6*C6</f>
        <v>60</v>
      </c>
      <c r="F6" s="123" t="s">
        <v>269</v>
      </c>
      <c r="G6" s="123" t="s">
        <v>269</v>
      </c>
      <c r="H6" s="257">
        <v>85.2</v>
      </c>
      <c r="I6" s="257">
        <f>H6/D6</f>
        <v>1.4200000000000002</v>
      </c>
      <c r="J6" s="257">
        <f t="shared" ref="J6:J79" si="0">I6*E6</f>
        <v>85.2</v>
      </c>
      <c r="K6" s="257"/>
      <c r="L6" s="257">
        <f>I6/$S$2</f>
        <v>0.44965167827739083</v>
      </c>
      <c r="M6" s="257">
        <f>H6/$S$2</f>
        <v>26.979100696643446</v>
      </c>
      <c r="N6" s="257">
        <f>L6*(1+$O$188+9%)</f>
        <v>0.49012032932235605</v>
      </c>
      <c r="O6" s="257">
        <f>N6*E6</f>
        <v>29.407219759341363</v>
      </c>
      <c r="P6" s="257">
        <v>0.85</v>
      </c>
      <c r="Q6" s="257">
        <f t="shared" ref="Q6:Q127" si="1">P6*E6</f>
        <v>51</v>
      </c>
      <c r="R6" s="257">
        <f t="shared" ref="R6:S122" si="2">P6-N6</f>
        <v>0.35987967067764393</v>
      </c>
      <c r="S6" s="257">
        <f t="shared" si="2"/>
        <v>21.592780240658637</v>
      </c>
      <c r="T6" s="246">
        <f t="shared" ref="T6:T122" si="3">R6/P6</f>
        <v>0.42338784785605171</v>
      </c>
      <c r="U6" s="135"/>
      <c r="V6" s="268">
        <f>P6</f>
        <v>0.85</v>
      </c>
      <c r="W6" s="269">
        <v>0.18</v>
      </c>
      <c r="X6" s="270">
        <f>V6/(1-18%)</f>
        <v>1.0365853658536583</v>
      </c>
      <c r="Y6" s="271">
        <f>X6*18%</f>
        <v>0.18658536585365851</v>
      </c>
      <c r="Z6" s="267">
        <f>Y6*9%</f>
        <v>1.6792682926829266E-2</v>
      </c>
      <c r="AA6" s="271">
        <f>Y6+Z6</f>
        <v>0.20337804878048776</v>
      </c>
      <c r="AB6" s="271">
        <f>X6-AA6</f>
        <v>0.83320731707317064</v>
      </c>
      <c r="AC6" s="284">
        <f>(AB6-N6)/AB6</f>
        <v>0.41176665245329974</v>
      </c>
      <c r="AD6" s="285">
        <f>AC6-T6</f>
        <v>-1.1621195402751971E-2</v>
      </c>
      <c r="AE6" s="221" t="s">
        <v>269</v>
      </c>
    </row>
    <row r="7" spans="1:31" ht="40" customHeight="1" x14ac:dyDescent="0.2">
      <c r="A7" s="123">
        <v>2</v>
      </c>
      <c r="B7" s="274" t="s">
        <v>177</v>
      </c>
      <c r="C7" s="123">
        <v>1</v>
      </c>
      <c r="D7" s="123" t="s">
        <v>26</v>
      </c>
      <c r="E7" s="123">
        <f>D7*C7</f>
        <v>60</v>
      </c>
      <c r="F7" s="123" t="s">
        <v>269</v>
      </c>
      <c r="G7" s="123" t="s">
        <v>269</v>
      </c>
      <c r="H7" s="257">
        <v>85.2</v>
      </c>
      <c r="I7" s="257">
        <f>H7/D7</f>
        <v>1.4200000000000002</v>
      </c>
      <c r="J7" s="257">
        <f t="shared" si="0"/>
        <v>85.2</v>
      </c>
      <c r="K7" s="257"/>
      <c r="L7" s="257">
        <f t="shared" ref="L7:L125" si="4">I7/$S$2</f>
        <v>0.44965167827739083</v>
      </c>
      <c r="M7" s="257">
        <f>H7/$S$2</f>
        <v>26.979100696643446</v>
      </c>
      <c r="N7" s="257">
        <f t="shared" ref="N7:N70" si="5">L7*(1+$O$188+9%)</f>
        <v>0.49012032932235605</v>
      </c>
      <c r="O7" s="257">
        <f>N7*E7</f>
        <v>29.407219759341363</v>
      </c>
      <c r="P7" s="257">
        <v>0.85</v>
      </c>
      <c r="Q7" s="257">
        <f t="shared" si="1"/>
        <v>51</v>
      </c>
      <c r="R7" s="257">
        <f t="shared" si="2"/>
        <v>0.35987967067764393</v>
      </c>
      <c r="S7" s="257">
        <f t="shared" si="2"/>
        <v>21.592780240658637</v>
      </c>
      <c r="T7" s="246">
        <f t="shared" si="3"/>
        <v>0.42338784785605171</v>
      </c>
      <c r="U7" s="135"/>
      <c r="V7" s="268">
        <f t="shared" ref="V7:V70" si="6">P7</f>
        <v>0.85</v>
      </c>
      <c r="W7" s="269">
        <v>0.18</v>
      </c>
      <c r="X7" s="270">
        <f t="shared" ref="X7:X70" si="7">V7/(1-18%)</f>
        <v>1.0365853658536583</v>
      </c>
      <c r="Y7" s="271">
        <f t="shared" ref="Y7:Y70" si="8">X7*18%</f>
        <v>0.18658536585365851</v>
      </c>
      <c r="Z7" s="267">
        <f t="shared" ref="Z7:Z70" si="9">Y7*9%</f>
        <v>1.6792682926829266E-2</v>
      </c>
      <c r="AA7" s="271">
        <f t="shared" ref="AA7:AA70" si="10">Y7+Z7</f>
        <v>0.20337804878048776</v>
      </c>
      <c r="AB7" s="271">
        <f t="shared" ref="AB7:AB70" si="11">X7-AA7</f>
        <v>0.83320731707317064</v>
      </c>
      <c r="AC7" s="284">
        <f t="shared" ref="AC7:AC70" si="12">(AB7-N7)/AB7</f>
        <v>0.41176665245329974</v>
      </c>
      <c r="AD7" s="285">
        <f t="shared" ref="AD7:AD70" si="13">AC7-T7</f>
        <v>-1.1621195402751971E-2</v>
      </c>
      <c r="AE7" s="221" t="s">
        <v>269</v>
      </c>
    </row>
    <row r="8" spans="1:31" ht="40" customHeight="1" x14ac:dyDescent="0.2">
      <c r="A8" s="123">
        <v>3</v>
      </c>
      <c r="B8" s="274" t="s">
        <v>249</v>
      </c>
      <c r="C8" s="123">
        <v>1</v>
      </c>
      <c r="D8" s="123">
        <v>12</v>
      </c>
      <c r="E8" s="123">
        <f t="shared" ref="E8:E28" si="14">D8*C8</f>
        <v>12</v>
      </c>
      <c r="F8" s="123" t="s">
        <v>269</v>
      </c>
      <c r="G8" s="123" t="s">
        <v>269</v>
      </c>
      <c r="H8" s="257">
        <v>54.6</v>
      </c>
      <c r="I8" s="257">
        <f t="shared" ref="I8:I28" si="15">H8/D8</f>
        <v>4.55</v>
      </c>
      <c r="J8" s="257">
        <f t="shared" si="0"/>
        <v>54.599999999999994</v>
      </c>
      <c r="K8" s="257"/>
      <c r="L8" s="257">
        <f t="shared" si="4"/>
        <v>1.4407853071564281</v>
      </c>
      <c r="M8" s="257">
        <f t="shared" ref="M8:M41" si="16">H8/$S$2</f>
        <v>17.289423685877139</v>
      </c>
      <c r="N8" s="257">
        <f t="shared" si="5"/>
        <v>1.5704559848005066</v>
      </c>
      <c r="O8" s="257">
        <f t="shared" ref="O8:O28" si="17">N8*E8</f>
        <v>18.845471817606079</v>
      </c>
      <c r="P8" s="257">
        <v>2.5</v>
      </c>
      <c r="Q8" s="257">
        <f t="shared" si="1"/>
        <v>30</v>
      </c>
      <c r="R8" s="257">
        <f t="shared" si="2"/>
        <v>0.92954401519949337</v>
      </c>
      <c r="S8" s="257">
        <f t="shared" si="2"/>
        <v>11.154528182393921</v>
      </c>
      <c r="T8" s="246">
        <f t="shared" si="3"/>
        <v>0.37181760607979736</v>
      </c>
      <c r="U8" s="135"/>
      <c r="V8" s="268">
        <f t="shared" si="6"/>
        <v>2.5</v>
      </c>
      <c r="W8" s="269">
        <v>0.18</v>
      </c>
      <c r="X8" s="270">
        <f t="shared" si="7"/>
        <v>3.0487804878048776</v>
      </c>
      <c r="Y8" s="271">
        <f t="shared" si="8"/>
        <v>0.54878048780487798</v>
      </c>
      <c r="Z8" s="267">
        <f t="shared" si="9"/>
        <v>4.939024390243902E-2</v>
      </c>
      <c r="AA8" s="271">
        <f t="shared" si="10"/>
        <v>0.59817073170731705</v>
      </c>
      <c r="AB8" s="271">
        <f t="shared" si="11"/>
        <v>2.4506097560975606</v>
      </c>
      <c r="AC8" s="284">
        <f t="shared" si="12"/>
        <v>0.35915705024313727</v>
      </c>
      <c r="AD8" s="285">
        <f t="shared" si="13"/>
        <v>-1.2660555836660092E-2</v>
      </c>
      <c r="AE8" s="221" t="s">
        <v>269</v>
      </c>
    </row>
    <row r="9" spans="1:31" ht="40" customHeight="1" x14ac:dyDescent="0.2">
      <c r="A9" s="123">
        <v>4</v>
      </c>
      <c r="B9" s="274" t="s">
        <v>250</v>
      </c>
      <c r="C9" s="123">
        <v>1</v>
      </c>
      <c r="D9" s="123">
        <v>12</v>
      </c>
      <c r="E9" s="123">
        <f t="shared" si="14"/>
        <v>12</v>
      </c>
      <c r="F9" s="123" t="s">
        <v>269</v>
      </c>
      <c r="G9" s="123" t="s">
        <v>269</v>
      </c>
      <c r="H9" s="257">
        <v>54.6</v>
      </c>
      <c r="I9" s="257">
        <f t="shared" si="15"/>
        <v>4.55</v>
      </c>
      <c r="J9" s="257">
        <f t="shared" si="0"/>
        <v>54.599999999999994</v>
      </c>
      <c r="K9" s="257"/>
      <c r="L9" s="257">
        <f t="shared" si="4"/>
        <v>1.4407853071564281</v>
      </c>
      <c r="M9" s="257">
        <f t="shared" si="16"/>
        <v>17.289423685877139</v>
      </c>
      <c r="N9" s="257">
        <f t="shared" si="5"/>
        <v>1.5704559848005066</v>
      </c>
      <c r="O9" s="257">
        <f t="shared" si="17"/>
        <v>18.845471817606079</v>
      </c>
      <c r="P9" s="257">
        <v>2.5</v>
      </c>
      <c r="Q9" s="257">
        <f t="shared" si="1"/>
        <v>30</v>
      </c>
      <c r="R9" s="257">
        <f t="shared" si="2"/>
        <v>0.92954401519949337</v>
      </c>
      <c r="S9" s="257">
        <f t="shared" si="2"/>
        <v>11.154528182393921</v>
      </c>
      <c r="T9" s="246">
        <f t="shared" si="3"/>
        <v>0.37181760607979736</v>
      </c>
      <c r="U9" s="135"/>
      <c r="V9" s="268">
        <f t="shared" si="6"/>
        <v>2.5</v>
      </c>
      <c r="W9" s="269">
        <v>0.18</v>
      </c>
      <c r="X9" s="270">
        <f t="shared" si="7"/>
        <v>3.0487804878048776</v>
      </c>
      <c r="Y9" s="271">
        <f t="shared" si="8"/>
        <v>0.54878048780487798</v>
      </c>
      <c r="Z9" s="267">
        <f t="shared" si="9"/>
        <v>4.939024390243902E-2</v>
      </c>
      <c r="AA9" s="271">
        <f t="shared" si="10"/>
        <v>0.59817073170731705</v>
      </c>
      <c r="AB9" s="271">
        <f t="shared" si="11"/>
        <v>2.4506097560975606</v>
      </c>
      <c r="AC9" s="284">
        <f t="shared" si="12"/>
        <v>0.35915705024313727</v>
      </c>
      <c r="AD9" s="285">
        <f t="shared" si="13"/>
        <v>-1.2660555836660092E-2</v>
      </c>
      <c r="AE9" s="221" t="s">
        <v>269</v>
      </c>
    </row>
    <row r="10" spans="1:31" ht="40" customHeight="1" x14ac:dyDescent="0.2">
      <c r="A10" s="123">
        <v>5</v>
      </c>
      <c r="B10" s="274" t="s">
        <v>251</v>
      </c>
      <c r="C10" s="123">
        <v>1</v>
      </c>
      <c r="D10" s="123">
        <v>12</v>
      </c>
      <c r="E10" s="123">
        <f t="shared" si="14"/>
        <v>12</v>
      </c>
      <c r="F10" s="123" t="s">
        <v>269</v>
      </c>
      <c r="G10" s="123" t="s">
        <v>269</v>
      </c>
      <c r="H10" s="257">
        <v>54.6</v>
      </c>
      <c r="I10" s="257">
        <f t="shared" si="15"/>
        <v>4.55</v>
      </c>
      <c r="J10" s="257">
        <f t="shared" si="0"/>
        <v>54.599999999999994</v>
      </c>
      <c r="K10" s="257"/>
      <c r="L10" s="257">
        <f t="shared" si="4"/>
        <v>1.4407853071564281</v>
      </c>
      <c r="M10" s="257">
        <f t="shared" si="16"/>
        <v>17.289423685877139</v>
      </c>
      <c r="N10" s="257">
        <f t="shared" si="5"/>
        <v>1.5704559848005066</v>
      </c>
      <c r="O10" s="257">
        <f t="shared" si="17"/>
        <v>18.845471817606079</v>
      </c>
      <c r="P10" s="257">
        <v>2.5</v>
      </c>
      <c r="Q10" s="257">
        <f t="shared" si="1"/>
        <v>30</v>
      </c>
      <c r="R10" s="257">
        <f t="shared" si="2"/>
        <v>0.92954401519949337</v>
      </c>
      <c r="S10" s="257">
        <f t="shared" si="2"/>
        <v>11.154528182393921</v>
      </c>
      <c r="T10" s="246">
        <f t="shared" si="3"/>
        <v>0.37181760607979736</v>
      </c>
      <c r="U10" s="135"/>
      <c r="V10" s="268">
        <f t="shared" si="6"/>
        <v>2.5</v>
      </c>
      <c r="W10" s="269">
        <v>0.18</v>
      </c>
      <c r="X10" s="270">
        <f t="shared" si="7"/>
        <v>3.0487804878048776</v>
      </c>
      <c r="Y10" s="271">
        <f t="shared" si="8"/>
        <v>0.54878048780487798</v>
      </c>
      <c r="Z10" s="267">
        <f t="shared" si="9"/>
        <v>4.939024390243902E-2</v>
      </c>
      <c r="AA10" s="271">
        <f t="shared" si="10"/>
        <v>0.59817073170731705</v>
      </c>
      <c r="AB10" s="271">
        <f t="shared" si="11"/>
        <v>2.4506097560975606</v>
      </c>
      <c r="AC10" s="284">
        <f t="shared" si="12"/>
        <v>0.35915705024313727</v>
      </c>
      <c r="AD10" s="285">
        <f t="shared" si="13"/>
        <v>-1.2660555836660092E-2</v>
      </c>
      <c r="AE10" s="221" t="s">
        <v>269</v>
      </c>
    </row>
    <row r="11" spans="1:31" ht="40" customHeight="1" x14ac:dyDescent="0.2">
      <c r="A11" s="123">
        <v>6</v>
      </c>
      <c r="B11" s="274" t="s">
        <v>247</v>
      </c>
      <c r="C11" s="123">
        <v>1</v>
      </c>
      <c r="D11" s="123">
        <v>60</v>
      </c>
      <c r="E11" s="123">
        <f t="shared" si="14"/>
        <v>60</v>
      </c>
      <c r="F11" s="123" t="s">
        <v>269</v>
      </c>
      <c r="G11" s="123" t="s">
        <v>269</v>
      </c>
      <c r="H11" s="257">
        <v>105</v>
      </c>
      <c r="I11" s="257">
        <f t="shared" si="15"/>
        <v>1.75</v>
      </c>
      <c r="J11" s="257">
        <f t="shared" si="0"/>
        <v>105</v>
      </c>
      <c r="K11" s="257"/>
      <c r="L11" s="257">
        <f t="shared" si="4"/>
        <v>0.55414819506016466</v>
      </c>
      <c r="M11" s="257">
        <f t="shared" si="16"/>
        <v>33.248891703609878</v>
      </c>
      <c r="N11" s="257">
        <f t="shared" si="5"/>
        <v>0.60402153261557956</v>
      </c>
      <c r="O11" s="257">
        <f t="shared" si="17"/>
        <v>36.241291956934774</v>
      </c>
      <c r="P11" s="257">
        <v>1</v>
      </c>
      <c r="Q11" s="257">
        <f t="shared" si="1"/>
        <v>60</v>
      </c>
      <c r="R11" s="257">
        <f t="shared" si="2"/>
        <v>0.39597846738442044</v>
      </c>
      <c r="S11" s="257">
        <f t="shared" si="2"/>
        <v>23.758708043065226</v>
      </c>
      <c r="T11" s="246">
        <f t="shared" si="3"/>
        <v>0.39597846738442044</v>
      </c>
      <c r="U11" s="135"/>
      <c r="V11" s="268">
        <f t="shared" si="6"/>
        <v>1</v>
      </c>
      <c r="W11" s="269">
        <v>0.18</v>
      </c>
      <c r="X11" s="270">
        <f t="shared" si="7"/>
        <v>1.2195121951219512</v>
      </c>
      <c r="Y11" s="271">
        <f t="shared" si="8"/>
        <v>0.21951219512195122</v>
      </c>
      <c r="Z11" s="267">
        <f t="shared" si="9"/>
        <v>1.975609756097561E-2</v>
      </c>
      <c r="AA11" s="271">
        <f t="shared" si="10"/>
        <v>0.23926829268292682</v>
      </c>
      <c r="AB11" s="271">
        <f t="shared" si="11"/>
        <v>0.98024390243902437</v>
      </c>
      <c r="AC11" s="284">
        <f t="shared" si="12"/>
        <v>0.38380485600301661</v>
      </c>
      <c r="AD11" s="285">
        <f t="shared" si="13"/>
        <v>-1.2173611381403826E-2</v>
      </c>
      <c r="AE11" s="221" t="s">
        <v>269</v>
      </c>
    </row>
    <row r="12" spans="1:31" ht="40" customHeight="1" x14ac:dyDescent="0.2">
      <c r="A12" s="123">
        <v>7</v>
      </c>
      <c r="B12" s="274" t="s">
        <v>248</v>
      </c>
      <c r="C12" s="123">
        <v>1</v>
      </c>
      <c r="D12" s="123">
        <v>60</v>
      </c>
      <c r="E12" s="123">
        <f t="shared" si="14"/>
        <v>60</v>
      </c>
      <c r="F12" s="123" t="s">
        <v>269</v>
      </c>
      <c r="G12" s="123" t="s">
        <v>269</v>
      </c>
      <c r="H12" s="257">
        <v>105</v>
      </c>
      <c r="I12" s="257">
        <f t="shared" si="15"/>
        <v>1.75</v>
      </c>
      <c r="J12" s="257">
        <f t="shared" si="0"/>
        <v>105</v>
      </c>
      <c r="K12" s="257"/>
      <c r="L12" s="257">
        <f t="shared" si="4"/>
        <v>0.55414819506016466</v>
      </c>
      <c r="M12" s="257">
        <f t="shared" si="16"/>
        <v>33.248891703609878</v>
      </c>
      <c r="N12" s="257">
        <f t="shared" si="5"/>
        <v>0.60402153261557956</v>
      </c>
      <c r="O12" s="257">
        <f t="shared" si="17"/>
        <v>36.241291956934774</v>
      </c>
      <c r="P12" s="257">
        <v>1</v>
      </c>
      <c r="Q12" s="257">
        <f t="shared" si="1"/>
        <v>60</v>
      </c>
      <c r="R12" s="257">
        <f t="shared" si="2"/>
        <v>0.39597846738442044</v>
      </c>
      <c r="S12" s="257">
        <f t="shared" si="2"/>
        <v>23.758708043065226</v>
      </c>
      <c r="T12" s="246">
        <f t="shared" si="3"/>
        <v>0.39597846738442044</v>
      </c>
      <c r="U12" s="135"/>
      <c r="V12" s="268">
        <f t="shared" si="6"/>
        <v>1</v>
      </c>
      <c r="W12" s="269">
        <v>0.18</v>
      </c>
      <c r="X12" s="270">
        <f t="shared" si="7"/>
        <v>1.2195121951219512</v>
      </c>
      <c r="Y12" s="271">
        <f t="shared" si="8"/>
        <v>0.21951219512195122</v>
      </c>
      <c r="Z12" s="267">
        <f t="shared" si="9"/>
        <v>1.975609756097561E-2</v>
      </c>
      <c r="AA12" s="271">
        <f t="shared" si="10"/>
        <v>0.23926829268292682</v>
      </c>
      <c r="AB12" s="271">
        <f t="shared" si="11"/>
        <v>0.98024390243902437</v>
      </c>
      <c r="AC12" s="284">
        <f t="shared" si="12"/>
        <v>0.38380485600301661</v>
      </c>
      <c r="AD12" s="285">
        <f t="shared" si="13"/>
        <v>-1.2173611381403826E-2</v>
      </c>
      <c r="AE12" s="221" t="s">
        <v>269</v>
      </c>
    </row>
    <row r="13" spans="1:31" ht="40" customHeight="1" x14ac:dyDescent="0.2">
      <c r="A13" s="123">
        <v>8</v>
      </c>
      <c r="B13" s="274" t="s">
        <v>231</v>
      </c>
      <c r="C13" s="123">
        <v>1</v>
      </c>
      <c r="D13" s="123">
        <v>36</v>
      </c>
      <c r="E13" s="123">
        <f t="shared" si="14"/>
        <v>36</v>
      </c>
      <c r="F13" s="123" t="s">
        <v>269</v>
      </c>
      <c r="G13" s="123" t="s">
        <v>269</v>
      </c>
      <c r="H13" s="257">
        <v>106.2</v>
      </c>
      <c r="I13" s="257">
        <f t="shared" si="15"/>
        <v>2.95</v>
      </c>
      <c r="J13" s="257">
        <f t="shared" si="0"/>
        <v>106.2</v>
      </c>
      <c r="K13" s="257"/>
      <c r="L13" s="257">
        <f t="shared" si="4"/>
        <v>0.93413552881570627</v>
      </c>
      <c r="M13" s="257">
        <f t="shared" si="16"/>
        <v>33.628879037365422</v>
      </c>
      <c r="N13" s="257">
        <f t="shared" si="5"/>
        <v>1.0182077264091198</v>
      </c>
      <c r="O13" s="257">
        <f t="shared" si="17"/>
        <v>36.655478150728314</v>
      </c>
      <c r="P13" s="257">
        <v>1.5</v>
      </c>
      <c r="Q13" s="257">
        <f t="shared" si="1"/>
        <v>54</v>
      </c>
      <c r="R13" s="257">
        <f t="shared" si="2"/>
        <v>0.48179227359088017</v>
      </c>
      <c r="S13" s="257">
        <f t="shared" si="2"/>
        <v>17.344521849271686</v>
      </c>
      <c r="T13" s="246">
        <f t="shared" si="3"/>
        <v>0.32119484906058676</v>
      </c>
      <c r="U13" s="135"/>
      <c r="V13" s="268">
        <f t="shared" si="6"/>
        <v>1.5</v>
      </c>
      <c r="W13" s="269">
        <v>0.18</v>
      </c>
      <c r="X13" s="270">
        <f t="shared" si="7"/>
        <v>1.8292682926829267</v>
      </c>
      <c r="Y13" s="271">
        <f t="shared" si="8"/>
        <v>0.32926829268292679</v>
      </c>
      <c r="Z13" s="267">
        <f t="shared" si="9"/>
        <v>2.963414634146341E-2</v>
      </c>
      <c r="AA13" s="271">
        <f t="shared" si="10"/>
        <v>0.35890243902439017</v>
      </c>
      <c r="AB13" s="271">
        <f t="shared" si="11"/>
        <v>1.4703658536585364</v>
      </c>
      <c r="AC13" s="284">
        <f t="shared" si="12"/>
        <v>0.30751402865100907</v>
      </c>
      <c r="AD13" s="285">
        <f t="shared" si="13"/>
        <v>-1.3680820409577688E-2</v>
      </c>
      <c r="AE13" s="221" t="s">
        <v>269</v>
      </c>
    </row>
    <row r="14" spans="1:31" ht="40" customHeight="1" x14ac:dyDescent="0.2">
      <c r="A14" s="123">
        <v>9</v>
      </c>
      <c r="B14" s="274" t="s">
        <v>232</v>
      </c>
      <c r="C14" s="123">
        <v>1</v>
      </c>
      <c r="D14" s="123">
        <v>36</v>
      </c>
      <c r="E14" s="123">
        <f t="shared" si="14"/>
        <v>36</v>
      </c>
      <c r="F14" s="123" t="s">
        <v>269</v>
      </c>
      <c r="G14" s="123" t="s">
        <v>269</v>
      </c>
      <c r="H14" s="257">
        <v>106.2</v>
      </c>
      <c r="I14" s="257">
        <f t="shared" si="15"/>
        <v>2.95</v>
      </c>
      <c r="J14" s="257">
        <f t="shared" si="0"/>
        <v>106.2</v>
      </c>
      <c r="K14" s="257"/>
      <c r="L14" s="257">
        <f t="shared" si="4"/>
        <v>0.93413552881570627</v>
      </c>
      <c r="M14" s="257">
        <f t="shared" si="16"/>
        <v>33.628879037365422</v>
      </c>
      <c r="N14" s="257">
        <f t="shared" si="5"/>
        <v>1.0182077264091198</v>
      </c>
      <c r="O14" s="257">
        <f t="shared" si="17"/>
        <v>36.655478150728314</v>
      </c>
      <c r="P14" s="257">
        <v>1.5</v>
      </c>
      <c r="Q14" s="257">
        <f t="shared" si="1"/>
        <v>54</v>
      </c>
      <c r="R14" s="257">
        <f t="shared" si="2"/>
        <v>0.48179227359088017</v>
      </c>
      <c r="S14" s="257">
        <f t="shared" si="2"/>
        <v>17.344521849271686</v>
      </c>
      <c r="T14" s="246">
        <f t="shared" si="3"/>
        <v>0.32119484906058676</v>
      </c>
      <c r="U14" s="135"/>
      <c r="V14" s="268">
        <f t="shared" si="6"/>
        <v>1.5</v>
      </c>
      <c r="W14" s="269">
        <v>0.18</v>
      </c>
      <c r="X14" s="270">
        <f t="shared" si="7"/>
        <v>1.8292682926829267</v>
      </c>
      <c r="Y14" s="271">
        <f t="shared" si="8"/>
        <v>0.32926829268292679</v>
      </c>
      <c r="Z14" s="267">
        <f t="shared" si="9"/>
        <v>2.963414634146341E-2</v>
      </c>
      <c r="AA14" s="271">
        <f t="shared" si="10"/>
        <v>0.35890243902439017</v>
      </c>
      <c r="AB14" s="271">
        <f t="shared" si="11"/>
        <v>1.4703658536585364</v>
      </c>
      <c r="AC14" s="284">
        <f t="shared" si="12"/>
        <v>0.30751402865100907</v>
      </c>
      <c r="AD14" s="285">
        <f t="shared" si="13"/>
        <v>-1.3680820409577688E-2</v>
      </c>
      <c r="AE14" s="221" t="s">
        <v>269</v>
      </c>
    </row>
    <row r="15" spans="1:31" ht="40" customHeight="1" x14ac:dyDescent="0.2">
      <c r="A15" s="123">
        <v>10</v>
      </c>
      <c r="B15" s="274" t="s">
        <v>217</v>
      </c>
      <c r="C15" s="123">
        <v>1</v>
      </c>
      <c r="D15" s="123">
        <v>12</v>
      </c>
      <c r="E15" s="123">
        <f t="shared" si="14"/>
        <v>12</v>
      </c>
      <c r="F15" s="123" t="s">
        <v>269</v>
      </c>
      <c r="G15" s="123" t="s">
        <v>269</v>
      </c>
      <c r="H15" s="257">
        <f>73.68*0.85</f>
        <v>62.628000000000007</v>
      </c>
      <c r="I15" s="257">
        <f t="shared" si="15"/>
        <v>5.2190000000000003</v>
      </c>
      <c r="J15" s="257">
        <f t="shared" si="0"/>
        <v>62.628</v>
      </c>
      <c r="K15" s="257"/>
      <c r="L15" s="257">
        <f t="shared" si="4"/>
        <v>1.6526282457251427</v>
      </c>
      <c r="M15" s="257">
        <f t="shared" si="16"/>
        <v>19.831538948701713</v>
      </c>
      <c r="N15" s="257">
        <f t="shared" si="5"/>
        <v>1.8013647878404055</v>
      </c>
      <c r="O15" s="257">
        <f t="shared" si="17"/>
        <v>21.616377454084866</v>
      </c>
      <c r="P15" s="257">
        <v>2.5</v>
      </c>
      <c r="Q15" s="257">
        <f t="shared" si="1"/>
        <v>30</v>
      </c>
      <c r="R15" s="257">
        <f t="shared" si="2"/>
        <v>0.69863521215959445</v>
      </c>
      <c r="S15" s="257">
        <f t="shared" si="2"/>
        <v>8.3836225459151343</v>
      </c>
      <c r="T15" s="246">
        <f t="shared" si="3"/>
        <v>0.27945408486383777</v>
      </c>
      <c r="U15" s="135"/>
      <c r="V15" s="268">
        <f t="shared" si="6"/>
        <v>2.5</v>
      </c>
      <c r="W15" s="269">
        <v>0.18</v>
      </c>
      <c r="X15" s="270">
        <f t="shared" si="7"/>
        <v>3.0487804878048776</v>
      </c>
      <c r="Y15" s="271">
        <f t="shared" si="8"/>
        <v>0.54878048780487798</v>
      </c>
      <c r="Z15" s="267">
        <f t="shared" si="9"/>
        <v>4.939024390243902E-2</v>
      </c>
      <c r="AA15" s="271">
        <f t="shared" si="10"/>
        <v>0.59817073170731705</v>
      </c>
      <c r="AB15" s="271">
        <f t="shared" si="11"/>
        <v>2.4506097560975606</v>
      </c>
      <c r="AC15" s="284">
        <f t="shared" si="12"/>
        <v>0.26493200993822702</v>
      </c>
      <c r="AD15" s="285">
        <f t="shared" si="13"/>
        <v>-1.4522074925610751E-2</v>
      </c>
      <c r="AE15" s="221" t="s">
        <v>269</v>
      </c>
    </row>
    <row r="16" spans="1:31" ht="40" customHeight="1" x14ac:dyDescent="0.2">
      <c r="A16" s="123">
        <v>11</v>
      </c>
      <c r="B16" s="274" t="s">
        <v>218</v>
      </c>
      <c r="C16" s="123">
        <v>1</v>
      </c>
      <c r="D16" s="123">
        <v>12</v>
      </c>
      <c r="E16" s="123">
        <f t="shared" si="14"/>
        <v>12</v>
      </c>
      <c r="F16" s="123" t="s">
        <v>269</v>
      </c>
      <c r="G16" s="123" t="s">
        <v>269</v>
      </c>
      <c r="H16" s="257">
        <f t="shared" ref="H16:H19" si="18">73.68*0.85</f>
        <v>62.628000000000007</v>
      </c>
      <c r="I16" s="257">
        <f t="shared" si="15"/>
        <v>5.2190000000000003</v>
      </c>
      <c r="J16" s="257">
        <f t="shared" si="0"/>
        <v>62.628</v>
      </c>
      <c r="K16" s="257"/>
      <c r="L16" s="257">
        <f t="shared" si="4"/>
        <v>1.6526282457251427</v>
      </c>
      <c r="M16" s="257">
        <f t="shared" si="16"/>
        <v>19.831538948701713</v>
      </c>
      <c r="N16" s="257">
        <f t="shared" si="5"/>
        <v>1.8013647878404055</v>
      </c>
      <c r="O16" s="257">
        <f t="shared" si="17"/>
        <v>21.616377454084866</v>
      </c>
      <c r="P16" s="257">
        <v>2.5</v>
      </c>
      <c r="Q16" s="257">
        <f t="shared" si="1"/>
        <v>30</v>
      </c>
      <c r="R16" s="257">
        <f t="shared" si="2"/>
        <v>0.69863521215959445</v>
      </c>
      <c r="S16" s="257">
        <f t="shared" si="2"/>
        <v>8.3836225459151343</v>
      </c>
      <c r="T16" s="246">
        <f t="shared" si="3"/>
        <v>0.27945408486383777</v>
      </c>
      <c r="U16" s="135"/>
      <c r="V16" s="268">
        <f t="shared" si="6"/>
        <v>2.5</v>
      </c>
      <c r="W16" s="269">
        <v>0.18</v>
      </c>
      <c r="X16" s="270">
        <f t="shared" si="7"/>
        <v>3.0487804878048776</v>
      </c>
      <c r="Y16" s="271">
        <f t="shared" si="8"/>
        <v>0.54878048780487798</v>
      </c>
      <c r="Z16" s="267">
        <f t="shared" si="9"/>
        <v>4.939024390243902E-2</v>
      </c>
      <c r="AA16" s="271">
        <f t="shared" si="10"/>
        <v>0.59817073170731705</v>
      </c>
      <c r="AB16" s="271">
        <f t="shared" si="11"/>
        <v>2.4506097560975606</v>
      </c>
      <c r="AC16" s="284">
        <f t="shared" si="12"/>
        <v>0.26493200993822702</v>
      </c>
      <c r="AD16" s="285">
        <f t="shared" si="13"/>
        <v>-1.4522074925610751E-2</v>
      </c>
      <c r="AE16" s="221" t="s">
        <v>269</v>
      </c>
    </row>
    <row r="17" spans="1:31" ht="40" customHeight="1" x14ac:dyDescent="0.2">
      <c r="A17" s="123">
        <v>12</v>
      </c>
      <c r="B17" s="274" t="s">
        <v>219</v>
      </c>
      <c r="C17" s="123">
        <v>1</v>
      </c>
      <c r="D17" s="123">
        <v>12</v>
      </c>
      <c r="E17" s="123">
        <f t="shared" si="14"/>
        <v>12</v>
      </c>
      <c r="F17" s="123" t="s">
        <v>269</v>
      </c>
      <c r="G17" s="123" t="s">
        <v>269</v>
      </c>
      <c r="H17" s="257">
        <f t="shared" si="18"/>
        <v>62.628000000000007</v>
      </c>
      <c r="I17" s="257">
        <f t="shared" si="15"/>
        <v>5.2190000000000003</v>
      </c>
      <c r="J17" s="257">
        <f t="shared" si="0"/>
        <v>62.628</v>
      </c>
      <c r="K17" s="257"/>
      <c r="L17" s="257">
        <f t="shared" si="4"/>
        <v>1.6526282457251427</v>
      </c>
      <c r="M17" s="257">
        <f t="shared" si="16"/>
        <v>19.831538948701713</v>
      </c>
      <c r="N17" s="257">
        <f t="shared" si="5"/>
        <v>1.8013647878404055</v>
      </c>
      <c r="O17" s="257">
        <f t="shared" si="17"/>
        <v>21.616377454084866</v>
      </c>
      <c r="P17" s="257">
        <v>2.5</v>
      </c>
      <c r="Q17" s="257">
        <f t="shared" si="1"/>
        <v>30</v>
      </c>
      <c r="R17" s="257">
        <f t="shared" si="2"/>
        <v>0.69863521215959445</v>
      </c>
      <c r="S17" s="257">
        <f t="shared" si="2"/>
        <v>8.3836225459151343</v>
      </c>
      <c r="T17" s="246">
        <f t="shared" si="3"/>
        <v>0.27945408486383777</v>
      </c>
      <c r="U17" s="135"/>
      <c r="V17" s="268">
        <f t="shared" si="6"/>
        <v>2.5</v>
      </c>
      <c r="W17" s="269">
        <v>0.18</v>
      </c>
      <c r="X17" s="270">
        <f t="shared" si="7"/>
        <v>3.0487804878048776</v>
      </c>
      <c r="Y17" s="271">
        <f t="shared" si="8"/>
        <v>0.54878048780487798</v>
      </c>
      <c r="Z17" s="267">
        <f t="shared" si="9"/>
        <v>4.939024390243902E-2</v>
      </c>
      <c r="AA17" s="271">
        <f t="shared" si="10"/>
        <v>0.59817073170731705</v>
      </c>
      <c r="AB17" s="271">
        <f t="shared" si="11"/>
        <v>2.4506097560975606</v>
      </c>
      <c r="AC17" s="284">
        <f t="shared" si="12"/>
        <v>0.26493200993822702</v>
      </c>
      <c r="AD17" s="285">
        <f t="shared" si="13"/>
        <v>-1.4522074925610751E-2</v>
      </c>
      <c r="AE17" s="221" t="s">
        <v>269</v>
      </c>
    </row>
    <row r="18" spans="1:31" ht="40" customHeight="1" x14ac:dyDescent="0.2">
      <c r="A18" s="123">
        <v>13</v>
      </c>
      <c r="B18" s="274" t="s">
        <v>220</v>
      </c>
      <c r="C18" s="123">
        <v>1</v>
      </c>
      <c r="D18" s="123">
        <v>12</v>
      </c>
      <c r="E18" s="123">
        <f t="shared" si="14"/>
        <v>12</v>
      </c>
      <c r="F18" s="123" t="s">
        <v>269</v>
      </c>
      <c r="G18" s="123" t="s">
        <v>269</v>
      </c>
      <c r="H18" s="257">
        <f t="shared" si="18"/>
        <v>62.628000000000007</v>
      </c>
      <c r="I18" s="257">
        <f t="shared" si="15"/>
        <v>5.2190000000000003</v>
      </c>
      <c r="J18" s="257">
        <f t="shared" si="0"/>
        <v>62.628</v>
      </c>
      <c r="K18" s="257"/>
      <c r="L18" s="257">
        <f t="shared" si="4"/>
        <v>1.6526282457251427</v>
      </c>
      <c r="M18" s="257">
        <f t="shared" si="16"/>
        <v>19.831538948701713</v>
      </c>
      <c r="N18" s="257">
        <f t="shared" si="5"/>
        <v>1.8013647878404055</v>
      </c>
      <c r="O18" s="257">
        <f t="shared" si="17"/>
        <v>21.616377454084866</v>
      </c>
      <c r="P18" s="257">
        <v>2.5</v>
      </c>
      <c r="Q18" s="257">
        <f t="shared" si="1"/>
        <v>30</v>
      </c>
      <c r="R18" s="257">
        <f t="shared" si="2"/>
        <v>0.69863521215959445</v>
      </c>
      <c r="S18" s="257">
        <f t="shared" si="2"/>
        <v>8.3836225459151343</v>
      </c>
      <c r="T18" s="246">
        <f t="shared" si="3"/>
        <v>0.27945408486383777</v>
      </c>
      <c r="U18" s="135"/>
      <c r="V18" s="268">
        <f t="shared" si="6"/>
        <v>2.5</v>
      </c>
      <c r="W18" s="269">
        <v>0.18</v>
      </c>
      <c r="X18" s="270">
        <f t="shared" si="7"/>
        <v>3.0487804878048776</v>
      </c>
      <c r="Y18" s="271">
        <f t="shared" si="8"/>
        <v>0.54878048780487798</v>
      </c>
      <c r="Z18" s="267">
        <f t="shared" si="9"/>
        <v>4.939024390243902E-2</v>
      </c>
      <c r="AA18" s="271">
        <f t="shared" si="10"/>
        <v>0.59817073170731705</v>
      </c>
      <c r="AB18" s="271">
        <f t="shared" si="11"/>
        <v>2.4506097560975606</v>
      </c>
      <c r="AC18" s="284">
        <f t="shared" si="12"/>
        <v>0.26493200993822702</v>
      </c>
      <c r="AD18" s="285">
        <f t="shared" si="13"/>
        <v>-1.4522074925610751E-2</v>
      </c>
      <c r="AE18" s="221" t="s">
        <v>269</v>
      </c>
    </row>
    <row r="19" spans="1:31" ht="40" customHeight="1" x14ac:dyDescent="0.2">
      <c r="A19" s="123">
        <v>14</v>
      </c>
      <c r="B19" s="274" t="s">
        <v>221</v>
      </c>
      <c r="C19" s="123">
        <v>1</v>
      </c>
      <c r="D19" s="123">
        <v>12</v>
      </c>
      <c r="E19" s="123">
        <f t="shared" si="14"/>
        <v>12</v>
      </c>
      <c r="F19" s="123" t="s">
        <v>269</v>
      </c>
      <c r="G19" s="123" t="s">
        <v>269</v>
      </c>
      <c r="H19" s="257">
        <f t="shared" si="18"/>
        <v>62.628000000000007</v>
      </c>
      <c r="I19" s="257">
        <f t="shared" si="15"/>
        <v>5.2190000000000003</v>
      </c>
      <c r="J19" s="257">
        <f t="shared" si="0"/>
        <v>62.628</v>
      </c>
      <c r="K19" s="257"/>
      <c r="L19" s="257">
        <f t="shared" si="4"/>
        <v>1.6526282457251427</v>
      </c>
      <c r="M19" s="257">
        <f t="shared" si="16"/>
        <v>19.831538948701713</v>
      </c>
      <c r="N19" s="257">
        <f t="shared" si="5"/>
        <v>1.8013647878404055</v>
      </c>
      <c r="O19" s="257">
        <f t="shared" si="17"/>
        <v>21.616377454084866</v>
      </c>
      <c r="P19" s="257">
        <v>2.5</v>
      </c>
      <c r="Q19" s="257">
        <f t="shared" si="1"/>
        <v>30</v>
      </c>
      <c r="R19" s="257">
        <f t="shared" si="2"/>
        <v>0.69863521215959445</v>
      </c>
      <c r="S19" s="257">
        <f t="shared" si="2"/>
        <v>8.3836225459151343</v>
      </c>
      <c r="T19" s="246">
        <f t="shared" si="3"/>
        <v>0.27945408486383777</v>
      </c>
      <c r="U19" s="135"/>
      <c r="V19" s="268">
        <f t="shared" si="6"/>
        <v>2.5</v>
      </c>
      <c r="W19" s="269">
        <v>0.18</v>
      </c>
      <c r="X19" s="270">
        <f t="shared" si="7"/>
        <v>3.0487804878048776</v>
      </c>
      <c r="Y19" s="271">
        <f t="shared" si="8"/>
        <v>0.54878048780487798</v>
      </c>
      <c r="Z19" s="267">
        <f t="shared" si="9"/>
        <v>4.939024390243902E-2</v>
      </c>
      <c r="AA19" s="271">
        <f t="shared" si="10"/>
        <v>0.59817073170731705</v>
      </c>
      <c r="AB19" s="271">
        <f t="shared" si="11"/>
        <v>2.4506097560975606</v>
      </c>
      <c r="AC19" s="284">
        <f t="shared" si="12"/>
        <v>0.26493200993822702</v>
      </c>
      <c r="AD19" s="285">
        <f t="shared" si="13"/>
        <v>-1.4522074925610751E-2</v>
      </c>
      <c r="AE19" s="221" t="s">
        <v>269</v>
      </c>
    </row>
    <row r="20" spans="1:31" ht="40" customHeight="1" x14ac:dyDescent="0.2">
      <c r="A20" s="123">
        <v>15</v>
      </c>
      <c r="B20" s="274" t="s">
        <v>208</v>
      </c>
      <c r="C20" s="123">
        <v>1</v>
      </c>
      <c r="D20" s="123">
        <v>80</v>
      </c>
      <c r="E20" s="123">
        <f t="shared" si="14"/>
        <v>80</v>
      </c>
      <c r="F20" s="123" t="s">
        <v>269</v>
      </c>
      <c r="G20" s="123" t="s">
        <v>269</v>
      </c>
      <c r="H20" s="257">
        <v>160</v>
      </c>
      <c r="I20" s="257">
        <f t="shared" si="15"/>
        <v>2</v>
      </c>
      <c r="J20" s="257">
        <f t="shared" si="0"/>
        <v>160</v>
      </c>
      <c r="K20" s="257"/>
      <c r="L20" s="257">
        <f t="shared" si="4"/>
        <v>0.6333122229259025</v>
      </c>
      <c r="M20" s="257">
        <f t="shared" si="16"/>
        <v>50.664977834072197</v>
      </c>
      <c r="N20" s="257">
        <f t="shared" si="5"/>
        <v>0.69031032298923378</v>
      </c>
      <c r="O20" s="257">
        <f t="shared" si="17"/>
        <v>55.224825839138703</v>
      </c>
      <c r="P20" s="257">
        <v>1.25</v>
      </c>
      <c r="Q20" s="257">
        <f t="shared" si="1"/>
        <v>100</v>
      </c>
      <c r="R20" s="257">
        <f t="shared" si="2"/>
        <v>0.55968967701076622</v>
      </c>
      <c r="S20" s="257">
        <f t="shared" si="2"/>
        <v>44.775174160861297</v>
      </c>
      <c r="T20" s="246">
        <f t="shared" si="3"/>
        <v>0.44775174160861297</v>
      </c>
      <c r="U20" s="135"/>
      <c r="V20" s="268">
        <f t="shared" si="6"/>
        <v>1.25</v>
      </c>
      <c r="W20" s="269">
        <v>0.18</v>
      </c>
      <c r="X20" s="270">
        <f t="shared" si="7"/>
        <v>1.5243902439024388</v>
      </c>
      <c r="Y20" s="271">
        <f t="shared" si="8"/>
        <v>0.27439024390243899</v>
      </c>
      <c r="Z20" s="267">
        <f t="shared" si="9"/>
        <v>2.469512195121951E-2</v>
      </c>
      <c r="AA20" s="271">
        <f t="shared" si="10"/>
        <v>0.29908536585365852</v>
      </c>
      <c r="AB20" s="271">
        <f t="shared" si="11"/>
        <v>1.2253048780487803</v>
      </c>
      <c r="AC20" s="284">
        <f t="shared" si="12"/>
        <v>0.43662158263132939</v>
      </c>
      <c r="AD20" s="285">
        <f t="shared" si="13"/>
        <v>-1.1130158977283588E-2</v>
      </c>
      <c r="AE20" s="221" t="s">
        <v>269</v>
      </c>
    </row>
    <row r="21" spans="1:31" ht="40" customHeight="1" x14ac:dyDescent="0.2">
      <c r="A21" s="123">
        <v>16</v>
      </c>
      <c r="B21" s="274" t="s">
        <v>230</v>
      </c>
      <c r="C21" s="123">
        <v>1</v>
      </c>
      <c r="D21" s="123">
        <v>40</v>
      </c>
      <c r="E21" s="123">
        <f t="shared" si="14"/>
        <v>40</v>
      </c>
      <c r="F21" s="123" t="s">
        <v>269</v>
      </c>
      <c r="G21" s="123" t="s">
        <v>269</v>
      </c>
      <c r="H21" s="257">
        <v>78</v>
      </c>
      <c r="I21" s="257">
        <f t="shared" si="15"/>
        <v>1.95</v>
      </c>
      <c r="J21" s="257">
        <f t="shared" si="0"/>
        <v>78</v>
      </c>
      <c r="K21" s="257"/>
      <c r="L21" s="257">
        <f t="shared" si="4"/>
        <v>0.61747941735275491</v>
      </c>
      <c r="M21" s="257">
        <f t="shared" si="16"/>
        <v>24.699176694110196</v>
      </c>
      <c r="N21" s="257">
        <f t="shared" si="5"/>
        <v>0.67305256491450294</v>
      </c>
      <c r="O21" s="257">
        <f t="shared" si="17"/>
        <v>26.922102596580118</v>
      </c>
      <c r="P21" s="257">
        <v>1.25</v>
      </c>
      <c r="Q21" s="257">
        <f t="shared" si="1"/>
        <v>50</v>
      </c>
      <c r="R21" s="257">
        <f t="shared" si="2"/>
        <v>0.57694743508549706</v>
      </c>
      <c r="S21" s="257">
        <f t="shared" si="2"/>
        <v>23.077897403419882</v>
      </c>
      <c r="T21" s="246">
        <f t="shared" si="3"/>
        <v>0.46155794806839767</v>
      </c>
      <c r="U21" s="135"/>
      <c r="V21" s="268">
        <f t="shared" si="6"/>
        <v>1.25</v>
      </c>
      <c r="W21" s="269">
        <v>0.18</v>
      </c>
      <c r="X21" s="270">
        <f t="shared" si="7"/>
        <v>1.5243902439024388</v>
      </c>
      <c r="Y21" s="271">
        <f t="shared" si="8"/>
        <v>0.27439024390243899</v>
      </c>
      <c r="Z21" s="267">
        <f t="shared" si="9"/>
        <v>2.469512195121951E-2</v>
      </c>
      <c r="AA21" s="271">
        <f t="shared" si="10"/>
        <v>0.29908536585365852</v>
      </c>
      <c r="AB21" s="271">
        <f t="shared" si="11"/>
        <v>1.2253048780487803</v>
      </c>
      <c r="AC21" s="284">
        <f t="shared" si="12"/>
        <v>0.45070604306554618</v>
      </c>
      <c r="AD21" s="285">
        <f t="shared" si="13"/>
        <v>-1.0851905002851492E-2</v>
      </c>
      <c r="AE21" s="221" t="s">
        <v>269</v>
      </c>
    </row>
    <row r="22" spans="1:31" ht="40" customHeight="1" x14ac:dyDescent="0.2">
      <c r="A22" s="123">
        <v>17</v>
      </c>
      <c r="B22" s="274" t="s">
        <v>209</v>
      </c>
      <c r="C22" s="123">
        <v>1</v>
      </c>
      <c r="D22" s="123">
        <v>50</v>
      </c>
      <c r="E22" s="123">
        <f t="shared" si="14"/>
        <v>50</v>
      </c>
      <c r="F22" s="123" t="s">
        <v>269</v>
      </c>
      <c r="G22" s="123" t="s">
        <v>269</v>
      </c>
      <c r="H22" s="257">
        <v>97.5</v>
      </c>
      <c r="I22" s="257">
        <f t="shared" si="15"/>
        <v>1.95</v>
      </c>
      <c r="J22" s="257">
        <f t="shared" si="0"/>
        <v>97.5</v>
      </c>
      <c r="K22" s="257"/>
      <c r="L22" s="257">
        <f t="shared" si="4"/>
        <v>0.61747941735275491</v>
      </c>
      <c r="M22" s="257">
        <f t="shared" si="16"/>
        <v>30.873970867637745</v>
      </c>
      <c r="N22" s="257">
        <f t="shared" si="5"/>
        <v>0.67305256491450294</v>
      </c>
      <c r="O22" s="257">
        <f t="shared" si="17"/>
        <v>33.652628245725147</v>
      </c>
      <c r="P22" s="257">
        <v>1.25</v>
      </c>
      <c r="Q22" s="257">
        <f t="shared" si="1"/>
        <v>62.5</v>
      </c>
      <c r="R22" s="257">
        <f t="shared" si="2"/>
        <v>0.57694743508549706</v>
      </c>
      <c r="S22" s="257">
        <f t="shared" si="2"/>
        <v>28.847371754274853</v>
      </c>
      <c r="T22" s="246">
        <f t="shared" si="3"/>
        <v>0.46155794806839767</v>
      </c>
      <c r="U22" s="135"/>
      <c r="V22" s="268">
        <f t="shared" si="6"/>
        <v>1.25</v>
      </c>
      <c r="W22" s="269">
        <v>0.18</v>
      </c>
      <c r="X22" s="270">
        <f t="shared" si="7"/>
        <v>1.5243902439024388</v>
      </c>
      <c r="Y22" s="271">
        <f t="shared" si="8"/>
        <v>0.27439024390243899</v>
      </c>
      <c r="Z22" s="267">
        <f t="shared" si="9"/>
        <v>2.469512195121951E-2</v>
      </c>
      <c r="AA22" s="271">
        <f t="shared" si="10"/>
        <v>0.29908536585365852</v>
      </c>
      <c r="AB22" s="271">
        <f t="shared" si="11"/>
        <v>1.2253048780487803</v>
      </c>
      <c r="AC22" s="284">
        <f t="shared" si="12"/>
        <v>0.45070604306554618</v>
      </c>
      <c r="AD22" s="285">
        <f t="shared" si="13"/>
        <v>-1.0851905002851492E-2</v>
      </c>
      <c r="AE22" s="221" t="s">
        <v>269</v>
      </c>
    </row>
    <row r="23" spans="1:31" ht="40" customHeight="1" x14ac:dyDescent="0.2">
      <c r="A23" s="123">
        <v>18</v>
      </c>
      <c r="B23" s="274" t="s">
        <v>210</v>
      </c>
      <c r="C23" s="123">
        <v>1</v>
      </c>
      <c r="D23" s="123">
        <v>48</v>
      </c>
      <c r="E23" s="123">
        <f t="shared" si="14"/>
        <v>48</v>
      </c>
      <c r="F23" s="123" t="s">
        <v>269</v>
      </c>
      <c r="G23" s="123" t="s">
        <v>269</v>
      </c>
      <c r="H23" s="257">
        <v>96</v>
      </c>
      <c r="I23" s="257">
        <f t="shared" si="15"/>
        <v>2</v>
      </c>
      <c r="J23" s="257">
        <f t="shared" si="0"/>
        <v>96</v>
      </c>
      <c r="K23" s="257"/>
      <c r="L23" s="257">
        <f t="shared" si="4"/>
        <v>0.6333122229259025</v>
      </c>
      <c r="M23" s="257">
        <f t="shared" si="16"/>
        <v>30.39898670044332</v>
      </c>
      <c r="N23" s="257">
        <f t="shared" si="5"/>
        <v>0.69031032298923378</v>
      </c>
      <c r="O23" s="257">
        <f t="shared" si="17"/>
        <v>33.134895503483222</v>
      </c>
      <c r="P23" s="257">
        <v>1.25</v>
      </c>
      <c r="Q23" s="257">
        <f t="shared" si="1"/>
        <v>60</v>
      </c>
      <c r="R23" s="257">
        <f t="shared" si="2"/>
        <v>0.55968967701076622</v>
      </c>
      <c r="S23" s="257">
        <f t="shared" si="2"/>
        <v>26.865104496516778</v>
      </c>
      <c r="T23" s="246">
        <f t="shared" si="3"/>
        <v>0.44775174160861297</v>
      </c>
      <c r="U23" s="135"/>
      <c r="V23" s="268">
        <f t="shared" si="6"/>
        <v>1.25</v>
      </c>
      <c r="W23" s="269">
        <v>0.18</v>
      </c>
      <c r="X23" s="270">
        <f t="shared" si="7"/>
        <v>1.5243902439024388</v>
      </c>
      <c r="Y23" s="271">
        <f t="shared" si="8"/>
        <v>0.27439024390243899</v>
      </c>
      <c r="Z23" s="267">
        <f t="shared" si="9"/>
        <v>2.469512195121951E-2</v>
      </c>
      <c r="AA23" s="271">
        <f t="shared" si="10"/>
        <v>0.29908536585365852</v>
      </c>
      <c r="AB23" s="271">
        <f t="shared" si="11"/>
        <v>1.2253048780487803</v>
      </c>
      <c r="AC23" s="284">
        <f t="shared" si="12"/>
        <v>0.43662158263132939</v>
      </c>
      <c r="AD23" s="285">
        <f t="shared" si="13"/>
        <v>-1.1130158977283588E-2</v>
      </c>
      <c r="AE23" s="221" t="s">
        <v>269</v>
      </c>
    </row>
    <row r="24" spans="1:31" ht="40" customHeight="1" x14ac:dyDescent="0.2">
      <c r="A24" s="123">
        <v>19</v>
      </c>
      <c r="B24" s="274" t="s">
        <v>211</v>
      </c>
      <c r="C24" s="123">
        <v>1</v>
      </c>
      <c r="D24" s="123">
        <v>400</v>
      </c>
      <c r="E24" s="123">
        <f t="shared" si="14"/>
        <v>400</v>
      </c>
      <c r="F24" s="123" t="s">
        <v>269</v>
      </c>
      <c r="G24" s="123" t="s">
        <v>269</v>
      </c>
      <c r="H24" s="257">
        <v>860</v>
      </c>
      <c r="I24" s="257">
        <f t="shared" si="15"/>
        <v>2.15</v>
      </c>
      <c r="J24" s="257">
        <f t="shared" si="0"/>
        <v>860</v>
      </c>
      <c r="K24" s="257"/>
      <c r="L24" s="257">
        <f t="shared" si="4"/>
        <v>0.68081063964534516</v>
      </c>
      <c r="M24" s="257">
        <f t="shared" si="16"/>
        <v>272.32425585813809</v>
      </c>
      <c r="N24" s="257">
        <f t="shared" si="5"/>
        <v>0.74208359721342632</v>
      </c>
      <c r="O24" s="257">
        <f t="shared" si="17"/>
        <v>296.83343888537053</v>
      </c>
      <c r="P24" s="257">
        <v>1.25</v>
      </c>
      <c r="Q24" s="257">
        <f t="shared" si="1"/>
        <v>500</v>
      </c>
      <c r="R24" s="257">
        <f t="shared" si="2"/>
        <v>0.50791640278657368</v>
      </c>
      <c r="S24" s="257">
        <f t="shared" si="2"/>
        <v>203.16656111462947</v>
      </c>
      <c r="T24" s="246">
        <f t="shared" si="3"/>
        <v>0.40633312222925894</v>
      </c>
      <c r="U24" s="135"/>
      <c r="V24" s="268">
        <f t="shared" si="6"/>
        <v>1.25</v>
      </c>
      <c r="W24" s="269">
        <v>0.18</v>
      </c>
      <c r="X24" s="270">
        <f t="shared" si="7"/>
        <v>1.5243902439024388</v>
      </c>
      <c r="Y24" s="271">
        <f t="shared" si="8"/>
        <v>0.27439024390243899</v>
      </c>
      <c r="Z24" s="267">
        <f t="shared" si="9"/>
        <v>2.469512195121951E-2</v>
      </c>
      <c r="AA24" s="271">
        <f t="shared" si="10"/>
        <v>0.29908536585365852</v>
      </c>
      <c r="AB24" s="271">
        <f t="shared" si="11"/>
        <v>1.2253048780487803</v>
      </c>
      <c r="AC24" s="284">
        <f t="shared" si="12"/>
        <v>0.39436820132867911</v>
      </c>
      <c r="AD24" s="285">
        <f t="shared" si="13"/>
        <v>-1.1964920900579823E-2</v>
      </c>
      <c r="AE24" s="221" t="s">
        <v>269</v>
      </c>
    </row>
    <row r="25" spans="1:31" ht="40" customHeight="1" x14ac:dyDescent="0.2">
      <c r="A25" s="123">
        <v>20</v>
      </c>
      <c r="B25" s="274" t="s">
        <v>204</v>
      </c>
      <c r="C25" s="123">
        <v>1</v>
      </c>
      <c r="D25" s="123">
        <v>80</v>
      </c>
      <c r="E25" s="123">
        <f t="shared" si="14"/>
        <v>80</v>
      </c>
      <c r="F25" s="123" t="s">
        <v>269</v>
      </c>
      <c r="G25" s="123" t="s">
        <v>269</v>
      </c>
      <c r="H25" s="257">
        <f>100*0.95</f>
        <v>95</v>
      </c>
      <c r="I25" s="257">
        <f t="shared" si="15"/>
        <v>1.1875</v>
      </c>
      <c r="J25" s="257">
        <f>I25*E25</f>
        <v>95</v>
      </c>
      <c r="K25" s="257"/>
      <c r="L25" s="257">
        <f>I25/$S$2</f>
        <v>0.3760291323622546</v>
      </c>
      <c r="M25" s="257">
        <f t="shared" si="16"/>
        <v>30.082330588980369</v>
      </c>
      <c r="N25" s="257">
        <f t="shared" si="5"/>
        <v>0.40987175427485756</v>
      </c>
      <c r="O25" s="257">
        <f t="shared" si="17"/>
        <v>32.789740341988605</v>
      </c>
      <c r="P25" s="257">
        <v>0.8</v>
      </c>
      <c r="Q25" s="257">
        <f t="shared" si="1"/>
        <v>64</v>
      </c>
      <c r="R25" s="257">
        <f t="shared" si="2"/>
        <v>0.39012824572514249</v>
      </c>
      <c r="S25" s="257">
        <f t="shared" si="2"/>
        <v>31.210259658011395</v>
      </c>
      <c r="T25" s="246">
        <f t="shared" si="3"/>
        <v>0.48766030715642811</v>
      </c>
      <c r="U25" s="135"/>
      <c r="V25" s="268">
        <f t="shared" si="6"/>
        <v>0.8</v>
      </c>
      <c r="W25" s="269">
        <v>0.18</v>
      </c>
      <c r="X25" s="270">
        <f t="shared" si="7"/>
        <v>0.97560975609756095</v>
      </c>
      <c r="Y25" s="271">
        <f t="shared" si="8"/>
        <v>0.17560975609756097</v>
      </c>
      <c r="Z25" s="267">
        <f t="shared" si="9"/>
        <v>1.5804878048780488E-2</v>
      </c>
      <c r="AA25" s="271">
        <f t="shared" si="10"/>
        <v>0.19141463414634147</v>
      </c>
      <c r="AB25" s="271">
        <f t="shared" si="11"/>
        <v>0.78419512195121954</v>
      </c>
      <c r="AC25" s="284">
        <f t="shared" si="12"/>
        <v>0.47733447607398732</v>
      </c>
      <c r="AD25" s="285">
        <f t="shared" si="13"/>
        <v>-1.0325831082440784E-2</v>
      </c>
      <c r="AE25" s="221" t="s">
        <v>269</v>
      </c>
    </row>
    <row r="26" spans="1:31" ht="40" customHeight="1" x14ac:dyDescent="0.2">
      <c r="A26" s="123">
        <v>21</v>
      </c>
      <c r="B26" s="274" t="s">
        <v>205</v>
      </c>
      <c r="C26" s="123">
        <v>1</v>
      </c>
      <c r="D26" s="123">
        <v>80</v>
      </c>
      <c r="E26" s="123">
        <f t="shared" si="14"/>
        <v>80</v>
      </c>
      <c r="F26" s="123" t="s">
        <v>269</v>
      </c>
      <c r="G26" s="123" t="s">
        <v>269</v>
      </c>
      <c r="H26" s="257">
        <f t="shared" ref="H26:H28" si="19">100*0.95</f>
        <v>95</v>
      </c>
      <c r="I26" s="257">
        <f t="shared" si="15"/>
        <v>1.1875</v>
      </c>
      <c r="J26" s="257">
        <f>I26*E26</f>
        <v>95</v>
      </c>
      <c r="K26" s="257"/>
      <c r="L26" s="257">
        <f>I26/$S$2</f>
        <v>0.3760291323622546</v>
      </c>
      <c r="M26" s="257">
        <f t="shared" si="16"/>
        <v>30.082330588980369</v>
      </c>
      <c r="N26" s="257">
        <f t="shared" si="5"/>
        <v>0.40987175427485756</v>
      </c>
      <c r="O26" s="257">
        <f t="shared" si="17"/>
        <v>32.789740341988605</v>
      </c>
      <c r="P26" s="257">
        <v>0.8</v>
      </c>
      <c r="Q26" s="257">
        <f t="shared" si="1"/>
        <v>64</v>
      </c>
      <c r="R26" s="257">
        <f t="shared" si="2"/>
        <v>0.39012824572514249</v>
      </c>
      <c r="S26" s="257">
        <f t="shared" si="2"/>
        <v>31.210259658011395</v>
      </c>
      <c r="T26" s="246">
        <f t="shared" si="3"/>
        <v>0.48766030715642811</v>
      </c>
      <c r="U26" s="135"/>
      <c r="V26" s="268">
        <f t="shared" si="6"/>
        <v>0.8</v>
      </c>
      <c r="W26" s="269">
        <v>0.18</v>
      </c>
      <c r="X26" s="270">
        <f t="shared" si="7"/>
        <v>0.97560975609756095</v>
      </c>
      <c r="Y26" s="271">
        <f t="shared" si="8"/>
        <v>0.17560975609756097</v>
      </c>
      <c r="Z26" s="267">
        <f t="shared" si="9"/>
        <v>1.5804878048780488E-2</v>
      </c>
      <c r="AA26" s="271">
        <f t="shared" si="10"/>
        <v>0.19141463414634147</v>
      </c>
      <c r="AB26" s="271">
        <f t="shared" si="11"/>
        <v>0.78419512195121954</v>
      </c>
      <c r="AC26" s="284">
        <f t="shared" si="12"/>
        <v>0.47733447607398732</v>
      </c>
      <c r="AD26" s="285">
        <f t="shared" si="13"/>
        <v>-1.0325831082440784E-2</v>
      </c>
      <c r="AE26" s="221" t="s">
        <v>269</v>
      </c>
    </row>
    <row r="27" spans="1:31" ht="40" customHeight="1" x14ac:dyDescent="0.2">
      <c r="A27" s="123">
        <v>22</v>
      </c>
      <c r="B27" s="274" t="s">
        <v>206</v>
      </c>
      <c r="C27" s="123">
        <v>1</v>
      </c>
      <c r="D27" s="123">
        <v>80</v>
      </c>
      <c r="E27" s="123">
        <f t="shared" si="14"/>
        <v>80</v>
      </c>
      <c r="F27" s="123" t="s">
        <v>269</v>
      </c>
      <c r="G27" s="123" t="s">
        <v>269</v>
      </c>
      <c r="H27" s="257">
        <f t="shared" si="19"/>
        <v>95</v>
      </c>
      <c r="I27" s="257">
        <f t="shared" si="15"/>
        <v>1.1875</v>
      </c>
      <c r="J27" s="257">
        <f>I27*E27</f>
        <v>95</v>
      </c>
      <c r="K27" s="257"/>
      <c r="L27" s="257">
        <f>I27/$S$2</f>
        <v>0.3760291323622546</v>
      </c>
      <c r="M27" s="257">
        <f t="shared" si="16"/>
        <v>30.082330588980369</v>
      </c>
      <c r="N27" s="257">
        <f t="shared" si="5"/>
        <v>0.40987175427485756</v>
      </c>
      <c r="O27" s="257">
        <f t="shared" si="17"/>
        <v>32.789740341988605</v>
      </c>
      <c r="P27" s="257">
        <v>0.8</v>
      </c>
      <c r="Q27" s="257">
        <f t="shared" si="1"/>
        <v>64</v>
      </c>
      <c r="R27" s="257">
        <f t="shared" si="2"/>
        <v>0.39012824572514249</v>
      </c>
      <c r="S27" s="257">
        <f t="shared" si="2"/>
        <v>31.210259658011395</v>
      </c>
      <c r="T27" s="246">
        <f t="shared" si="3"/>
        <v>0.48766030715642811</v>
      </c>
      <c r="U27" s="123"/>
      <c r="V27" s="268">
        <f t="shared" si="6"/>
        <v>0.8</v>
      </c>
      <c r="W27" s="269">
        <v>0.18</v>
      </c>
      <c r="X27" s="270">
        <f t="shared" si="7"/>
        <v>0.97560975609756095</v>
      </c>
      <c r="Y27" s="271">
        <f t="shared" si="8"/>
        <v>0.17560975609756097</v>
      </c>
      <c r="Z27" s="267">
        <f t="shared" si="9"/>
        <v>1.5804878048780488E-2</v>
      </c>
      <c r="AA27" s="271">
        <f t="shared" si="10"/>
        <v>0.19141463414634147</v>
      </c>
      <c r="AB27" s="271">
        <f t="shared" si="11"/>
        <v>0.78419512195121954</v>
      </c>
      <c r="AC27" s="284">
        <f t="shared" si="12"/>
        <v>0.47733447607398732</v>
      </c>
      <c r="AD27" s="285">
        <f t="shared" si="13"/>
        <v>-1.0325831082440784E-2</v>
      </c>
      <c r="AE27" s="221" t="s">
        <v>269</v>
      </c>
    </row>
    <row r="28" spans="1:31" ht="40" customHeight="1" x14ac:dyDescent="0.2">
      <c r="A28" s="123">
        <v>23</v>
      </c>
      <c r="B28" s="274" t="s">
        <v>207</v>
      </c>
      <c r="C28" s="123">
        <v>1</v>
      </c>
      <c r="D28" s="123">
        <v>80</v>
      </c>
      <c r="E28" s="123">
        <f t="shared" si="14"/>
        <v>80</v>
      </c>
      <c r="F28" s="123" t="s">
        <v>269</v>
      </c>
      <c r="G28" s="123" t="s">
        <v>269</v>
      </c>
      <c r="H28" s="257">
        <f t="shared" si="19"/>
        <v>95</v>
      </c>
      <c r="I28" s="257">
        <f t="shared" si="15"/>
        <v>1.1875</v>
      </c>
      <c r="J28" s="257">
        <f>I28*E28</f>
        <v>95</v>
      </c>
      <c r="K28" s="257"/>
      <c r="L28" s="257">
        <f>I28/$S$2</f>
        <v>0.3760291323622546</v>
      </c>
      <c r="M28" s="257">
        <f t="shared" si="16"/>
        <v>30.082330588980369</v>
      </c>
      <c r="N28" s="257">
        <f t="shared" si="5"/>
        <v>0.40987175427485756</v>
      </c>
      <c r="O28" s="257">
        <f t="shared" si="17"/>
        <v>32.789740341988605</v>
      </c>
      <c r="P28" s="257">
        <v>0.8</v>
      </c>
      <c r="Q28" s="257">
        <f t="shared" si="1"/>
        <v>64</v>
      </c>
      <c r="R28" s="257">
        <f t="shared" si="2"/>
        <v>0.39012824572514249</v>
      </c>
      <c r="S28" s="257">
        <f t="shared" si="2"/>
        <v>31.210259658011395</v>
      </c>
      <c r="T28" s="246">
        <f t="shared" si="3"/>
        <v>0.48766030715642811</v>
      </c>
      <c r="U28" s="123"/>
      <c r="V28" s="268">
        <f t="shared" si="6"/>
        <v>0.8</v>
      </c>
      <c r="W28" s="269">
        <v>0.18</v>
      </c>
      <c r="X28" s="270">
        <f t="shared" si="7"/>
        <v>0.97560975609756095</v>
      </c>
      <c r="Y28" s="271">
        <f t="shared" si="8"/>
        <v>0.17560975609756097</v>
      </c>
      <c r="Z28" s="267">
        <f t="shared" si="9"/>
        <v>1.5804878048780488E-2</v>
      </c>
      <c r="AA28" s="271">
        <f t="shared" si="10"/>
        <v>0.19141463414634147</v>
      </c>
      <c r="AB28" s="271">
        <f t="shared" si="11"/>
        <v>0.78419512195121954</v>
      </c>
      <c r="AC28" s="284">
        <f t="shared" si="12"/>
        <v>0.47733447607398732</v>
      </c>
      <c r="AD28" s="285">
        <f t="shared" si="13"/>
        <v>-1.0325831082440784E-2</v>
      </c>
      <c r="AE28" s="221" t="s">
        <v>269</v>
      </c>
    </row>
    <row r="29" spans="1:31" ht="40" customHeight="1" x14ac:dyDescent="0.2">
      <c r="A29" s="123">
        <v>24</v>
      </c>
      <c r="B29" s="274" t="s">
        <v>245</v>
      </c>
      <c r="C29" s="123">
        <v>1</v>
      </c>
      <c r="D29" s="123">
        <v>60</v>
      </c>
      <c r="E29" s="123">
        <f>D29*C29</f>
        <v>60</v>
      </c>
      <c r="F29" s="123" t="s">
        <v>269</v>
      </c>
      <c r="G29" s="123" t="s">
        <v>269</v>
      </c>
      <c r="H29" s="257">
        <v>120</v>
      </c>
      <c r="I29" s="257">
        <f>H29/D29</f>
        <v>2</v>
      </c>
      <c r="J29" s="257">
        <f t="shared" ref="J29:J42" si="20">I29*E29</f>
        <v>120</v>
      </c>
      <c r="K29" s="257"/>
      <c r="L29" s="257">
        <f t="shared" ref="L29:L42" si="21">I29/$S$2</f>
        <v>0.6333122229259025</v>
      </c>
      <c r="M29" s="257">
        <f t="shared" si="16"/>
        <v>37.998733375554146</v>
      </c>
      <c r="N29" s="257">
        <f t="shared" si="5"/>
        <v>0.69031032298923378</v>
      </c>
      <c r="O29" s="257">
        <f>N29*E29</f>
        <v>41.418619379354027</v>
      </c>
      <c r="P29" s="257">
        <v>1</v>
      </c>
      <c r="Q29" s="257">
        <f t="shared" si="1"/>
        <v>60</v>
      </c>
      <c r="R29" s="257">
        <f t="shared" si="2"/>
        <v>0.30968967701076622</v>
      </c>
      <c r="S29" s="257">
        <f t="shared" si="2"/>
        <v>18.581380620645973</v>
      </c>
      <c r="T29" s="246">
        <f t="shared" si="3"/>
        <v>0.30968967701076622</v>
      </c>
      <c r="U29" s="135"/>
      <c r="V29" s="268">
        <f t="shared" si="6"/>
        <v>1</v>
      </c>
      <c r="W29" s="269">
        <v>0.18</v>
      </c>
      <c r="X29" s="270">
        <f t="shared" si="7"/>
        <v>1.2195121951219512</v>
      </c>
      <c r="Y29" s="271">
        <f t="shared" si="8"/>
        <v>0.21951219512195122</v>
      </c>
      <c r="Z29" s="267">
        <f t="shared" si="9"/>
        <v>1.975609756097561E-2</v>
      </c>
      <c r="AA29" s="271">
        <f t="shared" si="10"/>
        <v>0.23926829268292682</v>
      </c>
      <c r="AB29" s="271">
        <f t="shared" si="11"/>
        <v>0.98024390243902437</v>
      </c>
      <c r="AC29" s="284">
        <f t="shared" si="12"/>
        <v>0.29577697828916183</v>
      </c>
      <c r="AD29" s="285">
        <f t="shared" si="13"/>
        <v>-1.3912698721604388E-2</v>
      </c>
      <c r="AE29" s="221" t="s">
        <v>269</v>
      </c>
    </row>
    <row r="30" spans="1:31" ht="40" customHeight="1" x14ac:dyDescent="0.2">
      <c r="A30" s="123">
        <v>25</v>
      </c>
      <c r="B30" s="274" t="s">
        <v>215</v>
      </c>
      <c r="C30" s="123">
        <v>1</v>
      </c>
      <c r="D30" s="123">
        <v>30</v>
      </c>
      <c r="E30" s="123">
        <f>D30*C30</f>
        <v>30</v>
      </c>
      <c r="F30" s="123" t="s">
        <v>269</v>
      </c>
      <c r="G30" s="123" t="s">
        <v>269</v>
      </c>
      <c r="H30" s="257">
        <v>226.5</v>
      </c>
      <c r="I30" s="257">
        <f>H30/D30</f>
        <v>7.55</v>
      </c>
      <c r="J30" s="257">
        <f t="shared" si="20"/>
        <v>226.5</v>
      </c>
      <c r="K30" s="257"/>
      <c r="L30" s="257">
        <f t="shared" si="21"/>
        <v>2.3907536415452819</v>
      </c>
      <c r="M30" s="257">
        <f t="shared" si="16"/>
        <v>71.722609246358459</v>
      </c>
      <c r="N30" s="257">
        <f t="shared" si="5"/>
        <v>2.6059214692843575</v>
      </c>
      <c r="O30" s="257">
        <f>N30*E30</f>
        <v>78.177644078530733</v>
      </c>
      <c r="P30" s="257">
        <v>3.95</v>
      </c>
      <c r="Q30" s="257">
        <f t="shared" si="1"/>
        <v>118.5</v>
      </c>
      <c r="R30" s="257">
        <f t="shared" si="2"/>
        <v>1.3440785307156426</v>
      </c>
      <c r="S30" s="257">
        <f t="shared" si="2"/>
        <v>40.322355921469267</v>
      </c>
      <c r="T30" s="246">
        <f t="shared" si="3"/>
        <v>0.34027304575079559</v>
      </c>
      <c r="U30" s="135"/>
      <c r="V30" s="268">
        <f t="shared" si="6"/>
        <v>3.95</v>
      </c>
      <c r="W30" s="269">
        <v>0.18</v>
      </c>
      <c r="X30" s="270">
        <f t="shared" si="7"/>
        <v>4.8170731707317076</v>
      </c>
      <c r="Y30" s="271">
        <f t="shared" si="8"/>
        <v>0.86707317073170731</v>
      </c>
      <c r="Z30" s="267">
        <f t="shared" si="9"/>
        <v>7.8036585365853658E-2</v>
      </c>
      <c r="AA30" s="271">
        <f t="shared" si="10"/>
        <v>0.94510975609756098</v>
      </c>
      <c r="AB30" s="271">
        <f t="shared" si="11"/>
        <v>3.8719634146341466</v>
      </c>
      <c r="AC30" s="284">
        <f t="shared" si="12"/>
        <v>0.32697673241559144</v>
      </c>
      <c r="AD30" s="285">
        <f t="shared" si="13"/>
        <v>-1.3296313335204146E-2</v>
      </c>
      <c r="AE30" s="221" t="s">
        <v>269</v>
      </c>
    </row>
    <row r="31" spans="1:31" ht="40" customHeight="1" x14ac:dyDescent="0.2">
      <c r="A31" s="123">
        <v>26</v>
      </c>
      <c r="B31" s="274" t="s">
        <v>214</v>
      </c>
      <c r="C31" s="123">
        <v>1</v>
      </c>
      <c r="D31" s="123">
        <v>30</v>
      </c>
      <c r="E31" s="123">
        <f>D31*C31</f>
        <v>30</v>
      </c>
      <c r="F31" s="123" t="s">
        <v>269</v>
      </c>
      <c r="G31" s="123" t="s">
        <v>269</v>
      </c>
      <c r="H31" s="257">
        <v>226.5</v>
      </c>
      <c r="I31" s="257">
        <f>H31/D31</f>
        <v>7.55</v>
      </c>
      <c r="J31" s="257">
        <f t="shared" si="20"/>
        <v>226.5</v>
      </c>
      <c r="K31" s="257"/>
      <c r="L31" s="257">
        <f t="shared" si="21"/>
        <v>2.3907536415452819</v>
      </c>
      <c r="M31" s="257">
        <f t="shared" si="16"/>
        <v>71.722609246358459</v>
      </c>
      <c r="N31" s="257">
        <f t="shared" si="5"/>
        <v>2.6059214692843575</v>
      </c>
      <c r="O31" s="257">
        <f>N31*E31</f>
        <v>78.177644078530733</v>
      </c>
      <c r="P31" s="257">
        <v>3.95</v>
      </c>
      <c r="Q31" s="257">
        <f t="shared" si="1"/>
        <v>118.5</v>
      </c>
      <c r="R31" s="257">
        <f t="shared" si="2"/>
        <v>1.3440785307156426</v>
      </c>
      <c r="S31" s="257">
        <f t="shared" si="2"/>
        <v>40.322355921469267</v>
      </c>
      <c r="T31" s="246">
        <f t="shared" si="3"/>
        <v>0.34027304575079559</v>
      </c>
      <c r="U31" s="135"/>
      <c r="V31" s="268">
        <f t="shared" si="6"/>
        <v>3.95</v>
      </c>
      <c r="W31" s="269">
        <v>0.18</v>
      </c>
      <c r="X31" s="270">
        <f t="shared" si="7"/>
        <v>4.8170731707317076</v>
      </c>
      <c r="Y31" s="271">
        <f t="shared" si="8"/>
        <v>0.86707317073170731</v>
      </c>
      <c r="Z31" s="267">
        <f t="shared" si="9"/>
        <v>7.8036585365853658E-2</v>
      </c>
      <c r="AA31" s="271">
        <f t="shared" si="10"/>
        <v>0.94510975609756098</v>
      </c>
      <c r="AB31" s="271">
        <f t="shared" si="11"/>
        <v>3.8719634146341466</v>
      </c>
      <c r="AC31" s="284">
        <f t="shared" si="12"/>
        <v>0.32697673241559144</v>
      </c>
      <c r="AD31" s="285">
        <f t="shared" si="13"/>
        <v>-1.3296313335204146E-2</v>
      </c>
      <c r="AE31" s="221" t="s">
        <v>269</v>
      </c>
    </row>
    <row r="32" spans="1:31" ht="40" customHeight="1" x14ac:dyDescent="0.2">
      <c r="A32" s="123">
        <v>27</v>
      </c>
      <c r="B32" s="274" t="s">
        <v>246</v>
      </c>
      <c r="C32" s="123">
        <v>1</v>
      </c>
      <c r="D32" s="123">
        <v>60</v>
      </c>
      <c r="E32" s="123">
        <f>D32*C32</f>
        <v>60</v>
      </c>
      <c r="F32" s="123" t="s">
        <v>269</v>
      </c>
      <c r="G32" s="123" t="s">
        <v>269</v>
      </c>
      <c r="H32" s="257">
        <v>120</v>
      </c>
      <c r="I32" s="257">
        <f>H32/D32</f>
        <v>2</v>
      </c>
      <c r="J32" s="257">
        <f t="shared" si="20"/>
        <v>120</v>
      </c>
      <c r="K32" s="257"/>
      <c r="L32" s="257">
        <f t="shared" si="21"/>
        <v>0.6333122229259025</v>
      </c>
      <c r="M32" s="257">
        <f t="shared" si="16"/>
        <v>37.998733375554146</v>
      </c>
      <c r="N32" s="257">
        <f t="shared" si="5"/>
        <v>0.69031032298923378</v>
      </c>
      <c r="O32" s="257">
        <f>N32*E32</f>
        <v>41.418619379354027</v>
      </c>
      <c r="P32" s="257">
        <v>1</v>
      </c>
      <c r="Q32" s="257">
        <f t="shared" si="1"/>
        <v>60</v>
      </c>
      <c r="R32" s="257">
        <f t="shared" si="2"/>
        <v>0.30968967701076622</v>
      </c>
      <c r="S32" s="257">
        <f t="shared" si="2"/>
        <v>18.581380620645973</v>
      </c>
      <c r="T32" s="246">
        <f t="shared" si="3"/>
        <v>0.30968967701076622</v>
      </c>
      <c r="U32" s="135"/>
      <c r="V32" s="268">
        <f t="shared" si="6"/>
        <v>1</v>
      </c>
      <c r="W32" s="269">
        <v>0.18</v>
      </c>
      <c r="X32" s="270">
        <f t="shared" si="7"/>
        <v>1.2195121951219512</v>
      </c>
      <c r="Y32" s="271">
        <f t="shared" si="8"/>
        <v>0.21951219512195122</v>
      </c>
      <c r="Z32" s="267">
        <f t="shared" si="9"/>
        <v>1.975609756097561E-2</v>
      </c>
      <c r="AA32" s="271">
        <f t="shared" si="10"/>
        <v>0.23926829268292682</v>
      </c>
      <c r="AB32" s="271">
        <f t="shared" si="11"/>
        <v>0.98024390243902437</v>
      </c>
      <c r="AC32" s="284">
        <f t="shared" si="12"/>
        <v>0.29577697828916183</v>
      </c>
      <c r="AD32" s="285">
        <f t="shared" si="13"/>
        <v>-1.3912698721604388E-2</v>
      </c>
      <c r="AE32" s="221" t="s">
        <v>269</v>
      </c>
    </row>
    <row r="33" spans="1:31" ht="40" customHeight="1" x14ac:dyDescent="0.2">
      <c r="A33" s="123">
        <v>28</v>
      </c>
      <c r="B33" s="274" t="s">
        <v>239</v>
      </c>
      <c r="C33" s="123">
        <v>1</v>
      </c>
      <c r="D33" s="123">
        <v>36</v>
      </c>
      <c r="E33" s="123">
        <f>D33*C33</f>
        <v>36</v>
      </c>
      <c r="F33" s="123" t="s">
        <v>269</v>
      </c>
      <c r="G33" s="123" t="s">
        <v>269</v>
      </c>
      <c r="H33" s="257">
        <f>77.4*0.97</f>
        <v>75.078000000000003</v>
      </c>
      <c r="I33" s="257">
        <f>H33/D33</f>
        <v>2.0855000000000001</v>
      </c>
      <c r="J33" s="257">
        <f t="shared" si="20"/>
        <v>75.078000000000003</v>
      </c>
      <c r="K33" s="257"/>
      <c r="L33" s="257">
        <f t="shared" si="21"/>
        <v>0.66038632045598489</v>
      </c>
      <c r="M33" s="257">
        <f t="shared" si="16"/>
        <v>23.773907536415454</v>
      </c>
      <c r="N33" s="257">
        <f t="shared" si="5"/>
        <v>0.7198210892970236</v>
      </c>
      <c r="O33" s="257">
        <f>N33*E33</f>
        <v>25.91355921469285</v>
      </c>
      <c r="P33" s="257">
        <v>1.5</v>
      </c>
      <c r="Q33" s="257">
        <f t="shared" si="1"/>
        <v>54</v>
      </c>
      <c r="R33" s="257">
        <f t="shared" si="2"/>
        <v>0.7801789107029764</v>
      </c>
      <c r="S33" s="257">
        <f t="shared" si="2"/>
        <v>28.08644078530715</v>
      </c>
      <c r="T33" s="246">
        <f t="shared" si="3"/>
        <v>0.52011927380198431</v>
      </c>
      <c r="U33" s="135"/>
      <c r="V33" s="268">
        <f t="shared" si="6"/>
        <v>1.5</v>
      </c>
      <c r="W33" s="269">
        <v>0.18</v>
      </c>
      <c r="X33" s="270">
        <f t="shared" si="7"/>
        <v>1.8292682926829267</v>
      </c>
      <c r="Y33" s="271">
        <f t="shared" si="8"/>
        <v>0.32926829268292679</v>
      </c>
      <c r="Z33" s="267">
        <f t="shared" si="9"/>
        <v>2.963414634146341E-2</v>
      </c>
      <c r="AA33" s="271">
        <f t="shared" si="10"/>
        <v>0.35890243902439017</v>
      </c>
      <c r="AB33" s="271">
        <f t="shared" si="11"/>
        <v>1.4703658536585364</v>
      </c>
      <c r="AC33" s="284">
        <f t="shared" si="12"/>
        <v>0.51044762940734889</v>
      </c>
      <c r="AD33" s="285">
        <f t="shared" si="13"/>
        <v>-9.6716443946354147E-3</v>
      </c>
      <c r="AE33" s="221" t="s">
        <v>269</v>
      </c>
    </row>
    <row r="34" spans="1:31" ht="40" customHeight="1" x14ac:dyDescent="0.2">
      <c r="A34" s="123">
        <v>29</v>
      </c>
      <c r="B34" s="274" t="s">
        <v>240</v>
      </c>
      <c r="C34" s="123">
        <v>1</v>
      </c>
      <c r="D34" s="123">
        <v>36</v>
      </c>
      <c r="E34" s="123">
        <f t="shared" ref="E34:E41" si="22">D34*C34</f>
        <v>36</v>
      </c>
      <c r="F34" s="123" t="s">
        <v>269</v>
      </c>
      <c r="G34" s="123" t="s">
        <v>269</v>
      </c>
      <c r="H34" s="257">
        <f t="shared" ref="H34:H41" si="23">77.4*0.97</f>
        <v>75.078000000000003</v>
      </c>
      <c r="I34" s="257">
        <f t="shared" ref="I34:I41" si="24">H34/D34</f>
        <v>2.0855000000000001</v>
      </c>
      <c r="J34" s="257">
        <f t="shared" si="20"/>
        <v>75.078000000000003</v>
      </c>
      <c r="K34" s="257"/>
      <c r="L34" s="257">
        <f t="shared" si="21"/>
        <v>0.66038632045598489</v>
      </c>
      <c r="M34" s="257">
        <f t="shared" si="16"/>
        <v>23.773907536415454</v>
      </c>
      <c r="N34" s="257">
        <f t="shared" si="5"/>
        <v>0.7198210892970236</v>
      </c>
      <c r="O34" s="257">
        <f t="shared" ref="O34:O41" si="25">N34*E34</f>
        <v>25.91355921469285</v>
      </c>
      <c r="P34" s="257">
        <v>1.5</v>
      </c>
      <c r="Q34" s="257">
        <f t="shared" si="1"/>
        <v>54</v>
      </c>
      <c r="R34" s="257">
        <f t="shared" si="2"/>
        <v>0.7801789107029764</v>
      </c>
      <c r="S34" s="257">
        <f t="shared" si="2"/>
        <v>28.08644078530715</v>
      </c>
      <c r="T34" s="246">
        <f t="shared" si="3"/>
        <v>0.52011927380198431</v>
      </c>
      <c r="U34" s="135"/>
      <c r="V34" s="268">
        <f t="shared" si="6"/>
        <v>1.5</v>
      </c>
      <c r="W34" s="269">
        <v>0.18</v>
      </c>
      <c r="X34" s="270">
        <f t="shared" si="7"/>
        <v>1.8292682926829267</v>
      </c>
      <c r="Y34" s="271">
        <f t="shared" si="8"/>
        <v>0.32926829268292679</v>
      </c>
      <c r="Z34" s="267">
        <f t="shared" si="9"/>
        <v>2.963414634146341E-2</v>
      </c>
      <c r="AA34" s="271">
        <f t="shared" si="10"/>
        <v>0.35890243902439017</v>
      </c>
      <c r="AB34" s="271">
        <f t="shared" si="11"/>
        <v>1.4703658536585364</v>
      </c>
      <c r="AC34" s="284">
        <f t="shared" si="12"/>
        <v>0.51044762940734889</v>
      </c>
      <c r="AD34" s="285">
        <f t="shared" si="13"/>
        <v>-9.6716443946354147E-3</v>
      </c>
      <c r="AE34" s="221" t="s">
        <v>269</v>
      </c>
    </row>
    <row r="35" spans="1:31" ht="40" customHeight="1" x14ac:dyDescent="0.2">
      <c r="A35" s="123">
        <v>30</v>
      </c>
      <c r="B35" s="274" t="s">
        <v>241</v>
      </c>
      <c r="C35" s="123">
        <v>1</v>
      </c>
      <c r="D35" s="123">
        <v>36</v>
      </c>
      <c r="E35" s="123">
        <f t="shared" si="22"/>
        <v>36</v>
      </c>
      <c r="F35" s="123" t="s">
        <v>269</v>
      </c>
      <c r="G35" s="123" t="s">
        <v>269</v>
      </c>
      <c r="H35" s="257">
        <f t="shared" si="23"/>
        <v>75.078000000000003</v>
      </c>
      <c r="I35" s="257">
        <f t="shared" si="24"/>
        <v>2.0855000000000001</v>
      </c>
      <c r="J35" s="257">
        <f t="shared" si="20"/>
        <v>75.078000000000003</v>
      </c>
      <c r="K35" s="257"/>
      <c r="L35" s="257">
        <f t="shared" si="21"/>
        <v>0.66038632045598489</v>
      </c>
      <c r="M35" s="257">
        <f t="shared" si="16"/>
        <v>23.773907536415454</v>
      </c>
      <c r="N35" s="257">
        <f t="shared" si="5"/>
        <v>0.7198210892970236</v>
      </c>
      <c r="O35" s="257">
        <f t="shared" si="25"/>
        <v>25.91355921469285</v>
      </c>
      <c r="P35" s="257">
        <v>1.5</v>
      </c>
      <c r="Q35" s="257">
        <f t="shared" si="1"/>
        <v>54</v>
      </c>
      <c r="R35" s="257">
        <f t="shared" si="2"/>
        <v>0.7801789107029764</v>
      </c>
      <c r="S35" s="257">
        <f t="shared" si="2"/>
        <v>28.08644078530715</v>
      </c>
      <c r="T35" s="246">
        <f t="shared" si="3"/>
        <v>0.52011927380198431</v>
      </c>
      <c r="U35" s="135"/>
      <c r="V35" s="268">
        <f t="shared" si="6"/>
        <v>1.5</v>
      </c>
      <c r="W35" s="269">
        <v>0.18</v>
      </c>
      <c r="X35" s="270">
        <f t="shared" si="7"/>
        <v>1.8292682926829267</v>
      </c>
      <c r="Y35" s="271">
        <f t="shared" si="8"/>
        <v>0.32926829268292679</v>
      </c>
      <c r="Z35" s="267">
        <f t="shared" si="9"/>
        <v>2.963414634146341E-2</v>
      </c>
      <c r="AA35" s="271">
        <f t="shared" si="10"/>
        <v>0.35890243902439017</v>
      </c>
      <c r="AB35" s="271">
        <f t="shared" si="11"/>
        <v>1.4703658536585364</v>
      </c>
      <c r="AC35" s="284">
        <f t="shared" si="12"/>
        <v>0.51044762940734889</v>
      </c>
      <c r="AD35" s="285">
        <f t="shared" si="13"/>
        <v>-9.6716443946354147E-3</v>
      </c>
      <c r="AE35" s="221" t="s">
        <v>269</v>
      </c>
    </row>
    <row r="36" spans="1:31" ht="40" customHeight="1" x14ac:dyDescent="0.2">
      <c r="A36" s="123">
        <v>31</v>
      </c>
      <c r="B36" s="274" t="s">
        <v>242</v>
      </c>
      <c r="C36" s="123">
        <v>1</v>
      </c>
      <c r="D36" s="123">
        <v>36</v>
      </c>
      <c r="E36" s="123">
        <f t="shared" si="22"/>
        <v>36</v>
      </c>
      <c r="F36" s="123" t="s">
        <v>269</v>
      </c>
      <c r="G36" s="123" t="s">
        <v>269</v>
      </c>
      <c r="H36" s="257">
        <f t="shared" si="23"/>
        <v>75.078000000000003</v>
      </c>
      <c r="I36" s="257">
        <f t="shared" si="24"/>
        <v>2.0855000000000001</v>
      </c>
      <c r="J36" s="257">
        <f t="shared" si="20"/>
        <v>75.078000000000003</v>
      </c>
      <c r="K36" s="257"/>
      <c r="L36" s="257">
        <f t="shared" si="21"/>
        <v>0.66038632045598489</v>
      </c>
      <c r="M36" s="257">
        <f t="shared" si="16"/>
        <v>23.773907536415454</v>
      </c>
      <c r="N36" s="257">
        <f t="shared" si="5"/>
        <v>0.7198210892970236</v>
      </c>
      <c r="O36" s="257">
        <f t="shared" si="25"/>
        <v>25.91355921469285</v>
      </c>
      <c r="P36" s="257">
        <v>1.5</v>
      </c>
      <c r="Q36" s="257">
        <f t="shared" si="1"/>
        <v>54</v>
      </c>
      <c r="R36" s="257">
        <f t="shared" si="2"/>
        <v>0.7801789107029764</v>
      </c>
      <c r="S36" s="257">
        <f t="shared" si="2"/>
        <v>28.08644078530715</v>
      </c>
      <c r="T36" s="246">
        <f t="shared" si="3"/>
        <v>0.52011927380198431</v>
      </c>
      <c r="U36" s="135"/>
      <c r="V36" s="268">
        <f t="shared" si="6"/>
        <v>1.5</v>
      </c>
      <c r="W36" s="269">
        <v>0.18</v>
      </c>
      <c r="X36" s="270">
        <f t="shared" si="7"/>
        <v>1.8292682926829267</v>
      </c>
      <c r="Y36" s="271">
        <f t="shared" si="8"/>
        <v>0.32926829268292679</v>
      </c>
      <c r="Z36" s="267">
        <f t="shared" si="9"/>
        <v>2.963414634146341E-2</v>
      </c>
      <c r="AA36" s="271">
        <f t="shared" si="10"/>
        <v>0.35890243902439017</v>
      </c>
      <c r="AB36" s="271">
        <f t="shared" si="11"/>
        <v>1.4703658536585364</v>
      </c>
      <c r="AC36" s="284">
        <f t="shared" si="12"/>
        <v>0.51044762940734889</v>
      </c>
      <c r="AD36" s="285">
        <f t="shared" si="13"/>
        <v>-9.6716443946354147E-3</v>
      </c>
      <c r="AE36" s="221" t="s">
        <v>269</v>
      </c>
    </row>
    <row r="37" spans="1:31" ht="40" customHeight="1" x14ac:dyDescent="0.2">
      <c r="A37" s="123">
        <v>32</v>
      </c>
      <c r="B37" s="274" t="s">
        <v>243</v>
      </c>
      <c r="C37" s="123">
        <v>1</v>
      </c>
      <c r="D37" s="123">
        <v>36</v>
      </c>
      <c r="E37" s="123">
        <f t="shared" si="22"/>
        <v>36</v>
      </c>
      <c r="F37" s="123" t="s">
        <v>269</v>
      </c>
      <c r="G37" s="123" t="s">
        <v>269</v>
      </c>
      <c r="H37" s="257">
        <f t="shared" si="23"/>
        <v>75.078000000000003</v>
      </c>
      <c r="I37" s="257">
        <f t="shared" si="24"/>
        <v>2.0855000000000001</v>
      </c>
      <c r="J37" s="257">
        <f t="shared" si="20"/>
        <v>75.078000000000003</v>
      </c>
      <c r="K37" s="257"/>
      <c r="L37" s="257">
        <f t="shared" si="21"/>
        <v>0.66038632045598489</v>
      </c>
      <c r="M37" s="257">
        <f t="shared" si="16"/>
        <v>23.773907536415454</v>
      </c>
      <c r="N37" s="257">
        <f t="shared" si="5"/>
        <v>0.7198210892970236</v>
      </c>
      <c r="O37" s="257">
        <f t="shared" si="25"/>
        <v>25.91355921469285</v>
      </c>
      <c r="P37" s="257">
        <v>1.5</v>
      </c>
      <c r="Q37" s="257">
        <f t="shared" si="1"/>
        <v>54</v>
      </c>
      <c r="R37" s="257">
        <f t="shared" si="2"/>
        <v>0.7801789107029764</v>
      </c>
      <c r="S37" s="257">
        <f t="shared" si="2"/>
        <v>28.08644078530715</v>
      </c>
      <c r="T37" s="246">
        <f t="shared" si="3"/>
        <v>0.52011927380198431</v>
      </c>
      <c r="U37" s="135"/>
      <c r="V37" s="268">
        <f t="shared" si="6"/>
        <v>1.5</v>
      </c>
      <c r="W37" s="269">
        <v>0.18</v>
      </c>
      <c r="X37" s="270">
        <f t="shared" si="7"/>
        <v>1.8292682926829267</v>
      </c>
      <c r="Y37" s="271">
        <f t="shared" si="8"/>
        <v>0.32926829268292679</v>
      </c>
      <c r="Z37" s="267">
        <f t="shared" si="9"/>
        <v>2.963414634146341E-2</v>
      </c>
      <c r="AA37" s="271">
        <f t="shared" si="10"/>
        <v>0.35890243902439017</v>
      </c>
      <c r="AB37" s="271">
        <f t="shared" si="11"/>
        <v>1.4703658536585364</v>
      </c>
      <c r="AC37" s="284">
        <f t="shared" si="12"/>
        <v>0.51044762940734889</v>
      </c>
      <c r="AD37" s="285">
        <f t="shared" si="13"/>
        <v>-9.6716443946354147E-3</v>
      </c>
      <c r="AE37" s="221" t="s">
        <v>269</v>
      </c>
    </row>
    <row r="38" spans="1:31" ht="40" customHeight="1" x14ac:dyDescent="0.2">
      <c r="A38" s="123">
        <v>33</v>
      </c>
      <c r="B38" s="274" t="s">
        <v>244</v>
      </c>
      <c r="C38" s="123">
        <v>1</v>
      </c>
      <c r="D38" s="123">
        <v>36</v>
      </c>
      <c r="E38" s="123">
        <f t="shared" si="22"/>
        <v>36</v>
      </c>
      <c r="F38" s="123" t="s">
        <v>269</v>
      </c>
      <c r="G38" s="123" t="s">
        <v>269</v>
      </c>
      <c r="H38" s="257">
        <f t="shared" si="23"/>
        <v>75.078000000000003</v>
      </c>
      <c r="I38" s="257">
        <f t="shared" si="24"/>
        <v>2.0855000000000001</v>
      </c>
      <c r="J38" s="257">
        <f t="shared" si="20"/>
        <v>75.078000000000003</v>
      </c>
      <c r="K38" s="257"/>
      <c r="L38" s="257">
        <f t="shared" si="21"/>
        <v>0.66038632045598489</v>
      </c>
      <c r="M38" s="257">
        <f t="shared" si="16"/>
        <v>23.773907536415454</v>
      </c>
      <c r="N38" s="257">
        <f t="shared" si="5"/>
        <v>0.7198210892970236</v>
      </c>
      <c r="O38" s="257">
        <f t="shared" si="25"/>
        <v>25.91355921469285</v>
      </c>
      <c r="P38" s="257">
        <v>1.5</v>
      </c>
      <c r="Q38" s="257">
        <f t="shared" si="1"/>
        <v>54</v>
      </c>
      <c r="R38" s="257">
        <f t="shared" si="2"/>
        <v>0.7801789107029764</v>
      </c>
      <c r="S38" s="257">
        <f t="shared" si="2"/>
        <v>28.08644078530715</v>
      </c>
      <c r="T38" s="246">
        <f t="shared" si="3"/>
        <v>0.52011927380198431</v>
      </c>
      <c r="U38" s="135"/>
      <c r="V38" s="268">
        <f t="shared" si="6"/>
        <v>1.5</v>
      </c>
      <c r="W38" s="269">
        <v>0.18</v>
      </c>
      <c r="X38" s="270">
        <f t="shared" si="7"/>
        <v>1.8292682926829267</v>
      </c>
      <c r="Y38" s="271">
        <f t="shared" si="8"/>
        <v>0.32926829268292679</v>
      </c>
      <c r="Z38" s="267">
        <f t="shared" si="9"/>
        <v>2.963414634146341E-2</v>
      </c>
      <c r="AA38" s="271">
        <f t="shared" si="10"/>
        <v>0.35890243902439017</v>
      </c>
      <c r="AB38" s="271">
        <f t="shared" si="11"/>
        <v>1.4703658536585364</v>
      </c>
      <c r="AC38" s="284">
        <f t="shared" si="12"/>
        <v>0.51044762940734889</v>
      </c>
      <c r="AD38" s="285">
        <f t="shared" si="13"/>
        <v>-9.6716443946354147E-3</v>
      </c>
      <c r="AE38" s="221" t="s">
        <v>269</v>
      </c>
    </row>
    <row r="39" spans="1:31" ht="40" customHeight="1" x14ac:dyDescent="0.2">
      <c r="A39" s="123">
        <v>34</v>
      </c>
      <c r="B39" s="274" t="s">
        <v>193</v>
      </c>
      <c r="C39" s="123">
        <v>1</v>
      </c>
      <c r="D39" s="123">
        <v>36</v>
      </c>
      <c r="E39" s="123">
        <f t="shared" si="22"/>
        <v>36</v>
      </c>
      <c r="F39" s="123" t="s">
        <v>269</v>
      </c>
      <c r="G39" s="123" t="s">
        <v>269</v>
      </c>
      <c r="H39" s="257">
        <f t="shared" si="23"/>
        <v>75.078000000000003</v>
      </c>
      <c r="I39" s="257">
        <f t="shared" si="24"/>
        <v>2.0855000000000001</v>
      </c>
      <c r="J39" s="257">
        <f t="shared" si="20"/>
        <v>75.078000000000003</v>
      </c>
      <c r="K39" s="257"/>
      <c r="L39" s="257">
        <f t="shared" si="21"/>
        <v>0.66038632045598489</v>
      </c>
      <c r="M39" s="257">
        <f t="shared" si="16"/>
        <v>23.773907536415454</v>
      </c>
      <c r="N39" s="257">
        <f t="shared" si="5"/>
        <v>0.7198210892970236</v>
      </c>
      <c r="O39" s="257">
        <f t="shared" si="25"/>
        <v>25.91355921469285</v>
      </c>
      <c r="P39" s="257">
        <v>1.5</v>
      </c>
      <c r="Q39" s="257">
        <f t="shared" si="1"/>
        <v>54</v>
      </c>
      <c r="R39" s="257">
        <f t="shared" si="2"/>
        <v>0.7801789107029764</v>
      </c>
      <c r="S39" s="257">
        <f t="shared" si="2"/>
        <v>28.08644078530715</v>
      </c>
      <c r="T39" s="246">
        <f t="shared" si="3"/>
        <v>0.52011927380198431</v>
      </c>
      <c r="U39" s="135"/>
      <c r="V39" s="268">
        <f t="shared" si="6"/>
        <v>1.5</v>
      </c>
      <c r="W39" s="269">
        <v>0.18</v>
      </c>
      <c r="X39" s="270">
        <f t="shared" si="7"/>
        <v>1.8292682926829267</v>
      </c>
      <c r="Y39" s="271">
        <f t="shared" si="8"/>
        <v>0.32926829268292679</v>
      </c>
      <c r="Z39" s="267">
        <f t="shared" si="9"/>
        <v>2.963414634146341E-2</v>
      </c>
      <c r="AA39" s="271">
        <f t="shared" si="10"/>
        <v>0.35890243902439017</v>
      </c>
      <c r="AB39" s="271">
        <f t="shared" si="11"/>
        <v>1.4703658536585364</v>
      </c>
      <c r="AC39" s="284">
        <f t="shared" si="12"/>
        <v>0.51044762940734889</v>
      </c>
      <c r="AD39" s="285">
        <f t="shared" si="13"/>
        <v>-9.6716443946354147E-3</v>
      </c>
      <c r="AE39" s="221" t="s">
        <v>269</v>
      </c>
    </row>
    <row r="40" spans="1:31" ht="40" customHeight="1" x14ac:dyDescent="0.2">
      <c r="A40" s="123">
        <v>35</v>
      </c>
      <c r="B40" s="274" t="s">
        <v>194</v>
      </c>
      <c r="C40" s="123">
        <v>1</v>
      </c>
      <c r="D40" s="123">
        <v>36</v>
      </c>
      <c r="E40" s="123">
        <f t="shared" si="22"/>
        <v>36</v>
      </c>
      <c r="F40" s="123" t="s">
        <v>269</v>
      </c>
      <c r="G40" s="123" t="s">
        <v>269</v>
      </c>
      <c r="H40" s="257">
        <f t="shared" si="23"/>
        <v>75.078000000000003</v>
      </c>
      <c r="I40" s="257">
        <f t="shared" si="24"/>
        <v>2.0855000000000001</v>
      </c>
      <c r="J40" s="257">
        <f t="shared" si="20"/>
        <v>75.078000000000003</v>
      </c>
      <c r="K40" s="257"/>
      <c r="L40" s="257">
        <f t="shared" si="21"/>
        <v>0.66038632045598489</v>
      </c>
      <c r="M40" s="257">
        <f t="shared" si="16"/>
        <v>23.773907536415454</v>
      </c>
      <c r="N40" s="257">
        <f t="shared" si="5"/>
        <v>0.7198210892970236</v>
      </c>
      <c r="O40" s="257">
        <f t="shared" si="25"/>
        <v>25.91355921469285</v>
      </c>
      <c r="P40" s="257">
        <v>1.5</v>
      </c>
      <c r="Q40" s="257">
        <f t="shared" si="1"/>
        <v>54</v>
      </c>
      <c r="R40" s="257">
        <f t="shared" si="2"/>
        <v>0.7801789107029764</v>
      </c>
      <c r="S40" s="257">
        <f t="shared" si="2"/>
        <v>28.08644078530715</v>
      </c>
      <c r="T40" s="246">
        <f t="shared" si="3"/>
        <v>0.52011927380198431</v>
      </c>
      <c r="U40" s="135"/>
      <c r="V40" s="268">
        <f t="shared" si="6"/>
        <v>1.5</v>
      </c>
      <c r="W40" s="269">
        <v>0.18</v>
      </c>
      <c r="X40" s="270">
        <f t="shared" si="7"/>
        <v>1.8292682926829267</v>
      </c>
      <c r="Y40" s="271">
        <f t="shared" si="8"/>
        <v>0.32926829268292679</v>
      </c>
      <c r="Z40" s="267">
        <f t="shared" si="9"/>
        <v>2.963414634146341E-2</v>
      </c>
      <c r="AA40" s="271">
        <f t="shared" si="10"/>
        <v>0.35890243902439017</v>
      </c>
      <c r="AB40" s="271">
        <f t="shared" si="11"/>
        <v>1.4703658536585364</v>
      </c>
      <c r="AC40" s="284">
        <f t="shared" si="12"/>
        <v>0.51044762940734889</v>
      </c>
      <c r="AD40" s="285">
        <f t="shared" si="13"/>
        <v>-9.6716443946354147E-3</v>
      </c>
      <c r="AE40" s="221" t="s">
        <v>269</v>
      </c>
    </row>
    <row r="41" spans="1:31" ht="40" customHeight="1" x14ac:dyDescent="0.2">
      <c r="A41" s="123">
        <v>36</v>
      </c>
      <c r="B41" s="274" t="s">
        <v>195</v>
      </c>
      <c r="C41" s="123">
        <v>1</v>
      </c>
      <c r="D41" s="123">
        <v>36</v>
      </c>
      <c r="E41" s="123">
        <f t="shared" si="22"/>
        <v>36</v>
      </c>
      <c r="F41" s="123" t="s">
        <v>269</v>
      </c>
      <c r="G41" s="123" t="s">
        <v>269</v>
      </c>
      <c r="H41" s="257">
        <f t="shared" si="23"/>
        <v>75.078000000000003</v>
      </c>
      <c r="I41" s="257">
        <f t="shared" si="24"/>
        <v>2.0855000000000001</v>
      </c>
      <c r="J41" s="257">
        <f t="shared" si="20"/>
        <v>75.078000000000003</v>
      </c>
      <c r="K41" s="257"/>
      <c r="L41" s="257">
        <f t="shared" si="21"/>
        <v>0.66038632045598489</v>
      </c>
      <c r="M41" s="257">
        <f t="shared" si="16"/>
        <v>23.773907536415454</v>
      </c>
      <c r="N41" s="257">
        <f t="shared" si="5"/>
        <v>0.7198210892970236</v>
      </c>
      <c r="O41" s="257">
        <f t="shared" si="25"/>
        <v>25.91355921469285</v>
      </c>
      <c r="P41" s="257">
        <v>1.5</v>
      </c>
      <c r="Q41" s="257">
        <f t="shared" si="1"/>
        <v>54</v>
      </c>
      <c r="R41" s="257">
        <f t="shared" si="2"/>
        <v>0.7801789107029764</v>
      </c>
      <c r="S41" s="257">
        <f t="shared" si="2"/>
        <v>28.08644078530715</v>
      </c>
      <c r="T41" s="246">
        <f t="shared" si="3"/>
        <v>0.52011927380198431</v>
      </c>
      <c r="U41" s="135"/>
      <c r="V41" s="268">
        <f t="shared" si="6"/>
        <v>1.5</v>
      </c>
      <c r="W41" s="269">
        <v>0.18</v>
      </c>
      <c r="X41" s="270">
        <f t="shared" si="7"/>
        <v>1.8292682926829267</v>
      </c>
      <c r="Y41" s="271">
        <f t="shared" si="8"/>
        <v>0.32926829268292679</v>
      </c>
      <c r="Z41" s="267">
        <f t="shared" si="9"/>
        <v>2.963414634146341E-2</v>
      </c>
      <c r="AA41" s="271">
        <f t="shared" si="10"/>
        <v>0.35890243902439017</v>
      </c>
      <c r="AB41" s="271">
        <f t="shared" si="11"/>
        <v>1.4703658536585364</v>
      </c>
      <c r="AC41" s="284">
        <f t="shared" si="12"/>
        <v>0.51044762940734889</v>
      </c>
      <c r="AD41" s="285">
        <f t="shared" si="13"/>
        <v>-9.6716443946354147E-3</v>
      </c>
      <c r="AE41" s="221" t="s">
        <v>269</v>
      </c>
    </row>
    <row r="42" spans="1:31" ht="40" customHeight="1" x14ac:dyDescent="0.2">
      <c r="A42" s="123">
        <v>37</v>
      </c>
      <c r="B42" s="274" t="s">
        <v>188</v>
      </c>
      <c r="C42" s="123">
        <v>1</v>
      </c>
      <c r="D42" s="123">
        <v>48</v>
      </c>
      <c r="E42" s="123">
        <f>D42*C42</f>
        <v>48</v>
      </c>
      <c r="F42" s="123" t="s">
        <v>269</v>
      </c>
      <c r="G42" s="123" t="s">
        <v>269</v>
      </c>
      <c r="H42" s="257">
        <v>98.4</v>
      </c>
      <c r="I42" s="257">
        <f>H42/D42</f>
        <v>2.0500000000000003</v>
      </c>
      <c r="J42" s="257">
        <f t="shared" si="20"/>
        <v>98.4</v>
      </c>
      <c r="K42" s="257"/>
      <c r="L42" s="257">
        <f t="shared" si="21"/>
        <v>0.64914502849905009</v>
      </c>
      <c r="M42" s="257">
        <f>H42/$S$2</f>
        <v>31.158961367954404</v>
      </c>
      <c r="N42" s="257">
        <f t="shared" si="5"/>
        <v>0.70756808106396463</v>
      </c>
      <c r="O42" s="257">
        <f>N42*E42</f>
        <v>33.963267891070302</v>
      </c>
      <c r="P42" s="257">
        <v>1</v>
      </c>
      <c r="Q42" s="257">
        <f t="shared" si="1"/>
        <v>48</v>
      </c>
      <c r="R42" s="257">
        <f t="shared" si="2"/>
        <v>0.29243191893603537</v>
      </c>
      <c r="S42" s="257">
        <f t="shared" si="2"/>
        <v>14.036732108929698</v>
      </c>
      <c r="T42" s="246">
        <f t="shared" si="3"/>
        <v>0.29243191893603537</v>
      </c>
      <c r="U42" s="135"/>
      <c r="V42" s="268">
        <f t="shared" si="6"/>
        <v>1</v>
      </c>
      <c r="W42" s="269">
        <v>0.18</v>
      </c>
      <c r="X42" s="270">
        <f t="shared" si="7"/>
        <v>1.2195121951219512</v>
      </c>
      <c r="Y42" s="271">
        <f t="shared" si="8"/>
        <v>0.21951219512195122</v>
      </c>
      <c r="Z42" s="267">
        <f t="shared" si="9"/>
        <v>1.975609756097561E-2</v>
      </c>
      <c r="AA42" s="271">
        <f t="shared" si="10"/>
        <v>0.23926829268292682</v>
      </c>
      <c r="AB42" s="271">
        <f t="shared" si="11"/>
        <v>0.98024390243902437</v>
      </c>
      <c r="AC42" s="284">
        <f t="shared" si="12"/>
        <v>0.27817140274639091</v>
      </c>
      <c r="AD42" s="285">
        <f t="shared" si="13"/>
        <v>-1.4260516189644468E-2</v>
      </c>
      <c r="AE42" s="221" t="s">
        <v>269</v>
      </c>
    </row>
    <row r="43" spans="1:31" ht="40" customHeight="1" x14ac:dyDescent="0.2">
      <c r="A43" s="123">
        <v>38</v>
      </c>
      <c r="B43" s="274" t="s">
        <v>27</v>
      </c>
      <c r="C43" s="123">
        <v>1</v>
      </c>
      <c r="D43" s="123" t="s">
        <v>28</v>
      </c>
      <c r="E43" s="123">
        <f t="shared" ref="E43:E131" si="26">D43*C43</f>
        <v>50</v>
      </c>
      <c r="F43" s="123">
        <v>83</v>
      </c>
      <c r="G43" s="123">
        <v>80.510000000000005</v>
      </c>
      <c r="H43" s="123">
        <v>80.510000000000005</v>
      </c>
      <c r="I43" s="257">
        <f t="shared" ref="I43:I131" si="27">H43/D43</f>
        <v>1.6102000000000001</v>
      </c>
      <c r="J43" s="257">
        <f t="shared" si="0"/>
        <v>80.510000000000005</v>
      </c>
      <c r="K43" s="257"/>
      <c r="L43" s="257">
        <f t="shared" si="4"/>
        <v>0.50987967067764417</v>
      </c>
      <c r="M43" s="257">
        <f t="shared" ref="M43:M131" si="28">H43/$S$2</f>
        <v>25.493983533882208</v>
      </c>
      <c r="N43" s="257">
        <f t="shared" si="5"/>
        <v>0.55576884103863222</v>
      </c>
      <c r="O43" s="257">
        <f>N43*E43</f>
        <v>27.788442051931611</v>
      </c>
      <c r="P43" s="257">
        <v>1</v>
      </c>
      <c r="Q43" s="257">
        <f>P43*E43</f>
        <v>50</v>
      </c>
      <c r="R43" s="257">
        <f t="shared" si="2"/>
        <v>0.44423115896136778</v>
      </c>
      <c r="S43" s="257">
        <f t="shared" si="2"/>
        <v>22.211557948068389</v>
      </c>
      <c r="T43" s="246">
        <f t="shared" si="3"/>
        <v>0.44423115896136778</v>
      </c>
      <c r="U43" s="137"/>
      <c r="V43" s="268">
        <f t="shared" si="6"/>
        <v>1</v>
      </c>
      <c r="W43" s="269">
        <v>0.18</v>
      </c>
      <c r="X43" s="270">
        <f t="shared" si="7"/>
        <v>1.2195121951219512</v>
      </c>
      <c r="Y43" s="271">
        <f t="shared" si="8"/>
        <v>0.21951219512195122</v>
      </c>
      <c r="Z43" s="267">
        <f t="shared" si="9"/>
        <v>1.975609756097561E-2</v>
      </c>
      <c r="AA43" s="271">
        <f t="shared" si="10"/>
        <v>0.23926829268292682</v>
      </c>
      <c r="AB43" s="271">
        <f t="shared" si="11"/>
        <v>0.98024390243902437</v>
      </c>
      <c r="AC43" s="284">
        <f t="shared" si="12"/>
        <v>0.43303004522060407</v>
      </c>
      <c r="AD43" s="285">
        <f t="shared" si="13"/>
        <v>-1.1201113740763713E-2</v>
      </c>
      <c r="AE43" s="221" t="s">
        <v>269</v>
      </c>
    </row>
    <row r="44" spans="1:31" ht="40" customHeight="1" x14ac:dyDescent="0.2">
      <c r="A44" s="123">
        <v>39</v>
      </c>
      <c r="B44" s="274" t="s">
        <v>182</v>
      </c>
      <c r="C44" s="123">
        <v>1</v>
      </c>
      <c r="D44" s="123" t="s">
        <v>28</v>
      </c>
      <c r="E44" s="123">
        <v>50</v>
      </c>
      <c r="F44" s="123">
        <v>83</v>
      </c>
      <c r="G44" s="123">
        <v>80.510000000000005</v>
      </c>
      <c r="H44" s="123">
        <v>80.510000000000005</v>
      </c>
      <c r="I44" s="257">
        <f t="shared" si="27"/>
        <v>1.6102000000000001</v>
      </c>
      <c r="J44" s="257">
        <f>83</f>
        <v>83</v>
      </c>
      <c r="K44" s="257"/>
      <c r="L44" s="257">
        <f t="shared" si="4"/>
        <v>0.50987967067764417</v>
      </c>
      <c r="M44" s="257">
        <v>0.55576884103863222</v>
      </c>
      <c r="N44" s="257">
        <f t="shared" si="5"/>
        <v>0.55576884103863222</v>
      </c>
      <c r="O44" s="257">
        <f t="shared" ref="O44:O131" si="29">N44*E44</f>
        <v>27.788442051931611</v>
      </c>
      <c r="P44" s="257">
        <v>1</v>
      </c>
      <c r="Q44" s="257">
        <f t="shared" ref="Q44" si="30">P44*E44</f>
        <v>50</v>
      </c>
      <c r="R44" s="257">
        <f>P44-N44</f>
        <v>0.44423115896136778</v>
      </c>
      <c r="S44" s="257">
        <f t="shared" si="2"/>
        <v>22.211557948068389</v>
      </c>
      <c r="T44" s="246">
        <f t="shared" si="3"/>
        <v>0.44423115896136778</v>
      </c>
      <c r="U44" s="137"/>
      <c r="V44" s="268">
        <f t="shared" si="6"/>
        <v>1</v>
      </c>
      <c r="W44" s="269">
        <v>0.18</v>
      </c>
      <c r="X44" s="270">
        <f t="shared" si="7"/>
        <v>1.2195121951219512</v>
      </c>
      <c r="Y44" s="271">
        <f t="shared" si="8"/>
        <v>0.21951219512195122</v>
      </c>
      <c r="Z44" s="267">
        <f t="shared" si="9"/>
        <v>1.975609756097561E-2</v>
      </c>
      <c r="AA44" s="271">
        <f t="shared" si="10"/>
        <v>0.23926829268292682</v>
      </c>
      <c r="AB44" s="271">
        <f t="shared" si="11"/>
        <v>0.98024390243902437</v>
      </c>
      <c r="AC44" s="284">
        <f t="shared" si="12"/>
        <v>0.43303004522060407</v>
      </c>
      <c r="AD44" s="285">
        <f t="shared" si="13"/>
        <v>-1.1201113740763713E-2</v>
      </c>
      <c r="AE44" s="221" t="s">
        <v>269</v>
      </c>
    </row>
    <row r="45" spans="1:31" ht="40" customHeight="1" x14ac:dyDescent="0.2">
      <c r="A45" s="123">
        <v>40</v>
      </c>
      <c r="B45" s="274" t="s">
        <v>29</v>
      </c>
      <c r="C45" s="123">
        <v>1</v>
      </c>
      <c r="D45" s="123" t="s">
        <v>28</v>
      </c>
      <c r="E45" s="123">
        <f t="shared" si="26"/>
        <v>50</v>
      </c>
      <c r="F45" s="123">
        <v>83</v>
      </c>
      <c r="G45" s="123">
        <v>80.510000000000005</v>
      </c>
      <c r="H45" s="123">
        <v>80.510000000000005</v>
      </c>
      <c r="I45" s="257">
        <f t="shared" si="27"/>
        <v>1.6102000000000001</v>
      </c>
      <c r="J45" s="257">
        <f t="shared" si="0"/>
        <v>80.510000000000005</v>
      </c>
      <c r="K45" s="257"/>
      <c r="L45" s="257">
        <f t="shared" si="4"/>
        <v>0.50987967067764417</v>
      </c>
      <c r="M45" s="257">
        <f t="shared" si="28"/>
        <v>25.493983533882208</v>
      </c>
      <c r="N45" s="257">
        <f t="shared" si="5"/>
        <v>0.55576884103863222</v>
      </c>
      <c r="O45" s="257">
        <f t="shared" si="29"/>
        <v>27.788442051931611</v>
      </c>
      <c r="P45" s="257">
        <v>1</v>
      </c>
      <c r="Q45" s="257">
        <f t="shared" si="1"/>
        <v>50</v>
      </c>
      <c r="R45" s="257">
        <f>P45-N45</f>
        <v>0.44423115896136778</v>
      </c>
      <c r="S45" s="257">
        <f t="shared" si="2"/>
        <v>22.211557948068389</v>
      </c>
      <c r="T45" s="246">
        <f t="shared" si="3"/>
        <v>0.44423115896136778</v>
      </c>
      <c r="U45" s="138"/>
      <c r="V45" s="268">
        <f t="shared" si="6"/>
        <v>1</v>
      </c>
      <c r="W45" s="269">
        <v>0.18</v>
      </c>
      <c r="X45" s="270">
        <f t="shared" si="7"/>
        <v>1.2195121951219512</v>
      </c>
      <c r="Y45" s="271">
        <f t="shared" si="8"/>
        <v>0.21951219512195122</v>
      </c>
      <c r="Z45" s="267">
        <f t="shared" si="9"/>
        <v>1.975609756097561E-2</v>
      </c>
      <c r="AA45" s="271">
        <f t="shared" si="10"/>
        <v>0.23926829268292682</v>
      </c>
      <c r="AB45" s="271">
        <f t="shared" si="11"/>
        <v>0.98024390243902437</v>
      </c>
      <c r="AC45" s="284">
        <f t="shared" si="12"/>
        <v>0.43303004522060407</v>
      </c>
      <c r="AD45" s="285">
        <f t="shared" si="13"/>
        <v>-1.1201113740763713E-2</v>
      </c>
      <c r="AE45" s="221" t="s">
        <v>269</v>
      </c>
    </row>
    <row r="46" spans="1:31" ht="40" customHeight="1" x14ac:dyDescent="0.2">
      <c r="A46" s="123">
        <v>41</v>
      </c>
      <c r="B46" s="274" t="s">
        <v>30</v>
      </c>
      <c r="C46" s="123">
        <v>1</v>
      </c>
      <c r="D46" s="123" t="s">
        <v>28</v>
      </c>
      <c r="E46" s="123">
        <f t="shared" si="26"/>
        <v>50</v>
      </c>
      <c r="F46" s="123">
        <v>83</v>
      </c>
      <c r="G46" s="123">
        <v>80.510000000000005</v>
      </c>
      <c r="H46" s="123">
        <v>80.510000000000005</v>
      </c>
      <c r="I46" s="257">
        <f t="shared" si="27"/>
        <v>1.6102000000000001</v>
      </c>
      <c r="J46" s="257">
        <f t="shared" si="0"/>
        <v>80.510000000000005</v>
      </c>
      <c r="K46" s="257"/>
      <c r="L46" s="257">
        <f t="shared" si="4"/>
        <v>0.50987967067764417</v>
      </c>
      <c r="M46" s="257">
        <f t="shared" si="28"/>
        <v>25.493983533882208</v>
      </c>
      <c r="N46" s="257">
        <f t="shared" si="5"/>
        <v>0.55576884103863222</v>
      </c>
      <c r="O46" s="257">
        <f t="shared" si="29"/>
        <v>27.788442051931611</v>
      </c>
      <c r="P46" s="257">
        <v>1</v>
      </c>
      <c r="Q46" s="257">
        <f t="shared" si="1"/>
        <v>50</v>
      </c>
      <c r="R46" s="257">
        <f t="shared" si="2"/>
        <v>0.44423115896136778</v>
      </c>
      <c r="S46" s="257">
        <f t="shared" si="2"/>
        <v>22.211557948068389</v>
      </c>
      <c r="T46" s="246">
        <f t="shared" si="3"/>
        <v>0.44423115896136778</v>
      </c>
      <c r="U46" s="138"/>
      <c r="V46" s="268">
        <f t="shared" si="6"/>
        <v>1</v>
      </c>
      <c r="W46" s="269">
        <v>0.18</v>
      </c>
      <c r="X46" s="270">
        <f t="shared" si="7"/>
        <v>1.2195121951219512</v>
      </c>
      <c r="Y46" s="271">
        <f t="shared" si="8"/>
        <v>0.21951219512195122</v>
      </c>
      <c r="Z46" s="267">
        <f t="shared" si="9"/>
        <v>1.975609756097561E-2</v>
      </c>
      <c r="AA46" s="271">
        <f t="shared" si="10"/>
        <v>0.23926829268292682</v>
      </c>
      <c r="AB46" s="271">
        <f t="shared" si="11"/>
        <v>0.98024390243902437</v>
      </c>
      <c r="AC46" s="284">
        <f t="shared" si="12"/>
        <v>0.43303004522060407</v>
      </c>
      <c r="AD46" s="285">
        <f t="shared" si="13"/>
        <v>-1.1201113740763713E-2</v>
      </c>
      <c r="AE46" s="221" t="s">
        <v>269</v>
      </c>
    </row>
    <row r="47" spans="1:31" ht="40" customHeight="1" x14ac:dyDescent="0.2">
      <c r="A47" s="123">
        <v>42</v>
      </c>
      <c r="B47" s="274" t="s">
        <v>33</v>
      </c>
      <c r="C47" s="123">
        <v>1</v>
      </c>
      <c r="D47" s="123" t="s">
        <v>28</v>
      </c>
      <c r="E47" s="123">
        <f t="shared" si="26"/>
        <v>50</v>
      </c>
      <c r="F47" s="123" t="s">
        <v>269</v>
      </c>
      <c r="G47" s="123" t="s">
        <v>269</v>
      </c>
      <c r="H47" s="257">
        <v>79.055000000000007</v>
      </c>
      <c r="I47" s="257">
        <f t="shared" si="27"/>
        <v>1.5811000000000002</v>
      </c>
      <c r="J47" s="257">
        <f t="shared" si="0"/>
        <v>79.055000000000007</v>
      </c>
      <c r="K47" s="257"/>
      <c r="L47" s="257">
        <f t="shared" si="4"/>
        <v>0.50066497783407227</v>
      </c>
      <c r="M47" s="257">
        <f t="shared" si="28"/>
        <v>25.033248891703614</v>
      </c>
      <c r="N47" s="257">
        <f t="shared" si="5"/>
        <v>0.54572482583913884</v>
      </c>
      <c r="O47" s="257">
        <f t="shared" si="29"/>
        <v>27.286241291956941</v>
      </c>
      <c r="P47" s="257">
        <v>0.85</v>
      </c>
      <c r="Q47" s="257">
        <f t="shared" si="1"/>
        <v>42.5</v>
      </c>
      <c r="R47" s="257">
        <f t="shared" si="2"/>
        <v>0.30427517416086114</v>
      </c>
      <c r="S47" s="257">
        <f t="shared" si="2"/>
        <v>15.213758708043059</v>
      </c>
      <c r="T47" s="246">
        <f t="shared" si="3"/>
        <v>0.3579707931304249</v>
      </c>
      <c r="U47" s="138"/>
      <c r="V47" s="268">
        <f t="shared" si="6"/>
        <v>0.85</v>
      </c>
      <c r="W47" s="269">
        <v>0.18</v>
      </c>
      <c r="X47" s="270">
        <f t="shared" si="7"/>
        <v>1.0365853658536583</v>
      </c>
      <c r="Y47" s="271">
        <f t="shared" si="8"/>
        <v>0.18658536585365851</v>
      </c>
      <c r="Z47" s="267">
        <f t="shared" si="9"/>
        <v>1.6792682926829266E-2</v>
      </c>
      <c r="AA47" s="271">
        <f t="shared" si="10"/>
        <v>0.20337804878048776</v>
      </c>
      <c r="AB47" s="271">
        <f t="shared" si="11"/>
        <v>0.83320731707317064</v>
      </c>
      <c r="AC47" s="284">
        <f t="shared" si="12"/>
        <v>0.34503116492529029</v>
      </c>
      <c r="AD47" s="285">
        <f t="shared" si="13"/>
        <v>-1.2939628205134612E-2</v>
      </c>
      <c r="AE47" s="221" t="s">
        <v>269</v>
      </c>
    </row>
    <row r="48" spans="1:31" ht="40" customHeight="1" x14ac:dyDescent="0.2">
      <c r="A48" s="123">
        <v>43</v>
      </c>
      <c r="B48" s="274" t="s">
        <v>34</v>
      </c>
      <c r="C48" s="123">
        <v>1</v>
      </c>
      <c r="D48" s="123" t="s">
        <v>28</v>
      </c>
      <c r="E48" s="123">
        <f t="shared" si="26"/>
        <v>50</v>
      </c>
      <c r="F48" s="123" t="s">
        <v>269</v>
      </c>
      <c r="G48" s="123" t="s">
        <v>269</v>
      </c>
      <c r="H48" s="257">
        <v>79.055000000000007</v>
      </c>
      <c r="I48" s="257">
        <f t="shared" si="27"/>
        <v>1.5811000000000002</v>
      </c>
      <c r="J48" s="257">
        <f t="shared" si="0"/>
        <v>79.055000000000007</v>
      </c>
      <c r="K48" s="257"/>
      <c r="L48" s="257">
        <f t="shared" si="4"/>
        <v>0.50066497783407227</v>
      </c>
      <c r="M48" s="257">
        <f t="shared" si="28"/>
        <v>25.033248891703614</v>
      </c>
      <c r="N48" s="257">
        <f t="shared" si="5"/>
        <v>0.54572482583913884</v>
      </c>
      <c r="O48" s="257">
        <f t="shared" si="29"/>
        <v>27.286241291956941</v>
      </c>
      <c r="P48" s="257">
        <v>0.85</v>
      </c>
      <c r="Q48" s="257">
        <f t="shared" si="1"/>
        <v>42.5</v>
      </c>
      <c r="R48" s="257">
        <f t="shared" si="2"/>
        <v>0.30427517416086114</v>
      </c>
      <c r="S48" s="257">
        <f t="shared" si="2"/>
        <v>15.213758708043059</v>
      </c>
      <c r="T48" s="246">
        <f t="shared" si="3"/>
        <v>0.3579707931304249</v>
      </c>
      <c r="U48" s="135"/>
      <c r="V48" s="268">
        <f t="shared" si="6"/>
        <v>0.85</v>
      </c>
      <c r="W48" s="269">
        <v>0.18</v>
      </c>
      <c r="X48" s="270">
        <f t="shared" si="7"/>
        <v>1.0365853658536583</v>
      </c>
      <c r="Y48" s="271">
        <f t="shared" si="8"/>
        <v>0.18658536585365851</v>
      </c>
      <c r="Z48" s="267">
        <f t="shared" si="9"/>
        <v>1.6792682926829266E-2</v>
      </c>
      <c r="AA48" s="271">
        <f t="shared" si="10"/>
        <v>0.20337804878048776</v>
      </c>
      <c r="AB48" s="271">
        <f t="shared" si="11"/>
        <v>0.83320731707317064</v>
      </c>
      <c r="AC48" s="284">
        <f t="shared" si="12"/>
        <v>0.34503116492529029</v>
      </c>
      <c r="AD48" s="285">
        <f t="shared" si="13"/>
        <v>-1.2939628205134612E-2</v>
      </c>
      <c r="AE48" s="221" t="s">
        <v>269</v>
      </c>
    </row>
    <row r="49" spans="1:31" ht="40" customHeight="1" x14ac:dyDescent="0.2">
      <c r="A49" s="123">
        <v>44</v>
      </c>
      <c r="B49" s="274" t="s">
        <v>35</v>
      </c>
      <c r="C49" s="123">
        <v>1</v>
      </c>
      <c r="D49" s="123" t="s">
        <v>28</v>
      </c>
      <c r="E49" s="123">
        <f t="shared" si="26"/>
        <v>50</v>
      </c>
      <c r="F49" s="123" t="s">
        <v>269</v>
      </c>
      <c r="G49" s="123" t="s">
        <v>269</v>
      </c>
      <c r="H49" s="257">
        <v>79.055000000000007</v>
      </c>
      <c r="I49" s="257">
        <f t="shared" si="27"/>
        <v>1.5811000000000002</v>
      </c>
      <c r="J49" s="257">
        <f t="shared" si="0"/>
        <v>79.055000000000007</v>
      </c>
      <c r="K49" s="257"/>
      <c r="L49" s="257">
        <f t="shared" si="4"/>
        <v>0.50066497783407227</v>
      </c>
      <c r="M49" s="257">
        <f t="shared" si="28"/>
        <v>25.033248891703614</v>
      </c>
      <c r="N49" s="257">
        <f t="shared" si="5"/>
        <v>0.54572482583913884</v>
      </c>
      <c r="O49" s="257">
        <f t="shared" si="29"/>
        <v>27.286241291956941</v>
      </c>
      <c r="P49" s="257">
        <v>0.85</v>
      </c>
      <c r="Q49" s="257">
        <f t="shared" si="1"/>
        <v>42.5</v>
      </c>
      <c r="R49" s="257">
        <f t="shared" si="2"/>
        <v>0.30427517416086114</v>
      </c>
      <c r="S49" s="257">
        <f t="shared" si="2"/>
        <v>15.213758708043059</v>
      </c>
      <c r="T49" s="246">
        <f t="shared" si="3"/>
        <v>0.3579707931304249</v>
      </c>
      <c r="U49" s="138"/>
      <c r="V49" s="268">
        <f t="shared" si="6"/>
        <v>0.85</v>
      </c>
      <c r="W49" s="269">
        <v>0.18</v>
      </c>
      <c r="X49" s="270">
        <f t="shared" si="7"/>
        <v>1.0365853658536583</v>
      </c>
      <c r="Y49" s="271">
        <f t="shared" si="8"/>
        <v>0.18658536585365851</v>
      </c>
      <c r="Z49" s="267">
        <f t="shared" si="9"/>
        <v>1.6792682926829266E-2</v>
      </c>
      <c r="AA49" s="271">
        <f t="shared" si="10"/>
        <v>0.20337804878048776</v>
      </c>
      <c r="AB49" s="271">
        <f t="shared" si="11"/>
        <v>0.83320731707317064</v>
      </c>
      <c r="AC49" s="284">
        <f t="shared" si="12"/>
        <v>0.34503116492529029</v>
      </c>
      <c r="AD49" s="285">
        <f t="shared" si="13"/>
        <v>-1.2939628205134612E-2</v>
      </c>
      <c r="AE49" s="221" t="s">
        <v>269</v>
      </c>
    </row>
    <row r="50" spans="1:31" ht="40" customHeight="1" x14ac:dyDescent="0.2">
      <c r="A50" s="123">
        <v>45</v>
      </c>
      <c r="B50" s="274" t="s">
        <v>36</v>
      </c>
      <c r="C50" s="123">
        <v>1</v>
      </c>
      <c r="D50" s="123">
        <v>8</v>
      </c>
      <c r="E50" s="123">
        <f t="shared" si="26"/>
        <v>8</v>
      </c>
      <c r="F50" s="123" t="s">
        <v>269</v>
      </c>
      <c r="G50" s="123" t="s">
        <v>269</v>
      </c>
      <c r="H50" s="257">
        <v>72.75</v>
      </c>
      <c r="I50" s="257">
        <f t="shared" si="27"/>
        <v>9.09375</v>
      </c>
      <c r="J50" s="257">
        <f t="shared" si="0"/>
        <v>72.75</v>
      </c>
      <c r="K50" s="257"/>
      <c r="L50" s="257">
        <f t="shared" si="4"/>
        <v>2.8795915136162127</v>
      </c>
      <c r="M50" s="257">
        <f t="shared" si="28"/>
        <v>23.036732108929701</v>
      </c>
      <c r="N50" s="257">
        <f t="shared" si="5"/>
        <v>3.1387547498416719</v>
      </c>
      <c r="O50" s="257">
        <f t="shared" si="29"/>
        <v>25.110037998733375</v>
      </c>
      <c r="P50" s="257">
        <v>4.5</v>
      </c>
      <c r="Q50" s="257">
        <f t="shared" si="1"/>
        <v>36</v>
      </c>
      <c r="R50" s="257">
        <f t="shared" si="2"/>
        <v>1.3612452501583281</v>
      </c>
      <c r="S50" s="257">
        <f t="shared" si="2"/>
        <v>10.889962001266625</v>
      </c>
      <c r="T50" s="246">
        <f t="shared" si="3"/>
        <v>0.30249894447962844</v>
      </c>
      <c r="U50" s="138"/>
      <c r="V50" s="268">
        <f t="shared" si="6"/>
        <v>4.5</v>
      </c>
      <c r="W50" s="269">
        <v>0.18</v>
      </c>
      <c r="X50" s="270">
        <f t="shared" si="7"/>
        <v>5.48780487804878</v>
      </c>
      <c r="Y50" s="271">
        <f t="shared" si="8"/>
        <v>0.98780487804878037</v>
      </c>
      <c r="Z50" s="267">
        <f t="shared" si="9"/>
        <v>8.8902439024390226E-2</v>
      </c>
      <c r="AA50" s="271">
        <f t="shared" si="10"/>
        <v>1.0767073170731707</v>
      </c>
      <c r="AB50" s="271">
        <f t="shared" si="11"/>
        <v>4.4110975609756089</v>
      </c>
      <c r="AC50" s="284">
        <f t="shared" si="12"/>
        <v>0.28844132181300725</v>
      </c>
      <c r="AD50" s="285">
        <f t="shared" si="13"/>
        <v>-1.4057622666621195E-2</v>
      </c>
      <c r="AE50" s="221">
        <v>0.7</v>
      </c>
    </row>
    <row r="51" spans="1:31" ht="40" customHeight="1" x14ac:dyDescent="0.2">
      <c r="A51" s="123">
        <v>46</v>
      </c>
      <c r="B51" s="274" t="s">
        <v>38</v>
      </c>
      <c r="C51" s="123">
        <v>1</v>
      </c>
      <c r="D51" s="123">
        <v>8</v>
      </c>
      <c r="E51" s="123">
        <f t="shared" si="26"/>
        <v>8</v>
      </c>
      <c r="F51" s="123" t="s">
        <v>269</v>
      </c>
      <c r="G51" s="123" t="s">
        <v>269</v>
      </c>
      <c r="H51" s="257">
        <v>72.75</v>
      </c>
      <c r="I51" s="257">
        <f t="shared" si="27"/>
        <v>9.09375</v>
      </c>
      <c r="J51" s="257">
        <f t="shared" si="0"/>
        <v>72.75</v>
      </c>
      <c r="K51" s="257"/>
      <c r="L51" s="257">
        <f t="shared" si="4"/>
        <v>2.8795915136162127</v>
      </c>
      <c r="M51" s="257">
        <f t="shared" si="28"/>
        <v>23.036732108929701</v>
      </c>
      <c r="N51" s="257">
        <f t="shared" si="5"/>
        <v>3.1387547498416719</v>
      </c>
      <c r="O51" s="257">
        <f t="shared" si="29"/>
        <v>25.110037998733375</v>
      </c>
      <c r="P51" s="257">
        <v>4.5</v>
      </c>
      <c r="Q51" s="257">
        <f t="shared" si="1"/>
        <v>36</v>
      </c>
      <c r="R51" s="257">
        <f t="shared" si="2"/>
        <v>1.3612452501583281</v>
      </c>
      <c r="S51" s="257">
        <f t="shared" si="2"/>
        <v>10.889962001266625</v>
      </c>
      <c r="T51" s="246">
        <f t="shared" si="3"/>
        <v>0.30249894447962844</v>
      </c>
      <c r="U51" s="138"/>
      <c r="V51" s="268">
        <f t="shared" si="6"/>
        <v>4.5</v>
      </c>
      <c r="W51" s="269">
        <v>0.18</v>
      </c>
      <c r="X51" s="270">
        <f t="shared" si="7"/>
        <v>5.48780487804878</v>
      </c>
      <c r="Y51" s="271">
        <f t="shared" si="8"/>
        <v>0.98780487804878037</v>
      </c>
      <c r="Z51" s="267">
        <f t="shared" si="9"/>
        <v>8.8902439024390226E-2</v>
      </c>
      <c r="AA51" s="271">
        <f t="shared" si="10"/>
        <v>1.0767073170731707</v>
      </c>
      <c r="AB51" s="271">
        <f t="shared" si="11"/>
        <v>4.4110975609756089</v>
      </c>
      <c r="AC51" s="284">
        <f t="shared" si="12"/>
        <v>0.28844132181300725</v>
      </c>
      <c r="AD51" s="285">
        <f t="shared" si="13"/>
        <v>-1.4057622666621195E-2</v>
      </c>
      <c r="AE51" s="221">
        <v>0.7</v>
      </c>
    </row>
    <row r="52" spans="1:31" ht="40" customHeight="1" x14ac:dyDescent="0.2">
      <c r="A52" s="123">
        <v>47</v>
      </c>
      <c r="B52" s="274" t="s">
        <v>39</v>
      </c>
      <c r="C52" s="123">
        <v>1</v>
      </c>
      <c r="D52" s="123">
        <v>8</v>
      </c>
      <c r="E52" s="123">
        <f t="shared" si="26"/>
        <v>8</v>
      </c>
      <c r="F52" s="123" t="s">
        <v>269</v>
      </c>
      <c r="G52" s="123" t="s">
        <v>269</v>
      </c>
      <c r="H52" s="257">
        <v>72.75</v>
      </c>
      <c r="I52" s="257">
        <f t="shared" si="27"/>
        <v>9.09375</v>
      </c>
      <c r="J52" s="257">
        <f t="shared" si="0"/>
        <v>72.75</v>
      </c>
      <c r="K52" s="257"/>
      <c r="L52" s="257">
        <f t="shared" si="4"/>
        <v>2.8795915136162127</v>
      </c>
      <c r="M52" s="257">
        <f t="shared" si="28"/>
        <v>23.036732108929701</v>
      </c>
      <c r="N52" s="257">
        <f t="shared" si="5"/>
        <v>3.1387547498416719</v>
      </c>
      <c r="O52" s="257">
        <f t="shared" si="29"/>
        <v>25.110037998733375</v>
      </c>
      <c r="P52" s="257">
        <v>4.5</v>
      </c>
      <c r="Q52" s="257">
        <f t="shared" si="1"/>
        <v>36</v>
      </c>
      <c r="R52" s="257">
        <f t="shared" si="2"/>
        <v>1.3612452501583281</v>
      </c>
      <c r="S52" s="257">
        <f t="shared" si="2"/>
        <v>10.889962001266625</v>
      </c>
      <c r="T52" s="246">
        <f t="shared" si="3"/>
        <v>0.30249894447962844</v>
      </c>
      <c r="U52" s="138"/>
      <c r="V52" s="268">
        <f t="shared" si="6"/>
        <v>4.5</v>
      </c>
      <c r="W52" s="269">
        <v>0.18</v>
      </c>
      <c r="X52" s="270">
        <f t="shared" si="7"/>
        <v>5.48780487804878</v>
      </c>
      <c r="Y52" s="271">
        <f t="shared" si="8"/>
        <v>0.98780487804878037</v>
      </c>
      <c r="Z52" s="267">
        <f t="shared" si="9"/>
        <v>8.8902439024390226E-2</v>
      </c>
      <c r="AA52" s="271">
        <f t="shared" si="10"/>
        <v>1.0767073170731707</v>
      </c>
      <c r="AB52" s="271">
        <f t="shared" si="11"/>
        <v>4.4110975609756089</v>
      </c>
      <c r="AC52" s="284">
        <f t="shared" si="12"/>
        <v>0.28844132181300725</v>
      </c>
      <c r="AD52" s="285">
        <f t="shared" si="13"/>
        <v>-1.4057622666621195E-2</v>
      </c>
      <c r="AE52" s="221">
        <v>0.7</v>
      </c>
    </row>
    <row r="53" spans="1:31" ht="40" customHeight="1" x14ac:dyDescent="0.2">
      <c r="A53" s="123">
        <v>48</v>
      </c>
      <c r="B53" s="274" t="s">
        <v>40</v>
      </c>
      <c r="C53" s="123">
        <v>1</v>
      </c>
      <c r="D53" s="123">
        <v>8</v>
      </c>
      <c r="E53" s="123">
        <f t="shared" si="26"/>
        <v>8</v>
      </c>
      <c r="F53" s="123" t="s">
        <v>269</v>
      </c>
      <c r="G53" s="123" t="s">
        <v>269</v>
      </c>
      <c r="H53" s="257">
        <v>72.75</v>
      </c>
      <c r="I53" s="257">
        <f t="shared" si="27"/>
        <v>9.09375</v>
      </c>
      <c r="J53" s="257">
        <f t="shared" si="0"/>
        <v>72.75</v>
      </c>
      <c r="K53" s="257"/>
      <c r="L53" s="257">
        <f t="shared" si="4"/>
        <v>2.8795915136162127</v>
      </c>
      <c r="M53" s="257">
        <f t="shared" si="28"/>
        <v>23.036732108929701</v>
      </c>
      <c r="N53" s="257">
        <f t="shared" si="5"/>
        <v>3.1387547498416719</v>
      </c>
      <c r="O53" s="257">
        <f t="shared" si="29"/>
        <v>25.110037998733375</v>
      </c>
      <c r="P53" s="257">
        <v>4.5</v>
      </c>
      <c r="Q53" s="257">
        <f t="shared" si="1"/>
        <v>36</v>
      </c>
      <c r="R53" s="257">
        <f t="shared" si="2"/>
        <v>1.3612452501583281</v>
      </c>
      <c r="S53" s="257">
        <f t="shared" si="2"/>
        <v>10.889962001266625</v>
      </c>
      <c r="T53" s="246">
        <f t="shared" si="3"/>
        <v>0.30249894447962844</v>
      </c>
      <c r="U53" s="135"/>
      <c r="V53" s="268">
        <f t="shared" si="6"/>
        <v>4.5</v>
      </c>
      <c r="W53" s="269">
        <v>0.18</v>
      </c>
      <c r="X53" s="270">
        <f t="shared" si="7"/>
        <v>5.48780487804878</v>
      </c>
      <c r="Y53" s="271">
        <f t="shared" si="8"/>
        <v>0.98780487804878037</v>
      </c>
      <c r="Z53" s="267">
        <f t="shared" si="9"/>
        <v>8.8902439024390226E-2</v>
      </c>
      <c r="AA53" s="271">
        <f t="shared" si="10"/>
        <v>1.0767073170731707</v>
      </c>
      <c r="AB53" s="271">
        <f t="shared" si="11"/>
        <v>4.4110975609756089</v>
      </c>
      <c r="AC53" s="284">
        <f t="shared" si="12"/>
        <v>0.28844132181300725</v>
      </c>
      <c r="AD53" s="285">
        <f t="shared" si="13"/>
        <v>-1.4057622666621195E-2</v>
      </c>
      <c r="AE53" s="221">
        <v>0.7</v>
      </c>
    </row>
    <row r="54" spans="1:31" ht="40" customHeight="1" x14ac:dyDescent="0.2">
      <c r="A54" s="123">
        <v>49</v>
      </c>
      <c r="B54" s="274" t="s">
        <v>43</v>
      </c>
      <c r="C54" s="123">
        <v>1</v>
      </c>
      <c r="D54" s="123" t="s">
        <v>44</v>
      </c>
      <c r="E54" s="123">
        <f t="shared" si="26"/>
        <v>144</v>
      </c>
      <c r="F54" s="123" t="s">
        <v>269</v>
      </c>
      <c r="G54" s="123" t="s">
        <v>269</v>
      </c>
      <c r="H54" s="257">
        <v>262.2</v>
      </c>
      <c r="I54" s="257">
        <f t="shared" si="27"/>
        <v>1.8208333333333333</v>
      </c>
      <c r="J54" s="257">
        <f t="shared" si="0"/>
        <v>262.2</v>
      </c>
      <c r="K54" s="257"/>
      <c r="L54" s="257">
        <f t="shared" si="4"/>
        <v>0.57657800295545703</v>
      </c>
      <c r="M54" s="257">
        <f t="shared" si="28"/>
        <v>83.027232425585808</v>
      </c>
      <c r="N54" s="257">
        <f t="shared" si="5"/>
        <v>0.62847002322144818</v>
      </c>
      <c r="O54" s="257">
        <f t="shared" si="29"/>
        <v>90.499683343888535</v>
      </c>
      <c r="P54" s="257"/>
      <c r="Q54" s="257">
        <f t="shared" si="1"/>
        <v>0</v>
      </c>
      <c r="R54" s="257">
        <f t="shared" si="2"/>
        <v>-0.62847002322144818</v>
      </c>
      <c r="S54" s="257">
        <f t="shared" si="2"/>
        <v>-90.499683343888535</v>
      </c>
      <c r="T54" s="246" t="e">
        <f t="shared" si="3"/>
        <v>#DIV/0!</v>
      </c>
      <c r="U54" s="138"/>
      <c r="V54" s="268">
        <f t="shared" si="6"/>
        <v>0</v>
      </c>
      <c r="W54" s="269">
        <v>0.18</v>
      </c>
      <c r="X54" s="270">
        <f t="shared" si="7"/>
        <v>0</v>
      </c>
      <c r="Y54" s="271">
        <f t="shared" si="8"/>
        <v>0</v>
      </c>
      <c r="Z54" s="267">
        <f t="shared" si="9"/>
        <v>0</v>
      </c>
      <c r="AA54" s="271">
        <f t="shared" si="10"/>
        <v>0</v>
      </c>
      <c r="AB54" s="271">
        <f t="shared" si="11"/>
        <v>0</v>
      </c>
      <c r="AC54" s="284" t="e">
        <f t="shared" si="12"/>
        <v>#DIV/0!</v>
      </c>
      <c r="AD54" s="285" t="e">
        <f t="shared" si="13"/>
        <v>#DIV/0!</v>
      </c>
      <c r="AE54" s="221" t="s">
        <v>269</v>
      </c>
    </row>
    <row r="55" spans="1:31" ht="40" customHeight="1" x14ac:dyDescent="0.2">
      <c r="A55" s="257">
        <f>-J55</f>
        <v>-136.80000000000001</v>
      </c>
      <c r="B55" s="274" t="s">
        <v>45</v>
      </c>
      <c r="C55" s="123">
        <v>1</v>
      </c>
      <c r="D55" s="123" t="s">
        <v>26</v>
      </c>
      <c r="E55" s="123">
        <f t="shared" si="26"/>
        <v>60</v>
      </c>
      <c r="F55" s="123" t="s">
        <v>269</v>
      </c>
      <c r="G55" s="123" t="s">
        <v>269</v>
      </c>
      <c r="H55" s="257">
        <v>136.80000000000001</v>
      </c>
      <c r="I55" s="257">
        <f t="shared" si="27"/>
        <v>2.2800000000000002</v>
      </c>
      <c r="J55" s="257">
        <f t="shared" si="0"/>
        <v>136.80000000000001</v>
      </c>
      <c r="K55" s="257"/>
      <c r="L55" s="257">
        <f t="shared" si="4"/>
        <v>0.72197593413552896</v>
      </c>
      <c r="M55" s="257">
        <f t="shared" si="28"/>
        <v>43.318556048131732</v>
      </c>
      <c r="N55" s="257">
        <f t="shared" si="5"/>
        <v>0.78695376820772667</v>
      </c>
      <c r="O55" s="257">
        <f t="shared" si="29"/>
        <v>47.217226092463598</v>
      </c>
      <c r="P55" s="257">
        <v>1.25</v>
      </c>
      <c r="Q55" s="257">
        <f t="shared" si="1"/>
        <v>75</v>
      </c>
      <c r="R55" s="257">
        <f t="shared" si="2"/>
        <v>0.46304623179227333</v>
      </c>
      <c r="S55" s="257">
        <f t="shared" si="2"/>
        <v>27.782773907536402</v>
      </c>
      <c r="T55" s="246">
        <f t="shared" si="3"/>
        <v>0.37043698543381864</v>
      </c>
      <c r="U55" s="138"/>
      <c r="V55" s="268">
        <f t="shared" si="6"/>
        <v>1.25</v>
      </c>
      <c r="W55" s="269">
        <v>0.18</v>
      </c>
      <c r="X55" s="270">
        <f t="shared" si="7"/>
        <v>1.5243902439024388</v>
      </c>
      <c r="Y55" s="271">
        <f t="shared" si="8"/>
        <v>0.27439024390243899</v>
      </c>
      <c r="Z55" s="267">
        <f t="shared" si="9"/>
        <v>2.469512195121951E-2</v>
      </c>
      <c r="AA55" s="271">
        <f t="shared" si="10"/>
        <v>0.29908536585365852</v>
      </c>
      <c r="AB55" s="271">
        <f t="shared" si="11"/>
        <v>1.2253048780487803</v>
      </c>
      <c r="AC55" s="284">
        <f t="shared" si="12"/>
        <v>0.35774860419971538</v>
      </c>
      <c r="AD55" s="285">
        <f t="shared" si="13"/>
        <v>-1.2688381234103263E-2</v>
      </c>
      <c r="AE55" s="221" t="s">
        <v>269</v>
      </c>
    </row>
    <row r="56" spans="1:31" ht="40" customHeight="1" x14ac:dyDescent="0.2">
      <c r="A56" s="123">
        <v>51</v>
      </c>
      <c r="B56" s="274" t="s">
        <v>46</v>
      </c>
      <c r="C56" s="123">
        <v>1</v>
      </c>
      <c r="D56" s="123" t="s">
        <v>47</v>
      </c>
      <c r="E56" s="123">
        <f t="shared" si="26"/>
        <v>14</v>
      </c>
      <c r="F56" s="123" t="s">
        <v>269</v>
      </c>
      <c r="G56" s="123" t="s">
        <v>269</v>
      </c>
      <c r="H56" s="257">
        <v>43.4</v>
      </c>
      <c r="I56" s="257">
        <f t="shared" si="27"/>
        <v>3.1</v>
      </c>
      <c r="J56" s="257">
        <f t="shared" si="0"/>
        <v>43.4</v>
      </c>
      <c r="K56" s="257"/>
      <c r="L56" s="257">
        <f t="shared" si="4"/>
        <v>0.98163394553514893</v>
      </c>
      <c r="M56" s="257">
        <f t="shared" si="28"/>
        <v>13.742875237492083</v>
      </c>
      <c r="N56" s="257">
        <f t="shared" si="5"/>
        <v>1.0699810006333124</v>
      </c>
      <c r="O56" s="257">
        <f t="shared" si="29"/>
        <v>14.979734008866373</v>
      </c>
      <c r="P56" s="257">
        <v>1.8</v>
      </c>
      <c r="Q56" s="257">
        <f t="shared" si="1"/>
        <v>25.2</v>
      </c>
      <c r="R56" s="257">
        <f t="shared" si="2"/>
        <v>0.73001899936668768</v>
      </c>
      <c r="S56" s="257">
        <f t="shared" si="2"/>
        <v>10.220265991133626</v>
      </c>
      <c r="T56" s="246">
        <f t="shared" si="3"/>
        <v>0.4055661107592709</v>
      </c>
      <c r="U56" s="138"/>
      <c r="V56" s="268">
        <f t="shared" si="6"/>
        <v>1.8</v>
      </c>
      <c r="W56" s="269">
        <v>0.18</v>
      </c>
      <c r="X56" s="270">
        <f t="shared" si="7"/>
        <v>2.1951219512195119</v>
      </c>
      <c r="Y56" s="271">
        <f t="shared" si="8"/>
        <v>0.39512195121951216</v>
      </c>
      <c r="Z56" s="267">
        <f t="shared" si="9"/>
        <v>3.5560975609756094E-2</v>
      </c>
      <c r="AA56" s="271">
        <f t="shared" si="10"/>
        <v>0.43068292682926823</v>
      </c>
      <c r="AB56" s="271">
        <f t="shared" si="11"/>
        <v>1.7644390243902437</v>
      </c>
      <c r="AC56" s="284">
        <f t="shared" si="12"/>
        <v>0.39358573130455599</v>
      </c>
      <c r="AD56" s="285">
        <f t="shared" si="13"/>
        <v>-1.1980379454714918E-2</v>
      </c>
      <c r="AE56" s="221" t="s">
        <v>269</v>
      </c>
    </row>
    <row r="57" spans="1:31" ht="40" customHeight="1" x14ac:dyDescent="0.2">
      <c r="A57" s="123">
        <v>52</v>
      </c>
      <c r="B57" s="274" t="s">
        <v>48</v>
      </c>
      <c r="C57" s="123">
        <v>1</v>
      </c>
      <c r="D57" s="123" t="s">
        <v>47</v>
      </c>
      <c r="E57" s="123">
        <f t="shared" si="26"/>
        <v>14</v>
      </c>
      <c r="F57" s="123" t="s">
        <v>269</v>
      </c>
      <c r="G57" s="123" t="s">
        <v>269</v>
      </c>
      <c r="H57" s="257">
        <v>43.4</v>
      </c>
      <c r="I57" s="257">
        <f t="shared" si="27"/>
        <v>3.1</v>
      </c>
      <c r="J57" s="257">
        <f t="shared" si="0"/>
        <v>43.4</v>
      </c>
      <c r="K57" s="257"/>
      <c r="L57" s="257">
        <f t="shared" si="4"/>
        <v>0.98163394553514893</v>
      </c>
      <c r="M57" s="257">
        <f t="shared" si="28"/>
        <v>13.742875237492083</v>
      </c>
      <c r="N57" s="257">
        <f t="shared" si="5"/>
        <v>1.0699810006333124</v>
      </c>
      <c r="O57" s="257">
        <f t="shared" si="29"/>
        <v>14.979734008866373</v>
      </c>
      <c r="P57" s="257">
        <v>1.8</v>
      </c>
      <c r="Q57" s="257">
        <f t="shared" si="1"/>
        <v>25.2</v>
      </c>
      <c r="R57" s="257">
        <f t="shared" si="2"/>
        <v>0.73001899936668768</v>
      </c>
      <c r="S57" s="257">
        <f t="shared" si="2"/>
        <v>10.220265991133626</v>
      </c>
      <c r="T57" s="246">
        <f t="shared" si="3"/>
        <v>0.4055661107592709</v>
      </c>
      <c r="U57" s="138"/>
      <c r="V57" s="268">
        <f t="shared" si="6"/>
        <v>1.8</v>
      </c>
      <c r="W57" s="269">
        <v>0.18</v>
      </c>
      <c r="X57" s="270">
        <f t="shared" si="7"/>
        <v>2.1951219512195119</v>
      </c>
      <c r="Y57" s="271">
        <f t="shared" si="8"/>
        <v>0.39512195121951216</v>
      </c>
      <c r="Z57" s="267">
        <f t="shared" si="9"/>
        <v>3.5560975609756094E-2</v>
      </c>
      <c r="AA57" s="271">
        <f t="shared" si="10"/>
        <v>0.43068292682926823</v>
      </c>
      <c r="AB57" s="271">
        <f t="shared" si="11"/>
        <v>1.7644390243902437</v>
      </c>
      <c r="AC57" s="284">
        <f t="shared" si="12"/>
        <v>0.39358573130455599</v>
      </c>
      <c r="AD57" s="285">
        <f t="shared" si="13"/>
        <v>-1.1980379454714918E-2</v>
      </c>
      <c r="AE57" s="221" t="s">
        <v>269</v>
      </c>
    </row>
    <row r="58" spans="1:31" ht="40" customHeight="1" x14ac:dyDescent="0.2">
      <c r="A58" s="123">
        <v>53</v>
      </c>
      <c r="B58" s="274" t="s">
        <v>196</v>
      </c>
      <c r="C58" s="123">
        <v>1</v>
      </c>
      <c r="D58" s="123" t="s">
        <v>47</v>
      </c>
      <c r="E58" s="123">
        <f t="shared" si="26"/>
        <v>14</v>
      </c>
      <c r="F58" s="123" t="s">
        <v>269</v>
      </c>
      <c r="G58" s="123" t="s">
        <v>269</v>
      </c>
      <c r="H58" s="257">
        <v>43.4</v>
      </c>
      <c r="I58" s="257">
        <f t="shared" si="27"/>
        <v>3.1</v>
      </c>
      <c r="J58" s="257">
        <f t="shared" si="0"/>
        <v>43.4</v>
      </c>
      <c r="K58" s="257"/>
      <c r="L58" s="257">
        <f t="shared" si="4"/>
        <v>0.98163394553514893</v>
      </c>
      <c r="M58" s="257">
        <f t="shared" si="28"/>
        <v>13.742875237492083</v>
      </c>
      <c r="N58" s="257">
        <f t="shared" si="5"/>
        <v>1.0699810006333124</v>
      </c>
      <c r="O58" s="257">
        <f t="shared" si="29"/>
        <v>14.979734008866373</v>
      </c>
      <c r="P58" s="257">
        <v>1.8</v>
      </c>
      <c r="Q58" s="257">
        <f t="shared" si="1"/>
        <v>25.2</v>
      </c>
      <c r="R58" s="257">
        <f t="shared" si="2"/>
        <v>0.73001899936668768</v>
      </c>
      <c r="S58" s="257">
        <f t="shared" si="2"/>
        <v>10.220265991133626</v>
      </c>
      <c r="T58" s="246">
        <f t="shared" si="3"/>
        <v>0.4055661107592709</v>
      </c>
      <c r="U58" s="138"/>
      <c r="V58" s="268">
        <f t="shared" si="6"/>
        <v>1.8</v>
      </c>
      <c r="W58" s="269">
        <v>0.18</v>
      </c>
      <c r="X58" s="270">
        <f t="shared" si="7"/>
        <v>2.1951219512195119</v>
      </c>
      <c r="Y58" s="271">
        <f t="shared" si="8"/>
        <v>0.39512195121951216</v>
      </c>
      <c r="Z58" s="267">
        <f t="shared" si="9"/>
        <v>3.5560975609756094E-2</v>
      </c>
      <c r="AA58" s="271">
        <f t="shared" si="10"/>
        <v>0.43068292682926823</v>
      </c>
      <c r="AB58" s="271">
        <f t="shared" si="11"/>
        <v>1.7644390243902437</v>
      </c>
      <c r="AC58" s="284">
        <f t="shared" si="12"/>
        <v>0.39358573130455599</v>
      </c>
      <c r="AD58" s="285">
        <f t="shared" si="13"/>
        <v>-1.1980379454714918E-2</v>
      </c>
      <c r="AE58" s="221" t="s">
        <v>269</v>
      </c>
    </row>
    <row r="59" spans="1:31" ht="40" customHeight="1" x14ac:dyDescent="0.2">
      <c r="A59" s="123">
        <v>54</v>
      </c>
      <c r="B59" s="274" t="s">
        <v>197</v>
      </c>
      <c r="C59" s="123">
        <v>1</v>
      </c>
      <c r="D59" s="123" t="s">
        <v>47</v>
      </c>
      <c r="E59" s="123">
        <f t="shared" si="26"/>
        <v>14</v>
      </c>
      <c r="F59" s="123" t="s">
        <v>269</v>
      </c>
      <c r="G59" s="123" t="s">
        <v>269</v>
      </c>
      <c r="H59" s="257">
        <v>43.4</v>
      </c>
      <c r="I59" s="257">
        <f t="shared" si="27"/>
        <v>3.1</v>
      </c>
      <c r="J59" s="257">
        <f t="shared" si="0"/>
        <v>43.4</v>
      </c>
      <c r="K59" s="257"/>
      <c r="L59" s="257">
        <f t="shared" si="4"/>
        <v>0.98163394553514893</v>
      </c>
      <c r="M59" s="257">
        <f t="shared" si="28"/>
        <v>13.742875237492083</v>
      </c>
      <c r="N59" s="257">
        <f t="shared" si="5"/>
        <v>1.0699810006333124</v>
      </c>
      <c r="O59" s="257">
        <f t="shared" si="29"/>
        <v>14.979734008866373</v>
      </c>
      <c r="P59" s="257">
        <v>1.8</v>
      </c>
      <c r="Q59" s="257">
        <f t="shared" si="1"/>
        <v>25.2</v>
      </c>
      <c r="R59" s="257">
        <f t="shared" si="2"/>
        <v>0.73001899936668768</v>
      </c>
      <c r="S59" s="257">
        <f t="shared" si="2"/>
        <v>10.220265991133626</v>
      </c>
      <c r="T59" s="246">
        <f t="shared" si="3"/>
        <v>0.4055661107592709</v>
      </c>
      <c r="U59" s="138"/>
      <c r="V59" s="268">
        <f t="shared" si="6"/>
        <v>1.8</v>
      </c>
      <c r="W59" s="269">
        <v>0.18</v>
      </c>
      <c r="X59" s="270">
        <f t="shared" si="7"/>
        <v>2.1951219512195119</v>
      </c>
      <c r="Y59" s="271">
        <f t="shared" si="8"/>
        <v>0.39512195121951216</v>
      </c>
      <c r="Z59" s="267">
        <f t="shared" si="9"/>
        <v>3.5560975609756094E-2</v>
      </c>
      <c r="AA59" s="271">
        <f t="shared" si="10"/>
        <v>0.43068292682926823</v>
      </c>
      <c r="AB59" s="271">
        <f t="shared" si="11"/>
        <v>1.7644390243902437</v>
      </c>
      <c r="AC59" s="284">
        <f t="shared" si="12"/>
        <v>0.39358573130455599</v>
      </c>
      <c r="AD59" s="285">
        <f t="shared" si="13"/>
        <v>-1.1980379454714918E-2</v>
      </c>
      <c r="AE59" s="221" t="s">
        <v>269</v>
      </c>
    </row>
    <row r="60" spans="1:31" ht="40" customHeight="1" x14ac:dyDescent="0.2">
      <c r="A60" s="123">
        <v>55</v>
      </c>
      <c r="B60" s="274" t="s">
        <v>198</v>
      </c>
      <c r="C60" s="123">
        <v>1</v>
      </c>
      <c r="D60" s="123" t="s">
        <v>47</v>
      </c>
      <c r="E60" s="123">
        <f t="shared" si="26"/>
        <v>14</v>
      </c>
      <c r="F60" s="123" t="s">
        <v>269</v>
      </c>
      <c r="G60" s="123" t="s">
        <v>269</v>
      </c>
      <c r="H60" s="257">
        <v>43.4</v>
      </c>
      <c r="I60" s="257">
        <f t="shared" si="27"/>
        <v>3.1</v>
      </c>
      <c r="J60" s="257">
        <f t="shared" si="0"/>
        <v>43.4</v>
      </c>
      <c r="K60" s="257"/>
      <c r="L60" s="257">
        <f t="shared" si="4"/>
        <v>0.98163394553514893</v>
      </c>
      <c r="M60" s="257">
        <f t="shared" si="28"/>
        <v>13.742875237492083</v>
      </c>
      <c r="N60" s="257">
        <f t="shared" si="5"/>
        <v>1.0699810006333124</v>
      </c>
      <c r="O60" s="257">
        <f t="shared" si="29"/>
        <v>14.979734008866373</v>
      </c>
      <c r="P60" s="257">
        <v>1.8</v>
      </c>
      <c r="Q60" s="257">
        <f t="shared" si="1"/>
        <v>25.2</v>
      </c>
      <c r="R60" s="257">
        <f t="shared" si="2"/>
        <v>0.73001899936668768</v>
      </c>
      <c r="S60" s="257">
        <f t="shared" si="2"/>
        <v>10.220265991133626</v>
      </c>
      <c r="T60" s="246">
        <f t="shared" si="3"/>
        <v>0.4055661107592709</v>
      </c>
      <c r="U60" s="138"/>
      <c r="V60" s="268">
        <f t="shared" si="6"/>
        <v>1.8</v>
      </c>
      <c r="W60" s="269">
        <v>0.18</v>
      </c>
      <c r="X60" s="270">
        <f t="shared" si="7"/>
        <v>2.1951219512195119</v>
      </c>
      <c r="Y60" s="271">
        <f t="shared" si="8"/>
        <v>0.39512195121951216</v>
      </c>
      <c r="Z60" s="267">
        <f t="shared" si="9"/>
        <v>3.5560975609756094E-2</v>
      </c>
      <c r="AA60" s="271">
        <f t="shared" si="10"/>
        <v>0.43068292682926823</v>
      </c>
      <c r="AB60" s="271">
        <f t="shared" si="11"/>
        <v>1.7644390243902437</v>
      </c>
      <c r="AC60" s="284">
        <f t="shared" si="12"/>
        <v>0.39358573130455599</v>
      </c>
      <c r="AD60" s="285">
        <f t="shared" si="13"/>
        <v>-1.1980379454714918E-2</v>
      </c>
      <c r="AE60" s="221" t="s">
        <v>269</v>
      </c>
    </row>
    <row r="61" spans="1:31" ht="40" customHeight="1" x14ac:dyDescent="0.2">
      <c r="A61" s="123">
        <v>56</v>
      </c>
      <c r="B61" s="274" t="s">
        <v>199</v>
      </c>
      <c r="C61" s="123">
        <v>1</v>
      </c>
      <c r="D61" s="123" t="s">
        <v>47</v>
      </c>
      <c r="E61" s="123">
        <f t="shared" si="26"/>
        <v>14</v>
      </c>
      <c r="F61" s="123" t="s">
        <v>269</v>
      </c>
      <c r="G61" s="123" t="s">
        <v>269</v>
      </c>
      <c r="H61" s="257">
        <v>43.4</v>
      </c>
      <c r="I61" s="257">
        <f t="shared" si="27"/>
        <v>3.1</v>
      </c>
      <c r="J61" s="257">
        <f t="shared" si="0"/>
        <v>43.4</v>
      </c>
      <c r="K61" s="257"/>
      <c r="L61" s="257">
        <f t="shared" si="4"/>
        <v>0.98163394553514893</v>
      </c>
      <c r="M61" s="257">
        <f t="shared" si="28"/>
        <v>13.742875237492083</v>
      </c>
      <c r="N61" s="257">
        <f t="shared" si="5"/>
        <v>1.0699810006333124</v>
      </c>
      <c r="O61" s="257">
        <f t="shared" si="29"/>
        <v>14.979734008866373</v>
      </c>
      <c r="P61" s="257">
        <v>1.8</v>
      </c>
      <c r="Q61" s="257">
        <f t="shared" si="1"/>
        <v>25.2</v>
      </c>
      <c r="R61" s="257">
        <f t="shared" si="2"/>
        <v>0.73001899936668768</v>
      </c>
      <c r="S61" s="257">
        <f t="shared" si="2"/>
        <v>10.220265991133626</v>
      </c>
      <c r="T61" s="246">
        <f t="shared" si="3"/>
        <v>0.4055661107592709</v>
      </c>
      <c r="U61" s="138"/>
      <c r="V61" s="268">
        <f t="shared" si="6"/>
        <v>1.8</v>
      </c>
      <c r="W61" s="269">
        <v>0.18</v>
      </c>
      <c r="X61" s="270">
        <f t="shared" si="7"/>
        <v>2.1951219512195119</v>
      </c>
      <c r="Y61" s="271">
        <f t="shared" si="8"/>
        <v>0.39512195121951216</v>
      </c>
      <c r="Z61" s="267">
        <f t="shared" si="9"/>
        <v>3.5560975609756094E-2</v>
      </c>
      <c r="AA61" s="271">
        <f t="shared" si="10"/>
        <v>0.43068292682926823</v>
      </c>
      <c r="AB61" s="271">
        <f t="shared" si="11"/>
        <v>1.7644390243902437</v>
      </c>
      <c r="AC61" s="284">
        <f t="shared" si="12"/>
        <v>0.39358573130455599</v>
      </c>
      <c r="AD61" s="285">
        <f t="shared" si="13"/>
        <v>-1.1980379454714918E-2</v>
      </c>
      <c r="AE61" s="221" t="s">
        <v>269</v>
      </c>
    </row>
    <row r="62" spans="1:31" ht="40" customHeight="1" x14ac:dyDescent="0.2">
      <c r="A62" s="123">
        <v>57</v>
      </c>
      <c r="B62" s="274" t="s">
        <v>49</v>
      </c>
      <c r="C62" s="123">
        <v>1</v>
      </c>
      <c r="D62" s="123" t="s">
        <v>47</v>
      </c>
      <c r="E62" s="123">
        <f t="shared" si="26"/>
        <v>14</v>
      </c>
      <c r="F62" s="123" t="s">
        <v>269</v>
      </c>
      <c r="G62" s="123" t="s">
        <v>269</v>
      </c>
      <c r="H62" s="257">
        <v>43.4</v>
      </c>
      <c r="I62" s="257">
        <f t="shared" si="27"/>
        <v>3.1</v>
      </c>
      <c r="J62" s="257">
        <f t="shared" si="0"/>
        <v>43.4</v>
      </c>
      <c r="K62" s="257"/>
      <c r="L62" s="257">
        <f t="shared" si="4"/>
        <v>0.98163394553514893</v>
      </c>
      <c r="M62" s="257">
        <f t="shared" si="28"/>
        <v>13.742875237492083</v>
      </c>
      <c r="N62" s="257">
        <f t="shared" si="5"/>
        <v>1.0699810006333124</v>
      </c>
      <c r="O62" s="257">
        <f t="shared" si="29"/>
        <v>14.979734008866373</v>
      </c>
      <c r="P62" s="257">
        <v>1.8</v>
      </c>
      <c r="Q62" s="257">
        <f t="shared" si="1"/>
        <v>25.2</v>
      </c>
      <c r="R62" s="257">
        <f t="shared" si="2"/>
        <v>0.73001899936668768</v>
      </c>
      <c r="S62" s="257">
        <f t="shared" si="2"/>
        <v>10.220265991133626</v>
      </c>
      <c r="T62" s="246">
        <f t="shared" si="3"/>
        <v>0.4055661107592709</v>
      </c>
      <c r="U62" s="135"/>
      <c r="V62" s="268">
        <f t="shared" si="6"/>
        <v>1.8</v>
      </c>
      <c r="W62" s="269">
        <v>0.18</v>
      </c>
      <c r="X62" s="270">
        <f t="shared" si="7"/>
        <v>2.1951219512195119</v>
      </c>
      <c r="Y62" s="271">
        <f t="shared" si="8"/>
        <v>0.39512195121951216</v>
      </c>
      <c r="Z62" s="267">
        <f t="shared" si="9"/>
        <v>3.5560975609756094E-2</v>
      </c>
      <c r="AA62" s="271">
        <f t="shared" si="10"/>
        <v>0.43068292682926823</v>
      </c>
      <c r="AB62" s="271">
        <f t="shared" si="11"/>
        <v>1.7644390243902437</v>
      </c>
      <c r="AC62" s="284">
        <f t="shared" si="12"/>
        <v>0.39358573130455599</v>
      </c>
      <c r="AD62" s="285">
        <f t="shared" si="13"/>
        <v>-1.1980379454714918E-2</v>
      </c>
      <c r="AE62" s="221" t="s">
        <v>269</v>
      </c>
    </row>
    <row r="63" spans="1:31" ht="40" customHeight="1" x14ac:dyDescent="0.2">
      <c r="A63" s="123">
        <v>58</v>
      </c>
      <c r="B63" s="274" t="s">
        <v>50</v>
      </c>
      <c r="C63" s="123">
        <v>1</v>
      </c>
      <c r="D63" s="123" t="s">
        <v>44</v>
      </c>
      <c r="E63" s="123">
        <f t="shared" si="26"/>
        <v>144</v>
      </c>
      <c r="F63" s="123" t="s">
        <v>269</v>
      </c>
      <c r="G63" s="123" t="s">
        <v>269</v>
      </c>
      <c r="H63" s="257">
        <v>92.4</v>
      </c>
      <c r="I63" s="257">
        <f t="shared" si="27"/>
        <v>0.64166666666666672</v>
      </c>
      <c r="J63" s="257">
        <f t="shared" si="0"/>
        <v>92.4</v>
      </c>
      <c r="K63" s="257"/>
      <c r="L63" s="257">
        <f t="shared" si="4"/>
        <v>0.20318767152206041</v>
      </c>
      <c r="M63" s="257">
        <f t="shared" si="28"/>
        <v>29.259024699176695</v>
      </c>
      <c r="N63" s="257">
        <f t="shared" si="5"/>
        <v>0.22147456195904586</v>
      </c>
      <c r="O63" s="257">
        <f t="shared" si="29"/>
        <v>31.892336922102604</v>
      </c>
      <c r="P63" s="257">
        <v>0.5</v>
      </c>
      <c r="Q63" s="257">
        <f t="shared" si="1"/>
        <v>72</v>
      </c>
      <c r="R63" s="257">
        <f t="shared" si="2"/>
        <v>0.27852543804095414</v>
      </c>
      <c r="S63" s="257">
        <f t="shared" si="2"/>
        <v>40.107663077897399</v>
      </c>
      <c r="T63" s="246">
        <f t="shared" si="3"/>
        <v>0.55705087608190829</v>
      </c>
      <c r="U63" s="138"/>
      <c r="V63" s="268">
        <f t="shared" si="6"/>
        <v>0.5</v>
      </c>
      <c r="W63" s="269">
        <v>0.18</v>
      </c>
      <c r="X63" s="270">
        <f t="shared" si="7"/>
        <v>0.6097560975609756</v>
      </c>
      <c r="Y63" s="271">
        <f t="shared" si="8"/>
        <v>0.10975609756097561</v>
      </c>
      <c r="Z63" s="267">
        <f t="shared" si="9"/>
        <v>9.878048780487805E-3</v>
      </c>
      <c r="AA63" s="271">
        <f t="shared" si="10"/>
        <v>0.11963414634146341</v>
      </c>
      <c r="AB63" s="271">
        <f t="shared" si="11"/>
        <v>0.49012195121951219</v>
      </c>
      <c r="AC63" s="284">
        <f t="shared" si="12"/>
        <v>0.54812356106887883</v>
      </c>
      <c r="AD63" s="285">
        <f t="shared" si="13"/>
        <v>-8.9273150130294576E-3</v>
      </c>
      <c r="AE63" s="221" t="s">
        <v>269</v>
      </c>
    </row>
    <row r="64" spans="1:31" ht="40" customHeight="1" x14ac:dyDescent="0.2">
      <c r="A64" s="123">
        <v>59</v>
      </c>
      <c r="B64" s="274" t="s">
        <v>51</v>
      </c>
      <c r="C64" s="123">
        <v>1</v>
      </c>
      <c r="D64" s="123" t="s">
        <v>44</v>
      </c>
      <c r="E64" s="123">
        <f t="shared" si="26"/>
        <v>144</v>
      </c>
      <c r="F64" s="123">
        <v>186</v>
      </c>
      <c r="G64" s="257">
        <v>167.4</v>
      </c>
      <c r="H64" s="257">
        <v>167.4</v>
      </c>
      <c r="I64" s="257">
        <f t="shared" si="27"/>
        <v>1.1625000000000001</v>
      </c>
      <c r="J64" s="257">
        <f t="shared" si="0"/>
        <v>167.4</v>
      </c>
      <c r="K64" s="257"/>
      <c r="L64" s="257">
        <f t="shared" si="4"/>
        <v>0.36811272957568086</v>
      </c>
      <c r="M64" s="257">
        <f t="shared" si="28"/>
        <v>53.008233058898043</v>
      </c>
      <c r="N64" s="257">
        <f t="shared" si="5"/>
        <v>0.40124287523749219</v>
      </c>
      <c r="O64" s="257">
        <f t="shared" si="29"/>
        <v>57.778974034198875</v>
      </c>
      <c r="P64" s="257">
        <v>0.8</v>
      </c>
      <c r="Q64" s="257">
        <f t="shared" si="1"/>
        <v>115.2</v>
      </c>
      <c r="R64" s="257">
        <f t="shared" si="2"/>
        <v>0.39875712476250785</v>
      </c>
      <c r="S64" s="257">
        <f t="shared" si="2"/>
        <v>57.421025965801128</v>
      </c>
      <c r="T64" s="246">
        <f t="shared" si="3"/>
        <v>0.49844640595313477</v>
      </c>
      <c r="U64" s="138"/>
      <c r="V64" s="268">
        <f t="shared" si="6"/>
        <v>0.8</v>
      </c>
      <c r="W64" s="269">
        <v>0.18</v>
      </c>
      <c r="X64" s="270">
        <f t="shared" si="7"/>
        <v>0.97560975609756095</v>
      </c>
      <c r="Y64" s="271">
        <f t="shared" si="8"/>
        <v>0.17560975609756097</v>
      </c>
      <c r="Z64" s="267">
        <f t="shared" si="9"/>
        <v>1.5804878048780488E-2</v>
      </c>
      <c r="AA64" s="271">
        <f t="shared" si="10"/>
        <v>0.19141463414634147</v>
      </c>
      <c r="AB64" s="271">
        <f t="shared" si="11"/>
        <v>0.78419512195121954</v>
      </c>
      <c r="AC64" s="284">
        <f t="shared" si="12"/>
        <v>0.48833796078821912</v>
      </c>
      <c r="AD64" s="285">
        <f t="shared" si="13"/>
        <v>-1.0108445164915658E-2</v>
      </c>
      <c r="AE64" s="221">
        <v>1</v>
      </c>
    </row>
    <row r="65" spans="1:31" ht="40" customHeight="1" x14ac:dyDescent="0.2">
      <c r="A65" s="123">
        <v>60</v>
      </c>
      <c r="B65" s="274" t="s">
        <v>52</v>
      </c>
      <c r="C65" s="123">
        <v>1</v>
      </c>
      <c r="D65" s="123" t="s">
        <v>44</v>
      </c>
      <c r="E65" s="123">
        <f t="shared" si="26"/>
        <v>144</v>
      </c>
      <c r="F65" s="123">
        <v>186</v>
      </c>
      <c r="G65" s="257">
        <v>167.4</v>
      </c>
      <c r="H65" s="257">
        <v>167.4</v>
      </c>
      <c r="I65" s="257">
        <f t="shared" si="27"/>
        <v>1.1625000000000001</v>
      </c>
      <c r="J65" s="257">
        <f t="shared" si="0"/>
        <v>167.4</v>
      </c>
      <c r="K65" s="257"/>
      <c r="L65" s="257">
        <f t="shared" si="4"/>
        <v>0.36811272957568086</v>
      </c>
      <c r="M65" s="257">
        <f t="shared" si="28"/>
        <v>53.008233058898043</v>
      </c>
      <c r="N65" s="257">
        <f t="shared" si="5"/>
        <v>0.40124287523749219</v>
      </c>
      <c r="O65" s="257">
        <f t="shared" si="29"/>
        <v>57.778974034198875</v>
      </c>
      <c r="P65" s="257">
        <v>0.8</v>
      </c>
      <c r="Q65" s="257">
        <f t="shared" si="1"/>
        <v>115.2</v>
      </c>
      <c r="R65" s="257">
        <f t="shared" si="2"/>
        <v>0.39875712476250785</v>
      </c>
      <c r="S65" s="257">
        <f t="shared" si="2"/>
        <v>57.421025965801128</v>
      </c>
      <c r="T65" s="246">
        <f t="shared" si="3"/>
        <v>0.49844640595313477</v>
      </c>
      <c r="U65" s="138"/>
      <c r="V65" s="268">
        <f t="shared" si="6"/>
        <v>0.8</v>
      </c>
      <c r="W65" s="269">
        <v>0.18</v>
      </c>
      <c r="X65" s="270">
        <f t="shared" si="7"/>
        <v>0.97560975609756095</v>
      </c>
      <c r="Y65" s="271">
        <f t="shared" si="8"/>
        <v>0.17560975609756097</v>
      </c>
      <c r="Z65" s="267">
        <f t="shared" si="9"/>
        <v>1.5804878048780488E-2</v>
      </c>
      <c r="AA65" s="271">
        <f t="shared" si="10"/>
        <v>0.19141463414634147</v>
      </c>
      <c r="AB65" s="271">
        <f t="shared" si="11"/>
        <v>0.78419512195121954</v>
      </c>
      <c r="AC65" s="284">
        <f t="shared" si="12"/>
        <v>0.48833796078821912</v>
      </c>
      <c r="AD65" s="285">
        <f t="shared" si="13"/>
        <v>-1.0108445164915658E-2</v>
      </c>
      <c r="AE65" s="221">
        <v>1</v>
      </c>
    </row>
    <row r="66" spans="1:31" ht="40" customHeight="1" x14ac:dyDescent="0.2">
      <c r="A66" s="123">
        <v>61</v>
      </c>
      <c r="B66" s="274" t="s">
        <v>53</v>
      </c>
      <c r="C66" s="123">
        <v>1</v>
      </c>
      <c r="D66" s="123" t="s">
        <v>44</v>
      </c>
      <c r="E66" s="123">
        <f t="shared" si="26"/>
        <v>144</v>
      </c>
      <c r="F66" s="123">
        <v>186</v>
      </c>
      <c r="G66" s="257">
        <v>167.4</v>
      </c>
      <c r="H66" s="257">
        <v>167.4</v>
      </c>
      <c r="I66" s="257">
        <f t="shared" si="27"/>
        <v>1.1625000000000001</v>
      </c>
      <c r="J66" s="257">
        <f t="shared" si="0"/>
        <v>167.4</v>
      </c>
      <c r="K66" s="257"/>
      <c r="L66" s="257">
        <f t="shared" si="4"/>
        <v>0.36811272957568086</v>
      </c>
      <c r="M66" s="257">
        <f t="shared" si="28"/>
        <v>53.008233058898043</v>
      </c>
      <c r="N66" s="257">
        <f t="shared" si="5"/>
        <v>0.40124287523749219</v>
      </c>
      <c r="O66" s="257">
        <f t="shared" si="29"/>
        <v>57.778974034198875</v>
      </c>
      <c r="P66" s="257">
        <v>0.8</v>
      </c>
      <c r="Q66" s="257">
        <f t="shared" si="1"/>
        <v>115.2</v>
      </c>
      <c r="R66" s="257">
        <f t="shared" si="2"/>
        <v>0.39875712476250785</v>
      </c>
      <c r="S66" s="257">
        <f t="shared" si="2"/>
        <v>57.421025965801128</v>
      </c>
      <c r="T66" s="246">
        <f t="shared" si="3"/>
        <v>0.49844640595313477</v>
      </c>
      <c r="U66" s="138"/>
      <c r="V66" s="268">
        <f t="shared" si="6"/>
        <v>0.8</v>
      </c>
      <c r="W66" s="269">
        <v>0.18</v>
      </c>
      <c r="X66" s="270">
        <f t="shared" si="7"/>
        <v>0.97560975609756095</v>
      </c>
      <c r="Y66" s="271">
        <f t="shared" si="8"/>
        <v>0.17560975609756097</v>
      </c>
      <c r="Z66" s="267">
        <f t="shared" si="9"/>
        <v>1.5804878048780488E-2</v>
      </c>
      <c r="AA66" s="271">
        <f t="shared" si="10"/>
        <v>0.19141463414634147</v>
      </c>
      <c r="AB66" s="271">
        <f t="shared" si="11"/>
        <v>0.78419512195121954</v>
      </c>
      <c r="AC66" s="284">
        <f t="shared" si="12"/>
        <v>0.48833796078821912</v>
      </c>
      <c r="AD66" s="285">
        <f t="shared" si="13"/>
        <v>-1.0108445164915658E-2</v>
      </c>
      <c r="AE66" s="221">
        <v>1</v>
      </c>
    </row>
    <row r="67" spans="1:31" ht="40" customHeight="1" x14ac:dyDescent="0.2">
      <c r="A67" s="123">
        <v>62</v>
      </c>
      <c r="B67" s="274" t="s">
        <v>54</v>
      </c>
      <c r="C67" s="123">
        <v>1</v>
      </c>
      <c r="D67" s="123" t="s">
        <v>55</v>
      </c>
      <c r="E67" s="123">
        <f t="shared" si="26"/>
        <v>270</v>
      </c>
      <c r="F67" s="123" t="s">
        <v>269</v>
      </c>
      <c r="G67" s="123" t="s">
        <v>269</v>
      </c>
      <c r="H67" s="257">
        <v>374.4</v>
      </c>
      <c r="I67" s="257">
        <f t="shared" si="27"/>
        <v>1.3866666666666665</v>
      </c>
      <c r="J67" s="257">
        <f t="shared" si="0"/>
        <v>374.4</v>
      </c>
      <c r="K67" s="257"/>
      <c r="L67" s="257">
        <f t="shared" si="4"/>
        <v>0.43909647456195899</v>
      </c>
      <c r="M67" s="257">
        <f t="shared" si="28"/>
        <v>118.55604813172894</v>
      </c>
      <c r="N67" s="257">
        <f t="shared" si="5"/>
        <v>0.47861515727253534</v>
      </c>
      <c r="O67" s="257">
        <f t="shared" si="29"/>
        <v>129.22609246358454</v>
      </c>
      <c r="P67" s="257">
        <v>0.8</v>
      </c>
      <c r="Q67" s="257">
        <f t="shared" si="1"/>
        <v>216</v>
      </c>
      <c r="R67" s="257">
        <f t="shared" si="2"/>
        <v>0.3213848427274647</v>
      </c>
      <c r="S67" s="257">
        <f t="shared" si="2"/>
        <v>86.773907536415464</v>
      </c>
      <c r="T67" s="246">
        <f t="shared" si="3"/>
        <v>0.40173105340933085</v>
      </c>
      <c r="U67" s="135"/>
      <c r="V67" s="268">
        <f t="shared" si="6"/>
        <v>0.8</v>
      </c>
      <c r="W67" s="269">
        <v>0.18</v>
      </c>
      <c r="X67" s="270">
        <f t="shared" si="7"/>
        <v>0.97560975609756095</v>
      </c>
      <c r="Y67" s="271">
        <f t="shared" si="8"/>
        <v>0.17560975609756097</v>
      </c>
      <c r="Z67" s="267">
        <f t="shared" si="9"/>
        <v>1.5804878048780488E-2</v>
      </c>
      <c r="AA67" s="271">
        <f t="shared" si="10"/>
        <v>0.19141463414634147</v>
      </c>
      <c r="AB67" s="271">
        <f t="shared" si="11"/>
        <v>0.78419512195121954</v>
      </c>
      <c r="AC67" s="284">
        <f t="shared" si="12"/>
        <v>0.3896733811839404</v>
      </c>
      <c r="AD67" s="285">
        <f t="shared" si="13"/>
        <v>-1.2057672225390448E-2</v>
      </c>
      <c r="AE67" s="221" t="s">
        <v>269</v>
      </c>
    </row>
    <row r="68" spans="1:31" ht="40" customHeight="1" x14ac:dyDescent="0.2">
      <c r="A68" s="123">
        <v>63</v>
      </c>
      <c r="B68" s="274" t="s">
        <v>56</v>
      </c>
      <c r="C68" s="123">
        <v>1</v>
      </c>
      <c r="D68" s="123" t="s">
        <v>55</v>
      </c>
      <c r="E68" s="123">
        <f t="shared" si="26"/>
        <v>270</v>
      </c>
      <c r="F68" s="123" t="s">
        <v>269</v>
      </c>
      <c r="G68" s="123" t="s">
        <v>269</v>
      </c>
      <c r="H68" s="257">
        <v>374.4</v>
      </c>
      <c r="I68" s="257">
        <f t="shared" si="27"/>
        <v>1.3866666666666665</v>
      </c>
      <c r="J68" s="257">
        <f t="shared" si="0"/>
        <v>374.4</v>
      </c>
      <c r="K68" s="257"/>
      <c r="L68" s="257">
        <f t="shared" si="4"/>
        <v>0.43909647456195899</v>
      </c>
      <c r="M68" s="257">
        <f t="shared" si="28"/>
        <v>118.55604813172894</v>
      </c>
      <c r="N68" s="257">
        <f t="shared" si="5"/>
        <v>0.47861515727253534</v>
      </c>
      <c r="O68" s="257">
        <f t="shared" si="29"/>
        <v>129.22609246358454</v>
      </c>
      <c r="P68" s="257">
        <v>0.8</v>
      </c>
      <c r="Q68" s="257">
        <f t="shared" si="1"/>
        <v>216</v>
      </c>
      <c r="R68" s="257">
        <f t="shared" si="2"/>
        <v>0.3213848427274647</v>
      </c>
      <c r="S68" s="257">
        <f t="shared" si="2"/>
        <v>86.773907536415464</v>
      </c>
      <c r="T68" s="246">
        <f t="shared" si="3"/>
        <v>0.40173105340933085</v>
      </c>
      <c r="U68" s="135"/>
      <c r="V68" s="268">
        <f t="shared" si="6"/>
        <v>0.8</v>
      </c>
      <c r="W68" s="269">
        <v>0.18</v>
      </c>
      <c r="X68" s="270">
        <f t="shared" si="7"/>
        <v>0.97560975609756095</v>
      </c>
      <c r="Y68" s="271">
        <f t="shared" si="8"/>
        <v>0.17560975609756097</v>
      </c>
      <c r="Z68" s="267">
        <f t="shared" si="9"/>
        <v>1.5804878048780488E-2</v>
      </c>
      <c r="AA68" s="271">
        <f t="shared" si="10"/>
        <v>0.19141463414634147</v>
      </c>
      <c r="AB68" s="271">
        <f t="shared" si="11"/>
        <v>0.78419512195121954</v>
      </c>
      <c r="AC68" s="284">
        <f t="shared" si="12"/>
        <v>0.3896733811839404</v>
      </c>
      <c r="AD68" s="285">
        <f t="shared" si="13"/>
        <v>-1.2057672225390448E-2</v>
      </c>
      <c r="AE68" s="221" t="s">
        <v>269</v>
      </c>
    </row>
    <row r="69" spans="1:31" ht="40" customHeight="1" x14ac:dyDescent="0.2">
      <c r="A69" s="123">
        <v>64</v>
      </c>
      <c r="B69" s="274" t="s">
        <v>57</v>
      </c>
      <c r="C69" s="123">
        <v>1</v>
      </c>
      <c r="D69" s="123" t="s">
        <v>55</v>
      </c>
      <c r="E69" s="123">
        <f t="shared" si="26"/>
        <v>270</v>
      </c>
      <c r="F69" s="123" t="s">
        <v>269</v>
      </c>
      <c r="G69" s="123" t="s">
        <v>269</v>
      </c>
      <c r="H69" s="257">
        <v>374.4</v>
      </c>
      <c r="I69" s="257">
        <f t="shared" si="27"/>
        <v>1.3866666666666665</v>
      </c>
      <c r="J69" s="257">
        <f t="shared" si="0"/>
        <v>374.4</v>
      </c>
      <c r="K69" s="257"/>
      <c r="L69" s="257">
        <f t="shared" si="4"/>
        <v>0.43909647456195899</v>
      </c>
      <c r="M69" s="257">
        <f t="shared" si="28"/>
        <v>118.55604813172894</v>
      </c>
      <c r="N69" s="257">
        <f t="shared" si="5"/>
        <v>0.47861515727253534</v>
      </c>
      <c r="O69" s="257">
        <f t="shared" si="29"/>
        <v>129.22609246358454</v>
      </c>
      <c r="P69" s="257">
        <v>0.8</v>
      </c>
      <c r="Q69" s="257">
        <f t="shared" si="1"/>
        <v>216</v>
      </c>
      <c r="R69" s="257">
        <f t="shared" si="2"/>
        <v>0.3213848427274647</v>
      </c>
      <c r="S69" s="257">
        <f t="shared" si="2"/>
        <v>86.773907536415464</v>
      </c>
      <c r="T69" s="246">
        <f t="shared" si="3"/>
        <v>0.40173105340933085</v>
      </c>
      <c r="U69" s="137"/>
      <c r="V69" s="268">
        <f t="shared" si="6"/>
        <v>0.8</v>
      </c>
      <c r="W69" s="269">
        <v>0.18</v>
      </c>
      <c r="X69" s="270">
        <f t="shared" si="7"/>
        <v>0.97560975609756095</v>
      </c>
      <c r="Y69" s="271">
        <f t="shared" si="8"/>
        <v>0.17560975609756097</v>
      </c>
      <c r="Z69" s="267">
        <f t="shared" si="9"/>
        <v>1.5804878048780488E-2</v>
      </c>
      <c r="AA69" s="271">
        <f t="shared" si="10"/>
        <v>0.19141463414634147</v>
      </c>
      <c r="AB69" s="271">
        <f t="shared" si="11"/>
        <v>0.78419512195121954</v>
      </c>
      <c r="AC69" s="284">
        <f t="shared" si="12"/>
        <v>0.3896733811839404</v>
      </c>
      <c r="AD69" s="285">
        <f t="shared" si="13"/>
        <v>-1.2057672225390448E-2</v>
      </c>
      <c r="AE69" s="221" t="s">
        <v>269</v>
      </c>
    </row>
    <row r="70" spans="1:31" ht="40" customHeight="1" x14ac:dyDescent="0.2">
      <c r="A70" s="123">
        <v>65</v>
      </c>
      <c r="B70" s="274" t="s">
        <v>58</v>
      </c>
      <c r="C70" s="123">
        <v>1</v>
      </c>
      <c r="D70" s="123">
        <v>20</v>
      </c>
      <c r="E70" s="123">
        <f t="shared" si="26"/>
        <v>20</v>
      </c>
      <c r="F70" s="123" t="s">
        <v>269</v>
      </c>
      <c r="G70" s="123" t="s">
        <v>269</v>
      </c>
      <c r="H70" s="257">
        <v>296</v>
      </c>
      <c r="I70" s="257">
        <f t="shared" si="27"/>
        <v>14.8</v>
      </c>
      <c r="J70" s="257">
        <f t="shared" si="0"/>
        <v>296</v>
      </c>
      <c r="K70" s="257"/>
      <c r="L70" s="257">
        <f t="shared" si="4"/>
        <v>4.6865104496516787</v>
      </c>
      <c r="M70" s="257">
        <f t="shared" si="28"/>
        <v>93.730208993033571</v>
      </c>
      <c r="N70" s="257">
        <f t="shared" si="5"/>
        <v>5.10829639012033</v>
      </c>
      <c r="O70" s="257">
        <f t="shared" si="29"/>
        <v>102.1659278024066</v>
      </c>
      <c r="P70" s="257">
        <v>7.5</v>
      </c>
      <c r="Q70" s="257">
        <f t="shared" si="1"/>
        <v>150</v>
      </c>
      <c r="R70" s="257">
        <f t="shared" si="2"/>
        <v>2.39170360987967</v>
      </c>
      <c r="S70" s="257">
        <f t="shared" si="2"/>
        <v>47.8340721975934</v>
      </c>
      <c r="T70" s="246">
        <f t="shared" si="3"/>
        <v>0.31889381465062266</v>
      </c>
      <c r="U70" s="138"/>
      <c r="V70" s="268">
        <f t="shared" si="6"/>
        <v>7.5</v>
      </c>
      <c r="W70" s="269">
        <v>0.18</v>
      </c>
      <c r="X70" s="270">
        <f t="shared" si="7"/>
        <v>9.1463414634146343</v>
      </c>
      <c r="Y70" s="271">
        <f t="shared" si="8"/>
        <v>1.6463414634146341</v>
      </c>
      <c r="Z70" s="267">
        <f t="shared" si="9"/>
        <v>0.14817073170731707</v>
      </c>
      <c r="AA70" s="271">
        <f t="shared" si="10"/>
        <v>1.7945121951219511</v>
      </c>
      <c r="AB70" s="271">
        <f t="shared" si="11"/>
        <v>7.3518292682926827</v>
      </c>
      <c r="AC70" s="284">
        <f t="shared" si="12"/>
        <v>0.30516661857863969</v>
      </c>
      <c r="AD70" s="285">
        <f t="shared" si="13"/>
        <v>-1.3727196071982972E-2</v>
      </c>
      <c r="AE70" s="221" t="s">
        <v>269</v>
      </c>
    </row>
    <row r="71" spans="1:31" ht="40" customHeight="1" x14ac:dyDescent="0.2">
      <c r="A71" s="123">
        <v>66</v>
      </c>
      <c r="B71" s="274" t="s">
        <v>60</v>
      </c>
      <c r="C71" s="123">
        <v>1</v>
      </c>
      <c r="D71" s="123">
        <v>80</v>
      </c>
      <c r="E71" s="123">
        <f t="shared" si="26"/>
        <v>80</v>
      </c>
      <c r="F71" s="123" t="s">
        <v>269</v>
      </c>
      <c r="G71" s="123" t="s">
        <v>269</v>
      </c>
      <c r="H71" s="257">
        <v>289.60000000000002</v>
      </c>
      <c r="I71" s="257">
        <f t="shared" si="27"/>
        <v>3.62</v>
      </c>
      <c r="J71" s="257">
        <f t="shared" si="0"/>
        <v>289.60000000000002</v>
      </c>
      <c r="K71" s="257"/>
      <c r="L71" s="257">
        <f t="shared" si="4"/>
        <v>1.1462951234958836</v>
      </c>
      <c r="M71" s="257">
        <f t="shared" si="28"/>
        <v>91.703609879670694</v>
      </c>
      <c r="N71" s="257">
        <f t="shared" ref="N71:N134" si="31">L71*(1+$O$188+9%)</f>
        <v>1.2494616846105131</v>
      </c>
      <c r="O71" s="257">
        <f t="shared" si="29"/>
        <v>99.956934768841052</v>
      </c>
      <c r="P71" s="257"/>
      <c r="Q71" s="257">
        <f t="shared" si="1"/>
        <v>0</v>
      </c>
      <c r="R71" s="257">
        <f t="shared" si="2"/>
        <v>-1.2494616846105131</v>
      </c>
      <c r="S71" s="257">
        <f t="shared" si="2"/>
        <v>-99.956934768841052</v>
      </c>
      <c r="T71" s="246" t="e">
        <f t="shared" si="3"/>
        <v>#DIV/0!</v>
      </c>
      <c r="U71" s="138"/>
      <c r="V71" s="268">
        <f t="shared" ref="V71:V134" si="32">P71</f>
        <v>0</v>
      </c>
      <c r="W71" s="269">
        <v>0.18</v>
      </c>
      <c r="X71" s="270">
        <f t="shared" ref="X71:X134" si="33">V71/(1-18%)</f>
        <v>0</v>
      </c>
      <c r="Y71" s="271">
        <f t="shared" ref="Y71:Y134" si="34">X71*18%</f>
        <v>0</v>
      </c>
      <c r="Z71" s="267">
        <f t="shared" ref="Z71:Z134" si="35">Y71*9%</f>
        <v>0</v>
      </c>
      <c r="AA71" s="271">
        <f t="shared" ref="AA71:AA134" si="36">Y71+Z71</f>
        <v>0</v>
      </c>
      <c r="AB71" s="271">
        <f t="shared" ref="AB71:AB134" si="37">X71-AA71</f>
        <v>0</v>
      </c>
      <c r="AC71" s="284" t="e">
        <f t="shared" ref="AC71:AC134" si="38">(AB71-N71)/AB71</f>
        <v>#DIV/0!</v>
      </c>
      <c r="AD71" s="285" t="e">
        <f t="shared" ref="AD71:AD134" si="39">AC71-T71</f>
        <v>#DIV/0!</v>
      </c>
      <c r="AE71" s="221" t="s">
        <v>269</v>
      </c>
    </row>
    <row r="72" spans="1:31" ht="40" customHeight="1" x14ac:dyDescent="0.2">
      <c r="A72" s="123">
        <v>67</v>
      </c>
      <c r="B72" s="274" t="s">
        <v>62</v>
      </c>
      <c r="C72" s="123">
        <v>1</v>
      </c>
      <c r="D72" s="123">
        <v>10</v>
      </c>
      <c r="E72" s="123">
        <f t="shared" si="26"/>
        <v>10</v>
      </c>
      <c r="F72" s="123" t="s">
        <v>269</v>
      </c>
      <c r="G72" s="123" t="s">
        <v>269</v>
      </c>
      <c r="H72" s="257">
        <v>24.25</v>
      </c>
      <c r="I72" s="257">
        <f t="shared" si="27"/>
        <v>2.4249999999999998</v>
      </c>
      <c r="J72" s="257">
        <f t="shared" si="0"/>
        <v>24.25</v>
      </c>
      <c r="K72" s="257"/>
      <c r="L72" s="257">
        <f t="shared" si="4"/>
        <v>0.76789107029765669</v>
      </c>
      <c r="M72" s="257">
        <f t="shared" si="28"/>
        <v>7.6789107029765677</v>
      </c>
      <c r="N72" s="257">
        <f t="shared" si="31"/>
        <v>0.83700126662444585</v>
      </c>
      <c r="O72" s="257">
        <f t="shared" si="29"/>
        <v>8.3700126662444578</v>
      </c>
      <c r="P72" s="257">
        <v>1.95</v>
      </c>
      <c r="Q72" s="257">
        <f t="shared" si="1"/>
        <v>19.5</v>
      </c>
      <c r="R72" s="257">
        <f t="shared" si="2"/>
        <v>1.1129987333755542</v>
      </c>
      <c r="S72" s="257">
        <f t="shared" si="2"/>
        <v>11.129987333755542</v>
      </c>
      <c r="T72" s="246">
        <f t="shared" si="3"/>
        <v>0.57076858121823293</v>
      </c>
      <c r="U72" s="138"/>
      <c r="V72" s="268">
        <f t="shared" si="32"/>
        <v>1.95</v>
      </c>
      <c r="W72" s="269">
        <v>0.18</v>
      </c>
      <c r="X72" s="270">
        <f t="shared" si="33"/>
        <v>2.3780487804878048</v>
      </c>
      <c r="Y72" s="271">
        <f t="shared" si="34"/>
        <v>0.42804878048780487</v>
      </c>
      <c r="Z72" s="267">
        <f t="shared" si="35"/>
        <v>3.8524390243902439E-2</v>
      </c>
      <c r="AA72" s="271">
        <f t="shared" si="36"/>
        <v>0.46657317073170729</v>
      </c>
      <c r="AB72" s="271">
        <f t="shared" si="37"/>
        <v>1.9114756097560974</v>
      </c>
      <c r="AC72" s="284">
        <f t="shared" si="38"/>
        <v>0.56211773650031216</v>
      </c>
      <c r="AD72" s="285">
        <f t="shared" si="39"/>
        <v>-8.6508447179207693E-3</v>
      </c>
      <c r="AE72" s="221" t="s">
        <v>269</v>
      </c>
    </row>
    <row r="73" spans="1:31" ht="40" customHeight="1" x14ac:dyDescent="0.2">
      <c r="A73" s="123">
        <v>68</v>
      </c>
      <c r="B73" s="274" t="s">
        <v>233</v>
      </c>
      <c r="C73" s="123">
        <v>1</v>
      </c>
      <c r="D73" s="123">
        <v>10</v>
      </c>
      <c r="E73" s="123">
        <f t="shared" si="26"/>
        <v>10</v>
      </c>
      <c r="F73" s="123" t="s">
        <v>269</v>
      </c>
      <c r="G73" s="123" t="s">
        <v>269</v>
      </c>
      <c r="H73" s="257">
        <v>24.25</v>
      </c>
      <c r="I73" s="257">
        <f t="shared" si="27"/>
        <v>2.4249999999999998</v>
      </c>
      <c r="J73" s="257">
        <f t="shared" si="0"/>
        <v>24.25</v>
      </c>
      <c r="K73" s="257"/>
      <c r="L73" s="257">
        <f t="shared" si="4"/>
        <v>0.76789107029765669</v>
      </c>
      <c r="M73" s="257">
        <f t="shared" si="28"/>
        <v>7.6789107029765677</v>
      </c>
      <c r="N73" s="257">
        <f t="shared" si="31"/>
        <v>0.83700126662444585</v>
      </c>
      <c r="O73" s="257">
        <f t="shared" si="29"/>
        <v>8.3700126662444578</v>
      </c>
      <c r="P73" s="257">
        <v>1.95</v>
      </c>
      <c r="Q73" s="257">
        <f t="shared" si="1"/>
        <v>19.5</v>
      </c>
      <c r="R73" s="257">
        <f t="shared" si="2"/>
        <v>1.1129987333755542</v>
      </c>
      <c r="S73" s="257">
        <f t="shared" si="2"/>
        <v>11.129987333755542</v>
      </c>
      <c r="T73" s="246">
        <f t="shared" si="3"/>
        <v>0.57076858121823293</v>
      </c>
      <c r="U73" s="138"/>
      <c r="V73" s="268">
        <f t="shared" si="32"/>
        <v>1.95</v>
      </c>
      <c r="W73" s="269">
        <v>0.18</v>
      </c>
      <c r="X73" s="270">
        <f t="shared" si="33"/>
        <v>2.3780487804878048</v>
      </c>
      <c r="Y73" s="271">
        <f t="shared" si="34"/>
        <v>0.42804878048780487</v>
      </c>
      <c r="Z73" s="267">
        <f t="shared" si="35"/>
        <v>3.8524390243902439E-2</v>
      </c>
      <c r="AA73" s="271">
        <f t="shared" si="36"/>
        <v>0.46657317073170729</v>
      </c>
      <c r="AB73" s="271">
        <f t="shared" si="37"/>
        <v>1.9114756097560974</v>
      </c>
      <c r="AC73" s="284">
        <f t="shared" si="38"/>
        <v>0.56211773650031216</v>
      </c>
      <c r="AD73" s="285">
        <f t="shared" si="39"/>
        <v>-8.6508447179207693E-3</v>
      </c>
      <c r="AE73" s="221" t="s">
        <v>269</v>
      </c>
    </row>
    <row r="74" spans="1:31" ht="40" customHeight="1" x14ac:dyDescent="0.2">
      <c r="A74" s="123">
        <v>69</v>
      </c>
      <c r="B74" s="274" t="s">
        <v>63</v>
      </c>
      <c r="C74" s="123">
        <v>1</v>
      </c>
      <c r="D74" s="123">
        <v>10</v>
      </c>
      <c r="E74" s="123">
        <f t="shared" si="26"/>
        <v>10</v>
      </c>
      <c r="F74" s="123" t="s">
        <v>269</v>
      </c>
      <c r="G74" s="123" t="s">
        <v>269</v>
      </c>
      <c r="H74" s="257">
        <v>24.25</v>
      </c>
      <c r="I74" s="257">
        <f t="shared" si="27"/>
        <v>2.4249999999999998</v>
      </c>
      <c r="J74" s="257">
        <f t="shared" si="0"/>
        <v>24.25</v>
      </c>
      <c r="K74" s="257"/>
      <c r="L74" s="257">
        <f t="shared" si="4"/>
        <v>0.76789107029765669</v>
      </c>
      <c r="M74" s="257">
        <f t="shared" si="28"/>
        <v>7.6789107029765677</v>
      </c>
      <c r="N74" s="257">
        <f t="shared" si="31"/>
        <v>0.83700126662444585</v>
      </c>
      <c r="O74" s="257">
        <f t="shared" si="29"/>
        <v>8.3700126662444578</v>
      </c>
      <c r="P74" s="257">
        <v>1.95</v>
      </c>
      <c r="Q74" s="257">
        <f t="shared" si="1"/>
        <v>19.5</v>
      </c>
      <c r="R74" s="257">
        <f t="shared" si="2"/>
        <v>1.1129987333755542</v>
      </c>
      <c r="S74" s="257">
        <f t="shared" si="2"/>
        <v>11.129987333755542</v>
      </c>
      <c r="T74" s="246">
        <f t="shared" si="3"/>
        <v>0.57076858121823293</v>
      </c>
      <c r="U74" s="138"/>
      <c r="V74" s="268">
        <f t="shared" si="32"/>
        <v>1.95</v>
      </c>
      <c r="W74" s="269">
        <v>0.18</v>
      </c>
      <c r="X74" s="270">
        <f t="shared" si="33"/>
        <v>2.3780487804878048</v>
      </c>
      <c r="Y74" s="271">
        <f t="shared" si="34"/>
        <v>0.42804878048780487</v>
      </c>
      <c r="Z74" s="267">
        <f t="shared" si="35"/>
        <v>3.8524390243902439E-2</v>
      </c>
      <c r="AA74" s="271">
        <f t="shared" si="36"/>
        <v>0.46657317073170729</v>
      </c>
      <c r="AB74" s="271">
        <f t="shared" si="37"/>
        <v>1.9114756097560974</v>
      </c>
      <c r="AC74" s="284">
        <f t="shared" si="38"/>
        <v>0.56211773650031216</v>
      </c>
      <c r="AD74" s="285">
        <f t="shared" si="39"/>
        <v>-8.6508447179207693E-3</v>
      </c>
      <c r="AE74" s="221" t="s">
        <v>269</v>
      </c>
    </row>
    <row r="75" spans="1:31" ht="40" customHeight="1" x14ac:dyDescent="0.2">
      <c r="A75" s="123">
        <v>70</v>
      </c>
      <c r="B75" s="274" t="s">
        <v>64</v>
      </c>
      <c r="C75" s="123">
        <v>1</v>
      </c>
      <c r="D75" s="123" t="s">
        <v>59</v>
      </c>
      <c r="E75" s="123">
        <f t="shared" si="26"/>
        <v>40</v>
      </c>
      <c r="F75" s="123" t="s">
        <v>269</v>
      </c>
      <c r="G75" s="123" t="s">
        <v>269</v>
      </c>
      <c r="H75" s="257">
        <v>56</v>
      </c>
      <c r="I75" s="257">
        <f t="shared" si="27"/>
        <v>1.4</v>
      </c>
      <c r="J75" s="257">
        <f t="shared" si="0"/>
        <v>56</v>
      </c>
      <c r="K75" s="257"/>
      <c r="L75" s="257">
        <f t="shared" si="4"/>
        <v>0.4433185560481317</v>
      </c>
      <c r="M75" s="257">
        <f t="shared" si="28"/>
        <v>17.732742241925269</v>
      </c>
      <c r="N75" s="257">
        <f t="shared" si="31"/>
        <v>0.48321722609246359</v>
      </c>
      <c r="O75" s="257">
        <f t="shared" si="29"/>
        <v>19.328689043698542</v>
      </c>
      <c r="P75" s="257">
        <v>1</v>
      </c>
      <c r="Q75" s="257">
        <f t="shared" si="1"/>
        <v>40</v>
      </c>
      <c r="R75" s="257">
        <f t="shared" si="2"/>
        <v>0.51678277390753635</v>
      </c>
      <c r="S75" s="257">
        <f t="shared" si="2"/>
        <v>20.671310956301458</v>
      </c>
      <c r="T75" s="246">
        <f t="shared" si="3"/>
        <v>0.51678277390753635</v>
      </c>
      <c r="U75" s="135"/>
      <c r="V75" s="268">
        <f t="shared" si="32"/>
        <v>1</v>
      </c>
      <c r="W75" s="269">
        <v>0.18</v>
      </c>
      <c r="X75" s="270">
        <f t="shared" si="33"/>
        <v>1.2195121951219512</v>
      </c>
      <c r="Y75" s="271">
        <f t="shared" si="34"/>
        <v>0.21951219512195122</v>
      </c>
      <c r="Z75" s="267">
        <f t="shared" si="35"/>
        <v>1.975609756097561E-2</v>
      </c>
      <c r="AA75" s="271">
        <f t="shared" si="36"/>
        <v>0.23926829268292682</v>
      </c>
      <c r="AB75" s="271">
        <f t="shared" si="37"/>
        <v>0.98024390243902437</v>
      </c>
      <c r="AC75" s="284">
        <f t="shared" si="38"/>
        <v>0.50704388480241336</v>
      </c>
      <c r="AD75" s="285">
        <f t="shared" si="39"/>
        <v>-9.7388891051229942E-3</v>
      </c>
      <c r="AE75" s="221" t="s">
        <v>269</v>
      </c>
    </row>
    <row r="76" spans="1:31" ht="40" customHeight="1" x14ac:dyDescent="0.2">
      <c r="A76" s="123">
        <v>71</v>
      </c>
      <c r="B76" s="274" t="s">
        <v>235</v>
      </c>
      <c r="C76" s="123">
        <v>1</v>
      </c>
      <c r="D76" s="123" t="s">
        <v>59</v>
      </c>
      <c r="E76" s="123">
        <f t="shared" si="26"/>
        <v>40</v>
      </c>
      <c r="F76" s="123" t="s">
        <v>269</v>
      </c>
      <c r="G76" s="123" t="s">
        <v>269</v>
      </c>
      <c r="H76" s="257">
        <v>56</v>
      </c>
      <c r="I76" s="257">
        <f t="shared" si="27"/>
        <v>1.4</v>
      </c>
      <c r="J76" s="257">
        <f t="shared" si="0"/>
        <v>56</v>
      </c>
      <c r="K76" s="257"/>
      <c r="L76" s="257">
        <f t="shared" si="4"/>
        <v>0.4433185560481317</v>
      </c>
      <c r="M76" s="257">
        <f t="shared" si="28"/>
        <v>17.732742241925269</v>
      </c>
      <c r="N76" s="257">
        <f t="shared" si="31"/>
        <v>0.48321722609246359</v>
      </c>
      <c r="O76" s="257">
        <f t="shared" si="29"/>
        <v>19.328689043698542</v>
      </c>
      <c r="P76" s="257">
        <v>1</v>
      </c>
      <c r="Q76" s="257">
        <f t="shared" si="1"/>
        <v>40</v>
      </c>
      <c r="R76" s="257">
        <f t="shared" si="2"/>
        <v>0.51678277390753635</v>
      </c>
      <c r="S76" s="257">
        <f t="shared" si="2"/>
        <v>20.671310956301458</v>
      </c>
      <c r="T76" s="246">
        <f t="shared" si="3"/>
        <v>0.51678277390753635</v>
      </c>
      <c r="U76" s="138"/>
      <c r="V76" s="268">
        <f t="shared" si="32"/>
        <v>1</v>
      </c>
      <c r="W76" s="269">
        <v>0.18</v>
      </c>
      <c r="X76" s="270">
        <f t="shared" si="33"/>
        <v>1.2195121951219512</v>
      </c>
      <c r="Y76" s="271">
        <f t="shared" si="34"/>
        <v>0.21951219512195122</v>
      </c>
      <c r="Z76" s="267">
        <f t="shared" si="35"/>
        <v>1.975609756097561E-2</v>
      </c>
      <c r="AA76" s="271">
        <f t="shared" si="36"/>
        <v>0.23926829268292682</v>
      </c>
      <c r="AB76" s="271">
        <f t="shared" si="37"/>
        <v>0.98024390243902437</v>
      </c>
      <c r="AC76" s="284">
        <f t="shared" si="38"/>
        <v>0.50704388480241336</v>
      </c>
      <c r="AD76" s="285">
        <f t="shared" si="39"/>
        <v>-9.7388891051229942E-3</v>
      </c>
      <c r="AE76" s="221" t="s">
        <v>269</v>
      </c>
    </row>
    <row r="77" spans="1:31" ht="40" customHeight="1" x14ac:dyDescent="0.2">
      <c r="A77" s="123">
        <v>72</v>
      </c>
      <c r="B77" s="274" t="s">
        <v>65</v>
      </c>
      <c r="C77" s="123">
        <v>1</v>
      </c>
      <c r="D77" s="123" t="s">
        <v>59</v>
      </c>
      <c r="E77" s="123">
        <f t="shared" si="26"/>
        <v>40</v>
      </c>
      <c r="F77" s="123" t="s">
        <v>269</v>
      </c>
      <c r="G77" s="123" t="s">
        <v>269</v>
      </c>
      <c r="H77" s="257">
        <v>56</v>
      </c>
      <c r="I77" s="257">
        <f t="shared" si="27"/>
        <v>1.4</v>
      </c>
      <c r="J77" s="257">
        <f t="shared" si="0"/>
        <v>56</v>
      </c>
      <c r="K77" s="257"/>
      <c r="L77" s="257">
        <f t="shared" si="4"/>
        <v>0.4433185560481317</v>
      </c>
      <c r="M77" s="257">
        <f t="shared" si="28"/>
        <v>17.732742241925269</v>
      </c>
      <c r="N77" s="257">
        <f t="shared" si="31"/>
        <v>0.48321722609246359</v>
      </c>
      <c r="O77" s="257">
        <f t="shared" si="29"/>
        <v>19.328689043698542</v>
      </c>
      <c r="P77" s="257">
        <v>1</v>
      </c>
      <c r="Q77" s="257">
        <f t="shared" si="1"/>
        <v>40</v>
      </c>
      <c r="R77" s="257">
        <f t="shared" si="2"/>
        <v>0.51678277390753635</v>
      </c>
      <c r="S77" s="257">
        <f t="shared" si="2"/>
        <v>20.671310956301458</v>
      </c>
      <c r="T77" s="246">
        <f t="shared" si="3"/>
        <v>0.51678277390753635</v>
      </c>
      <c r="U77" s="138"/>
      <c r="V77" s="268">
        <f t="shared" si="32"/>
        <v>1</v>
      </c>
      <c r="W77" s="269">
        <v>0.18</v>
      </c>
      <c r="X77" s="270">
        <f t="shared" si="33"/>
        <v>1.2195121951219512</v>
      </c>
      <c r="Y77" s="271">
        <f t="shared" si="34"/>
        <v>0.21951219512195122</v>
      </c>
      <c r="Z77" s="267">
        <f t="shared" si="35"/>
        <v>1.975609756097561E-2</v>
      </c>
      <c r="AA77" s="271">
        <f t="shared" si="36"/>
        <v>0.23926829268292682</v>
      </c>
      <c r="AB77" s="271">
        <f t="shared" si="37"/>
        <v>0.98024390243902437</v>
      </c>
      <c r="AC77" s="284">
        <f t="shared" si="38"/>
        <v>0.50704388480241336</v>
      </c>
      <c r="AD77" s="285">
        <f t="shared" si="39"/>
        <v>-9.7388891051229942E-3</v>
      </c>
      <c r="AE77" s="221" t="s">
        <v>269</v>
      </c>
    </row>
    <row r="78" spans="1:31" ht="40" customHeight="1" x14ac:dyDescent="0.2">
      <c r="A78" s="123">
        <v>73</v>
      </c>
      <c r="B78" s="274" t="s">
        <v>234</v>
      </c>
      <c r="C78" s="123">
        <v>1</v>
      </c>
      <c r="D78" s="123">
        <v>24</v>
      </c>
      <c r="E78" s="123">
        <f t="shared" si="26"/>
        <v>24</v>
      </c>
      <c r="F78" s="123" t="s">
        <v>269</v>
      </c>
      <c r="G78" s="123" t="s">
        <v>269</v>
      </c>
      <c r="H78" s="257">
        <v>56.4</v>
      </c>
      <c r="I78" s="257">
        <f t="shared" si="27"/>
        <v>2.35</v>
      </c>
      <c r="J78" s="257">
        <f t="shared" si="0"/>
        <v>56.400000000000006</v>
      </c>
      <c r="K78" s="257"/>
      <c r="L78" s="257">
        <f t="shared" si="4"/>
        <v>0.74414186193793541</v>
      </c>
      <c r="M78" s="257">
        <f t="shared" si="28"/>
        <v>17.859404686510448</v>
      </c>
      <c r="N78" s="257">
        <f t="shared" si="31"/>
        <v>0.81111462951234969</v>
      </c>
      <c r="O78" s="257">
        <f t="shared" si="29"/>
        <v>19.466751108296393</v>
      </c>
      <c r="P78" s="257">
        <v>1.5</v>
      </c>
      <c r="Q78" s="257">
        <f t="shared" si="1"/>
        <v>36</v>
      </c>
      <c r="R78" s="257">
        <f t="shared" si="2"/>
        <v>0.68888537048765031</v>
      </c>
      <c r="S78" s="257">
        <f t="shared" si="2"/>
        <v>16.533248891703607</v>
      </c>
      <c r="T78" s="246">
        <f t="shared" si="3"/>
        <v>0.45925691365843352</v>
      </c>
      <c r="U78" s="138"/>
      <c r="V78" s="268">
        <f t="shared" si="32"/>
        <v>1.5</v>
      </c>
      <c r="W78" s="269">
        <v>0.18</v>
      </c>
      <c r="X78" s="270">
        <f t="shared" si="33"/>
        <v>1.8292682926829267</v>
      </c>
      <c r="Y78" s="271">
        <f t="shared" si="34"/>
        <v>0.32926829268292679</v>
      </c>
      <c r="Z78" s="267">
        <f t="shared" si="35"/>
        <v>2.963414634146341E-2</v>
      </c>
      <c r="AA78" s="271">
        <f t="shared" si="36"/>
        <v>0.35890243902439017</v>
      </c>
      <c r="AB78" s="271">
        <f t="shared" si="37"/>
        <v>1.4703658536585364</v>
      </c>
      <c r="AC78" s="284">
        <f t="shared" si="38"/>
        <v>0.44835863299317674</v>
      </c>
      <c r="AD78" s="285">
        <f t="shared" si="39"/>
        <v>-1.0898280665256777E-2</v>
      </c>
      <c r="AE78" s="221" t="s">
        <v>269</v>
      </c>
    </row>
    <row r="79" spans="1:31" ht="40" customHeight="1" x14ac:dyDescent="0.2">
      <c r="A79" s="123">
        <v>74</v>
      </c>
      <c r="B79" s="274" t="s">
        <v>187</v>
      </c>
      <c r="C79" s="123">
        <v>1</v>
      </c>
      <c r="D79" s="123">
        <v>24</v>
      </c>
      <c r="E79" s="123">
        <f t="shared" si="26"/>
        <v>24</v>
      </c>
      <c r="F79" s="123" t="s">
        <v>269</v>
      </c>
      <c r="G79" s="123" t="s">
        <v>269</v>
      </c>
      <c r="H79" s="257">
        <v>56.4</v>
      </c>
      <c r="I79" s="257">
        <f t="shared" si="27"/>
        <v>2.35</v>
      </c>
      <c r="J79" s="257">
        <f t="shared" si="0"/>
        <v>56.400000000000006</v>
      </c>
      <c r="K79" s="257"/>
      <c r="L79" s="257">
        <f t="shared" si="4"/>
        <v>0.74414186193793541</v>
      </c>
      <c r="M79" s="257">
        <f t="shared" si="28"/>
        <v>17.859404686510448</v>
      </c>
      <c r="N79" s="257">
        <f t="shared" si="31"/>
        <v>0.81111462951234969</v>
      </c>
      <c r="O79" s="257">
        <f t="shared" si="29"/>
        <v>19.466751108296393</v>
      </c>
      <c r="P79" s="257">
        <v>1.5</v>
      </c>
      <c r="Q79" s="257">
        <f t="shared" si="1"/>
        <v>36</v>
      </c>
      <c r="R79" s="257">
        <f t="shared" si="2"/>
        <v>0.68888537048765031</v>
      </c>
      <c r="S79" s="257">
        <f t="shared" si="2"/>
        <v>16.533248891703607</v>
      </c>
      <c r="T79" s="246">
        <f t="shared" si="3"/>
        <v>0.45925691365843352</v>
      </c>
      <c r="U79" s="138"/>
      <c r="V79" s="268">
        <f t="shared" si="32"/>
        <v>1.5</v>
      </c>
      <c r="W79" s="269">
        <v>0.18</v>
      </c>
      <c r="X79" s="270">
        <f t="shared" si="33"/>
        <v>1.8292682926829267</v>
      </c>
      <c r="Y79" s="271">
        <f t="shared" si="34"/>
        <v>0.32926829268292679</v>
      </c>
      <c r="Z79" s="267">
        <f t="shared" si="35"/>
        <v>2.963414634146341E-2</v>
      </c>
      <c r="AA79" s="271">
        <f t="shared" si="36"/>
        <v>0.35890243902439017</v>
      </c>
      <c r="AB79" s="271">
        <f t="shared" si="37"/>
        <v>1.4703658536585364</v>
      </c>
      <c r="AC79" s="284">
        <f t="shared" si="38"/>
        <v>0.44835863299317674</v>
      </c>
      <c r="AD79" s="285">
        <f t="shared" si="39"/>
        <v>-1.0898280665256777E-2</v>
      </c>
      <c r="AE79" s="221" t="s">
        <v>269</v>
      </c>
    </row>
    <row r="80" spans="1:31" ht="40" customHeight="1" x14ac:dyDescent="0.2">
      <c r="A80" s="123">
        <v>75</v>
      </c>
      <c r="B80" s="274" t="s">
        <v>183</v>
      </c>
      <c r="C80" s="123">
        <v>1</v>
      </c>
      <c r="D80" s="123">
        <v>24</v>
      </c>
      <c r="E80" s="123">
        <f t="shared" si="26"/>
        <v>24</v>
      </c>
      <c r="F80" s="123" t="s">
        <v>269</v>
      </c>
      <c r="G80" s="123" t="s">
        <v>269</v>
      </c>
      <c r="H80" s="257">
        <v>94.8</v>
      </c>
      <c r="I80" s="257">
        <f t="shared" si="27"/>
        <v>3.9499999999999997</v>
      </c>
      <c r="J80" s="257">
        <f t="shared" ref="J80:J143" si="40">I80*E80</f>
        <v>94.8</v>
      </c>
      <c r="K80" s="257"/>
      <c r="L80" s="257">
        <f t="shared" si="4"/>
        <v>1.2507916402786574</v>
      </c>
      <c r="M80" s="257">
        <f t="shared" si="28"/>
        <v>30.018999366687776</v>
      </c>
      <c r="N80" s="257">
        <f t="shared" si="31"/>
        <v>1.3633628879037367</v>
      </c>
      <c r="O80" s="257">
        <f t="shared" si="29"/>
        <v>32.720709309689681</v>
      </c>
      <c r="P80" s="257">
        <v>2.5</v>
      </c>
      <c r="Q80" s="257">
        <f t="shared" si="1"/>
        <v>60</v>
      </c>
      <c r="R80" s="257">
        <f t="shared" si="2"/>
        <v>1.1366371120962633</v>
      </c>
      <c r="S80" s="257">
        <f t="shared" si="2"/>
        <v>27.279290690310319</v>
      </c>
      <c r="T80" s="246">
        <f t="shared" si="3"/>
        <v>0.45465484483850532</v>
      </c>
      <c r="U80" s="138"/>
      <c r="V80" s="268">
        <f t="shared" si="32"/>
        <v>2.5</v>
      </c>
      <c r="W80" s="269">
        <v>0.18</v>
      </c>
      <c r="X80" s="270">
        <f t="shared" si="33"/>
        <v>3.0487804878048776</v>
      </c>
      <c r="Y80" s="271">
        <f t="shared" si="34"/>
        <v>0.54878048780487798</v>
      </c>
      <c r="Z80" s="267">
        <f t="shared" si="35"/>
        <v>4.939024390243902E-2</v>
      </c>
      <c r="AA80" s="271">
        <f t="shared" si="36"/>
        <v>0.59817073170731705</v>
      </c>
      <c r="AB80" s="271">
        <f t="shared" si="37"/>
        <v>2.4506097560975606</v>
      </c>
      <c r="AC80" s="284">
        <f t="shared" si="38"/>
        <v>0.44366381284843776</v>
      </c>
      <c r="AD80" s="285">
        <f t="shared" si="39"/>
        <v>-1.0991031990067568E-2</v>
      </c>
      <c r="AE80" s="221" t="s">
        <v>269</v>
      </c>
    </row>
    <row r="81" spans="1:31" ht="40" customHeight="1" x14ac:dyDescent="0.2">
      <c r="A81" s="123">
        <v>76</v>
      </c>
      <c r="B81" s="274" t="s">
        <v>184</v>
      </c>
      <c r="C81" s="123">
        <v>1</v>
      </c>
      <c r="D81" s="123">
        <v>24</v>
      </c>
      <c r="E81" s="123">
        <f t="shared" si="26"/>
        <v>24</v>
      </c>
      <c r="F81" s="123" t="s">
        <v>269</v>
      </c>
      <c r="G81" s="123" t="s">
        <v>269</v>
      </c>
      <c r="H81" s="257">
        <v>94.8</v>
      </c>
      <c r="I81" s="257">
        <f t="shared" si="27"/>
        <v>3.9499999999999997</v>
      </c>
      <c r="J81" s="257">
        <f t="shared" si="40"/>
        <v>94.8</v>
      </c>
      <c r="K81" s="257"/>
      <c r="L81" s="257">
        <f t="shared" si="4"/>
        <v>1.2507916402786574</v>
      </c>
      <c r="M81" s="257">
        <f t="shared" si="28"/>
        <v>30.018999366687776</v>
      </c>
      <c r="N81" s="257">
        <f t="shared" si="31"/>
        <v>1.3633628879037367</v>
      </c>
      <c r="O81" s="257">
        <f t="shared" si="29"/>
        <v>32.720709309689681</v>
      </c>
      <c r="P81" s="257">
        <v>2.5</v>
      </c>
      <c r="Q81" s="257">
        <f t="shared" si="1"/>
        <v>60</v>
      </c>
      <c r="R81" s="257">
        <f t="shared" si="2"/>
        <v>1.1366371120962633</v>
      </c>
      <c r="S81" s="257">
        <f t="shared" si="2"/>
        <v>27.279290690310319</v>
      </c>
      <c r="T81" s="246">
        <f t="shared" si="3"/>
        <v>0.45465484483850532</v>
      </c>
      <c r="U81" s="138"/>
      <c r="V81" s="268">
        <f t="shared" si="32"/>
        <v>2.5</v>
      </c>
      <c r="W81" s="269">
        <v>0.18</v>
      </c>
      <c r="X81" s="270">
        <f t="shared" si="33"/>
        <v>3.0487804878048776</v>
      </c>
      <c r="Y81" s="271">
        <f t="shared" si="34"/>
        <v>0.54878048780487798</v>
      </c>
      <c r="Z81" s="267">
        <f t="shared" si="35"/>
        <v>4.939024390243902E-2</v>
      </c>
      <c r="AA81" s="271">
        <f t="shared" si="36"/>
        <v>0.59817073170731705</v>
      </c>
      <c r="AB81" s="271">
        <f t="shared" si="37"/>
        <v>2.4506097560975606</v>
      </c>
      <c r="AC81" s="284">
        <f t="shared" si="38"/>
        <v>0.44366381284843776</v>
      </c>
      <c r="AD81" s="285">
        <f t="shared" si="39"/>
        <v>-1.0991031990067568E-2</v>
      </c>
      <c r="AE81" s="221" t="s">
        <v>269</v>
      </c>
    </row>
    <row r="82" spans="1:31" ht="40" customHeight="1" x14ac:dyDescent="0.2">
      <c r="A82" s="123">
        <v>77</v>
      </c>
      <c r="B82" s="274" t="s">
        <v>185</v>
      </c>
      <c r="C82" s="123">
        <v>1</v>
      </c>
      <c r="D82" s="123">
        <v>24</v>
      </c>
      <c r="E82" s="123">
        <f t="shared" si="26"/>
        <v>24</v>
      </c>
      <c r="F82" s="123" t="s">
        <v>269</v>
      </c>
      <c r="G82" s="123" t="s">
        <v>269</v>
      </c>
      <c r="H82" s="257">
        <v>94.8</v>
      </c>
      <c r="I82" s="257">
        <f t="shared" si="27"/>
        <v>3.9499999999999997</v>
      </c>
      <c r="J82" s="257">
        <f t="shared" si="40"/>
        <v>94.8</v>
      </c>
      <c r="K82" s="257"/>
      <c r="L82" s="257">
        <f t="shared" si="4"/>
        <v>1.2507916402786574</v>
      </c>
      <c r="M82" s="257">
        <f t="shared" si="28"/>
        <v>30.018999366687776</v>
      </c>
      <c r="N82" s="257">
        <f t="shared" si="31"/>
        <v>1.3633628879037367</v>
      </c>
      <c r="O82" s="257">
        <f t="shared" si="29"/>
        <v>32.720709309689681</v>
      </c>
      <c r="P82" s="257">
        <v>2.5</v>
      </c>
      <c r="Q82" s="257">
        <f t="shared" si="1"/>
        <v>60</v>
      </c>
      <c r="R82" s="257">
        <f t="shared" si="2"/>
        <v>1.1366371120962633</v>
      </c>
      <c r="S82" s="257">
        <f t="shared" si="2"/>
        <v>27.279290690310319</v>
      </c>
      <c r="T82" s="246">
        <f t="shared" si="3"/>
        <v>0.45465484483850532</v>
      </c>
      <c r="U82" s="138"/>
      <c r="V82" s="268">
        <f t="shared" si="32"/>
        <v>2.5</v>
      </c>
      <c r="W82" s="269">
        <v>0.18</v>
      </c>
      <c r="X82" s="270">
        <f t="shared" si="33"/>
        <v>3.0487804878048776</v>
      </c>
      <c r="Y82" s="271">
        <f t="shared" si="34"/>
        <v>0.54878048780487798</v>
      </c>
      <c r="Z82" s="267">
        <f t="shared" si="35"/>
        <v>4.939024390243902E-2</v>
      </c>
      <c r="AA82" s="271">
        <f t="shared" si="36"/>
        <v>0.59817073170731705</v>
      </c>
      <c r="AB82" s="271">
        <f t="shared" si="37"/>
        <v>2.4506097560975606</v>
      </c>
      <c r="AC82" s="284">
        <f t="shared" si="38"/>
        <v>0.44366381284843776</v>
      </c>
      <c r="AD82" s="285">
        <f t="shared" si="39"/>
        <v>-1.0991031990067568E-2</v>
      </c>
      <c r="AE82" s="221" t="s">
        <v>269</v>
      </c>
    </row>
    <row r="83" spans="1:31" ht="40" customHeight="1" x14ac:dyDescent="0.2">
      <c r="A83" s="123">
        <v>78</v>
      </c>
      <c r="B83" s="274" t="s">
        <v>186</v>
      </c>
      <c r="C83" s="123">
        <v>1</v>
      </c>
      <c r="D83" s="123">
        <v>24</v>
      </c>
      <c r="E83" s="123">
        <f t="shared" si="26"/>
        <v>24</v>
      </c>
      <c r="F83" s="123" t="s">
        <v>269</v>
      </c>
      <c r="G83" s="123" t="s">
        <v>269</v>
      </c>
      <c r="H83" s="257">
        <v>94.8</v>
      </c>
      <c r="I83" s="257">
        <f t="shared" si="27"/>
        <v>3.9499999999999997</v>
      </c>
      <c r="J83" s="257">
        <f t="shared" si="40"/>
        <v>94.8</v>
      </c>
      <c r="K83" s="257"/>
      <c r="L83" s="257">
        <f t="shared" si="4"/>
        <v>1.2507916402786574</v>
      </c>
      <c r="M83" s="257">
        <f t="shared" si="28"/>
        <v>30.018999366687776</v>
      </c>
      <c r="N83" s="257">
        <f t="shared" si="31"/>
        <v>1.3633628879037367</v>
      </c>
      <c r="O83" s="257">
        <f t="shared" si="29"/>
        <v>32.720709309689681</v>
      </c>
      <c r="P83" s="257">
        <v>2.5</v>
      </c>
      <c r="Q83" s="257">
        <f t="shared" si="1"/>
        <v>60</v>
      </c>
      <c r="R83" s="257">
        <f t="shared" si="2"/>
        <v>1.1366371120962633</v>
      </c>
      <c r="S83" s="257">
        <f t="shared" si="2"/>
        <v>27.279290690310319</v>
      </c>
      <c r="T83" s="246">
        <f t="shared" si="3"/>
        <v>0.45465484483850532</v>
      </c>
      <c r="U83" s="138"/>
      <c r="V83" s="268">
        <f t="shared" si="32"/>
        <v>2.5</v>
      </c>
      <c r="W83" s="269">
        <v>0.18</v>
      </c>
      <c r="X83" s="270">
        <f t="shared" si="33"/>
        <v>3.0487804878048776</v>
      </c>
      <c r="Y83" s="271">
        <f t="shared" si="34"/>
        <v>0.54878048780487798</v>
      </c>
      <c r="Z83" s="267">
        <f t="shared" si="35"/>
        <v>4.939024390243902E-2</v>
      </c>
      <c r="AA83" s="271">
        <f t="shared" si="36"/>
        <v>0.59817073170731705</v>
      </c>
      <c r="AB83" s="271">
        <f t="shared" si="37"/>
        <v>2.4506097560975606</v>
      </c>
      <c r="AC83" s="284">
        <f t="shared" si="38"/>
        <v>0.44366381284843776</v>
      </c>
      <c r="AD83" s="285">
        <f t="shared" si="39"/>
        <v>-1.0991031990067568E-2</v>
      </c>
      <c r="AE83" s="221" t="s">
        <v>269</v>
      </c>
    </row>
    <row r="84" spans="1:31" ht="40" customHeight="1" x14ac:dyDescent="0.2">
      <c r="A84" s="123">
        <v>79</v>
      </c>
      <c r="B84" s="274" t="s">
        <v>66</v>
      </c>
      <c r="C84" s="123">
        <v>1</v>
      </c>
      <c r="D84" s="123" t="s">
        <v>59</v>
      </c>
      <c r="E84" s="123">
        <f t="shared" si="26"/>
        <v>40</v>
      </c>
      <c r="F84" s="123" t="s">
        <v>269</v>
      </c>
      <c r="G84" s="123" t="s">
        <v>269</v>
      </c>
      <c r="H84" s="257">
        <v>56</v>
      </c>
      <c r="I84" s="257">
        <f t="shared" si="27"/>
        <v>1.4</v>
      </c>
      <c r="J84" s="257">
        <f t="shared" si="40"/>
        <v>56</v>
      </c>
      <c r="K84" s="257"/>
      <c r="L84" s="257">
        <f t="shared" si="4"/>
        <v>0.4433185560481317</v>
      </c>
      <c r="M84" s="257">
        <f t="shared" si="28"/>
        <v>17.732742241925269</v>
      </c>
      <c r="N84" s="257">
        <f t="shared" si="31"/>
        <v>0.48321722609246359</v>
      </c>
      <c r="O84" s="257">
        <f t="shared" si="29"/>
        <v>19.328689043698542</v>
      </c>
      <c r="P84" s="257">
        <v>1</v>
      </c>
      <c r="Q84" s="257">
        <f t="shared" si="1"/>
        <v>40</v>
      </c>
      <c r="R84" s="257">
        <f t="shared" si="2"/>
        <v>0.51678277390753635</v>
      </c>
      <c r="S84" s="257">
        <f t="shared" si="2"/>
        <v>20.671310956301458</v>
      </c>
      <c r="T84" s="246">
        <f t="shared" si="3"/>
        <v>0.51678277390753635</v>
      </c>
      <c r="U84" s="138"/>
      <c r="V84" s="268">
        <f t="shared" si="32"/>
        <v>1</v>
      </c>
      <c r="W84" s="269">
        <v>0.18</v>
      </c>
      <c r="X84" s="270">
        <f t="shared" si="33"/>
        <v>1.2195121951219512</v>
      </c>
      <c r="Y84" s="271">
        <f t="shared" si="34"/>
        <v>0.21951219512195122</v>
      </c>
      <c r="Z84" s="267">
        <f t="shared" si="35"/>
        <v>1.975609756097561E-2</v>
      </c>
      <c r="AA84" s="271">
        <f t="shared" si="36"/>
        <v>0.23926829268292682</v>
      </c>
      <c r="AB84" s="271">
        <f t="shared" si="37"/>
        <v>0.98024390243902437</v>
      </c>
      <c r="AC84" s="284">
        <f t="shared" si="38"/>
        <v>0.50704388480241336</v>
      </c>
      <c r="AD84" s="285">
        <f t="shared" si="39"/>
        <v>-9.7388891051229942E-3</v>
      </c>
      <c r="AE84" s="221" t="s">
        <v>269</v>
      </c>
    </row>
    <row r="85" spans="1:31" ht="40" customHeight="1" x14ac:dyDescent="0.2">
      <c r="A85" s="123">
        <v>80</v>
      </c>
      <c r="B85" s="274" t="s">
        <v>67</v>
      </c>
      <c r="C85" s="123">
        <v>1</v>
      </c>
      <c r="D85" s="123" t="s">
        <v>59</v>
      </c>
      <c r="E85" s="123">
        <f t="shared" si="26"/>
        <v>40</v>
      </c>
      <c r="F85" s="123" t="s">
        <v>269</v>
      </c>
      <c r="G85" s="123" t="s">
        <v>269</v>
      </c>
      <c r="H85" s="257">
        <v>56</v>
      </c>
      <c r="I85" s="257">
        <f t="shared" si="27"/>
        <v>1.4</v>
      </c>
      <c r="J85" s="257">
        <f t="shared" si="40"/>
        <v>56</v>
      </c>
      <c r="K85" s="257"/>
      <c r="L85" s="257">
        <f t="shared" si="4"/>
        <v>0.4433185560481317</v>
      </c>
      <c r="M85" s="257">
        <f t="shared" si="28"/>
        <v>17.732742241925269</v>
      </c>
      <c r="N85" s="257">
        <f t="shared" si="31"/>
        <v>0.48321722609246359</v>
      </c>
      <c r="O85" s="257">
        <f t="shared" si="29"/>
        <v>19.328689043698542</v>
      </c>
      <c r="P85" s="257">
        <v>1</v>
      </c>
      <c r="Q85" s="257">
        <f t="shared" si="1"/>
        <v>40</v>
      </c>
      <c r="R85" s="257">
        <f t="shared" si="2"/>
        <v>0.51678277390753635</v>
      </c>
      <c r="S85" s="257">
        <f t="shared" si="2"/>
        <v>20.671310956301458</v>
      </c>
      <c r="T85" s="246">
        <f t="shared" si="3"/>
        <v>0.51678277390753635</v>
      </c>
      <c r="U85" s="138"/>
      <c r="V85" s="268">
        <f t="shared" si="32"/>
        <v>1</v>
      </c>
      <c r="W85" s="269">
        <v>0.18</v>
      </c>
      <c r="X85" s="270">
        <f t="shared" si="33"/>
        <v>1.2195121951219512</v>
      </c>
      <c r="Y85" s="271">
        <f t="shared" si="34"/>
        <v>0.21951219512195122</v>
      </c>
      <c r="Z85" s="267">
        <f t="shared" si="35"/>
        <v>1.975609756097561E-2</v>
      </c>
      <c r="AA85" s="271">
        <f t="shared" si="36"/>
        <v>0.23926829268292682</v>
      </c>
      <c r="AB85" s="271">
        <f t="shared" si="37"/>
        <v>0.98024390243902437</v>
      </c>
      <c r="AC85" s="284">
        <f t="shared" si="38"/>
        <v>0.50704388480241336</v>
      </c>
      <c r="AD85" s="285">
        <f t="shared" si="39"/>
        <v>-9.7388891051229942E-3</v>
      </c>
      <c r="AE85" s="221" t="s">
        <v>269</v>
      </c>
    </row>
    <row r="86" spans="1:31" ht="40" customHeight="1" x14ac:dyDescent="0.2">
      <c r="A86" s="123">
        <v>81</v>
      </c>
      <c r="B86" s="274" t="s">
        <v>68</v>
      </c>
      <c r="C86" s="123">
        <v>1</v>
      </c>
      <c r="D86" s="123" t="s">
        <v>44</v>
      </c>
      <c r="E86" s="123">
        <f t="shared" si="26"/>
        <v>144</v>
      </c>
      <c r="F86" s="123" t="s">
        <v>269</v>
      </c>
      <c r="G86" s="123" t="s">
        <v>269</v>
      </c>
      <c r="H86" s="257">
        <v>223.2</v>
      </c>
      <c r="I86" s="257">
        <f t="shared" si="27"/>
        <v>1.5499999999999998</v>
      </c>
      <c r="J86" s="257">
        <f t="shared" si="40"/>
        <v>223.2</v>
      </c>
      <c r="K86" s="257"/>
      <c r="L86" s="257">
        <f t="shared" si="4"/>
        <v>0.49081697276757436</v>
      </c>
      <c r="M86" s="257">
        <f t="shared" si="28"/>
        <v>70.677644078530719</v>
      </c>
      <c r="N86" s="257">
        <f t="shared" si="31"/>
        <v>0.53499050031665607</v>
      </c>
      <c r="O86" s="257">
        <f t="shared" si="29"/>
        <v>77.038632045598476</v>
      </c>
      <c r="P86" s="257">
        <v>0.8</v>
      </c>
      <c r="Q86" s="257">
        <f t="shared" si="1"/>
        <v>115.2</v>
      </c>
      <c r="R86" s="257">
        <f t="shared" si="2"/>
        <v>0.26500949968334397</v>
      </c>
      <c r="S86" s="257">
        <f t="shared" si="2"/>
        <v>38.161367954401527</v>
      </c>
      <c r="T86" s="246">
        <f t="shared" si="3"/>
        <v>0.33126187460417994</v>
      </c>
      <c r="U86" s="138"/>
      <c r="V86" s="268">
        <f t="shared" si="32"/>
        <v>0.8</v>
      </c>
      <c r="W86" s="269">
        <v>0.18</v>
      </c>
      <c r="X86" s="270">
        <f t="shared" si="33"/>
        <v>0.97560975609756095</v>
      </c>
      <c r="Y86" s="271">
        <f t="shared" si="34"/>
        <v>0.17560975609756097</v>
      </c>
      <c r="Z86" s="267">
        <f t="shared" si="35"/>
        <v>1.5804878048780488E-2</v>
      </c>
      <c r="AA86" s="271">
        <f t="shared" si="36"/>
        <v>0.19141463414634147</v>
      </c>
      <c r="AB86" s="271">
        <f t="shared" si="37"/>
        <v>0.78419512195121954</v>
      </c>
      <c r="AC86" s="284">
        <f t="shared" si="38"/>
        <v>0.31778394771762569</v>
      </c>
      <c r="AD86" s="285">
        <f t="shared" si="39"/>
        <v>-1.3477926886554248E-2</v>
      </c>
      <c r="AE86" s="221" t="s">
        <v>269</v>
      </c>
    </row>
    <row r="87" spans="1:31" ht="40" customHeight="1" x14ac:dyDescent="0.2">
      <c r="A87" s="123">
        <v>82</v>
      </c>
      <c r="B87" s="274" t="s">
        <v>69</v>
      </c>
      <c r="C87" s="123">
        <v>1</v>
      </c>
      <c r="D87" s="123" t="s">
        <v>44</v>
      </c>
      <c r="E87" s="123">
        <f t="shared" si="26"/>
        <v>144</v>
      </c>
      <c r="F87" s="123" t="s">
        <v>269</v>
      </c>
      <c r="G87" s="123" t="s">
        <v>269</v>
      </c>
      <c r="H87" s="257">
        <v>230.4</v>
      </c>
      <c r="I87" s="257">
        <f t="shared" si="27"/>
        <v>1.6</v>
      </c>
      <c r="J87" s="257">
        <f t="shared" si="40"/>
        <v>230.4</v>
      </c>
      <c r="K87" s="257"/>
      <c r="L87" s="257">
        <f t="shared" si="4"/>
        <v>0.506649778340722</v>
      </c>
      <c r="M87" s="257">
        <f t="shared" si="28"/>
        <v>72.957568081063968</v>
      </c>
      <c r="N87" s="257">
        <f t="shared" si="31"/>
        <v>0.55224825839138703</v>
      </c>
      <c r="O87" s="257">
        <f t="shared" si="29"/>
        <v>79.523749208359732</v>
      </c>
      <c r="P87" s="257">
        <v>0.8</v>
      </c>
      <c r="Q87" s="257">
        <f t="shared" si="1"/>
        <v>115.2</v>
      </c>
      <c r="R87" s="257">
        <f t="shared" si="2"/>
        <v>0.24775174160861302</v>
      </c>
      <c r="S87" s="257">
        <f t="shared" si="2"/>
        <v>35.676250791640271</v>
      </c>
      <c r="T87" s="246">
        <f t="shared" si="3"/>
        <v>0.30968967701076627</v>
      </c>
      <c r="U87" s="135"/>
      <c r="V87" s="268">
        <f t="shared" si="32"/>
        <v>0.8</v>
      </c>
      <c r="W87" s="269">
        <v>0.18</v>
      </c>
      <c r="X87" s="270">
        <f t="shared" si="33"/>
        <v>0.97560975609756095</v>
      </c>
      <c r="Y87" s="271">
        <f t="shared" si="34"/>
        <v>0.17560975609756097</v>
      </c>
      <c r="Z87" s="267">
        <f t="shared" si="35"/>
        <v>1.5804878048780488E-2</v>
      </c>
      <c r="AA87" s="271">
        <f t="shared" si="36"/>
        <v>0.19141463414634147</v>
      </c>
      <c r="AB87" s="271">
        <f t="shared" si="37"/>
        <v>0.78419512195121954</v>
      </c>
      <c r="AC87" s="284">
        <f t="shared" si="38"/>
        <v>0.29577697828916188</v>
      </c>
      <c r="AD87" s="285">
        <f t="shared" si="39"/>
        <v>-1.3912698721604388E-2</v>
      </c>
      <c r="AE87" s="221" t="s">
        <v>269</v>
      </c>
    </row>
    <row r="88" spans="1:31" ht="40" customHeight="1" x14ac:dyDescent="0.2">
      <c r="A88" s="123">
        <v>83</v>
      </c>
      <c r="B88" s="274" t="s">
        <v>70</v>
      </c>
      <c r="C88" s="123">
        <v>1</v>
      </c>
      <c r="D88" s="123" t="s">
        <v>71</v>
      </c>
      <c r="E88" s="123">
        <f t="shared" si="26"/>
        <v>24</v>
      </c>
      <c r="F88" s="123" t="s">
        <v>269</v>
      </c>
      <c r="G88" s="123" t="s">
        <v>269</v>
      </c>
      <c r="H88" s="257">
        <v>110.4</v>
      </c>
      <c r="I88" s="257">
        <f t="shared" si="27"/>
        <v>4.6000000000000005</v>
      </c>
      <c r="J88" s="257">
        <f t="shared" si="40"/>
        <v>110.4</v>
      </c>
      <c r="K88" s="257"/>
      <c r="L88" s="257">
        <f t="shared" si="4"/>
        <v>1.4566181127295759</v>
      </c>
      <c r="M88" s="257">
        <f t="shared" si="28"/>
        <v>34.958834705509823</v>
      </c>
      <c r="N88" s="257">
        <f t="shared" si="31"/>
        <v>1.5877137428752377</v>
      </c>
      <c r="O88" s="257">
        <f t="shared" si="29"/>
        <v>38.105129829005705</v>
      </c>
      <c r="P88" s="257">
        <v>2.5</v>
      </c>
      <c r="Q88" s="257">
        <f t="shared" si="1"/>
        <v>60</v>
      </c>
      <c r="R88" s="257">
        <f t="shared" si="2"/>
        <v>0.9122862571247623</v>
      </c>
      <c r="S88" s="257">
        <f t="shared" si="2"/>
        <v>21.894870170994295</v>
      </c>
      <c r="T88" s="246">
        <f t="shared" si="3"/>
        <v>0.3649145028499049</v>
      </c>
      <c r="U88" s="135"/>
      <c r="V88" s="268">
        <f t="shared" si="32"/>
        <v>2.5</v>
      </c>
      <c r="W88" s="269">
        <v>0.18</v>
      </c>
      <c r="X88" s="270">
        <f t="shared" si="33"/>
        <v>3.0487804878048776</v>
      </c>
      <c r="Y88" s="271">
        <f t="shared" si="34"/>
        <v>0.54878048780487798</v>
      </c>
      <c r="Z88" s="267">
        <f t="shared" si="35"/>
        <v>4.939024390243902E-2</v>
      </c>
      <c r="AA88" s="271">
        <f t="shared" si="36"/>
        <v>0.59817073170731705</v>
      </c>
      <c r="AB88" s="271">
        <f t="shared" si="37"/>
        <v>2.4506097560975606</v>
      </c>
      <c r="AC88" s="284">
        <f t="shared" si="38"/>
        <v>0.35211482002602879</v>
      </c>
      <c r="AD88" s="285">
        <f t="shared" si="39"/>
        <v>-1.2799682823876113E-2</v>
      </c>
      <c r="AE88" s="221" t="s">
        <v>269</v>
      </c>
    </row>
    <row r="89" spans="1:31" ht="40" customHeight="1" x14ac:dyDescent="0.2">
      <c r="A89" s="123">
        <v>84</v>
      </c>
      <c r="B89" s="274" t="s">
        <v>216</v>
      </c>
      <c r="C89" s="123">
        <v>1</v>
      </c>
      <c r="D89" s="123" t="s">
        <v>71</v>
      </c>
      <c r="E89" s="123">
        <f t="shared" si="26"/>
        <v>24</v>
      </c>
      <c r="F89" s="123" t="s">
        <v>269</v>
      </c>
      <c r="G89" s="123" t="s">
        <v>269</v>
      </c>
      <c r="H89" s="257">
        <v>110.4</v>
      </c>
      <c r="I89" s="257">
        <f t="shared" si="27"/>
        <v>4.6000000000000005</v>
      </c>
      <c r="J89" s="257">
        <f t="shared" si="40"/>
        <v>110.4</v>
      </c>
      <c r="K89" s="257"/>
      <c r="L89" s="257">
        <f t="shared" si="4"/>
        <v>1.4566181127295759</v>
      </c>
      <c r="M89" s="257">
        <f t="shared" si="28"/>
        <v>34.958834705509823</v>
      </c>
      <c r="N89" s="257">
        <f t="shared" si="31"/>
        <v>1.5877137428752377</v>
      </c>
      <c r="O89" s="257">
        <f t="shared" si="29"/>
        <v>38.105129829005705</v>
      </c>
      <c r="P89" s="257">
        <v>2.5</v>
      </c>
      <c r="Q89" s="257">
        <f t="shared" si="1"/>
        <v>60</v>
      </c>
      <c r="R89" s="257">
        <f t="shared" si="2"/>
        <v>0.9122862571247623</v>
      </c>
      <c r="S89" s="257">
        <f t="shared" si="2"/>
        <v>21.894870170994295</v>
      </c>
      <c r="T89" s="246">
        <f t="shared" si="3"/>
        <v>0.3649145028499049</v>
      </c>
      <c r="U89" s="137"/>
      <c r="V89" s="268">
        <f t="shared" si="32"/>
        <v>2.5</v>
      </c>
      <c r="W89" s="269">
        <v>0.18</v>
      </c>
      <c r="X89" s="270">
        <f t="shared" si="33"/>
        <v>3.0487804878048776</v>
      </c>
      <c r="Y89" s="271">
        <f t="shared" si="34"/>
        <v>0.54878048780487798</v>
      </c>
      <c r="Z89" s="267">
        <f t="shared" si="35"/>
        <v>4.939024390243902E-2</v>
      </c>
      <c r="AA89" s="271">
        <f t="shared" si="36"/>
        <v>0.59817073170731705</v>
      </c>
      <c r="AB89" s="271">
        <f t="shared" si="37"/>
        <v>2.4506097560975606</v>
      </c>
      <c r="AC89" s="284">
        <f t="shared" si="38"/>
        <v>0.35211482002602879</v>
      </c>
      <c r="AD89" s="285">
        <f t="shared" si="39"/>
        <v>-1.2799682823876113E-2</v>
      </c>
      <c r="AE89" s="221" t="s">
        <v>269</v>
      </c>
    </row>
    <row r="90" spans="1:31" ht="40" customHeight="1" x14ac:dyDescent="0.2">
      <c r="A90" s="123">
        <v>85</v>
      </c>
      <c r="B90" s="274" t="s">
        <v>72</v>
      </c>
      <c r="C90" s="123">
        <v>1</v>
      </c>
      <c r="D90" s="123" t="s">
        <v>71</v>
      </c>
      <c r="E90" s="123">
        <f t="shared" si="26"/>
        <v>24</v>
      </c>
      <c r="F90" s="123" t="s">
        <v>269</v>
      </c>
      <c r="G90" s="123" t="s">
        <v>269</v>
      </c>
      <c r="H90" s="257">
        <v>110.4</v>
      </c>
      <c r="I90" s="257">
        <f t="shared" si="27"/>
        <v>4.6000000000000005</v>
      </c>
      <c r="J90" s="257">
        <f t="shared" si="40"/>
        <v>110.4</v>
      </c>
      <c r="K90" s="257"/>
      <c r="L90" s="257">
        <f t="shared" si="4"/>
        <v>1.4566181127295759</v>
      </c>
      <c r="M90" s="257">
        <f t="shared" si="28"/>
        <v>34.958834705509823</v>
      </c>
      <c r="N90" s="257">
        <f t="shared" si="31"/>
        <v>1.5877137428752377</v>
      </c>
      <c r="O90" s="257">
        <f t="shared" si="29"/>
        <v>38.105129829005705</v>
      </c>
      <c r="P90" s="257">
        <v>2.5</v>
      </c>
      <c r="Q90" s="257">
        <f t="shared" si="1"/>
        <v>60</v>
      </c>
      <c r="R90" s="257">
        <f t="shared" si="2"/>
        <v>0.9122862571247623</v>
      </c>
      <c r="S90" s="257">
        <f t="shared" si="2"/>
        <v>21.894870170994295</v>
      </c>
      <c r="T90" s="246">
        <f t="shared" si="3"/>
        <v>0.3649145028499049</v>
      </c>
      <c r="U90" s="137"/>
      <c r="V90" s="268">
        <f t="shared" si="32"/>
        <v>2.5</v>
      </c>
      <c r="W90" s="269">
        <v>0.18</v>
      </c>
      <c r="X90" s="270">
        <f t="shared" si="33"/>
        <v>3.0487804878048776</v>
      </c>
      <c r="Y90" s="271">
        <f t="shared" si="34"/>
        <v>0.54878048780487798</v>
      </c>
      <c r="Z90" s="267">
        <f t="shared" si="35"/>
        <v>4.939024390243902E-2</v>
      </c>
      <c r="AA90" s="271">
        <f t="shared" si="36"/>
        <v>0.59817073170731705</v>
      </c>
      <c r="AB90" s="271">
        <f t="shared" si="37"/>
        <v>2.4506097560975606</v>
      </c>
      <c r="AC90" s="284">
        <f t="shared" si="38"/>
        <v>0.35211482002602879</v>
      </c>
      <c r="AD90" s="285">
        <f t="shared" si="39"/>
        <v>-1.2799682823876113E-2</v>
      </c>
      <c r="AE90" s="221" t="s">
        <v>269</v>
      </c>
    </row>
    <row r="91" spans="1:31" ht="40" customHeight="1" x14ac:dyDescent="0.2">
      <c r="A91" s="123">
        <v>86</v>
      </c>
      <c r="B91" s="274" t="s">
        <v>73</v>
      </c>
      <c r="C91" s="123">
        <v>1</v>
      </c>
      <c r="D91" s="123" t="s">
        <v>71</v>
      </c>
      <c r="E91" s="123">
        <f t="shared" si="26"/>
        <v>24</v>
      </c>
      <c r="F91" s="123" t="s">
        <v>269</v>
      </c>
      <c r="G91" s="123" t="s">
        <v>269</v>
      </c>
      <c r="H91" s="258">
        <v>87.6</v>
      </c>
      <c r="I91" s="257">
        <f t="shared" si="27"/>
        <v>3.65</v>
      </c>
      <c r="J91" s="257">
        <f t="shared" si="40"/>
        <v>87.6</v>
      </c>
      <c r="K91" s="257"/>
      <c r="L91" s="257">
        <f t="shared" si="4"/>
        <v>1.1557948068397721</v>
      </c>
      <c r="M91" s="257">
        <f t="shared" si="28"/>
        <v>27.739075364154527</v>
      </c>
      <c r="N91" s="257">
        <f t="shared" si="31"/>
        <v>1.2598163394553517</v>
      </c>
      <c r="O91" s="257">
        <f t="shared" si="29"/>
        <v>30.23559214692844</v>
      </c>
      <c r="P91" s="257">
        <v>1.95</v>
      </c>
      <c r="Q91" s="257">
        <f t="shared" si="1"/>
        <v>46.8</v>
      </c>
      <c r="R91" s="257">
        <f t="shared" si="2"/>
        <v>0.6901836605446483</v>
      </c>
      <c r="S91" s="257">
        <f t="shared" si="2"/>
        <v>16.564407853071557</v>
      </c>
      <c r="T91" s="246">
        <f t="shared" si="3"/>
        <v>0.3539403387408453</v>
      </c>
      <c r="U91" s="138"/>
      <c r="V91" s="268">
        <f t="shared" si="32"/>
        <v>1.95</v>
      </c>
      <c r="W91" s="269">
        <v>0.18</v>
      </c>
      <c r="X91" s="270">
        <f t="shared" si="33"/>
        <v>2.3780487804878048</v>
      </c>
      <c r="Y91" s="271">
        <f t="shared" si="34"/>
        <v>0.42804878048780487</v>
      </c>
      <c r="Z91" s="267">
        <f t="shared" si="35"/>
        <v>3.8524390243902439E-2</v>
      </c>
      <c r="AA91" s="271">
        <f t="shared" si="36"/>
        <v>0.46657317073170729</v>
      </c>
      <c r="AB91" s="271">
        <f t="shared" si="37"/>
        <v>1.9114756097560974</v>
      </c>
      <c r="AC91" s="284">
        <f t="shared" si="38"/>
        <v>0.34091947968088221</v>
      </c>
      <c r="AD91" s="285">
        <f t="shared" si="39"/>
        <v>-1.3020859059963086E-2</v>
      </c>
      <c r="AE91" s="221" t="s">
        <v>269</v>
      </c>
    </row>
    <row r="92" spans="1:31" ht="40" customHeight="1" x14ac:dyDescent="0.2">
      <c r="A92" s="123">
        <v>87</v>
      </c>
      <c r="B92" s="274" t="s">
        <v>74</v>
      </c>
      <c r="C92" s="123">
        <v>1</v>
      </c>
      <c r="D92" s="123" t="s">
        <v>71</v>
      </c>
      <c r="E92" s="123">
        <f t="shared" si="26"/>
        <v>24</v>
      </c>
      <c r="F92" s="123" t="s">
        <v>269</v>
      </c>
      <c r="G92" s="123" t="s">
        <v>269</v>
      </c>
      <c r="H92" s="258">
        <v>87.6</v>
      </c>
      <c r="I92" s="257">
        <f t="shared" si="27"/>
        <v>3.65</v>
      </c>
      <c r="J92" s="257">
        <f t="shared" si="40"/>
        <v>87.6</v>
      </c>
      <c r="K92" s="257"/>
      <c r="L92" s="257">
        <f t="shared" si="4"/>
        <v>1.1557948068397721</v>
      </c>
      <c r="M92" s="257">
        <f t="shared" si="28"/>
        <v>27.739075364154527</v>
      </c>
      <c r="N92" s="257">
        <f t="shared" si="31"/>
        <v>1.2598163394553517</v>
      </c>
      <c r="O92" s="257">
        <f t="shared" si="29"/>
        <v>30.23559214692844</v>
      </c>
      <c r="P92" s="257">
        <v>1.95</v>
      </c>
      <c r="Q92" s="257">
        <f t="shared" si="1"/>
        <v>46.8</v>
      </c>
      <c r="R92" s="257">
        <f t="shared" si="2"/>
        <v>0.6901836605446483</v>
      </c>
      <c r="S92" s="257">
        <f t="shared" si="2"/>
        <v>16.564407853071557</v>
      </c>
      <c r="T92" s="246">
        <f t="shared" si="3"/>
        <v>0.3539403387408453</v>
      </c>
      <c r="U92" s="138"/>
      <c r="V92" s="268">
        <f t="shared" si="32"/>
        <v>1.95</v>
      </c>
      <c r="W92" s="269">
        <v>0.18</v>
      </c>
      <c r="X92" s="270">
        <f t="shared" si="33"/>
        <v>2.3780487804878048</v>
      </c>
      <c r="Y92" s="271">
        <f t="shared" si="34"/>
        <v>0.42804878048780487</v>
      </c>
      <c r="Z92" s="267">
        <f t="shared" si="35"/>
        <v>3.8524390243902439E-2</v>
      </c>
      <c r="AA92" s="271">
        <f t="shared" si="36"/>
        <v>0.46657317073170729</v>
      </c>
      <c r="AB92" s="271">
        <f t="shared" si="37"/>
        <v>1.9114756097560974</v>
      </c>
      <c r="AC92" s="284">
        <f t="shared" si="38"/>
        <v>0.34091947968088221</v>
      </c>
      <c r="AD92" s="285">
        <f t="shared" si="39"/>
        <v>-1.3020859059963086E-2</v>
      </c>
      <c r="AE92" s="221" t="s">
        <v>269</v>
      </c>
    </row>
    <row r="93" spans="1:31" ht="40" customHeight="1" x14ac:dyDescent="0.2">
      <c r="A93" s="123">
        <v>88</v>
      </c>
      <c r="B93" s="274" t="s">
        <v>75</v>
      </c>
      <c r="C93" s="123">
        <v>1</v>
      </c>
      <c r="D93" s="123" t="s">
        <v>71</v>
      </c>
      <c r="E93" s="123">
        <f t="shared" si="26"/>
        <v>24</v>
      </c>
      <c r="F93" s="123" t="s">
        <v>269</v>
      </c>
      <c r="G93" s="123" t="s">
        <v>269</v>
      </c>
      <c r="H93" s="258">
        <v>87.6</v>
      </c>
      <c r="I93" s="257">
        <f t="shared" si="27"/>
        <v>3.65</v>
      </c>
      <c r="J93" s="257">
        <f t="shared" si="40"/>
        <v>87.6</v>
      </c>
      <c r="K93" s="257"/>
      <c r="L93" s="257">
        <f t="shared" si="4"/>
        <v>1.1557948068397721</v>
      </c>
      <c r="M93" s="257">
        <f t="shared" si="28"/>
        <v>27.739075364154527</v>
      </c>
      <c r="N93" s="257">
        <f t="shared" si="31"/>
        <v>1.2598163394553517</v>
      </c>
      <c r="O93" s="257">
        <f t="shared" si="29"/>
        <v>30.23559214692844</v>
      </c>
      <c r="P93" s="257">
        <v>1.95</v>
      </c>
      <c r="Q93" s="257">
        <f t="shared" si="1"/>
        <v>46.8</v>
      </c>
      <c r="R93" s="257">
        <f t="shared" si="2"/>
        <v>0.6901836605446483</v>
      </c>
      <c r="S93" s="257">
        <f t="shared" si="2"/>
        <v>16.564407853071557</v>
      </c>
      <c r="T93" s="246">
        <f t="shared" si="3"/>
        <v>0.3539403387408453</v>
      </c>
      <c r="U93" s="138"/>
      <c r="V93" s="268">
        <f t="shared" si="32"/>
        <v>1.95</v>
      </c>
      <c r="W93" s="269">
        <v>0.18</v>
      </c>
      <c r="X93" s="270">
        <f t="shared" si="33"/>
        <v>2.3780487804878048</v>
      </c>
      <c r="Y93" s="271">
        <f t="shared" si="34"/>
        <v>0.42804878048780487</v>
      </c>
      <c r="Z93" s="267">
        <f t="shared" si="35"/>
        <v>3.8524390243902439E-2</v>
      </c>
      <c r="AA93" s="271">
        <f t="shared" si="36"/>
        <v>0.46657317073170729</v>
      </c>
      <c r="AB93" s="271">
        <f t="shared" si="37"/>
        <v>1.9114756097560974</v>
      </c>
      <c r="AC93" s="284">
        <f t="shared" si="38"/>
        <v>0.34091947968088221</v>
      </c>
      <c r="AD93" s="285">
        <f t="shared" si="39"/>
        <v>-1.3020859059963086E-2</v>
      </c>
      <c r="AE93" s="221" t="s">
        <v>269</v>
      </c>
    </row>
    <row r="94" spans="1:31" ht="40" customHeight="1" x14ac:dyDescent="0.2">
      <c r="A94" s="123">
        <v>89</v>
      </c>
      <c r="B94" s="274" t="s">
        <v>76</v>
      </c>
      <c r="C94" s="123">
        <v>1</v>
      </c>
      <c r="D94" s="123" t="s">
        <v>71</v>
      </c>
      <c r="E94" s="123">
        <f t="shared" si="26"/>
        <v>24</v>
      </c>
      <c r="F94" s="123" t="s">
        <v>269</v>
      </c>
      <c r="G94" s="123" t="s">
        <v>269</v>
      </c>
      <c r="H94" s="258">
        <v>87.6</v>
      </c>
      <c r="I94" s="257">
        <f t="shared" si="27"/>
        <v>3.65</v>
      </c>
      <c r="J94" s="257">
        <f t="shared" si="40"/>
        <v>87.6</v>
      </c>
      <c r="K94" s="257"/>
      <c r="L94" s="257">
        <f t="shared" si="4"/>
        <v>1.1557948068397721</v>
      </c>
      <c r="M94" s="257">
        <f t="shared" si="28"/>
        <v>27.739075364154527</v>
      </c>
      <c r="N94" s="257">
        <f t="shared" si="31"/>
        <v>1.2598163394553517</v>
      </c>
      <c r="O94" s="257">
        <f t="shared" si="29"/>
        <v>30.23559214692844</v>
      </c>
      <c r="P94" s="257">
        <v>1.95</v>
      </c>
      <c r="Q94" s="257">
        <f t="shared" si="1"/>
        <v>46.8</v>
      </c>
      <c r="R94" s="257">
        <f t="shared" si="2"/>
        <v>0.6901836605446483</v>
      </c>
      <c r="S94" s="257">
        <f t="shared" si="2"/>
        <v>16.564407853071557</v>
      </c>
      <c r="T94" s="246">
        <f t="shared" si="3"/>
        <v>0.3539403387408453</v>
      </c>
      <c r="U94" s="138"/>
      <c r="V94" s="268">
        <f t="shared" si="32"/>
        <v>1.95</v>
      </c>
      <c r="W94" s="269">
        <v>0.18</v>
      </c>
      <c r="X94" s="270">
        <f t="shared" si="33"/>
        <v>2.3780487804878048</v>
      </c>
      <c r="Y94" s="271">
        <f t="shared" si="34"/>
        <v>0.42804878048780487</v>
      </c>
      <c r="Z94" s="267">
        <f t="shared" si="35"/>
        <v>3.8524390243902439E-2</v>
      </c>
      <c r="AA94" s="271">
        <f t="shared" si="36"/>
        <v>0.46657317073170729</v>
      </c>
      <c r="AB94" s="271">
        <f t="shared" si="37"/>
        <v>1.9114756097560974</v>
      </c>
      <c r="AC94" s="284">
        <f t="shared" si="38"/>
        <v>0.34091947968088221</v>
      </c>
      <c r="AD94" s="285">
        <f t="shared" si="39"/>
        <v>-1.3020859059963086E-2</v>
      </c>
      <c r="AE94" s="221" t="s">
        <v>269</v>
      </c>
    </row>
    <row r="95" spans="1:31" ht="40" customHeight="1" x14ac:dyDescent="0.2">
      <c r="A95" s="123">
        <v>90</v>
      </c>
      <c r="B95" s="274" t="s">
        <v>77</v>
      </c>
      <c r="C95" s="123">
        <v>1</v>
      </c>
      <c r="D95" s="123" t="s">
        <v>71</v>
      </c>
      <c r="E95" s="123">
        <f t="shared" si="26"/>
        <v>24</v>
      </c>
      <c r="F95" s="123" t="s">
        <v>269</v>
      </c>
      <c r="G95" s="123" t="s">
        <v>269</v>
      </c>
      <c r="H95" s="258">
        <v>87.6</v>
      </c>
      <c r="I95" s="257">
        <f t="shared" si="27"/>
        <v>3.65</v>
      </c>
      <c r="J95" s="257">
        <f t="shared" si="40"/>
        <v>87.6</v>
      </c>
      <c r="K95" s="257"/>
      <c r="L95" s="257">
        <f t="shared" si="4"/>
        <v>1.1557948068397721</v>
      </c>
      <c r="M95" s="257">
        <f t="shared" si="28"/>
        <v>27.739075364154527</v>
      </c>
      <c r="N95" s="257">
        <f t="shared" si="31"/>
        <v>1.2598163394553517</v>
      </c>
      <c r="O95" s="257">
        <f t="shared" si="29"/>
        <v>30.23559214692844</v>
      </c>
      <c r="P95" s="257">
        <v>1.95</v>
      </c>
      <c r="Q95" s="257">
        <f t="shared" si="1"/>
        <v>46.8</v>
      </c>
      <c r="R95" s="257">
        <f t="shared" si="2"/>
        <v>0.6901836605446483</v>
      </c>
      <c r="S95" s="257">
        <f t="shared" si="2"/>
        <v>16.564407853071557</v>
      </c>
      <c r="T95" s="246">
        <f t="shared" si="3"/>
        <v>0.3539403387408453</v>
      </c>
      <c r="U95" s="135"/>
      <c r="V95" s="268">
        <f t="shared" si="32"/>
        <v>1.95</v>
      </c>
      <c r="W95" s="269">
        <v>0.18</v>
      </c>
      <c r="X95" s="270">
        <f t="shared" si="33"/>
        <v>2.3780487804878048</v>
      </c>
      <c r="Y95" s="271">
        <f t="shared" si="34"/>
        <v>0.42804878048780487</v>
      </c>
      <c r="Z95" s="267">
        <f t="shared" si="35"/>
        <v>3.8524390243902439E-2</v>
      </c>
      <c r="AA95" s="271">
        <f t="shared" si="36"/>
        <v>0.46657317073170729</v>
      </c>
      <c r="AB95" s="271">
        <f t="shared" si="37"/>
        <v>1.9114756097560974</v>
      </c>
      <c r="AC95" s="284">
        <f t="shared" si="38"/>
        <v>0.34091947968088221</v>
      </c>
      <c r="AD95" s="285">
        <f t="shared" si="39"/>
        <v>-1.3020859059963086E-2</v>
      </c>
      <c r="AE95" s="221" t="s">
        <v>269</v>
      </c>
    </row>
    <row r="96" spans="1:31" ht="40" customHeight="1" x14ac:dyDescent="0.2">
      <c r="A96" s="123">
        <v>91</v>
      </c>
      <c r="B96" s="274" t="s">
        <v>78</v>
      </c>
      <c r="C96" s="123">
        <v>1</v>
      </c>
      <c r="D96" s="123">
        <v>30</v>
      </c>
      <c r="E96" s="123">
        <f t="shared" si="26"/>
        <v>30</v>
      </c>
      <c r="F96" s="123" t="s">
        <v>269</v>
      </c>
      <c r="G96" s="123" t="s">
        <v>269</v>
      </c>
      <c r="H96" s="257">
        <v>168</v>
      </c>
      <c r="I96" s="257">
        <f t="shared" si="27"/>
        <v>5.6</v>
      </c>
      <c r="J96" s="257">
        <f t="shared" si="40"/>
        <v>168</v>
      </c>
      <c r="K96" s="257"/>
      <c r="L96" s="257">
        <f t="shared" si="4"/>
        <v>1.7732742241925268</v>
      </c>
      <c r="M96" s="257">
        <f t="shared" si="28"/>
        <v>53.198226725775811</v>
      </c>
      <c r="N96" s="257">
        <f t="shared" si="31"/>
        <v>1.9328689043698544</v>
      </c>
      <c r="O96" s="257">
        <f t="shared" si="29"/>
        <v>57.986067131095631</v>
      </c>
      <c r="P96" s="257">
        <v>2.95</v>
      </c>
      <c r="Q96" s="257">
        <f t="shared" si="1"/>
        <v>88.5</v>
      </c>
      <c r="R96" s="257">
        <f t="shared" si="2"/>
        <v>1.0171310956301458</v>
      </c>
      <c r="S96" s="257">
        <f t="shared" si="2"/>
        <v>30.513932868904369</v>
      </c>
      <c r="T96" s="246">
        <f t="shared" si="3"/>
        <v>0.344790201908524</v>
      </c>
      <c r="U96" s="138"/>
      <c r="V96" s="268">
        <f t="shared" si="32"/>
        <v>2.95</v>
      </c>
      <c r="W96" s="269">
        <v>0.18</v>
      </c>
      <c r="X96" s="270">
        <f t="shared" si="33"/>
        <v>3.5975609756097562</v>
      </c>
      <c r="Y96" s="271">
        <f t="shared" si="34"/>
        <v>0.64756097560975612</v>
      </c>
      <c r="Z96" s="267">
        <f t="shared" si="35"/>
        <v>5.8280487804878045E-2</v>
      </c>
      <c r="AA96" s="271">
        <f t="shared" si="36"/>
        <v>0.70584146341463416</v>
      </c>
      <c r="AB96" s="271">
        <f t="shared" si="37"/>
        <v>2.891719512195122</v>
      </c>
      <c r="AC96" s="284">
        <f t="shared" si="38"/>
        <v>0.33158492854564525</v>
      </c>
      <c r="AD96" s="285">
        <f t="shared" si="39"/>
        <v>-1.3205273362878744E-2</v>
      </c>
      <c r="AE96" s="221" t="s">
        <v>269</v>
      </c>
    </row>
    <row r="97" spans="1:31" ht="40" customHeight="1" x14ac:dyDescent="0.2">
      <c r="A97" s="123">
        <v>92</v>
      </c>
      <c r="B97" s="274" t="s">
        <v>236</v>
      </c>
      <c r="C97" s="123">
        <v>1</v>
      </c>
      <c r="D97" s="123">
        <v>24</v>
      </c>
      <c r="E97" s="123">
        <f t="shared" si="26"/>
        <v>24</v>
      </c>
      <c r="F97" s="123" t="s">
        <v>269</v>
      </c>
      <c r="G97" s="123" t="s">
        <v>269</v>
      </c>
      <c r="H97" s="257">
        <v>18.8</v>
      </c>
      <c r="I97" s="257">
        <f t="shared" si="27"/>
        <v>0.78333333333333333</v>
      </c>
      <c r="J97" s="257">
        <f t="shared" si="40"/>
        <v>18.8</v>
      </c>
      <c r="K97" s="257"/>
      <c r="L97" s="257">
        <f t="shared" si="4"/>
        <v>0.24804728731264514</v>
      </c>
      <c r="M97" s="257">
        <f t="shared" si="28"/>
        <v>5.9531348955034833</v>
      </c>
      <c r="N97" s="257">
        <f t="shared" si="31"/>
        <v>0.27037154317078321</v>
      </c>
      <c r="O97" s="257">
        <f t="shared" si="29"/>
        <v>6.4889170360987976</v>
      </c>
      <c r="P97" s="257">
        <v>0.75</v>
      </c>
      <c r="Q97" s="257">
        <f t="shared" si="1"/>
        <v>18</v>
      </c>
      <c r="R97" s="257">
        <f t="shared" si="2"/>
        <v>0.47962845682921679</v>
      </c>
      <c r="S97" s="257">
        <f t="shared" si="2"/>
        <v>11.511082963901202</v>
      </c>
      <c r="T97" s="246">
        <f t="shared" si="3"/>
        <v>0.63950460910562235</v>
      </c>
      <c r="U97" s="138"/>
      <c r="V97" s="268">
        <f t="shared" si="32"/>
        <v>0.75</v>
      </c>
      <c r="W97" s="269">
        <v>0.18</v>
      </c>
      <c r="X97" s="270">
        <f t="shared" si="33"/>
        <v>0.91463414634146334</v>
      </c>
      <c r="Y97" s="271">
        <f t="shared" si="34"/>
        <v>0.16463414634146339</v>
      </c>
      <c r="Z97" s="267">
        <f t="shared" si="35"/>
        <v>1.4817073170731705E-2</v>
      </c>
      <c r="AA97" s="271">
        <f t="shared" si="36"/>
        <v>0.17945121951219509</v>
      </c>
      <c r="AB97" s="271">
        <f t="shared" si="37"/>
        <v>0.73518292682926822</v>
      </c>
      <c r="AC97" s="284">
        <f t="shared" si="38"/>
        <v>0.63223908866211787</v>
      </c>
      <c r="AD97" s="285">
        <f t="shared" si="39"/>
        <v>-7.2655204435044807E-3</v>
      </c>
      <c r="AE97" s="221" t="s">
        <v>269</v>
      </c>
    </row>
    <row r="98" spans="1:31" ht="40" customHeight="1" x14ac:dyDescent="0.2">
      <c r="A98" s="123">
        <v>93</v>
      </c>
      <c r="B98" s="274" t="s">
        <v>80</v>
      </c>
      <c r="C98" s="123">
        <v>1</v>
      </c>
      <c r="D98" s="123" t="s">
        <v>44</v>
      </c>
      <c r="E98" s="123">
        <f t="shared" si="26"/>
        <v>144</v>
      </c>
      <c r="F98" s="123" t="s">
        <v>269</v>
      </c>
      <c r="G98" s="123" t="s">
        <v>269</v>
      </c>
      <c r="H98" s="257">
        <v>220.8</v>
      </c>
      <c r="I98" s="257">
        <f t="shared" si="27"/>
        <v>1.5333333333333334</v>
      </c>
      <c r="J98" s="257">
        <f t="shared" si="40"/>
        <v>220.8</v>
      </c>
      <c r="K98" s="257"/>
      <c r="L98" s="257">
        <f t="shared" si="4"/>
        <v>0.4855393709098586</v>
      </c>
      <c r="M98" s="257">
        <f t="shared" si="28"/>
        <v>69.917669411019645</v>
      </c>
      <c r="N98" s="257">
        <f t="shared" si="31"/>
        <v>0.52923791429174594</v>
      </c>
      <c r="O98" s="257">
        <f t="shared" si="29"/>
        <v>76.21025965801141</v>
      </c>
      <c r="P98" s="257"/>
      <c r="Q98" s="257">
        <f t="shared" si="1"/>
        <v>0</v>
      </c>
      <c r="R98" s="257">
        <f t="shared" si="2"/>
        <v>-0.52923791429174594</v>
      </c>
      <c r="S98" s="257">
        <f t="shared" si="2"/>
        <v>-76.21025965801141</v>
      </c>
      <c r="T98" s="246" t="e">
        <f t="shared" si="3"/>
        <v>#DIV/0!</v>
      </c>
      <c r="U98" s="138"/>
      <c r="V98" s="268">
        <f t="shared" si="32"/>
        <v>0</v>
      </c>
      <c r="W98" s="269">
        <v>0.18</v>
      </c>
      <c r="X98" s="270">
        <f t="shared" si="33"/>
        <v>0</v>
      </c>
      <c r="Y98" s="271">
        <f t="shared" si="34"/>
        <v>0</v>
      </c>
      <c r="Z98" s="267">
        <f t="shared" si="35"/>
        <v>0</v>
      </c>
      <c r="AA98" s="271">
        <f t="shared" si="36"/>
        <v>0</v>
      </c>
      <c r="AB98" s="271">
        <f t="shared" si="37"/>
        <v>0</v>
      </c>
      <c r="AC98" s="284" t="e">
        <f t="shared" si="38"/>
        <v>#DIV/0!</v>
      </c>
      <c r="AD98" s="285" t="e">
        <f t="shared" si="39"/>
        <v>#DIV/0!</v>
      </c>
      <c r="AE98" s="221" t="s">
        <v>269</v>
      </c>
    </row>
    <row r="99" spans="1:31" ht="40" customHeight="1" x14ac:dyDescent="0.2">
      <c r="A99" s="123">
        <v>94</v>
      </c>
      <c r="B99" s="274" t="s">
        <v>189</v>
      </c>
      <c r="C99" s="123">
        <v>1</v>
      </c>
      <c r="D99" s="123">
        <v>48</v>
      </c>
      <c r="E99" s="123">
        <f t="shared" si="26"/>
        <v>48</v>
      </c>
      <c r="F99" s="123" t="s">
        <v>269</v>
      </c>
      <c r="G99" s="123" t="s">
        <v>269</v>
      </c>
      <c r="H99" s="257">
        <v>98.4</v>
      </c>
      <c r="I99" s="257">
        <f t="shared" si="27"/>
        <v>2.0500000000000003</v>
      </c>
      <c r="J99" s="257">
        <f t="shared" si="40"/>
        <v>98.4</v>
      </c>
      <c r="K99" s="257"/>
      <c r="L99" s="257">
        <f t="shared" si="4"/>
        <v>0.64914502849905009</v>
      </c>
      <c r="M99" s="257">
        <f t="shared" si="28"/>
        <v>31.158961367954404</v>
      </c>
      <c r="N99" s="257">
        <f t="shared" si="31"/>
        <v>0.70756808106396463</v>
      </c>
      <c r="O99" s="257">
        <f t="shared" si="29"/>
        <v>33.963267891070302</v>
      </c>
      <c r="P99" s="257">
        <v>1.25</v>
      </c>
      <c r="Q99" s="257">
        <f t="shared" si="1"/>
        <v>60</v>
      </c>
      <c r="R99" s="257">
        <f t="shared" si="2"/>
        <v>0.54243191893603537</v>
      </c>
      <c r="S99" s="257">
        <f t="shared" si="2"/>
        <v>26.036732108929698</v>
      </c>
      <c r="T99" s="246">
        <f t="shared" si="3"/>
        <v>0.43394553514882828</v>
      </c>
      <c r="U99" s="138"/>
      <c r="V99" s="268">
        <f t="shared" si="32"/>
        <v>1.25</v>
      </c>
      <c r="W99" s="269">
        <v>0.18</v>
      </c>
      <c r="X99" s="270">
        <f t="shared" si="33"/>
        <v>1.5243902439024388</v>
      </c>
      <c r="Y99" s="271">
        <f t="shared" si="34"/>
        <v>0.27439024390243899</v>
      </c>
      <c r="Z99" s="267">
        <f t="shared" si="35"/>
        <v>2.469512195121951E-2</v>
      </c>
      <c r="AA99" s="271">
        <f t="shared" si="36"/>
        <v>0.29908536585365852</v>
      </c>
      <c r="AB99" s="271">
        <f t="shared" si="37"/>
        <v>1.2253048780487803</v>
      </c>
      <c r="AC99" s="284">
        <f t="shared" si="38"/>
        <v>0.42253712219711265</v>
      </c>
      <c r="AD99" s="285">
        <f t="shared" si="39"/>
        <v>-1.140841295171563E-2</v>
      </c>
      <c r="AE99" s="221">
        <v>1.05</v>
      </c>
    </row>
    <row r="100" spans="1:31" ht="40" customHeight="1" x14ac:dyDescent="0.2">
      <c r="A100" s="123">
        <v>95</v>
      </c>
      <c r="B100" s="274" t="s">
        <v>190</v>
      </c>
      <c r="C100" s="123">
        <v>1</v>
      </c>
      <c r="D100" s="123">
        <v>48</v>
      </c>
      <c r="E100" s="123">
        <f t="shared" si="26"/>
        <v>48</v>
      </c>
      <c r="F100" s="123" t="s">
        <v>269</v>
      </c>
      <c r="G100" s="123" t="s">
        <v>269</v>
      </c>
      <c r="H100" s="257">
        <v>98.4</v>
      </c>
      <c r="I100" s="257">
        <f t="shared" si="27"/>
        <v>2.0500000000000003</v>
      </c>
      <c r="J100" s="257">
        <f t="shared" si="40"/>
        <v>98.4</v>
      </c>
      <c r="K100" s="257"/>
      <c r="L100" s="257">
        <f t="shared" si="4"/>
        <v>0.64914502849905009</v>
      </c>
      <c r="M100" s="257">
        <f t="shared" si="28"/>
        <v>31.158961367954404</v>
      </c>
      <c r="N100" s="257">
        <f t="shared" si="31"/>
        <v>0.70756808106396463</v>
      </c>
      <c r="O100" s="257">
        <f t="shared" si="29"/>
        <v>33.963267891070302</v>
      </c>
      <c r="P100" s="257">
        <v>1.25</v>
      </c>
      <c r="Q100" s="257">
        <f t="shared" si="1"/>
        <v>60</v>
      </c>
      <c r="R100" s="257">
        <f t="shared" si="2"/>
        <v>0.54243191893603537</v>
      </c>
      <c r="S100" s="257">
        <f t="shared" si="2"/>
        <v>26.036732108929698</v>
      </c>
      <c r="T100" s="246">
        <f t="shared" si="3"/>
        <v>0.43394553514882828</v>
      </c>
      <c r="U100" s="138"/>
      <c r="V100" s="268">
        <f t="shared" si="32"/>
        <v>1.25</v>
      </c>
      <c r="W100" s="269">
        <v>0.18</v>
      </c>
      <c r="X100" s="270">
        <f t="shared" si="33"/>
        <v>1.5243902439024388</v>
      </c>
      <c r="Y100" s="271">
        <f t="shared" si="34"/>
        <v>0.27439024390243899</v>
      </c>
      <c r="Z100" s="267">
        <f t="shared" si="35"/>
        <v>2.469512195121951E-2</v>
      </c>
      <c r="AA100" s="271">
        <f t="shared" si="36"/>
        <v>0.29908536585365852</v>
      </c>
      <c r="AB100" s="271">
        <f t="shared" si="37"/>
        <v>1.2253048780487803</v>
      </c>
      <c r="AC100" s="284">
        <f t="shared" si="38"/>
        <v>0.42253712219711265</v>
      </c>
      <c r="AD100" s="285">
        <f t="shared" si="39"/>
        <v>-1.140841295171563E-2</v>
      </c>
      <c r="AE100" s="221">
        <v>1.05</v>
      </c>
    </row>
    <row r="101" spans="1:31" ht="40" customHeight="1" x14ac:dyDescent="0.2">
      <c r="A101" s="123">
        <v>96</v>
      </c>
      <c r="B101" s="274" t="s">
        <v>192</v>
      </c>
      <c r="C101" s="123">
        <v>1</v>
      </c>
      <c r="D101" s="123">
        <v>48</v>
      </c>
      <c r="E101" s="123">
        <f t="shared" si="26"/>
        <v>48</v>
      </c>
      <c r="F101" s="123" t="s">
        <v>269</v>
      </c>
      <c r="G101" s="123" t="s">
        <v>269</v>
      </c>
      <c r="H101" s="257">
        <v>98.4</v>
      </c>
      <c r="I101" s="257">
        <f t="shared" si="27"/>
        <v>2.0500000000000003</v>
      </c>
      <c r="J101" s="257">
        <f t="shared" si="40"/>
        <v>98.4</v>
      </c>
      <c r="K101" s="257"/>
      <c r="L101" s="257">
        <f t="shared" si="4"/>
        <v>0.64914502849905009</v>
      </c>
      <c r="M101" s="257">
        <f t="shared" si="28"/>
        <v>31.158961367954404</v>
      </c>
      <c r="N101" s="257">
        <f t="shared" si="31"/>
        <v>0.70756808106396463</v>
      </c>
      <c r="O101" s="257">
        <f t="shared" si="29"/>
        <v>33.963267891070302</v>
      </c>
      <c r="P101" s="257">
        <v>1.25</v>
      </c>
      <c r="Q101" s="257">
        <f t="shared" si="1"/>
        <v>60</v>
      </c>
      <c r="R101" s="257">
        <f t="shared" si="2"/>
        <v>0.54243191893603537</v>
      </c>
      <c r="S101" s="257">
        <f t="shared" si="2"/>
        <v>26.036732108929698</v>
      </c>
      <c r="T101" s="246">
        <f t="shared" si="3"/>
        <v>0.43394553514882828</v>
      </c>
      <c r="U101" s="138"/>
      <c r="V101" s="268">
        <f t="shared" si="32"/>
        <v>1.25</v>
      </c>
      <c r="W101" s="269">
        <v>0.18</v>
      </c>
      <c r="X101" s="270">
        <f t="shared" si="33"/>
        <v>1.5243902439024388</v>
      </c>
      <c r="Y101" s="271">
        <f t="shared" si="34"/>
        <v>0.27439024390243899</v>
      </c>
      <c r="Z101" s="267">
        <f t="shared" si="35"/>
        <v>2.469512195121951E-2</v>
      </c>
      <c r="AA101" s="271">
        <f t="shared" si="36"/>
        <v>0.29908536585365852</v>
      </c>
      <c r="AB101" s="271">
        <f t="shared" si="37"/>
        <v>1.2253048780487803</v>
      </c>
      <c r="AC101" s="284">
        <f t="shared" si="38"/>
        <v>0.42253712219711265</v>
      </c>
      <c r="AD101" s="285">
        <f t="shared" si="39"/>
        <v>-1.140841295171563E-2</v>
      </c>
      <c r="AE101" s="221">
        <v>1.05</v>
      </c>
    </row>
    <row r="102" spans="1:31" ht="40" customHeight="1" x14ac:dyDescent="0.2">
      <c r="A102" s="123">
        <v>98</v>
      </c>
      <c r="B102" s="274" t="s">
        <v>212</v>
      </c>
      <c r="C102" s="123">
        <v>1</v>
      </c>
      <c r="D102" s="123">
        <v>48</v>
      </c>
      <c r="E102" s="123">
        <f t="shared" si="26"/>
        <v>48</v>
      </c>
      <c r="F102" s="123" t="s">
        <v>269</v>
      </c>
      <c r="G102" s="123" t="s">
        <v>269</v>
      </c>
      <c r="H102" s="257">
        <v>98.4</v>
      </c>
      <c r="I102" s="257">
        <f t="shared" si="27"/>
        <v>2.0500000000000003</v>
      </c>
      <c r="J102" s="257">
        <f t="shared" si="40"/>
        <v>98.4</v>
      </c>
      <c r="K102" s="257"/>
      <c r="L102" s="257">
        <f t="shared" si="4"/>
        <v>0.64914502849905009</v>
      </c>
      <c r="M102" s="257">
        <f t="shared" si="28"/>
        <v>31.158961367954404</v>
      </c>
      <c r="N102" s="257">
        <f t="shared" si="31"/>
        <v>0.70756808106396463</v>
      </c>
      <c r="O102" s="257">
        <f t="shared" si="29"/>
        <v>33.963267891070302</v>
      </c>
      <c r="P102" s="257">
        <v>1.25</v>
      </c>
      <c r="Q102" s="257">
        <f t="shared" si="1"/>
        <v>60</v>
      </c>
      <c r="R102" s="257">
        <f t="shared" si="2"/>
        <v>0.54243191893603537</v>
      </c>
      <c r="S102" s="257">
        <f t="shared" si="2"/>
        <v>26.036732108929698</v>
      </c>
      <c r="T102" s="246">
        <f t="shared" si="3"/>
        <v>0.43394553514882828</v>
      </c>
      <c r="U102" s="138"/>
      <c r="V102" s="268">
        <f t="shared" si="32"/>
        <v>1.25</v>
      </c>
      <c r="W102" s="269">
        <v>0.18</v>
      </c>
      <c r="X102" s="270">
        <f t="shared" si="33"/>
        <v>1.5243902439024388</v>
      </c>
      <c r="Y102" s="271">
        <f t="shared" si="34"/>
        <v>0.27439024390243899</v>
      </c>
      <c r="Z102" s="267">
        <f t="shared" si="35"/>
        <v>2.469512195121951E-2</v>
      </c>
      <c r="AA102" s="271">
        <f t="shared" si="36"/>
        <v>0.29908536585365852</v>
      </c>
      <c r="AB102" s="271">
        <f t="shared" si="37"/>
        <v>1.2253048780487803</v>
      </c>
      <c r="AC102" s="284">
        <f t="shared" si="38"/>
        <v>0.42253712219711265</v>
      </c>
      <c r="AD102" s="285">
        <f t="shared" si="39"/>
        <v>-1.140841295171563E-2</v>
      </c>
      <c r="AE102" s="221">
        <v>1.05</v>
      </c>
    </row>
    <row r="103" spans="1:31" ht="40" customHeight="1" x14ac:dyDescent="0.2">
      <c r="A103" s="123">
        <v>99</v>
      </c>
      <c r="B103" s="274" t="s">
        <v>213</v>
      </c>
      <c r="C103" s="123">
        <v>1</v>
      </c>
      <c r="D103" s="123">
        <v>48</v>
      </c>
      <c r="E103" s="123">
        <f t="shared" si="26"/>
        <v>48</v>
      </c>
      <c r="F103" s="123" t="s">
        <v>269</v>
      </c>
      <c r="G103" s="123" t="s">
        <v>269</v>
      </c>
      <c r="H103" s="257">
        <v>98.4</v>
      </c>
      <c r="I103" s="257">
        <f t="shared" si="27"/>
        <v>2.0500000000000003</v>
      </c>
      <c r="J103" s="257">
        <f t="shared" si="40"/>
        <v>98.4</v>
      </c>
      <c r="K103" s="257"/>
      <c r="L103" s="257">
        <f t="shared" si="4"/>
        <v>0.64914502849905009</v>
      </c>
      <c r="M103" s="257">
        <f t="shared" si="28"/>
        <v>31.158961367954404</v>
      </c>
      <c r="N103" s="257">
        <f t="shared" si="31"/>
        <v>0.70756808106396463</v>
      </c>
      <c r="O103" s="257">
        <f t="shared" si="29"/>
        <v>33.963267891070302</v>
      </c>
      <c r="P103" s="257">
        <v>1.25</v>
      </c>
      <c r="Q103" s="257">
        <f t="shared" si="1"/>
        <v>60</v>
      </c>
      <c r="R103" s="257">
        <f t="shared" si="2"/>
        <v>0.54243191893603537</v>
      </c>
      <c r="S103" s="257">
        <f t="shared" si="2"/>
        <v>26.036732108929698</v>
      </c>
      <c r="T103" s="246">
        <f t="shared" si="3"/>
        <v>0.43394553514882828</v>
      </c>
      <c r="U103" s="138"/>
      <c r="V103" s="268">
        <f t="shared" si="32"/>
        <v>1.25</v>
      </c>
      <c r="W103" s="269">
        <v>0.18</v>
      </c>
      <c r="X103" s="270">
        <f t="shared" si="33"/>
        <v>1.5243902439024388</v>
      </c>
      <c r="Y103" s="271">
        <f t="shared" si="34"/>
        <v>0.27439024390243899</v>
      </c>
      <c r="Z103" s="267">
        <f t="shared" si="35"/>
        <v>2.469512195121951E-2</v>
      </c>
      <c r="AA103" s="271">
        <f t="shared" si="36"/>
        <v>0.29908536585365852</v>
      </c>
      <c r="AB103" s="271">
        <f t="shared" si="37"/>
        <v>1.2253048780487803</v>
      </c>
      <c r="AC103" s="284">
        <f t="shared" si="38"/>
        <v>0.42253712219711265</v>
      </c>
      <c r="AD103" s="285">
        <f t="shared" si="39"/>
        <v>-1.140841295171563E-2</v>
      </c>
      <c r="AE103" s="221">
        <v>1.05</v>
      </c>
    </row>
    <row r="104" spans="1:31" ht="40" customHeight="1" x14ac:dyDescent="0.2">
      <c r="A104" s="123">
        <v>100</v>
      </c>
      <c r="B104" s="274" t="s">
        <v>191</v>
      </c>
      <c r="C104" s="123">
        <v>1</v>
      </c>
      <c r="D104" s="123">
        <v>48</v>
      </c>
      <c r="E104" s="123">
        <f t="shared" si="26"/>
        <v>48</v>
      </c>
      <c r="F104" s="123" t="s">
        <v>269</v>
      </c>
      <c r="G104" s="123" t="s">
        <v>269</v>
      </c>
      <c r="H104" s="257">
        <v>98.4</v>
      </c>
      <c r="I104" s="257">
        <f t="shared" si="27"/>
        <v>2.0500000000000003</v>
      </c>
      <c r="J104" s="257">
        <f t="shared" si="40"/>
        <v>98.4</v>
      </c>
      <c r="K104" s="257"/>
      <c r="L104" s="257">
        <f t="shared" si="4"/>
        <v>0.64914502849905009</v>
      </c>
      <c r="M104" s="257">
        <f t="shared" si="28"/>
        <v>31.158961367954404</v>
      </c>
      <c r="N104" s="257">
        <f t="shared" si="31"/>
        <v>0.70756808106396463</v>
      </c>
      <c r="O104" s="257">
        <f t="shared" si="29"/>
        <v>33.963267891070302</v>
      </c>
      <c r="P104" s="257">
        <v>1.25</v>
      </c>
      <c r="Q104" s="257">
        <f t="shared" si="1"/>
        <v>60</v>
      </c>
      <c r="R104" s="257">
        <f t="shared" si="2"/>
        <v>0.54243191893603537</v>
      </c>
      <c r="S104" s="257">
        <f t="shared" si="2"/>
        <v>26.036732108929698</v>
      </c>
      <c r="T104" s="246">
        <f t="shared" si="3"/>
        <v>0.43394553514882828</v>
      </c>
      <c r="U104" s="138"/>
      <c r="V104" s="268">
        <f t="shared" si="32"/>
        <v>1.25</v>
      </c>
      <c r="W104" s="269">
        <v>0.18</v>
      </c>
      <c r="X104" s="270">
        <f t="shared" si="33"/>
        <v>1.5243902439024388</v>
      </c>
      <c r="Y104" s="271">
        <f t="shared" si="34"/>
        <v>0.27439024390243899</v>
      </c>
      <c r="Z104" s="267">
        <f t="shared" si="35"/>
        <v>2.469512195121951E-2</v>
      </c>
      <c r="AA104" s="271">
        <f t="shared" si="36"/>
        <v>0.29908536585365852</v>
      </c>
      <c r="AB104" s="271">
        <f t="shared" si="37"/>
        <v>1.2253048780487803</v>
      </c>
      <c r="AC104" s="284">
        <f t="shared" si="38"/>
        <v>0.42253712219711265</v>
      </c>
      <c r="AD104" s="285">
        <f t="shared" si="39"/>
        <v>-1.140841295171563E-2</v>
      </c>
      <c r="AE104" s="221">
        <v>1.05</v>
      </c>
    </row>
    <row r="105" spans="1:31" ht="40" customHeight="1" x14ac:dyDescent="0.2">
      <c r="A105" s="123">
        <v>101</v>
      </c>
      <c r="B105" s="274" t="s">
        <v>81</v>
      </c>
      <c r="C105" s="123">
        <v>1</v>
      </c>
      <c r="D105" s="123" t="s">
        <v>71</v>
      </c>
      <c r="E105" s="123">
        <f t="shared" si="26"/>
        <v>24</v>
      </c>
      <c r="F105" s="123" t="s">
        <v>269</v>
      </c>
      <c r="G105" s="123" t="s">
        <v>269</v>
      </c>
      <c r="H105" s="257">
        <v>118.56</v>
      </c>
      <c r="I105" s="257">
        <f t="shared" si="27"/>
        <v>4.9400000000000004</v>
      </c>
      <c r="J105" s="257">
        <f t="shared" si="40"/>
        <v>118.56</v>
      </c>
      <c r="K105" s="257"/>
      <c r="L105" s="257">
        <f t="shared" si="4"/>
        <v>1.5642811906269793</v>
      </c>
      <c r="M105" s="257">
        <f t="shared" si="28"/>
        <v>37.542748575047497</v>
      </c>
      <c r="N105" s="257">
        <f t="shared" si="31"/>
        <v>1.7050664977834076</v>
      </c>
      <c r="O105" s="257">
        <f t="shared" si="29"/>
        <v>40.92159594680178</v>
      </c>
      <c r="P105" s="257">
        <v>2.5</v>
      </c>
      <c r="Q105" s="257">
        <f t="shared" si="1"/>
        <v>60</v>
      </c>
      <c r="R105" s="257">
        <f t="shared" si="2"/>
        <v>0.79493350221659242</v>
      </c>
      <c r="S105" s="257">
        <f t="shared" si="2"/>
        <v>19.07840405319822</v>
      </c>
      <c r="T105" s="246">
        <f t="shared" si="3"/>
        <v>0.31797340088663695</v>
      </c>
      <c r="U105" s="138"/>
      <c r="V105" s="268">
        <f t="shared" si="32"/>
        <v>2.5</v>
      </c>
      <c r="W105" s="269">
        <v>0.18</v>
      </c>
      <c r="X105" s="270">
        <f t="shared" si="33"/>
        <v>3.0487804878048776</v>
      </c>
      <c r="Y105" s="271">
        <f t="shared" si="34"/>
        <v>0.54878048780487798</v>
      </c>
      <c r="Z105" s="267">
        <f t="shared" si="35"/>
        <v>4.939024390243902E-2</v>
      </c>
      <c r="AA105" s="271">
        <f t="shared" si="36"/>
        <v>0.59817073170731705</v>
      </c>
      <c r="AB105" s="271">
        <f t="shared" si="37"/>
        <v>2.4506097560975606</v>
      </c>
      <c r="AC105" s="284">
        <f t="shared" si="38"/>
        <v>0.30422765454969175</v>
      </c>
      <c r="AD105" s="285">
        <f t="shared" si="39"/>
        <v>-1.3745746336945197E-2</v>
      </c>
      <c r="AE105" s="221" t="s">
        <v>269</v>
      </c>
    </row>
    <row r="106" spans="1:31" ht="40" customHeight="1" x14ac:dyDescent="0.2">
      <c r="A106" s="123">
        <v>102</v>
      </c>
      <c r="B106" s="274" t="s">
        <v>82</v>
      </c>
      <c r="C106" s="123">
        <v>1</v>
      </c>
      <c r="D106" s="123" t="s">
        <v>71</v>
      </c>
      <c r="E106" s="123">
        <f t="shared" si="26"/>
        <v>24</v>
      </c>
      <c r="F106" s="123" t="s">
        <v>269</v>
      </c>
      <c r="G106" s="123" t="s">
        <v>269</v>
      </c>
      <c r="H106" s="257">
        <v>118.56</v>
      </c>
      <c r="I106" s="257">
        <f t="shared" si="27"/>
        <v>4.9400000000000004</v>
      </c>
      <c r="J106" s="257">
        <f t="shared" si="40"/>
        <v>118.56</v>
      </c>
      <c r="K106" s="257"/>
      <c r="L106" s="257">
        <f t="shared" si="4"/>
        <v>1.5642811906269793</v>
      </c>
      <c r="M106" s="257">
        <f t="shared" si="28"/>
        <v>37.542748575047497</v>
      </c>
      <c r="N106" s="257">
        <f t="shared" si="31"/>
        <v>1.7050664977834076</v>
      </c>
      <c r="O106" s="257">
        <f t="shared" si="29"/>
        <v>40.92159594680178</v>
      </c>
      <c r="P106" s="257">
        <v>2.5</v>
      </c>
      <c r="Q106" s="257">
        <f t="shared" si="1"/>
        <v>60</v>
      </c>
      <c r="R106" s="257">
        <f t="shared" si="2"/>
        <v>0.79493350221659242</v>
      </c>
      <c r="S106" s="257">
        <f t="shared" si="2"/>
        <v>19.07840405319822</v>
      </c>
      <c r="T106" s="246">
        <f t="shared" si="3"/>
        <v>0.31797340088663695</v>
      </c>
      <c r="U106" s="138"/>
      <c r="V106" s="268">
        <f t="shared" si="32"/>
        <v>2.5</v>
      </c>
      <c r="W106" s="269">
        <v>0.18</v>
      </c>
      <c r="X106" s="270">
        <f t="shared" si="33"/>
        <v>3.0487804878048776</v>
      </c>
      <c r="Y106" s="271">
        <f t="shared" si="34"/>
        <v>0.54878048780487798</v>
      </c>
      <c r="Z106" s="267">
        <f t="shared" si="35"/>
        <v>4.939024390243902E-2</v>
      </c>
      <c r="AA106" s="271">
        <f t="shared" si="36"/>
        <v>0.59817073170731705</v>
      </c>
      <c r="AB106" s="271">
        <f t="shared" si="37"/>
        <v>2.4506097560975606</v>
      </c>
      <c r="AC106" s="284">
        <f t="shared" si="38"/>
        <v>0.30422765454969175</v>
      </c>
      <c r="AD106" s="285">
        <f t="shared" si="39"/>
        <v>-1.3745746336945197E-2</v>
      </c>
      <c r="AE106" s="221" t="s">
        <v>269</v>
      </c>
    </row>
    <row r="107" spans="1:31" ht="40" customHeight="1" x14ac:dyDescent="0.2">
      <c r="A107" s="123">
        <v>103</v>
      </c>
      <c r="B107" s="274" t="s">
        <v>83</v>
      </c>
      <c r="C107" s="123">
        <v>1</v>
      </c>
      <c r="D107" s="123" t="s">
        <v>71</v>
      </c>
      <c r="E107" s="123">
        <f t="shared" si="26"/>
        <v>24</v>
      </c>
      <c r="F107" s="123" t="s">
        <v>269</v>
      </c>
      <c r="G107" s="123" t="s">
        <v>269</v>
      </c>
      <c r="H107" s="257">
        <v>118.56</v>
      </c>
      <c r="I107" s="257">
        <f t="shared" si="27"/>
        <v>4.9400000000000004</v>
      </c>
      <c r="J107" s="257">
        <f t="shared" si="40"/>
        <v>118.56</v>
      </c>
      <c r="K107" s="257"/>
      <c r="L107" s="257">
        <f t="shared" si="4"/>
        <v>1.5642811906269793</v>
      </c>
      <c r="M107" s="257">
        <f t="shared" si="28"/>
        <v>37.542748575047497</v>
      </c>
      <c r="N107" s="257">
        <f t="shared" si="31"/>
        <v>1.7050664977834076</v>
      </c>
      <c r="O107" s="257">
        <f t="shared" si="29"/>
        <v>40.92159594680178</v>
      </c>
      <c r="P107" s="257">
        <v>2.5</v>
      </c>
      <c r="Q107" s="257">
        <f t="shared" si="1"/>
        <v>60</v>
      </c>
      <c r="R107" s="257">
        <f t="shared" si="2"/>
        <v>0.79493350221659242</v>
      </c>
      <c r="S107" s="257">
        <f t="shared" si="2"/>
        <v>19.07840405319822</v>
      </c>
      <c r="T107" s="246">
        <f t="shared" si="3"/>
        <v>0.31797340088663695</v>
      </c>
      <c r="U107" s="135"/>
      <c r="V107" s="268">
        <f t="shared" si="32"/>
        <v>2.5</v>
      </c>
      <c r="W107" s="269">
        <v>0.18</v>
      </c>
      <c r="X107" s="270">
        <f t="shared" si="33"/>
        <v>3.0487804878048776</v>
      </c>
      <c r="Y107" s="271">
        <f t="shared" si="34"/>
        <v>0.54878048780487798</v>
      </c>
      <c r="Z107" s="267">
        <f t="shared" si="35"/>
        <v>4.939024390243902E-2</v>
      </c>
      <c r="AA107" s="271">
        <f t="shared" si="36"/>
        <v>0.59817073170731705</v>
      </c>
      <c r="AB107" s="271">
        <f t="shared" si="37"/>
        <v>2.4506097560975606</v>
      </c>
      <c r="AC107" s="284">
        <f t="shared" si="38"/>
        <v>0.30422765454969175</v>
      </c>
      <c r="AD107" s="285">
        <f t="shared" si="39"/>
        <v>-1.3745746336945197E-2</v>
      </c>
      <c r="AE107" s="221" t="s">
        <v>269</v>
      </c>
    </row>
    <row r="108" spans="1:31" ht="40" customHeight="1" x14ac:dyDescent="0.2">
      <c r="A108" s="123">
        <v>104</v>
      </c>
      <c r="B108" s="274" t="s">
        <v>84</v>
      </c>
      <c r="C108" s="123">
        <v>1</v>
      </c>
      <c r="D108" s="123" t="s">
        <v>71</v>
      </c>
      <c r="E108" s="123">
        <f t="shared" si="26"/>
        <v>24</v>
      </c>
      <c r="F108" s="123" t="s">
        <v>269</v>
      </c>
      <c r="G108" s="123" t="s">
        <v>269</v>
      </c>
      <c r="H108" s="257">
        <v>118.56</v>
      </c>
      <c r="I108" s="257">
        <f t="shared" si="27"/>
        <v>4.9400000000000004</v>
      </c>
      <c r="J108" s="257">
        <f t="shared" si="40"/>
        <v>118.56</v>
      </c>
      <c r="K108" s="257"/>
      <c r="L108" s="257">
        <f t="shared" si="4"/>
        <v>1.5642811906269793</v>
      </c>
      <c r="M108" s="257">
        <f t="shared" si="28"/>
        <v>37.542748575047497</v>
      </c>
      <c r="N108" s="257">
        <f t="shared" si="31"/>
        <v>1.7050664977834076</v>
      </c>
      <c r="O108" s="257">
        <f t="shared" si="29"/>
        <v>40.92159594680178</v>
      </c>
      <c r="P108" s="257">
        <v>2.5</v>
      </c>
      <c r="Q108" s="257">
        <f t="shared" si="1"/>
        <v>60</v>
      </c>
      <c r="R108" s="257">
        <f t="shared" si="2"/>
        <v>0.79493350221659242</v>
      </c>
      <c r="S108" s="257">
        <f t="shared" si="2"/>
        <v>19.07840405319822</v>
      </c>
      <c r="T108" s="246">
        <f t="shared" si="3"/>
        <v>0.31797340088663695</v>
      </c>
      <c r="U108" s="135"/>
      <c r="V108" s="268">
        <f t="shared" si="32"/>
        <v>2.5</v>
      </c>
      <c r="W108" s="269">
        <v>0.18</v>
      </c>
      <c r="X108" s="270">
        <f t="shared" si="33"/>
        <v>3.0487804878048776</v>
      </c>
      <c r="Y108" s="271">
        <f t="shared" si="34"/>
        <v>0.54878048780487798</v>
      </c>
      <c r="Z108" s="267">
        <f t="shared" si="35"/>
        <v>4.939024390243902E-2</v>
      </c>
      <c r="AA108" s="271">
        <f t="shared" si="36"/>
        <v>0.59817073170731705</v>
      </c>
      <c r="AB108" s="271">
        <f t="shared" si="37"/>
        <v>2.4506097560975606</v>
      </c>
      <c r="AC108" s="284">
        <f t="shared" si="38"/>
        <v>0.30422765454969175</v>
      </c>
      <c r="AD108" s="285">
        <f t="shared" si="39"/>
        <v>-1.3745746336945197E-2</v>
      </c>
      <c r="AE108" s="221" t="s">
        <v>269</v>
      </c>
    </row>
    <row r="109" spans="1:31" ht="40" customHeight="1" x14ac:dyDescent="0.2">
      <c r="A109" s="123">
        <v>105</v>
      </c>
      <c r="B109" s="274" t="s">
        <v>85</v>
      </c>
      <c r="C109" s="123">
        <v>1</v>
      </c>
      <c r="D109" s="123" t="s">
        <v>71</v>
      </c>
      <c r="E109" s="123">
        <f t="shared" si="26"/>
        <v>24</v>
      </c>
      <c r="F109" s="123" t="s">
        <v>269</v>
      </c>
      <c r="G109" s="123" t="s">
        <v>269</v>
      </c>
      <c r="H109" s="257">
        <v>118.56</v>
      </c>
      <c r="I109" s="257">
        <f t="shared" si="27"/>
        <v>4.9400000000000004</v>
      </c>
      <c r="J109" s="257">
        <f t="shared" si="40"/>
        <v>118.56</v>
      </c>
      <c r="K109" s="257"/>
      <c r="L109" s="257">
        <f t="shared" si="4"/>
        <v>1.5642811906269793</v>
      </c>
      <c r="M109" s="257">
        <f t="shared" si="28"/>
        <v>37.542748575047497</v>
      </c>
      <c r="N109" s="257">
        <f t="shared" si="31"/>
        <v>1.7050664977834076</v>
      </c>
      <c r="O109" s="257">
        <f t="shared" si="29"/>
        <v>40.92159594680178</v>
      </c>
      <c r="P109" s="257">
        <v>2.5</v>
      </c>
      <c r="Q109" s="257">
        <f t="shared" si="1"/>
        <v>60</v>
      </c>
      <c r="R109" s="257">
        <f t="shared" si="2"/>
        <v>0.79493350221659242</v>
      </c>
      <c r="S109" s="257">
        <f t="shared" si="2"/>
        <v>19.07840405319822</v>
      </c>
      <c r="T109" s="246">
        <f t="shared" si="3"/>
        <v>0.31797340088663695</v>
      </c>
      <c r="U109" s="137"/>
      <c r="V109" s="268">
        <f t="shared" si="32"/>
        <v>2.5</v>
      </c>
      <c r="W109" s="269">
        <v>0.18</v>
      </c>
      <c r="X109" s="270">
        <f t="shared" si="33"/>
        <v>3.0487804878048776</v>
      </c>
      <c r="Y109" s="271">
        <f t="shared" si="34"/>
        <v>0.54878048780487798</v>
      </c>
      <c r="Z109" s="267">
        <f t="shared" si="35"/>
        <v>4.939024390243902E-2</v>
      </c>
      <c r="AA109" s="271">
        <f t="shared" si="36"/>
        <v>0.59817073170731705</v>
      </c>
      <c r="AB109" s="271">
        <f t="shared" si="37"/>
        <v>2.4506097560975606</v>
      </c>
      <c r="AC109" s="284">
        <f t="shared" si="38"/>
        <v>0.30422765454969175</v>
      </c>
      <c r="AD109" s="285">
        <f t="shared" si="39"/>
        <v>-1.3745746336945197E-2</v>
      </c>
      <c r="AE109" s="221" t="s">
        <v>269</v>
      </c>
    </row>
    <row r="110" spans="1:31" ht="40" customHeight="1" x14ac:dyDescent="0.2">
      <c r="A110" s="123">
        <v>106</v>
      </c>
      <c r="B110" s="274" t="s">
        <v>86</v>
      </c>
      <c r="C110" s="123">
        <v>1</v>
      </c>
      <c r="D110" s="123" t="s">
        <v>71</v>
      </c>
      <c r="E110" s="123">
        <f t="shared" si="26"/>
        <v>24</v>
      </c>
      <c r="F110" s="123" t="s">
        <v>269</v>
      </c>
      <c r="G110" s="123" t="s">
        <v>269</v>
      </c>
      <c r="H110" s="257">
        <v>118.56</v>
      </c>
      <c r="I110" s="257">
        <f t="shared" si="27"/>
        <v>4.9400000000000004</v>
      </c>
      <c r="J110" s="257">
        <f t="shared" si="40"/>
        <v>118.56</v>
      </c>
      <c r="K110" s="257"/>
      <c r="L110" s="257">
        <f t="shared" si="4"/>
        <v>1.5642811906269793</v>
      </c>
      <c r="M110" s="257">
        <f t="shared" si="28"/>
        <v>37.542748575047497</v>
      </c>
      <c r="N110" s="257">
        <f t="shared" si="31"/>
        <v>1.7050664977834076</v>
      </c>
      <c r="O110" s="257">
        <f t="shared" si="29"/>
        <v>40.92159594680178</v>
      </c>
      <c r="P110" s="257">
        <v>2.5</v>
      </c>
      <c r="Q110" s="257">
        <f t="shared" si="1"/>
        <v>60</v>
      </c>
      <c r="R110" s="257">
        <f t="shared" si="2"/>
        <v>0.79493350221659242</v>
      </c>
      <c r="S110" s="257">
        <f t="shared" si="2"/>
        <v>19.07840405319822</v>
      </c>
      <c r="T110" s="246">
        <f t="shared" si="3"/>
        <v>0.31797340088663695</v>
      </c>
      <c r="U110" s="138"/>
      <c r="V110" s="268">
        <f t="shared" si="32"/>
        <v>2.5</v>
      </c>
      <c r="W110" s="269">
        <v>0.18</v>
      </c>
      <c r="X110" s="270">
        <f t="shared" si="33"/>
        <v>3.0487804878048776</v>
      </c>
      <c r="Y110" s="271">
        <f t="shared" si="34"/>
        <v>0.54878048780487798</v>
      </c>
      <c r="Z110" s="267">
        <f t="shared" si="35"/>
        <v>4.939024390243902E-2</v>
      </c>
      <c r="AA110" s="271">
        <f t="shared" si="36"/>
        <v>0.59817073170731705</v>
      </c>
      <c r="AB110" s="271">
        <f t="shared" si="37"/>
        <v>2.4506097560975606</v>
      </c>
      <c r="AC110" s="284">
        <f t="shared" si="38"/>
        <v>0.30422765454969175</v>
      </c>
      <c r="AD110" s="285">
        <f t="shared" si="39"/>
        <v>-1.3745746336945197E-2</v>
      </c>
      <c r="AE110" s="221" t="s">
        <v>269</v>
      </c>
    </row>
    <row r="111" spans="1:31" ht="40" customHeight="1" x14ac:dyDescent="0.2">
      <c r="A111" s="123">
        <v>107</v>
      </c>
      <c r="B111" s="274" t="s">
        <v>87</v>
      </c>
      <c r="C111" s="123">
        <v>1</v>
      </c>
      <c r="D111" s="123">
        <v>16</v>
      </c>
      <c r="E111" s="123">
        <f t="shared" si="26"/>
        <v>16</v>
      </c>
      <c r="F111" s="123" t="s">
        <v>269</v>
      </c>
      <c r="G111" s="123" t="s">
        <v>269</v>
      </c>
      <c r="H111" s="257">
        <v>60</v>
      </c>
      <c r="I111" s="257">
        <f t="shared" si="27"/>
        <v>3.75</v>
      </c>
      <c r="J111" s="257">
        <f t="shared" si="40"/>
        <v>60</v>
      </c>
      <c r="K111" s="257"/>
      <c r="L111" s="257">
        <f t="shared" si="4"/>
        <v>1.1874604179860671</v>
      </c>
      <c r="M111" s="257">
        <f t="shared" si="28"/>
        <v>18.999366687777073</v>
      </c>
      <c r="N111" s="257">
        <f t="shared" si="31"/>
        <v>1.2943318556048131</v>
      </c>
      <c r="O111" s="257">
        <f t="shared" si="29"/>
        <v>20.70930968967701</v>
      </c>
      <c r="P111" s="257">
        <v>2</v>
      </c>
      <c r="Q111" s="257">
        <f t="shared" si="1"/>
        <v>32</v>
      </c>
      <c r="R111" s="257">
        <f t="shared" si="2"/>
        <v>0.70566814439518688</v>
      </c>
      <c r="S111" s="257">
        <f t="shared" si="2"/>
        <v>11.29069031032299</v>
      </c>
      <c r="T111" s="246">
        <f t="shared" si="3"/>
        <v>0.35283407219759344</v>
      </c>
      <c r="U111" s="138"/>
      <c r="V111" s="268">
        <f t="shared" si="32"/>
        <v>2</v>
      </c>
      <c r="W111" s="269">
        <v>0.18</v>
      </c>
      <c r="X111" s="270">
        <f t="shared" si="33"/>
        <v>2.4390243902439024</v>
      </c>
      <c r="Y111" s="271">
        <f t="shared" si="34"/>
        <v>0.43902439024390244</v>
      </c>
      <c r="Z111" s="267">
        <f t="shared" si="35"/>
        <v>3.951219512195122E-2</v>
      </c>
      <c r="AA111" s="271">
        <f t="shared" si="36"/>
        <v>0.47853658536585364</v>
      </c>
      <c r="AB111" s="271">
        <f t="shared" si="37"/>
        <v>1.9604878048780487</v>
      </c>
      <c r="AC111" s="284">
        <f t="shared" si="38"/>
        <v>0.33979091714608933</v>
      </c>
      <c r="AD111" s="285">
        <f t="shared" si="39"/>
        <v>-1.3043155051504107E-2</v>
      </c>
      <c r="AE111" s="221" t="s">
        <v>269</v>
      </c>
    </row>
    <row r="112" spans="1:31" ht="40" customHeight="1" x14ac:dyDescent="0.2">
      <c r="A112" s="123">
        <v>108</v>
      </c>
      <c r="B112" s="274" t="s">
        <v>200</v>
      </c>
      <c r="C112" s="123">
        <v>1</v>
      </c>
      <c r="D112" s="123">
        <v>30</v>
      </c>
      <c r="E112" s="123">
        <f t="shared" si="26"/>
        <v>30</v>
      </c>
      <c r="F112" s="123" t="s">
        <v>269</v>
      </c>
      <c r="G112" s="123" t="s">
        <v>269</v>
      </c>
      <c r="H112" s="257">
        <v>84</v>
      </c>
      <c r="I112" s="257">
        <f t="shared" si="27"/>
        <v>2.8</v>
      </c>
      <c r="J112" s="257">
        <f t="shared" si="40"/>
        <v>84</v>
      </c>
      <c r="K112" s="257"/>
      <c r="L112" s="257">
        <f t="shared" si="4"/>
        <v>0.88663711209626339</v>
      </c>
      <c r="M112" s="257">
        <f t="shared" si="28"/>
        <v>26.599113362887906</v>
      </c>
      <c r="N112" s="257">
        <f t="shared" si="31"/>
        <v>0.96643445218492718</v>
      </c>
      <c r="O112" s="257">
        <f t="shared" si="29"/>
        <v>28.993033565547815</v>
      </c>
      <c r="P112" s="257">
        <v>1.35</v>
      </c>
      <c r="Q112" s="257">
        <f t="shared" si="1"/>
        <v>40.5</v>
      </c>
      <c r="R112" s="257">
        <f t="shared" si="2"/>
        <v>0.3835655478150729</v>
      </c>
      <c r="S112" s="257">
        <f t="shared" si="2"/>
        <v>11.506966434452185</v>
      </c>
      <c r="T112" s="246">
        <f t="shared" si="3"/>
        <v>0.28412262801116511</v>
      </c>
      <c r="U112" s="138"/>
      <c r="V112" s="268">
        <f t="shared" si="32"/>
        <v>1.35</v>
      </c>
      <c r="W112" s="269">
        <v>0.18</v>
      </c>
      <c r="X112" s="270">
        <f t="shared" si="33"/>
        <v>1.6463414634146341</v>
      </c>
      <c r="Y112" s="271">
        <f t="shared" si="34"/>
        <v>0.29634146341463413</v>
      </c>
      <c r="Z112" s="267">
        <f t="shared" si="35"/>
        <v>2.6670731707317073E-2</v>
      </c>
      <c r="AA112" s="271">
        <f t="shared" si="36"/>
        <v>0.32301219512195123</v>
      </c>
      <c r="AB112" s="271">
        <f t="shared" si="37"/>
        <v>1.3233292682926829</v>
      </c>
      <c r="AC112" s="284">
        <f t="shared" si="38"/>
        <v>0.26969464415172351</v>
      </c>
      <c r="AD112" s="285">
        <f t="shared" si="39"/>
        <v>-1.4427983859441607E-2</v>
      </c>
      <c r="AE112" s="221" t="s">
        <v>269</v>
      </c>
    </row>
    <row r="113" spans="1:31" ht="40" customHeight="1" x14ac:dyDescent="0.2">
      <c r="A113" s="123">
        <v>109</v>
      </c>
      <c r="B113" s="274" t="s">
        <v>201</v>
      </c>
      <c r="C113" s="123">
        <v>1</v>
      </c>
      <c r="D113" s="123">
        <v>30</v>
      </c>
      <c r="E113" s="123">
        <f t="shared" si="26"/>
        <v>30</v>
      </c>
      <c r="F113" s="123" t="s">
        <v>269</v>
      </c>
      <c r="G113" s="123" t="s">
        <v>269</v>
      </c>
      <c r="H113" s="257">
        <v>84</v>
      </c>
      <c r="I113" s="257">
        <f t="shared" si="27"/>
        <v>2.8</v>
      </c>
      <c r="J113" s="257">
        <f t="shared" si="40"/>
        <v>84</v>
      </c>
      <c r="K113" s="257"/>
      <c r="L113" s="257">
        <f t="shared" si="4"/>
        <v>0.88663711209626339</v>
      </c>
      <c r="M113" s="257">
        <f t="shared" si="28"/>
        <v>26.599113362887906</v>
      </c>
      <c r="N113" s="257">
        <f t="shared" si="31"/>
        <v>0.96643445218492718</v>
      </c>
      <c r="O113" s="257">
        <f t="shared" si="29"/>
        <v>28.993033565547815</v>
      </c>
      <c r="P113" s="257">
        <v>1.35</v>
      </c>
      <c r="Q113" s="257">
        <f t="shared" si="1"/>
        <v>40.5</v>
      </c>
      <c r="R113" s="257">
        <f t="shared" si="2"/>
        <v>0.3835655478150729</v>
      </c>
      <c r="S113" s="257">
        <f t="shared" si="2"/>
        <v>11.506966434452185</v>
      </c>
      <c r="T113" s="246">
        <f t="shared" si="3"/>
        <v>0.28412262801116511</v>
      </c>
      <c r="U113" s="138"/>
      <c r="V113" s="268">
        <f t="shared" si="32"/>
        <v>1.35</v>
      </c>
      <c r="W113" s="269">
        <v>0.18</v>
      </c>
      <c r="X113" s="270">
        <f t="shared" si="33"/>
        <v>1.6463414634146341</v>
      </c>
      <c r="Y113" s="271">
        <f t="shared" si="34"/>
        <v>0.29634146341463413</v>
      </c>
      <c r="Z113" s="267">
        <f t="shared" si="35"/>
        <v>2.6670731707317073E-2</v>
      </c>
      <c r="AA113" s="271">
        <f t="shared" si="36"/>
        <v>0.32301219512195123</v>
      </c>
      <c r="AB113" s="271">
        <f t="shared" si="37"/>
        <v>1.3233292682926829</v>
      </c>
      <c r="AC113" s="284">
        <f t="shared" si="38"/>
        <v>0.26969464415172351</v>
      </c>
      <c r="AD113" s="285">
        <f t="shared" si="39"/>
        <v>-1.4427983859441607E-2</v>
      </c>
      <c r="AE113" s="221" t="s">
        <v>269</v>
      </c>
    </row>
    <row r="114" spans="1:31" ht="40" customHeight="1" x14ac:dyDescent="0.2">
      <c r="A114" s="123">
        <v>110</v>
      </c>
      <c r="B114" s="274" t="s">
        <v>202</v>
      </c>
      <c r="C114" s="123">
        <v>1</v>
      </c>
      <c r="D114" s="123">
        <v>30</v>
      </c>
      <c r="E114" s="123">
        <f t="shared" si="26"/>
        <v>30</v>
      </c>
      <c r="F114" s="123" t="s">
        <v>269</v>
      </c>
      <c r="G114" s="123" t="s">
        <v>269</v>
      </c>
      <c r="H114" s="257">
        <v>84</v>
      </c>
      <c r="I114" s="257">
        <f t="shared" si="27"/>
        <v>2.8</v>
      </c>
      <c r="J114" s="257">
        <f t="shared" si="40"/>
        <v>84</v>
      </c>
      <c r="K114" s="257"/>
      <c r="L114" s="257">
        <f t="shared" si="4"/>
        <v>0.88663711209626339</v>
      </c>
      <c r="M114" s="257">
        <f t="shared" si="28"/>
        <v>26.599113362887906</v>
      </c>
      <c r="N114" s="257">
        <f t="shared" si="31"/>
        <v>0.96643445218492718</v>
      </c>
      <c r="O114" s="257">
        <f t="shared" si="29"/>
        <v>28.993033565547815</v>
      </c>
      <c r="P114" s="257">
        <v>1.35</v>
      </c>
      <c r="Q114" s="257">
        <f t="shared" si="1"/>
        <v>40.5</v>
      </c>
      <c r="R114" s="257">
        <f t="shared" si="2"/>
        <v>0.3835655478150729</v>
      </c>
      <c r="S114" s="257">
        <f t="shared" si="2"/>
        <v>11.506966434452185</v>
      </c>
      <c r="T114" s="246">
        <f t="shared" si="3"/>
        <v>0.28412262801116511</v>
      </c>
      <c r="U114" s="138"/>
      <c r="V114" s="268">
        <f t="shared" si="32"/>
        <v>1.35</v>
      </c>
      <c r="W114" s="269">
        <v>0.18</v>
      </c>
      <c r="X114" s="270">
        <f t="shared" si="33"/>
        <v>1.6463414634146341</v>
      </c>
      <c r="Y114" s="271">
        <f t="shared" si="34"/>
        <v>0.29634146341463413</v>
      </c>
      <c r="Z114" s="267">
        <f t="shared" si="35"/>
        <v>2.6670731707317073E-2</v>
      </c>
      <c r="AA114" s="271">
        <f t="shared" si="36"/>
        <v>0.32301219512195123</v>
      </c>
      <c r="AB114" s="271">
        <f t="shared" si="37"/>
        <v>1.3233292682926829</v>
      </c>
      <c r="AC114" s="284">
        <f t="shared" si="38"/>
        <v>0.26969464415172351</v>
      </c>
      <c r="AD114" s="285">
        <f t="shared" si="39"/>
        <v>-1.4427983859441607E-2</v>
      </c>
      <c r="AE114" s="221" t="s">
        <v>269</v>
      </c>
    </row>
    <row r="115" spans="1:31" ht="40" customHeight="1" x14ac:dyDescent="0.2">
      <c r="A115" s="123">
        <v>111</v>
      </c>
      <c r="B115" s="274" t="s">
        <v>89</v>
      </c>
      <c r="C115" s="123">
        <v>1</v>
      </c>
      <c r="D115" s="123" t="s">
        <v>90</v>
      </c>
      <c r="E115" s="123">
        <f t="shared" si="26"/>
        <v>36</v>
      </c>
      <c r="F115" s="123" t="s">
        <v>269</v>
      </c>
      <c r="G115" s="123" t="s">
        <v>269</v>
      </c>
      <c r="H115" s="257">
        <v>69</v>
      </c>
      <c r="I115" s="257">
        <f t="shared" si="27"/>
        <v>1.9166666666666667</v>
      </c>
      <c r="J115" s="257">
        <f t="shared" si="40"/>
        <v>69</v>
      </c>
      <c r="K115" s="257"/>
      <c r="L115" s="257">
        <f t="shared" si="4"/>
        <v>0.60692421363732318</v>
      </c>
      <c r="M115" s="257">
        <f t="shared" si="28"/>
        <v>21.849271690943635</v>
      </c>
      <c r="N115" s="257">
        <f t="shared" si="31"/>
        <v>0.66154739286468234</v>
      </c>
      <c r="O115" s="257">
        <f t="shared" si="29"/>
        <v>23.815706143128565</v>
      </c>
      <c r="P115" s="257">
        <v>1</v>
      </c>
      <c r="Q115" s="257">
        <f t="shared" si="1"/>
        <v>36</v>
      </c>
      <c r="R115" s="257">
        <f t="shared" si="2"/>
        <v>0.33845260713531766</v>
      </c>
      <c r="S115" s="257">
        <f t="shared" si="2"/>
        <v>12.184293856871435</v>
      </c>
      <c r="T115" s="246">
        <f t="shared" si="3"/>
        <v>0.33845260713531766</v>
      </c>
      <c r="U115" s="138"/>
      <c r="V115" s="268">
        <f t="shared" si="32"/>
        <v>1</v>
      </c>
      <c r="W115" s="269">
        <v>0.18</v>
      </c>
      <c r="X115" s="270">
        <f t="shared" si="33"/>
        <v>1.2195121951219512</v>
      </c>
      <c r="Y115" s="271">
        <f t="shared" si="34"/>
        <v>0.21951219512195122</v>
      </c>
      <c r="Z115" s="267">
        <f t="shared" si="35"/>
        <v>1.975609756097561E-2</v>
      </c>
      <c r="AA115" s="271">
        <f t="shared" si="36"/>
        <v>0.23926829268292682</v>
      </c>
      <c r="AB115" s="271">
        <f t="shared" si="37"/>
        <v>0.98024390243902437</v>
      </c>
      <c r="AC115" s="284">
        <f t="shared" si="38"/>
        <v>0.32511960419378011</v>
      </c>
      <c r="AD115" s="285">
        <f t="shared" si="39"/>
        <v>-1.3333002941537553E-2</v>
      </c>
      <c r="AE115" s="221" t="s">
        <v>269</v>
      </c>
    </row>
    <row r="116" spans="1:31" ht="40" customHeight="1" x14ac:dyDescent="0.2">
      <c r="A116" s="123">
        <v>112</v>
      </c>
      <c r="B116" s="274" t="s">
        <v>91</v>
      </c>
      <c r="C116" s="123">
        <v>1</v>
      </c>
      <c r="D116" s="123" t="s">
        <v>90</v>
      </c>
      <c r="E116" s="123">
        <f t="shared" si="26"/>
        <v>36</v>
      </c>
      <c r="F116" s="123" t="s">
        <v>269</v>
      </c>
      <c r="G116" s="123" t="s">
        <v>269</v>
      </c>
      <c r="H116" s="257">
        <v>69</v>
      </c>
      <c r="I116" s="257">
        <f t="shared" si="27"/>
        <v>1.9166666666666667</v>
      </c>
      <c r="J116" s="257">
        <f t="shared" si="40"/>
        <v>69</v>
      </c>
      <c r="K116" s="257"/>
      <c r="L116" s="257">
        <f t="shared" si="4"/>
        <v>0.60692421363732318</v>
      </c>
      <c r="M116" s="257">
        <f t="shared" si="28"/>
        <v>21.849271690943635</v>
      </c>
      <c r="N116" s="257">
        <f t="shared" si="31"/>
        <v>0.66154739286468234</v>
      </c>
      <c r="O116" s="257">
        <f t="shared" si="29"/>
        <v>23.815706143128565</v>
      </c>
      <c r="P116" s="257">
        <v>1</v>
      </c>
      <c r="Q116" s="257">
        <f t="shared" si="1"/>
        <v>36</v>
      </c>
      <c r="R116" s="257">
        <f t="shared" si="2"/>
        <v>0.33845260713531766</v>
      </c>
      <c r="S116" s="257">
        <f t="shared" si="2"/>
        <v>12.184293856871435</v>
      </c>
      <c r="T116" s="246">
        <f t="shared" si="3"/>
        <v>0.33845260713531766</v>
      </c>
      <c r="U116" s="138"/>
      <c r="V116" s="268">
        <f t="shared" si="32"/>
        <v>1</v>
      </c>
      <c r="W116" s="269">
        <v>0.18</v>
      </c>
      <c r="X116" s="270">
        <f t="shared" si="33"/>
        <v>1.2195121951219512</v>
      </c>
      <c r="Y116" s="271">
        <f t="shared" si="34"/>
        <v>0.21951219512195122</v>
      </c>
      <c r="Z116" s="267">
        <f t="shared" si="35"/>
        <v>1.975609756097561E-2</v>
      </c>
      <c r="AA116" s="271">
        <f t="shared" si="36"/>
        <v>0.23926829268292682</v>
      </c>
      <c r="AB116" s="271">
        <f t="shared" si="37"/>
        <v>0.98024390243902437</v>
      </c>
      <c r="AC116" s="284">
        <f t="shared" si="38"/>
        <v>0.32511960419378011</v>
      </c>
      <c r="AD116" s="285">
        <f t="shared" si="39"/>
        <v>-1.3333002941537553E-2</v>
      </c>
      <c r="AE116" s="221" t="s">
        <v>269</v>
      </c>
    </row>
    <row r="117" spans="1:31" ht="40" customHeight="1" x14ac:dyDescent="0.2">
      <c r="A117" s="123">
        <v>113</v>
      </c>
      <c r="B117" s="274" t="s">
        <v>92</v>
      </c>
      <c r="C117" s="123">
        <v>1</v>
      </c>
      <c r="D117" s="123" t="s">
        <v>90</v>
      </c>
      <c r="E117" s="123">
        <f t="shared" si="26"/>
        <v>36</v>
      </c>
      <c r="F117" s="123" t="s">
        <v>269</v>
      </c>
      <c r="G117" s="123" t="s">
        <v>269</v>
      </c>
      <c r="H117" s="257">
        <v>69</v>
      </c>
      <c r="I117" s="257">
        <f t="shared" si="27"/>
        <v>1.9166666666666667</v>
      </c>
      <c r="J117" s="257">
        <f t="shared" si="40"/>
        <v>69</v>
      </c>
      <c r="K117" s="257"/>
      <c r="L117" s="257">
        <f t="shared" si="4"/>
        <v>0.60692421363732318</v>
      </c>
      <c r="M117" s="257">
        <f t="shared" si="28"/>
        <v>21.849271690943635</v>
      </c>
      <c r="N117" s="257">
        <f t="shared" si="31"/>
        <v>0.66154739286468234</v>
      </c>
      <c r="O117" s="257">
        <f t="shared" si="29"/>
        <v>23.815706143128565</v>
      </c>
      <c r="P117" s="257">
        <v>1</v>
      </c>
      <c r="Q117" s="257">
        <f t="shared" si="1"/>
        <v>36</v>
      </c>
      <c r="R117" s="257">
        <f t="shared" si="2"/>
        <v>0.33845260713531766</v>
      </c>
      <c r="S117" s="257">
        <f t="shared" si="2"/>
        <v>12.184293856871435</v>
      </c>
      <c r="T117" s="246">
        <f t="shared" si="3"/>
        <v>0.33845260713531766</v>
      </c>
      <c r="U117" s="135"/>
      <c r="V117" s="268">
        <f t="shared" si="32"/>
        <v>1</v>
      </c>
      <c r="W117" s="269">
        <v>0.18</v>
      </c>
      <c r="X117" s="270">
        <f t="shared" si="33"/>
        <v>1.2195121951219512</v>
      </c>
      <c r="Y117" s="271">
        <f t="shared" si="34"/>
        <v>0.21951219512195122</v>
      </c>
      <c r="Z117" s="267">
        <f t="shared" si="35"/>
        <v>1.975609756097561E-2</v>
      </c>
      <c r="AA117" s="271">
        <f t="shared" si="36"/>
        <v>0.23926829268292682</v>
      </c>
      <c r="AB117" s="271">
        <f t="shared" si="37"/>
        <v>0.98024390243902437</v>
      </c>
      <c r="AC117" s="284">
        <f t="shared" si="38"/>
        <v>0.32511960419378011</v>
      </c>
      <c r="AD117" s="285">
        <f t="shared" si="39"/>
        <v>-1.3333002941537553E-2</v>
      </c>
      <c r="AE117" s="221" t="s">
        <v>269</v>
      </c>
    </row>
    <row r="118" spans="1:31" ht="40" customHeight="1" x14ac:dyDescent="0.2">
      <c r="A118" s="123">
        <v>114</v>
      </c>
      <c r="B118" s="274" t="s">
        <v>93</v>
      </c>
      <c r="C118" s="123">
        <v>1</v>
      </c>
      <c r="D118" s="123" t="s">
        <v>90</v>
      </c>
      <c r="E118" s="123">
        <f t="shared" si="26"/>
        <v>36</v>
      </c>
      <c r="F118" s="123" t="s">
        <v>269</v>
      </c>
      <c r="G118" s="123" t="s">
        <v>269</v>
      </c>
      <c r="H118" s="257">
        <v>69</v>
      </c>
      <c r="I118" s="257">
        <f t="shared" si="27"/>
        <v>1.9166666666666667</v>
      </c>
      <c r="J118" s="257">
        <f t="shared" si="40"/>
        <v>69</v>
      </c>
      <c r="K118" s="257"/>
      <c r="L118" s="257">
        <f t="shared" si="4"/>
        <v>0.60692421363732318</v>
      </c>
      <c r="M118" s="257">
        <f t="shared" si="28"/>
        <v>21.849271690943635</v>
      </c>
      <c r="N118" s="257">
        <f t="shared" si="31"/>
        <v>0.66154739286468234</v>
      </c>
      <c r="O118" s="257">
        <f t="shared" si="29"/>
        <v>23.815706143128565</v>
      </c>
      <c r="P118" s="257">
        <v>1</v>
      </c>
      <c r="Q118" s="257">
        <f t="shared" si="1"/>
        <v>36</v>
      </c>
      <c r="R118" s="257">
        <f t="shared" si="2"/>
        <v>0.33845260713531766</v>
      </c>
      <c r="S118" s="257">
        <f t="shared" si="2"/>
        <v>12.184293856871435</v>
      </c>
      <c r="T118" s="246">
        <f t="shared" si="3"/>
        <v>0.33845260713531766</v>
      </c>
      <c r="U118" s="138"/>
      <c r="V118" s="268">
        <f t="shared" si="32"/>
        <v>1</v>
      </c>
      <c r="W118" s="269">
        <v>0.18</v>
      </c>
      <c r="X118" s="270">
        <f t="shared" si="33"/>
        <v>1.2195121951219512</v>
      </c>
      <c r="Y118" s="271">
        <f t="shared" si="34"/>
        <v>0.21951219512195122</v>
      </c>
      <c r="Z118" s="267">
        <f t="shared" si="35"/>
        <v>1.975609756097561E-2</v>
      </c>
      <c r="AA118" s="271">
        <f t="shared" si="36"/>
        <v>0.23926829268292682</v>
      </c>
      <c r="AB118" s="271">
        <f t="shared" si="37"/>
        <v>0.98024390243902437</v>
      </c>
      <c r="AC118" s="284">
        <f t="shared" si="38"/>
        <v>0.32511960419378011</v>
      </c>
      <c r="AD118" s="285">
        <f t="shared" si="39"/>
        <v>-1.3333002941537553E-2</v>
      </c>
      <c r="AE118" s="221" t="s">
        <v>269</v>
      </c>
    </row>
    <row r="119" spans="1:31" ht="40" customHeight="1" x14ac:dyDescent="0.2">
      <c r="A119" s="123">
        <v>115</v>
      </c>
      <c r="B119" s="274" t="s">
        <v>94</v>
      </c>
      <c r="C119" s="123">
        <v>1</v>
      </c>
      <c r="D119" s="123">
        <v>12</v>
      </c>
      <c r="E119" s="123">
        <f t="shared" si="26"/>
        <v>12</v>
      </c>
      <c r="F119" s="123" t="s">
        <v>269</v>
      </c>
      <c r="G119" s="123" t="s">
        <v>269</v>
      </c>
      <c r="H119" s="257">
        <v>68.400000000000006</v>
      </c>
      <c r="I119" s="257">
        <f t="shared" si="27"/>
        <v>5.7</v>
      </c>
      <c r="J119" s="257">
        <f t="shared" si="40"/>
        <v>68.400000000000006</v>
      </c>
      <c r="K119" s="257"/>
      <c r="L119" s="257">
        <f t="shared" si="4"/>
        <v>1.8049398353388222</v>
      </c>
      <c r="M119" s="257">
        <f t="shared" si="28"/>
        <v>21.659278024065866</v>
      </c>
      <c r="N119" s="257">
        <f t="shared" si="31"/>
        <v>1.9673844205193163</v>
      </c>
      <c r="O119" s="257">
        <f t="shared" si="29"/>
        <v>23.608613046231795</v>
      </c>
      <c r="P119" s="257">
        <v>2.95</v>
      </c>
      <c r="Q119" s="257">
        <f t="shared" si="1"/>
        <v>35.400000000000006</v>
      </c>
      <c r="R119" s="257">
        <f t="shared" si="2"/>
        <v>0.9826155794806839</v>
      </c>
      <c r="S119" s="257">
        <f t="shared" si="2"/>
        <v>11.79138695376821</v>
      </c>
      <c r="T119" s="246">
        <f t="shared" si="3"/>
        <v>0.3330900269426047</v>
      </c>
      <c r="U119" s="138"/>
      <c r="V119" s="268">
        <f t="shared" si="32"/>
        <v>2.95</v>
      </c>
      <c r="W119" s="269">
        <v>0.18</v>
      </c>
      <c r="X119" s="270">
        <f t="shared" si="33"/>
        <v>3.5975609756097562</v>
      </c>
      <c r="Y119" s="271">
        <f t="shared" si="34"/>
        <v>0.64756097560975612</v>
      </c>
      <c r="Z119" s="267">
        <f t="shared" si="35"/>
        <v>5.8280487804878045E-2</v>
      </c>
      <c r="AA119" s="271">
        <f t="shared" si="36"/>
        <v>0.70584146341463416</v>
      </c>
      <c r="AB119" s="271">
        <f t="shared" si="37"/>
        <v>2.891719512195122</v>
      </c>
      <c r="AC119" s="284">
        <f t="shared" si="38"/>
        <v>0.31964894512681741</v>
      </c>
      <c r="AD119" s="285">
        <f t="shared" si="39"/>
        <v>-1.3441081815787292E-2</v>
      </c>
      <c r="AE119" s="221" t="s">
        <v>269</v>
      </c>
    </row>
    <row r="120" spans="1:31" ht="40" customHeight="1" x14ac:dyDescent="0.2">
      <c r="A120" s="123">
        <v>116</v>
      </c>
      <c r="B120" s="274" t="s">
        <v>96</v>
      </c>
      <c r="C120" s="123">
        <v>1</v>
      </c>
      <c r="D120" s="123">
        <v>12</v>
      </c>
      <c r="E120" s="123">
        <f t="shared" si="26"/>
        <v>12</v>
      </c>
      <c r="F120" s="123" t="s">
        <v>269</v>
      </c>
      <c r="G120" s="123" t="s">
        <v>269</v>
      </c>
      <c r="H120" s="257">
        <v>68.400000000000006</v>
      </c>
      <c r="I120" s="257">
        <f t="shared" si="27"/>
        <v>5.7</v>
      </c>
      <c r="J120" s="257">
        <f t="shared" si="40"/>
        <v>68.400000000000006</v>
      </c>
      <c r="K120" s="257"/>
      <c r="L120" s="257">
        <f t="shared" si="4"/>
        <v>1.8049398353388222</v>
      </c>
      <c r="M120" s="257">
        <f t="shared" si="28"/>
        <v>21.659278024065866</v>
      </c>
      <c r="N120" s="257">
        <f t="shared" si="31"/>
        <v>1.9673844205193163</v>
      </c>
      <c r="O120" s="257">
        <f t="shared" si="29"/>
        <v>23.608613046231795</v>
      </c>
      <c r="P120" s="257">
        <v>2.95</v>
      </c>
      <c r="Q120" s="257">
        <f t="shared" si="1"/>
        <v>35.400000000000006</v>
      </c>
      <c r="R120" s="257">
        <f t="shared" si="2"/>
        <v>0.9826155794806839</v>
      </c>
      <c r="S120" s="257">
        <f t="shared" si="2"/>
        <v>11.79138695376821</v>
      </c>
      <c r="T120" s="246">
        <f t="shared" si="3"/>
        <v>0.3330900269426047</v>
      </c>
      <c r="U120" s="138"/>
      <c r="V120" s="268">
        <f t="shared" si="32"/>
        <v>2.95</v>
      </c>
      <c r="W120" s="269">
        <v>0.18</v>
      </c>
      <c r="X120" s="270">
        <f t="shared" si="33"/>
        <v>3.5975609756097562</v>
      </c>
      <c r="Y120" s="271">
        <f t="shared" si="34"/>
        <v>0.64756097560975612</v>
      </c>
      <c r="Z120" s="267">
        <f t="shared" si="35"/>
        <v>5.8280487804878045E-2</v>
      </c>
      <c r="AA120" s="271">
        <f t="shared" si="36"/>
        <v>0.70584146341463416</v>
      </c>
      <c r="AB120" s="271">
        <f t="shared" si="37"/>
        <v>2.891719512195122</v>
      </c>
      <c r="AC120" s="284">
        <f t="shared" si="38"/>
        <v>0.31964894512681741</v>
      </c>
      <c r="AD120" s="285">
        <f t="shared" si="39"/>
        <v>-1.3441081815787292E-2</v>
      </c>
      <c r="AE120" s="221" t="s">
        <v>269</v>
      </c>
    </row>
    <row r="121" spans="1:31" ht="40" customHeight="1" x14ac:dyDescent="0.2">
      <c r="A121" s="123">
        <v>117</v>
      </c>
      <c r="B121" s="274" t="s">
        <v>97</v>
      </c>
      <c r="C121" s="123">
        <v>1</v>
      </c>
      <c r="D121" s="123">
        <v>12</v>
      </c>
      <c r="E121" s="123">
        <f t="shared" si="26"/>
        <v>12</v>
      </c>
      <c r="F121" s="123" t="s">
        <v>269</v>
      </c>
      <c r="G121" s="123" t="s">
        <v>269</v>
      </c>
      <c r="H121" s="257">
        <v>68.400000000000006</v>
      </c>
      <c r="I121" s="257">
        <f t="shared" si="27"/>
        <v>5.7</v>
      </c>
      <c r="J121" s="257">
        <f t="shared" si="40"/>
        <v>68.400000000000006</v>
      </c>
      <c r="K121" s="257"/>
      <c r="L121" s="257">
        <f t="shared" si="4"/>
        <v>1.8049398353388222</v>
      </c>
      <c r="M121" s="257">
        <f t="shared" si="28"/>
        <v>21.659278024065866</v>
      </c>
      <c r="N121" s="257">
        <f t="shared" si="31"/>
        <v>1.9673844205193163</v>
      </c>
      <c r="O121" s="257">
        <f t="shared" si="29"/>
        <v>23.608613046231795</v>
      </c>
      <c r="P121" s="257">
        <v>2.95</v>
      </c>
      <c r="Q121" s="257">
        <f t="shared" si="1"/>
        <v>35.400000000000006</v>
      </c>
      <c r="R121" s="257">
        <f t="shared" si="2"/>
        <v>0.9826155794806839</v>
      </c>
      <c r="S121" s="257">
        <f t="shared" si="2"/>
        <v>11.79138695376821</v>
      </c>
      <c r="T121" s="246">
        <f t="shared" si="3"/>
        <v>0.3330900269426047</v>
      </c>
      <c r="U121" s="138"/>
      <c r="V121" s="268">
        <f t="shared" si="32"/>
        <v>2.95</v>
      </c>
      <c r="W121" s="269">
        <v>0.18</v>
      </c>
      <c r="X121" s="270">
        <f t="shared" si="33"/>
        <v>3.5975609756097562</v>
      </c>
      <c r="Y121" s="271">
        <f t="shared" si="34"/>
        <v>0.64756097560975612</v>
      </c>
      <c r="Z121" s="267">
        <f t="shared" si="35"/>
        <v>5.8280487804878045E-2</v>
      </c>
      <c r="AA121" s="271">
        <f t="shared" si="36"/>
        <v>0.70584146341463416</v>
      </c>
      <c r="AB121" s="271">
        <f t="shared" si="37"/>
        <v>2.891719512195122</v>
      </c>
      <c r="AC121" s="284">
        <f t="shared" si="38"/>
        <v>0.31964894512681741</v>
      </c>
      <c r="AD121" s="285">
        <f t="shared" si="39"/>
        <v>-1.3441081815787292E-2</v>
      </c>
      <c r="AE121" s="221" t="s">
        <v>269</v>
      </c>
    </row>
    <row r="122" spans="1:31" ht="40" customHeight="1" x14ac:dyDescent="0.2">
      <c r="A122" s="123">
        <v>118</v>
      </c>
      <c r="B122" s="274" t="s">
        <v>98</v>
      </c>
      <c r="C122" s="123">
        <v>1</v>
      </c>
      <c r="D122" s="123">
        <v>12</v>
      </c>
      <c r="E122" s="123">
        <f t="shared" si="26"/>
        <v>12</v>
      </c>
      <c r="F122" s="123" t="s">
        <v>269</v>
      </c>
      <c r="G122" s="123" t="s">
        <v>269</v>
      </c>
      <c r="H122" s="257">
        <v>68.400000000000006</v>
      </c>
      <c r="I122" s="257">
        <f t="shared" si="27"/>
        <v>5.7</v>
      </c>
      <c r="J122" s="257">
        <f t="shared" si="40"/>
        <v>68.400000000000006</v>
      </c>
      <c r="K122" s="257"/>
      <c r="L122" s="257">
        <f t="shared" si="4"/>
        <v>1.8049398353388222</v>
      </c>
      <c r="M122" s="257">
        <f t="shared" si="28"/>
        <v>21.659278024065866</v>
      </c>
      <c r="N122" s="257">
        <f t="shared" si="31"/>
        <v>1.9673844205193163</v>
      </c>
      <c r="O122" s="257">
        <f t="shared" si="29"/>
        <v>23.608613046231795</v>
      </c>
      <c r="P122" s="257">
        <v>2.95</v>
      </c>
      <c r="Q122" s="257">
        <f t="shared" si="1"/>
        <v>35.400000000000006</v>
      </c>
      <c r="R122" s="257">
        <f t="shared" si="2"/>
        <v>0.9826155794806839</v>
      </c>
      <c r="S122" s="257">
        <f t="shared" si="2"/>
        <v>11.79138695376821</v>
      </c>
      <c r="T122" s="246">
        <f t="shared" si="3"/>
        <v>0.3330900269426047</v>
      </c>
      <c r="U122" s="135"/>
      <c r="V122" s="268">
        <f t="shared" si="32"/>
        <v>2.95</v>
      </c>
      <c r="W122" s="269">
        <v>0.18</v>
      </c>
      <c r="X122" s="270">
        <f t="shared" si="33"/>
        <v>3.5975609756097562</v>
      </c>
      <c r="Y122" s="271">
        <f t="shared" si="34"/>
        <v>0.64756097560975612</v>
      </c>
      <c r="Z122" s="267">
        <f t="shared" si="35"/>
        <v>5.8280487804878045E-2</v>
      </c>
      <c r="AA122" s="271">
        <f t="shared" si="36"/>
        <v>0.70584146341463416</v>
      </c>
      <c r="AB122" s="271">
        <f t="shared" si="37"/>
        <v>2.891719512195122</v>
      </c>
      <c r="AC122" s="284">
        <f t="shared" si="38"/>
        <v>0.31964894512681741</v>
      </c>
      <c r="AD122" s="285">
        <f t="shared" si="39"/>
        <v>-1.3441081815787292E-2</v>
      </c>
      <c r="AE122" s="221" t="s">
        <v>269</v>
      </c>
    </row>
    <row r="123" spans="1:31" ht="40" customHeight="1" x14ac:dyDescent="0.2">
      <c r="A123" s="123">
        <v>119</v>
      </c>
      <c r="B123" s="274" t="s">
        <v>178</v>
      </c>
      <c r="C123" s="123">
        <v>1</v>
      </c>
      <c r="D123" s="123">
        <v>24</v>
      </c>
      <c r="E123" s="123">
        <f t="shared" si="26"/>
        <v>24</v>
      </c>
      <c r="F123" s="123" t="s">
        <v>269</v>
      </c>
      <c r="G123" s="123" t="s">
        <v>269</v>
      </c>
      <c r="H123" s="257">
        <f t="shared" ref="H123:H128" si="41">72*0.95</f>
        <v>68.399999999999991</v>
      </c>
      <c r="I123" s="257">
        <f t="shared" si="27"/>
        <v>2.8499999999999996</v>
      </c>
      <c r="J123" s="257">
        <f t="shared" si="40"/>
        <v>68.399999999999991</v>
      </c>
      <c r="K123" s="257"/>
      <c r="L123" s="257">
        <f t="shared" si="4"/>
        <v>0.90246991766941098</v>
      </c>
      <c r="M123" s="257">
        <f t="shared" si="28"/>
        <v>21.659278024065863</v>
      </c>
      <c r="N123" s="257">
        <f t="shared" si="31"/>
        <v>0.98369221025965803</v>
      </c>
      <c r="O123" s="257">
        <f t="shared" si="29"/>
        <v>23.608613046231792</v>
      </c>
      <c r="P123" s="257">
        <v>1.95</v>
      </c>
      <c r="Q123" s="257">
        <f t="shared" si="1"/>
        <v>46.8</v>
      </c>
      <c r="R123" s="257">
        <f>P123-N123</f>
        <v>0.96630778974034193</v>
      </c>
      <c r="S123" s="257">
        <f t="shared" ref="S123:S184" si="42">Q123-O123</f>
        <v>23.191386953768205</v>
      </c>
      <c r="T123" s="246">
        <f>R123/P123</f>
        <v>0.49554245627709842</v>
      </c>
      <c r="U123" s="247"/>
      <c r="V123" s="268">
        <f t="shared" si="32"/>
        <v>1.95</v>
      </c>
      <c r="W123" s="269">
        <v>0.18</v>
      </c>
      <c r="X123" s="270">
        <f t="shared" si="33"/>
        <v>2.3780487804878048</v>
      </c>
      <c r="Y123" s="271">
        <f t="shared" si="34"/>
        <v>0.42804878048780487</v>
      </c>
      <c r="Z123" s="267">
        <f t="shared" si="35"/>
        <v>3.8524390243902439E-2</v>
      </c>
      <c r="AA123" s="271">
        <f t="shared" si="36"/>
        <v>0.46657317073170729</v>
      </c>
      <c r="AB123" s="271">
        <f t="shared" si="37"/>
        <v>1.9114756097560974</v>
      </c>
      <c r="AC123" s="284">
        <f t="shared" si="38"/>
        <v>0.48537548413438752</v>
      </c>
      <c r="AD123" s="285">
        <f t="shared" si="39"/>
        <v>-1.0166972142710895E-2</v>
      </c>
      <c r="AE123" s="221" t="s">
        <v>269</v>
      </c>
    </row>
    <row r="124" spans="1:31" ht="40" customHeight="1" x14ac:dyDescent="0.2">
      <c r="A124" s="123">
        <v>120</v>
      </c>
      <c r="B124" s="274" t="s">
        <v>179</v>
      </c>
      <c r="C124" s="123">
        <v>1</v>
      </c>
      <c r="D124" s="123">
        <v>24</v>
      </c>
      <c r="E124" s="123">
        <f t="shared" si="26"/>
        <v>24</v>
      </c>
      <c r="F124" s="123" t="s">
        <v>269</v>
      </c>
      <c r="G124" s="123" t="s">
        <v>269</v>
      </c>
      <c r="H124" s="257">
        <f t="shared" si="41"/>
        <v>68.399999999999991</v>
      </c>
      <c r="I124" s="257">
        <f t="shared" si="27"/>
        <v>2.8499999999999996</v>
      </c>
      <c r="J124" s="257">
        <f t="shared" si="40"/>
        <v>68.399999999999991</v>
      </c>
      <c r="K124" s="257"/>
      <c r="L124" s="257">
        <f t="shared" si="4"/>
        <v>0.90246991766941098</v>
      </c>
      <c r="M124" s="257">
        <f t="shared" si="28"/>
        <v>21.659278024065863</v>
      </c>
      <c r="N124" s="257">
        <f t="shared" si="31"/>
        <v>0.98369221025965803</v>
      </c>
      <c r="O124" s="257">
        <f t="shared" si="29"/>
        <v>23.608613046231792</v>
      </c>
      <c r="P124" s="257">
        <v>1.95</v>
      </c>
      <c r="Q124" s="257">
        <f t="shared" si="1"/>
        <v>46.8</v>
      </c>
      <c r="R124" s="257">
        <f>P124-N124</f>
        <v>0.96630778974034193</v>
      </c>
      <c r="S124" s="257">
        <f t="shared" si="42"/>
        <v>23.191386953768205</v>
      </c>
      <c r="T124" s="246">
        <f>R124/P124</f>
        <v>0.49554245627709842</v>
      </c>
      <c r="U124" s="247"/>
      <c r="V124" s="268">
        <f t="shared" si="32"/>
        <v>1.95</v>
      </c>
      <c r="W124" s="269">
        <v>0.18</v>
      </c>
      <c r="X124" s="270">
        <f t="shared" si="33"/>
        <v>2.3780487804878048</v>
      </c>
      <c r="Y124" s="271">
        <f t="shared" si="34"/>
        <v>0.42804878048780487</v>
      </c>
      <c r="Z124" s="267">
        <f t="shared" si="35"/>
        <v>3.8524390243902439E-2</v>
      </c>
      <c r="AA124" s="271">
        <f t="shared" si="36"/>
        <v>0.46657317073170729</v>
      </c>
      <c r="AB124" s="271">
        <f t="shared" si="37"/>
        <v>1.9114756097560974</v>
      </c>
      <c r="AC124" s="284">
        <f t="shared" si="38"/>
        <v>0.48537548413438752</v>
      </c>
      <c r="AD124" s="285">
        <f t="shared" si="39"/>
        <v>-1.0166972142710895E-2</v>
      </c>
      <c r="AE124" s="221" t="s">
        <v>269</v>
      </c>
    </row>
    <row r="125" spans="1:31" ht="40" customHeight="1" x14ac:dyDescent="0.2">
      <c r="A125" s="123">
        <v>121</v>
      </c>
      <c r="B125" s="274" t="s">
        <v>180</v>
      </c>
      <c r="C125" s="123">
        <v>1</v>
      </c>
      <c r="D125" s="123">
        <v>24</v>
      </c>
      <c r="E125" s="123">
        <f t="shared" si="26"/>
        <v>24</v>
      </c>
      <c r="F125" s="123" t="s">
        <v>269</v>
      </c>
      <c r="G125" s="123" t="s">
        <v>269</v>
      </c>
      <c r="H125" s="257">
        <f t="shared" si="41"/>
        <v>68.399999999999991</v>
      </c>
      <c r="I125" s="257">
        <f t="shared" si="27"/>
        <v>2.8499999999999996</v>
      </c>
      <c r="J125" s="257">
        <f t="shared" si="40"/>
        <v>68.399999999999991</v>
      </c>
      <c r="K125" s="257"/>
      <c r="L125" s="257">
        <f t="shared" si="4"/>
        <v>0.90246991766941098</v>
      </c>
      <c r="M125" s="257">
        <f t="shared" si="28"/>
        <v>21.659278024065863</v>
      </c>
      <c r="N125" s="257">
        <f t="shared" si="31"/>
        <v>0.98369221025965803</v>
      </c>
      <c r="O125" s="257">
        <f t="shared" si="29"/>
        <v>23.608613046231792</v>
      </c>
      <c r="P125" s="257">
        <v>1.95</v>
      </c>
      <c r="Q125" s="257">
        <f t="shared" si="1"/>
        <v>46.8</v>
      </c>
      <c r="R125" s="257">
        <f>P125-N125</f>
        <v>0.96630778974034193</v>
      </c>
      <c r="S125" s="257">
        <f t="shared" si="42"/>
        <v>23.191386953768205</v>
      </c>
      <c r="T125" s="246">
        <f>R125/P125</f>
        <v>0.49554245627709842</v>
      </c>
      <c r="U125" s="247"/>
      <c r="V125" s="268">
        <f t="shared" si="32"/>
        <v>1.95</v>
      </c>
      <c r="W125" s="269">
        <v>0.18</v>
      </c>
      <c r="X125" s="270">
        <f t="shared" si="33"/>
        <v>2.3780487804878048</v>
      </c>
      <c r="Y125" s="271">
        <f t="shared" si="34"/>
        <v>0.42804878048780487</v>
      </c>
      <c r="Z125" s="267">
        <f t="shared" si="35"/>
        <v>3.8524390243902439E-2</v>
      </c>
      <c r="AA125" s="271">
        <f t="shared" si="36"/>
        <v>0.46657317073170729</v>
      </c>
      <c r="AB125" s="271">
        <f t="shared" si="37"/>
        <v>1.9114756097560974</v>
      </c>
      <c r="AC125" s="284">
        <f t="shared" si="38"/>
        <v>0.48537548413438752</v>
      </c>
      <c r="AD125" s="285">
        <f t="shared" si="39"/>
        <v>-1.0166972142710895E-2</v>
      </c>
      <c r="AE125" s="221" t="s">
        <v>269</v>
      </c>
    </row>
    <row r="126" spans="1:31" ht="40" customHeight="1" x14ac:dyDescent="0.2">
      <c r="A126" s="123">
        <v>122</v>
      </c>
      <c r="B126" s="274" t="s">
        <v>181</v>
      </c>
      <c r="C126" s="123">
        <v>1</v>
      </c>
      <c r="D126" s="123">
        <v>24</v>
      </c>
      <c r="E126" s="123">
        <f t="shared" si="26"/>
        <v>24</v>
      </c>
      <c r="F126" s="123" t="s">
        <v>269</v>
      </c>
      <c r="G126" s="123" t="s">
        <v>269</v>
      </c>
      <c r="H126" s="257">
        <f t="shared" si="41"/>
        <v>68.399999999999991</v>
      </c>
      <c r="I126" s="257">
        <f t="shared" si="27"/>
        <v>2.8499999999999996</v>
      </c>
      <c r="J126" s="257">
        <f t="shared" si="40"/>
        <v>68.399999999999991</v>
      </c>
      <c r="K126" s="257"/>
      <c r="L126" s="257">
        <f t="shared" ref="L126:L184" si="43">I126/$S$2</f>
        <v>0.90246991766941098</v>
      </c>
      <c r="M126" s="257">
        <f t="shared" si="28"/>
        <v>21.659278024065863</v>
      </c>
      <c r="N126" s="257">
        <f t="shared" si="31"/>
        <v>0.98369221025965803</v>
      </c>
      <c r="O126" s="257">
        <f t="shared" si="29"/>
        <v>23.608613046231792</v>
      </c>
      <c r="P126" s="257">
        <v>1.95</v>
      </c>
      <c r="Q126" s="257">
        <f t="shared" si="1"/>
        <v>46.8</v>
      </c>
      <c r="R126" s="257">
        <f>P126-N126</f>
        <v>0.96630778974034193</v>
      </c>
      <c r="S126" s="257">
        <f t="shared" si="42"/>
        <v>23.191386953768205</v>
      </c>
      <c r="T126" s="246">
        <f>R126/P126</f>
        <v>0.49554245627709842</v>
      </c>
      <c r="U126" s="247"/>
      <c r="V126" s="268">
        <f t="shared" si="32"/>
        <v>1.95</v>
      </c>
      <c r="W126" s="269">
        <v>0.18</v>
      </c>
      <c r="X126" s="270">
        <f t="shared" si="33"/>
        <v>2.3780487804878048</v>
      </c>
      <c r="Y126" s="271">
        <f t="shared" si="34"/>
        <v>0.42804878048780487</v>
      </c>
      <c r="Z126" s="267">
        <f t="shared" si="35"/>
        <v>3.8524390243902439E-2</v>
      </c>
      <c r="AA126" s="271">
        <f t="shared" si="36"/>
        <v>0.46657317073170729</v>
      </c>
      <c r="AB126" s="271">
        <f t="shared" si="37"/>
        <v>1.9114756097560974</v>
      </c>
      <c r="AC126" s="284">
        <f t="shared" si="38"/>
        <v>0.48537548413438752</v>
      </c>
      <c r="AD126" s="285">
        <f t="shared" si="39"/>
        <v>-1.0166972142710895E-2</v>
      </c>
      <c r="AE126" s="221" t="s">
        <v>269</v>
      </c>
    </row>
    <row r="127" spans="1:31" ht="40" customHeight="1" x14ac:dyDescent="0.2">
      <c r="A127" s="123">
        <v>123</v>
      </c>
      <c r="B127" s="274" t="s">
        <v>118</v>
      </c>
      <c r="C127" s="123">
        <v>1</v>
      </c>
      <c r="D127" s="123">
        <v>24</v>
      </c>
      <c r="E127" s="123">
        <f t="shared" si="26"/>
        <v>24</v>
      </c>
      <c r="F127" s="123" t="s">
        <v>269</v>
      </c>
      <c r="G127" s="123" t="s">
        <v>269</v>
      </c>
      <c r="H127" s="257">
        <f t="shared" si="41"/>
        <v>68.399999999999991</v>
      </c>
      <c r="I127" s="257">
        <f t="shared" si="27"/>
        <v>2.8499999999999996</v>
      </c>
      <c r="J127" s="257">
        <f t="shared" si="40"/>
        <v>68.399999999999991</v>
      </c>
      <c r="K127" s="257"/>
      <c r="L127" s="257">
        <f t="shared" si="43"/>
        <v>0.90246991766941098</v>
      </c>
      <c r="M127" s="257">
        <f t="shared" si="28"/>
        <v>21.659278024065863</v>
      </c>
      <c r="N127" s="257">
        <f t="shared" si="31"/>
        <v>0.98369221025965803</v>
      </c>
      <c r="O127" s="257">
        <f t="shared" si="29"/>
        <v>23.608613046231792</v>
      </c>
      <c r="P127" s="257">
        <v>1.95</v>
      </c>
      <c r="Q127" s="257">
        <f t="shared" si="1"/>
        <v>46.8</v>
      </c>
      <c r="R127" s="257">
        <f>P127-N127</f>
        <v>0.96630778974034193</v>
      </c>
      <c r="S127" s="257">
        <f t="shared" si="42"/>
        <v>23.191386953768205</v>
      </c>
      <c r="T127" s="246">
        <f>R127/P127</f>
        <v>0.49554245627709842</v>
      </c>
      <c r="U127" s="247"/>
      <c r="V127" s="268">
        <f t="shared" si="32"/>
        <v>1.95</v>
      </c>
      <c r="W127" s="269">
        <v>0.18</v>
      </c>
      <c r="X127" s="270">
        <f t="shared" si="33"/>
        <v>2.3780487804878048</v>
      </c>
      <c r="Y127" s="271">
        <f t="shared" si="34"/>
        <v>0.42804878048780487</v>
      </c>
      <c r="Z127" s="267">
        <f t="shared" si="35"/>
        <v>3.8524390243902439E-2</v>
      </c>
      <c r="AA127" s="271">
        <f t="shared" si="36"/>
        <v>0.46657317073170729</v>
      </c>
      <c r="AB127" s="271">
        <f t="shared" si="37"/>
        <v>1.9114756097560974</v>
      </c>
      <c r="AC127" s="284">
        <f t="shared" si="38"/>
        <v>0.48537548413438752</v>
      </c>
      <c r="AD127" s="285">
        <f t="shared" si="39"/>
        <v>-1.0166972142710895E-2</v>
      </c>
      <c r="AE127" s="221" t="s">
        <v>269</v>
      </c>
    </row>
    <row r="128" spans="1:31" ht="40" customHeight="1" x14ac:dyDescent="0.2">
      <c r="A128" s="123">
        <v>124</v>
      </c>
      <c r="B128" s="274" t="s">
        <v>119</v>
      </c>
      <c r="C128" s="123">
        <v>1</v>
      </c>
      <c r="D128" s="123">
        <v>24</v>
      </c>
      <c r="E128" s="123">
        <f t="shared" si="26"/>
        <v>24</v>
      </c>
      <c r="F128" s="123" t="s">
        <v>269</v>
      </c>
      <c r="G128" s="123" t="s">
        <v>269</v>
      </c>
      <c r="H128" s="257">
        <f t="shared" si="41"/>
        <v>68.399999999999991</v>
      </c>
      <c r="I128" s="257">
        <f t="shared" si="27"/>
        <v>2.8499999999999996</v>
      </c>
      <c r="J128" s="257">
        <f t="shared" si="40"/>
        <v>68.399999999999991</v>
      </c>
      <c r="K128" s="257"/>
      <c r="L128" s="257">
        <f t="shared" si="43"/>
        <v>0.90246991766941098</v>
      </c>
      <c r="M128" s="257">
        <f t="shared" si="28"/>
        <v>21.659278024065863</v>
      </c>
      <c r="N128" s="257">
        <f t="shared" si="31"/>
        <v>0.98369221025965803</v>
      </c>
      <c r="O128" s="257">
        <f t="shared" si="29"/>
        <v>23.608613046231792</v>
      </c>
      <c r="P128" s="257">
        <v>1.95</v>
      </c>
      <c r="Q128" s="257">
        <f t="shared" ref="Q128:Q184" si="44">P128*E128</f>
        <v>46.8</v>
      </c>
      <c r="R128" s="257">
        <f t="shared" ref="R128:R184" si="45">P128-N128</f>
        <v>0.96630778974034193</v>
      </c>
      <c r="S128" s="257">
        <f t="shared" si="42"/>
        <v>23.191386953768205</v>
      </c>
      <c r="T128" s="246">
        <f t="shared" ref="T128:T184" si="46">R128/P128</f>
        <v>0.49554245627709842</v>
      </c>
      <c r="U128" s="247"/>
      <c r="V128" s="268">
        <f t="shared" si="32"/>
        <v>1.95</v>
      </c>
      <c r="W128" s="269">
        <v>0.18</v>
      </c>
      <c r="X128" s="270">
        <f t="shared" si="33"/>
        <v>2.3780487804878048</v>
      </c>
      <c r="Y128" s="271">
        <f t="shared" si="34"/>
        <v>0.42804878048780487</v>
      </c>
      <c r="Z128" s="267">
        <f t="shared" si="35"/>
        <v>3.8524390243902439E-2</v>
      </c>
      <c r="AA128" s="271">
        <f t="shared" si="36"/>
        <v>0.46657317073170729</v>
      </c>
      <c r="AB128" s="271">
        <f t="shared" si="37"/>
        <v>1.9114756097560974</v>
      </c>
      <c r="AC128" s="284">
        <f t="shared" si="38"/>
        <v>0.48537548413438752</v>
      </c>
      <c r="AD128" s="285">
        <f t="shared" si="39"/>
        <v>-1.0166972142710895E-2</v>
      </c>
      <c r="AE128" s="221" t="s">
        <v>269</v>
      </c>
    </row>
    <row r="129" spans="1:31" ht="40" customHeight="1" x14ac:dyDescent="0.2">
      <c r="A129" s="123">
        <v>125</v>
      </c>
      <c r="B129" s="274" t="s">
        <v>120</v>
      </c>
      <c r="C129" s="123">
        <v>1</v>
      </c>
      <c r="D129" s="123">
        <v>24</v>
      </c>
      <c r="E129" s="123">
        <f t="shared" si="26"/>
        <v>24</v>
      </c>
      <c r="F129" s="123" t="s">
        <v>269</v>
      </c>
      <c r="G129" s="123" t="s">
        <v>269</v>
      </c>
      <c r="H129" s="257">
        <v>66</v>
      </c>
      <c r="I129" s="257">
        <f t="shared" si="27"/>
        <v>2.75</v>
      </c>
      <c r="J129" s="257">
        <f t="shared" si="40"/>
        <v>66</v>
      </c>
      <c r="K129" s="257"/>
      <c r="L129" s="257">
        <f t="shared" si="43"/>
        <v>0.87080430652311591</v>
      </c>
      <c r="M129" s="257">
        <f t="shared" si="28"/>
        <v>20.899303356554782</v>
      </c>
      <c r="N129" s="257">
        <f t="shared" si="31"/>
        <v>0.94917669411019645</v>
      </c>
      <c r="O129" s="257">
        <f t="shared" si="29"/>
        <v>22.780240658644715</v>
      </c>
      <c r="P129" s="257">
        <v>1.5</v>
      </c>
      <c r="Q129" s="257">
        <f t="shared" si="44"/>
        <v>36</v>
      </c>
      <c r="R129" s="257">
        <f t="shared" si="45"/>
        <v>0.55082330588980355</v>
      </c>
      <c r="S129" s="257">
        <f t="shared" si="42"/>
        <v>13.219759341355285</v>
      </c>
      <c r="T129" s="246">
        <f t="shared" si="46"/>
        <v>0.36721553725986905</v>
      </c>
      <c r="U129" s="222"/>
      <c r="V129" s="268">
        <f t="shared" si="32"/>
        <v>1.5</v>
      </c>
      <c r="W129" s="269">
        <v>0.18</v>
      </c>
      <c r="X129" s="270">
        <f t="shared" si="33"/>
        <v>1.8292682926829267</v>
      </c>
      <c r="Y129" s="271">
        <f t="shared" si="34"/>
        <v>0.32926829268292679</v>
      </c>
      <c r="Z129" s="267">
        <f t="shared" si="35"/>
        <v>2.963414634146341E-2</v>
      </c>
      <c r="AA129" s="271">
        <f t="shared" si="36"/>
        <v>0.35890243902439017</v>
      </c>
      <c r="AB129" s="271">
        <f t="shared" si="37"/>
        <v>1.4703658536585364</v>
      </c>
      <c r="AC129" s="284">
        <f t="shared" si="38"/>
        <v>0.35446223009839828</v>
      </c>
      <c r="AD129" s="285">
        <f t="shared" si="39"/>
        <v>-1.2753307161470773E-2</v>
      </c>
      <c r="AE129" s="221" t="s">
        <v>269</v>
      </c>
    </row>
    <row r="130" spans="1:31" ht="40" customHeight="1" x14ac:dyDescent="0.2">
      <c r="A130" s="123">
        <v>126</v>
      </c>
      <c r="B130" s="274" t="s">
        <v>121</v>
      </c>
      <c r="C130" s="123">
        <v>1</v>
      </c>
      <c r="D130" s="123">
        <v>400</v>
      </c>
      <c r="E130" s="123">
        <f t="shared" si="26"/>
        <v>400</v>
      </c>
      <c r="F130" s="123" t="s">
        <v>269</v>
      </c>
      <c r="G130" s="123" t="s">
        <v>269</v>
      </c>
      <c r="H130" s="257">
        <v>374</v>
      </c>
      <c r="I130" s="257">
        <f t="shared" si="27"/>
        <v>0.93500000000000005</v>
      </c>
      <c r="J130" s="257">
        <f t="shared" si="40"/>
        <v>374</v>
      </c>
      <c r="K130" s="257"/>
      <c r="L130" s="257">
        <f t="shared" si="43"/>
        <v>0.29607346421785941</v>
      </c>
      <c r="M130" s="257">
        <f t="shared" si="28"/>
        <v>118.42938568714376</v>
      </c>
      <c r="N130" s="257">
        <f t="shared" si="31"/>
        <v>0.32272007599746677</v>
      </c>
      <c r="O130" s="257">
        <f t="shared" si="29"/>
        <v>129.08803039898672</v>
      </c>
      <c r="P130" s="257">
        <v>0.4</v>
      </c>
      <c r="Q130" s="257">
        <f t="shared" si="44"/>
        <v>160</v>
      </c>
      <c r="R130" s="257">
        <f t="shared" si="45"/>
        <v>7.7279924002533251E-2</v>
      </c>
      <c r="S130" s="257">
        <f t="shared" si="42"/>
        <v>30.911969601013283</v>
      </c>
      <c r="T130" s="246">
        <f t="shared" si="46"/>
        <v>0.19319981000633313</v>
      </c>
      <c r="U130" s="248"/>
      <c r="V130" s="268">
        <f t="shared" si="32"/>
        <v>0.4</v>
      </c>
      <c r="W130" s="269">
        <v>0.18</v>
      </c>
      <c r="X130" s="270">
        <f t="shared" si="33"/>
        <v>0.48780487804878048</v>
      </c>
      <c r="Y130" s="271">
        <f t="shared" si="34"/>
        <v>8.7804878048780483E-2</v>
      </c>
      <c r="Z130" s="267">
        <f t="shared" si="35"/>
        <v>7.902439024390244E-3</v>
      </c>
      <c r="AA130" s="271">
        <f t="shared" si="36"/>
        <v>9.5707317073170733E-2</v>
      </c>
      <c r="AB130" s="271">
        <f t="shared" si="37"/>
        <v>0.39209756097560977</v>
      </c>
      <c r="AC130" s="284">
        <f t="shared" si="38"/>
        <v>0.176939343375458</v>
      </c>
      <c r="AD130" s="285">
        <f t="shared" si="39"/>
        <v>-1.6260466630875131E-2</v>
      </c>
      <c r="AE130" s="221" t="s">
        <v>269</v>
      </c>
    </row>
    <row r="131" spans="1:31" ht="40" customHeight="1" x14ac:dyDescent="0.2">
      <c r="A131" s="123">
        <v>127</v>
      </c>
      <c r="B131" s="274" t="s">
        <v>122</v>
      </c>
      <c r="C131" s="123">
        <v>1</v>
      </c>
      <c r="D131" s="123">
        <v>50</v>
      </c>
      <c r="E131" s="123">
        <f t="shared" si="26"/>
        <v>50</v>
      </c>
      <c r="F131" s="123" t="s">
        <v>269</v>
      </c>
      <c r="G131" s="123" t="s">
        <v>269</v>
      </c>
      <c r="H131" s="257">
        <v>83</v>
      </c>
      <c r="I131" s="257">
        <f t="shared" si="27"/>
        <v>1.66</v>
      </c>
      <c r="J131" s="257">
        <f t="shared" si="40"/>
        <v>83</v>
      </c>
      <c r="K131" s="257"/>
      <c r="L131" s="257">
        <f t="shared" si="43"/>
        <v>0.52564914502849902</v>
      </c>
      <c r="M131" s="257">
        <f t="shared" si="28"/>
        <v>26.282457251424955</v>
      </c>
      <c r="N131" s="257">
        <f t="shared" si="31"/>
        <v>0.57295756808106402</v>
      </c>
      <c r="O131" s="257">
        <f t="shared" si="29"/>
        <v>28.647878404053202</v>
      </c>
      <c r="P131" s="257">
        <v>1</v>
      </c>
      <c r="Q131" s="257">
        <f t="shared" si="44"/>
        <v>50</v>
      </c>
      <c r="R131" s="257">
        <f t="shared" si="45"/>
        <v>0.42704243191893598</v>
      </c>
      <c r="S131" s="257">
        <f t="shared" si="42"/>
        <v>21.352121595946798</v>
      </c>
      <c r="T131" s="246">
        <f t="shared" si="46"/>
        <v>0.42704243191893598</v>
      </c>
      <c r="U131" s="248"/>
      <c r="V131" s="268">
        <f t="shared" si="32"/>
        <v>1</v>
      </c>
      <c r="W131" s="269">
        <v>0.18</v>
      </c>
      <c r="X131" s="270">
        <f t="shared" si="33"/>
        <v>1.2195121951219512</v>
      </c>
      <c r="Y131" s="271">
        <f t="shared" si="34"/>
        <v>0.21951219512195122</v>
      </c>
      <c r="Z131" s="267">
        <f t="shared" si="35"/>
        <v>1.975609756097561E-2</v>
      </c>
      <c r="AA131" s="271">
        <f t="shared" si="36"/>
        <v>0.23926829268292682</v>
      </c>
      <c r="AB131" s="271">
        <f t="shared" si="37"/>
        <v>0.98024390243902437</v>
      </c>
      <c r="AC131" s="284">
        <f t="shared" si="38"/>
        <v>0.41549489198000433</v>
      </c>
      <c r="AD131" s="285">
        <f t="shared" si="39"/>
        <v>-1.154753993893165E-2</v>
      </c>
      <c r="AE131" s="221" t="s">
        <v>269</v>
      </c>
    </row>
    <row r="132" spans="1:31" ht="40" customHeight="1" x14ac:dyDescent="0.2">
      <c r="A132" s="123">
        <v>128</v>
      </c>
      <c r="B132" s="274" t="s">
        <v>123</v>
      </c>
      <c r="C132" s="123">
        <v>1</v>
      </c>
      <c r="D132" s="123">
        <v>50</v>
      </c>
      <c r="E132" s="123">
        <f t="shared" ref="E132:E184" si="47">D132*C132</f>
        <v>50</v>
      </c>
      <c r="F132" s="123" t="s">
        <v>269</v>
      </c>
      <c r="G132" s="123" t="s">
        <v>269</v>
      </c>
      <c r="H132" s="257">
        <v>83</v>
      </c>
      <c r="I132" s="257">
        <f t="shared" ref="I132:I184" si="48">H132/D132</f>
        <v>1.66</v>
      </c>
      <c r="J132" s="257">
        <f t="shared" si="40"/>
        <v>83</v>
      </c>
      <c r="K132" s="257"/>
      <c r="L132" s="257">
        <f t="shared" si="43"/>
        <v>0.52564914502849902</v>
      </c>
      <c r="M132" s="257">
        <f t="shared" ref="M132:M184" si="49">H132/$S$2</f>
        <v>26.282457251424955</v>
      </c>
      <c r="N132" s="257">
        <f t="shared" si="31"/>
        <v>0.57295756808106402</v>
      </c>
      <c r="O132" s="257">
        <f t="shared" ref="O132:O184" si="50">N132*E132</f>
        <v>28.647878404053202</v>
      </c>
      <c r="P132" s="257">
        <v>1</v>
      </c>
      <c r="Q132" s="257">
        <f t="shared" si="44"/>
        <v>50</v>
      </c>
      <c r="R132" s="257">
        <f t="shared" si="45"/>
        <v>0.42704243191893598</v>
      </c>
      <c r="S132" s="257">
        <f t="shared" si="42"/>
        <v>21.352121595946798</v>
      </c>
      <c r="T132" s="246">
        <f t="shared" si="46"/>
        <v>0.42704243191893598</v>
      </c>
      <c r="U132" s="248"/>
      <c r="V132" s="268">
        <f t="shared" si="32"/>
        <v>1</v>
      </c>
      <c r="W132" s="269">
        <v>0.18</v>
      </c>
      <c r="X132" s="270">
        <f t="shared" si="33"/>
        <v>1.2195121951219512</v>
      </c>
      <c r="Y132" s="271">
        <f t="shared" si="34"/>
        <v>0.21951219512195122</v>
      </c>
      <c r="Z132" s="267">
        <f t="shared" si="35"/>
        <v>1.975609756097561E-2</v>
      </c>
      <c r="AA132" s="271">
        <f t="shared" si="36"/>
        <v>0.23926829268292682</v>
      </c>
      <c r="AB132" s="271">
        <f t="shared" si="37"/>
        <v>0.98024390243902437</v>
      </c>
      <c r="AC132" s="284">
        <f t="shared" si="38"/>
        <v>0.41549489198000433</v>
      </c>
      <c r="AD132" s="285">
        <f t="shared" si="39"/>
        <v>-1.154753993893165E-2</v>
      </c>
      <c r="AE132" s="221" t="s">
        <v>269</v>
      </c>
    </row>
    <row r="133" spans="1:31" ht="40" customHeight="1" x14ac:dyDescent="0.2">
      <c r="A133" s="123">
        <v>129</v>
      </c>
      <c r="B133" s="274" t="s">
        <v>124</v>
      </c>
      <c r="C133" s="123">
        <v>1</v>
      </c>
      <c r="D133" s="123">
        <v>100</v>
      </c>
      <c r="E133" s="123">
        <f t="shared" si="47"/>
        <v>100</v>
      </c>
      <c r="F133" s="123" t="s">
        <v>269</v>
      </c>
      <c r="G133" s="123" t="s">
        <v>269</v>
      </c>
      <c r="H133" s="257">
        <v>365</v>
      </c>
      <c r="I133" s="257">
        <f t="shared" si="48"/>
        <v>3.65</v>
      </c>
      <c r="J133" s="257">
        <f t="shared" si="40"/>
        <v>365</v>
      </c>
      <c r="K133" s="257"/>
      <c r="L133" s="257">
        <f t="shared" si="43"/>
        <v>1.1557948068397721</v>
      </c>
      <c r="M133" s="257">
        <f t="shared" si="49"/>
        <v>115.57948068397721</v>
      </c>
      <c r="N133" s="257">
        <f t="shared" si="31"/>
        <v>1.2598163394553517</v>
      </c>
      <c r="O133" s="257">
        <f t="shared" si="50"/>
        <v>125.98163394553517</v>
      </c>
      <c r="P133" s="257">
        <v>1.75</v>
      </c>
      <c r="Q133" s="257">
        <f t="shared" si="44"/>
        <v>175</v>
      </c>
      <c r="R133" s="257">
        <f t="shared" si="45"/>
        <v>0.49018366054464835</v>
      </c>
      <c r="S133" s="257">
        <f t="shared" si="42"/>
        <v>49.018366054464835</v>
      </c>
      <c r="T133" s="246">
        <f t="shared" si="46"/>
        <v>0.28010494888265619</v>
      </c>
      <c r="U133" s="248"/>
      <c r="V133" s="268">
        <f t="shared" si="32"/>
        <v>1.75</v>
      </c>
      <c r="W133" s="269">
        <v>0.18</v>
      </c>
      <c r="X133" s="270">
        <f t="shared" si="33"/>
        <v>2.1341463414634143</v>
      </c>
      <c r="Y133" s="271">
        <f t="shared" si="34"/>
        <v>0.38414634146341459</v>
      </c>
      <c r="Z133" s="267">
        <f t="shared" si="35"/>
        <v>3.4573170731707313E-2</v>
      </c>
      <c r="AA133" s="271">
        <f t="shared" si="36"/>
        <v>0.41871951219512188</v>
      </c>
      <c r="AB133" s="271">
        <f t="shared" si="37"/>
        <v>1.7154268292682924</v>
      </c>
      <c r="AC133" s="284">
        <f t="shared" si="38"/>
        <v>0.2655959916444115</v>
      </c>
      <c r="AD133" s="285">
        <f t="shared" si="39"/>
        <v>-1.4508957238244691E-2</v>
      </c>
      <c r="AE133" s="221" t="s">
        <v>269</v>
      </c>
    </row>
    <row r="134" spans="1:31" ht="40" customHeight="1" x14ac:dyDescent="0.2">
      <c r="A134" s="123">
        <v>130</v>
      </c>
      <c r="B134" s="274" t="s">
        <v>127</v>
      </c>
      <c r="C134" s="123">
        <v>1</v>
      </c>
      <c r="D134" s="123">
        <v>50</v>
      </c>
      <c r="E134" s="123">
        <f t="shared" si="47"/>
        <v>50</v>
      </c>
      <c r="F134" s="123" t="s">
        <v>269</v>
      </c>
      <c r="G134" s="123" t="s">
        <v>269</v>
      </c>
      <c r="H134" s="257">
        <v>155</v>
      </c>
      <c r="I134" s="257">
        <f t="shared" si="48"/>
        <v>3.1</v>
      </c>
      <c r="J134" s="257">
        <f t="shared" si="40"/>
        <v>155</v>
      </c>
      <c r="K134" s="257"/>
      <c r="L134" s="257">
        <f t="shared" si="43"/>
        <v>0.98163394553514893</v>
      </c>
      <c r="M134" s="257">
        <f t="shared" si="49"/>
        <v>49.081697276757446</v>
      </c>
      <c r="N134" s="257">
        <f t="shared" si="31"/>
        <v>1.0699810006333124</v>
      </c>
      <c r="O134" s="257">
        <f t="shared" si="50"/>
        <v>53.499050031665618</v>
      </c>
      <c r="P134" s="257">
        <v>1.95</v>
      </c>
      <c r="Q134" s="257">
        <f t="shared" si="44"/>
        <v>97.5</v>
      </c>
      <c r="R134" s="257">
        <f t="shared" si="45"/>
        <v>0.88001899936668759</v>
      </c>
      <c r="S134" s="257">
        <f t="shared" si="42"/>
        <v>44.000949968334382</v>
      </c>
      <c r="T134" s="246">
        <f t="shared" si="46"/>
        <v>0.45129179454701929</v>
      </c>
      <c r="U134" s="248"/>
      <c r="V134" s="268">
        <f t="shared" si="32"/>
        <v>1.95</v>
      </c>
      <c r="W134" s="269">
        <v>0.18</v>
      </c>
      <c r="X134" s="270">
        <f t="shared" si="33"/>
        <v>2.3780487804878048</v>
      </c>
      <c r="Y134" s="271">
        <f t="shared" si="34"/>
        <v>0.42804878048780487</v>
      </c>
      <c r="Z134" s="267">
        <f t="shared" si="35"/>
        <v>3.8524390243902439E-2</v>
      </c>
      <c r="AA134" s="271">
        <f t="shared" si="36"/>
        <v>0.46657317073170729</v>
      </c>
      <c r="AB134" s="271">
        <f t="shared" si="37"/>
        <v>1.9114756097560974</v>
      </c>
      <c r="AC134" s="284">
        <f t="shared" si="38"/>
        <v>0.44023298274266709</v>
      </c>
      <c r="AD134" s="285">
        <f t="shared" si="39"/>
        <v>-1.1058811804352198E-2</v>
      </c>
      <c r="AE134" s="221" t="s">
        <v>269</v>
      </c>
    </row>
    <row r="135" spans="1:31" ht="40" customHeight="1" x14ac:dyDescent="0.2">
      <c r="A135" s="123">
        <v>131</v>
      </c>
      <c r="B135" s="274" t="s">
        <v>128</v>
      </c>
      <c r="C135" s="123">
        <v>1</v>
      </c>
      <c r="D135" s="123">
        <v>144</v>
      </c>
      <c r="E135" s="123">
        <f t="shared" si="47"/>
        <v>144</v>
      </c>
      <c r="F135" s="123">
        <v>186</v>
      </c>
      <c r="G135" s="257">
        <v>167.4</v>
      </c>
      <c r="H135" s="257">
        <v>167.4</v>
      </c>
      <c r="I135" s="257">
        <f t="shared" si="48"/>
        <v>1.1625000000000001</v>
      </c>
      <c r="J135" s="257">
        <f t="shared" si="40"/>
        <v>167.4</v>
      </c>
      <c r="K135" s="257"/>
      <c r="L135" s="257">
        <f t="shared" si="43"/>
        <v>0.36811272957568086</v>
      </c>
      <c r="M135" s="257">
        <f t="shared" si="49"/>
        <v>53.008233058898043</v>
      </c>
      <c r="N135" s="257">
        <f t="shared" ref="N135:N184" si="51">L135*(1+$O$188+9%)</f>
        <v>0.40124287523749219</v>
      </c>
      <c r="O135" s="257">
        <f t="shared" si="50"/>
        <v>57.778974034198875</v>
      </c>
      <c r="P135" s="257">
        <v>0.8</v>
      </c>
      <c r="Q135" s="257">
        <f t="shared" si="44"/>
        <v>115.2</v>
      </c>
      <c r="R135" s="257">
        <f t="shared" si="45"/>
        <v>0.39875712476250785</v>
      </c>
      <c r="S135" s="257">
        <f t="shared" si="42"/>
        <v>57.421025965801128</v>
      </c>
      <c r="T135" s="246">
        <f t="shared" si="46"/>
        <v>0.49844640595313477</v>
      </c>
      <c r="U135" s="123"/>
      <c r="V135" s="268">
        <f t="shared" ref="V135:V184" si="52">P135</f>
        <v>0.8</v>
      </c>
      <c r="W135" s="269">
        <v>0.18</v>
      </c>
      <c r="X135" s="270">
        <f t="shared" ref="X135:X184" si="53">V135/(1-18%)</f>
        <v>0.97560975609756095</v>
      </c>
      <c r="Y135" s="271">
        <f t="shared" ref="Y135:Y184" si="54">X135*18%</f>
        <v>0.17560975609756097</v>
      </c>
      <c r="Z135" s="267">
        <f t="shared" ref="Z135:Z184" si="55">Y135*9%</f>
        <v>1.5804878048780488E-2</v>
      </c>
      <c r="AA135" s="271">
        <f t="shared" ref="AA135:AA184" si="56">Y135+Z135</f>
        <v>0.19141463414634147</v>
      </c>
      <c r="AB135" s="271">
        <f t="shared" ref="AB135:AB184" si="57">X135-AA135</f>
        <v>0.78419512195121954</v>
      </c>
      <c r="AC135" s="284">
        <f t="shared" ref="AC135:AC184" si="58">(AB135-N135)/AB135</f>
        <v>0.48833796078821912</v>
      </c>
      <c r="AD135" s="285">
        <f t="shared" ref="AD135:AD184" si="59">AC135-T135</f>
        <v>-1.0108445164915658E-2</v>
      </c>
      <c r="AE135" s="221">
        <v>1</v>
      </c>
    </row>
    <row r="136" spans="1:31" ht="40" customHeight="1" x14ac:dyDescent="0.2">
      <c r="A136" s="123">
        <v>132</v>
      </c>
      <c r="B136" s="274" t="s">
        <v>129</v>
      </c>
      <c r="C136" s="123">
        <v>1</v>
      </c>
      <c r="D136" s="123">
        <v>144</v>
      </c>
      <c r="E136" s="123">
        <f t="shared" si="47"/>
        <v>144</v>
      </c>
      <c r="F136" s="123">
        <v>186</v>
      </c>
      <c r="G136" s="257">
        <v>167.4</v>
      </c>
      <c r="H136" s="257">
        <v>167.4</v>
      </c>
      <c r="I136" s="257">
        <f t="shared" si="48"/>
        <v>1.1625000000000001</v>
      </c>
      <c r="J136" s="257">
        <f t="shared" si="40"/>
        <v>167.4</v>
      </c>
      <c r="K136" s="257"/>
      <c r="L136" s="257">
        <f t="shared" si="43"/>
        <v>0.36811272957568086</v>
      </c>
      <c r="M136" s="257">
        <f t="shared" si="49"/>
        <v>53.008233058898043</v>
      </c>
      <c r="N136" s="257">
        <f t="shared" si="51"/>
        <v>0.40124287523749219</v>
      </c>
      <c r="O136" s="257">
        <f t="shared" si="50"/>
        <v>57.778974034198875</v>
      </c>
      <c r="P136" s="257">
        <v>0.8</v>
      </c>
      <c r="Q136" s="257">
        <f t="shared" si="44"/>
        <v>115.2</v>
      </c>
      <c r="R136" s="257">
        <f t="shared" si="45"/>
        <v>0.39875712476250785</v>
      </c>
      <c r="S136" s="257">
        <f t="shared" si="42"/>
        <v>57.421025965801128</v>
      </c>
      <c r="T136" s="246">
        <f t="shared" si="46"/>
        <v>0.49844640595313477</v>
      </c>
      <c r="U136" s="123"/>
      <c r="V136" s="268">
        <f t="shared" si="52"/>
        <v>0.8</v>
      </c>
      <c r="W136" s="269">
        <v>0.18</v>
      </c>
      <c r="X136" s="270">
        <f t="shared" si="53"/>
        <v>0.97560975609756095</v>
      </c>
      <c r="Y136" s="271">
        <f t="shared" si="54"/>
        <v>0.17560975609756097</v>
      </c>
      <c r="Z136" s="267">
        <f t="shared" si="55"/>
        <v>1.5804878048780488E-2</v>
      </c>
      <c r="AA136" s="271">
        <f t="shared" si="56"/>
        <v>0.19141463414634147</v>
      </c>
      <c r="AB136" s="271">
        <f t="shared" si="57"/>
        <v>0.78419512195121954</v>
      </c>
      <c r="AC136" s="284">
        <f t="shared" si="58"/>
        <v>0.48833796078821912</v>
      </c>
      <c r="AD136" s="285">
        <f t="shared" si="59"/>
        <v>-1.0108445164915658E-2</v>
      </c>
      <c r="AE136" s="221">
        <v>1</v>
      </c>
    </row>
    <row r="137" spans="1:31" ht="40" customHeight="1" x14ac:dyDescent="0.2">
      <c r="A137" s="123">
        <v>133</v>
      </c>
      <c r="B137" s="274" t="s">
        <v>130</v>
      </c>
      <c r="C137" s="123">
        <v>1</v>
      </c>
      <c r="D137" s="123">
        <v>144</v>
      </c>
      <c r="E137" s="123">
        <f t="shared" si="47"/>
        <v>144</v>
      </c>
      <c r="F137" s="123">
        <v>186</v>
      </c>
      <c r="G137" s="257">
        <v>167.4</v>
      </c>
      <c r="H137" s="257">
        <v>167.4</v>
      </c>
      <c r="I137" s="257">
        <f t="shared" si="48"/>
        <v>1.1625000000000001</v>
      </c>
      <c r="J137" s="257">
        <f t="shared" si="40"/>
        <v>167.4</v>
      </c>
      <c r="K137" s="257"/>
      <c r="L137" s="257">
        <f t="shared" si="43"/>
        <v>0.36811272957568086</v>
      </c>
      <c r="M137" s="257">
        <f t="shared" si="49"/>
        <v>53.008233058898043</v>
      </c>
      <c r="N137" s="257">
        <f t="shared" si="51"/>
        <v>0.40124287523749219</v>
      </c>
      <c r="O137" s="257">
        <f t="shared" si="50"/>
        <v>57.778974034198875</v>
      </c>
      <c r="P137" s="257">
        <v>0.8</v>
      </c>
      <c r="Q137" s="257">
        <f t="shared" si="44"/>
        <v>115.2</v>
      </c>
      <c r="R137" s="257">
        <f t="shared" si="45"/>
        <v>0.39875712476250785</v>
      </c>
      <c r="S137" s="257">
        <f t="shared" si="42"/>
        <v>57.421025965801128</v>
      </c>
      <c r="T137" s="246">
        <f t="shared" si="46"/>
        <v>0.49844640595313477</v>
      </c>
      <c r="U137" s="123"/>
      <c r="V137" s="268">
        <f t="shared" si="52"/>
        <v>0.8</v>
      </c>
      <c r="W137" s="269">
        <v>0.18</v>
      </c>
      <c r="X137" s="270">
        <f t="shared" si="53"/>
        <v>0.97560975609756095</v>
      </c>
      <c r="Y137" s="271">
        <f t="shared" si="54"/>
        <v>0.17560975609756097</v>
      </c>
      <c r="Z137" s="267">
        <f t="shared" si="55"/>
        <v>1.5804878048780488E-2</v>
      </c>
      <c r="AA137" s="271">
        <f t="shared" si="56"/>
        <v>0.19141463414634147</v>
      </c>
      <c r="AB137" s="271">
        <f t="shared" si="57"/>
        <v>0.78419512195121954</v>
      </c>
      <c r="AC137" s="284">
        <f t="shared" si="58"/>
        <v>0.48833796078821912</v>
      </c>
      <c r="AD137" s="285">
        <f t="shared" si="59"/>
        <v>-1.0108445164915658E-2</v>
      </c>
      <c r="AE137" s="221">
        <v>1</v>
      </c>
    </row>
    <row r="138" spans="1:31" ht="40" customHeight="1" x14ac:dyDescent="0.2">
      <c r="A138" s="123">
        <v>134</v>
      </c>
      <c r="B138" s="274" t="s">
        <v>131</v>
      </c>
      <c r="C138" s="123">
        <v>1</v>
      </c>
      <c r="D138" s="123">
        <v>48</v>
      </c>
      <c r="E138" s="123">
        <f t="shared" si="47"/>
        <v>48</v>
      </c>
      <c r="F138" s="123" t="s">
        <v>269</v>
      </c>
      <c r="G138" s="123" t="s">
        <v>269</v>
      </c>
      <c r="H138" s="257">
        <v>175.2</v>
      </c>
      <c r="I138" s="257">
        <f t="shared" si="48"/>
        <v>3.65</v>
      </c>
      <c r="J138" s="257">
        <f t="shared" si="40"/>
        <v>175.2</v>
      </c>
      <c r="K138" s="257"/>
      <c r="L138" s="257">
        <f t="shared" si="43"/>
        <v>1.1557948068397721</v>
      </c>
      <c r="M138" s="257">
        <f t="shared" si="49"/>
        <v>55.478150728309053</v>
      </c>
      <c r="N138" s="257">
        <f t="shared" si="51"/>
        <v>1.2598163394553517</v>
      </c>
      <c r="O138" s="257">
        <f t="shared" si="50"/>
        <v>60.471184293856879</v>
      </c>
      <c r="P138" s="257">
        <v>1.95</v>
      </c>
      <c r="Q138" s="257">
        <f t="shared" si="44"/>
        <v>93.6</v>
      </c>
      <c r="R138" s="257">
        <f t="shared" si="45"/>
        <v>0.6901836605446483</v>
      </c>
      <c r="S138" s="257">
        <f t="shared" si="42"/>
        <v>33.128815706143115</v>
      </c>
      <c r="T138" s="246">
        <f t="shared" si="46"/>
        <v>0.3539403387408453</v>
      </c>
      <c r="U138" s="123"/>
      <c r="V138" s="268">
        <f t="shared" si="52"/>
        <v>1.95</v>
      </c>
      <c r="W138" s="269">
        <v>0.18</v>
      </c>
      <c r="X138" s="270">
        <f t="shared" si="53"/>
        <v>2.3780487804878048</v>
      </c>
      <c r="Y138" s="271">
        <f t="shared" si="54"/>
        <v>0.42804878048780487</v>
      </c>
      <c r="Z138" s="267">
        <f t="shared" si="55"/>
        <v>3.8524390243902439E-2</v>
      </c>
      <c r="AA138" s="271">
        <f t="shared" si="56"/>
        <v>0.46657317073170729</v>
      </c>
      <c r="AB138" s="271">
        <f t="shared" si="57"/>
        <v>1.9114756097560974</v>
      </c>
      <c r="AC138" s="284">
        <f t="shared" si="58"/>
        <v>0.34091947968088221</v>
      </c>
      <c r="AD138" s="285">
        <f t="shared" si="59"/>
        <v>-1.3020859059963086E-2</v>
      </c>
      <c r="AE138" s="221" t="s">
        <v>269</v>
      </c>
    </row>
    <row r="139" spans="1:31" ht="40" customHeight="1" x14ac:dyDescent="0.2">
      <c r="A139" s="123">
        <v>135</v>
      </c>
      <c r="B139" s="274" t="s">
        <v>132</v>
      </c>
      <c r="C139" s="123">
        <v>1</v>
      </c>
      <c r="D139" s="123">
        <v>150</v>
      </c>
      <c r="E139" s="123">
        <f t="shared" si="47"/>
        <v>150</v>
      </c>
      <c r="F139" s="123" t="s">
        <v>269</v>
      </c>
      <c r="G139" s="123" t="s">
        <v>269</v>
      </c>
      <c r="H139" s="257">
        <v>135.75</v>
      </c>
      <c r="I139" s="257">
        <f t="shared" si="48"/>
        <v>0.90500000000000003</v>
      </c>
      <c r="J139" s="257">
        <f t="shared" si="40"/>
        <v>135.75</v>
      </c>
      <c r="K139" s="257"/>
      <c r="L139" s="257">
        <f t="shared" si="43"/>
        <v>0.2865737808739709</v>
      </c>
      <c r="M139" s="257">
        <f t="shared" si="49"/>
        <v>42.986067131095631</v>
      </c>
      <c r="N139" s="257">
        <f t="shared" si="51"/>
        <v>0.31236542115262828</v>
      </c>
      <c r="O139" s="257">
        <f t="shared" si="50"/>
        <v>46.854813172894239</v>
      </c>
      <c r="P139" s="257">
        <v>0.6</v>
      </c>
      <c r="Q139" s="257">
        <f t="shared" si="44"/>
        <v>90</v>
      </c>
      <c r="R139" s="257">
        <f t="shared" si="45"/>
        <v>0.2876345788473717</v>
      </c>
      <c r="S139" s="257">
        <f t="shared" si="42"/>
        <v>43.145186827105761</v>
      </c>
      <c r="T139" s="246">
        <f t="shared" si="46"/>
        <v>0.47939096474561954</v>
      </c>
      <c r="U139" s="123"/>
      <c r="V139" s="268">
        <f t="shared" si="52"/>
        <v>0.6</v>
      </c>
      <c r="W139" s="269">
        <v>0.18</v>
      </c>
      <c r="X139" s="270">
        <f t="shared" si="53"/>
        <v>0.7317073170731706</v>
      </c>
      <c r="Y139" s="271">
        <f t="shared" si="54"/>
        <v>0.13170731707317071</v>
      </c>
      <c r="Z139" s="267">
        <f t="shared" si="55"/>
        <v>1.1853658536585364E-2</v>
      </c>
      <c r="AA139" s="271">
        <f t="shared" si="56"/>
        <v>0.14356097560975609</v>
      </c>
      <c r="AB139" s="271">
        <f t="shared" si="57"/>
        <v>0.58814634146341449</v>
      </c>
      <c r="AC139" s="284">
        <f t="shared" si="58"/>
        <v>0.46889847112640948</v>
      </c>
      <c r="AD139" s="285">
        <f t="shared" si="59"/>
        <v>-1.0492493619210064E-2</v>
      </c>
      <c r="AE139" s="221" t="s">
        <v>269</v>
      </c>
    </row>
    <row r="140" spans="1:31" ht="40" customHeight="1" x14ac:dyDescent="0.2">
      <c r="A140" s="123">
        <v>136</v>
      </c>
      <c r="B140" s="274" t="s">
        <v>258</v>
      </c>
      <c r="C140" s="123">
        <v>1</v>
      </c>
      <c r="D140" s="123">
        <v>72</v>
      </c>
      <c r="E140" s="123">
        <f t="shared" si="47"/>
        <v>72</v>
      </c>
      <c r="F140" s="123" t="s">
        <v>269</v>
      </c>
      <c r="G140" s="123" t="s">
        <v>269</v>
      </c>
      <c r="H140" s="257">
        <f t="shared" ref="H140:H145" si="60">75.6*0.97</f>
        <v>73.331999999999994</v>
      </c>
      <c r="I140" s="257">
        <f t="shared" si="48"/>
        <v>1.0185</v>
      </c>
      <c r="J140" s="257">
        <f t="shared" si="40"/>
        <v>73.331999999999994</v>
      </c>
      <c r="K140" s="257"/>
      <c r="L140" s="257">
        <f t="shared" si="43"/>
        <v>0.32251424952501584</v>
      </c>
      <c r="M140" s="257">
        <f t="shared" si="49"/>
        <v>23.22102596580114</v>
      </c>
      <c r="N140" s="257">
        <f t="shared" si="51"/>
        <v>0.35154053198226731</v>
      </c>
      <c r="O140" s="257">
        <f t="shared" si="50"/>
        <v>25.310918302723245</v>
      </c>
      <c r="P140" s="257">
        <v>0.8</v>
      </c>
      <c r="Q140" s="257">
        <f t="shared" si="44"/>
        <v>57.6</v>
      </c>
      <c r="R140" s="257">
        <f t="shared" si="45"/>
        <v>0.44845946801773273</v>
      </c>
      <c r="S140" s="257">
        <f>Q140-O140</f>
        <v>32.289081697276757</v>
      </c>
      <c r="T140" s="246">
        <f t="shared" si="46"/>
        <v>0.56057433502216591</v>
      </c>
      <c r="U140" s="123"/>
      <c r="V140" s="268">
        <f t="shared" si="52"/>
        <v>0.8</v>
      </c>
      <c r="W140" s="269">
        <v>0.18</v>
      </c>
      <c r="X140" s="270">
        <f t="shared" si="53"/>
        <v>0.97560975609756095</v>
      </c>
      <c r="Y140" s="271">
        <f t="shared" si="54"/>
        <v>0.17560975609756097</v>
      </c>
      <c r="Z140" s="267">
        <f t="shared" si="55"/>
        <v>1.5804878048780488E-2</v>
      </c>
      <c r="AA140" s="271">
        <f t="shared" si="56"/>
        <v>0.19141463414634147</v>
      </c>
      <c r="AB140" s="271">
        <f t="shared" si="57"/>
        <v>0.78419512195121954</v>
      </c>
      <c r="AC140" s="284">
        <f t="shared" si="58"/>
        <v>0.55171803274219455</v>
      </c>
      <c r="AD140" s="285">
        <f t="shared" si="59"/>
        <v>-8.856302279971362E-3</v>
      </c>
      <c r="AE140" s="221" t="s">
        <v>269</v>
      </c>
    </row>
    <row r="141" spans="1:31" ht="40" customHeight="1" x14ac:dyDescent="0.2">
      <c r="A141" s="123">
        <v>137</v>
      </c>
      <c r="B141" s="274" t="s">
        <v>257</v>
      </c>
      <c r="C141" s="123">
        <v>1</v>
      </c>
      <c r="D141" s="123">
        <v>72</v>
      </c>
      <c r="E141" s="123">
        <f t="shared" si="47"/>
        <v>72</v>
      </c>
      <c r="F141" s="123" t="s">
        <v>269</v>
      </c>
      <c r="G141" s="123" t="s">
        <v>269</v>
      </c>
      <c r="H141" s="257">
        <f t="shared" si="60"/>
        <v>73.331999999999994</v>
      </c>
      <c r="I141" s="257">
        <f t="shared" si="48"/>
        <v>1.0185</v>
      </c>
      <c r="J141" s="257">
        <f t="shared" si="40"/>
        <v>73.331999999999994</v>
      </c>
      <c r="K141" s="257"/>
      <c r="L141" s="257">
        <f t="shared" si="43"/>
        <v>0.32251424952501584</v>
      </c>
      <c r="M141" s="257">
        <f t="shared" si="49"/>
        <v>23.22102596580114</v>
      </c>
      <c r="N141" s="257">
        <f t="shared" si="51"/>
        <v>0.35154053198226731</v>
      </c>
      <c r="O141" s="257">
        <f t="shared" si="50"/>
        <v>25.310918302723245</v>
      </c>
      <c r="P141" s="257">
        <v>0.8</v>
      </c>
      <c r="Q141" s="257">
        <f t="shared" si="44"/>
        <v>57.6</v>
      </c>
      <c r="R141" s="257">
        <f t="shared" si="45"/>
        <v>0.44845946801773273</v>
      </c>
      <c r="S141" s="257">
        <f t="shared" si="42"/>
        <v>32.289081697276757</v>
      </c>
      <c r="T141" s="246">
        <f t="shared" si="46"/>
        <v>0.56057433502216591</v>
      </c>
      <c r="U141" s="123"/>
      <c r="V141" s="268">
        <f t="shared" si="52"/>
        <v>0.8</v>
      </c>
      <c r="W141" s="269">
        <v>0.18</v>
      </c>
      <c r="X141" s="270">
        <f t="shared" si="53"/>
        <v>0.97560975609756095</v>
      </c>
      <c r="Y141" s="271">
        <f t="shared" si="54"/>
        <v>0.17560975609756097</v>
      </c>
      <c r="Z141" s="267">
        <f t="shared" si="55"/>
        <v>1.5804878048780488E-2</v>
      </c>
      <c r="AA141" s="271">
        <f t="shared" si="56"/>
        <v>0.19141463414634147</v>
      </c>
      <c r="AB141" s="271">
        <f t="shared" si="57"/>
        <v>0.78419512195121954</v>
      </c>
      <c r="AC141" s="284">
        <f t="shared" si="58"/>
        <v>0.55171803274219455</v>
      </c>
      <c r="AD141" s="285">
        <f t="shared" si="59"/>
        <v>-8.856302279971362E-3</v>
      </c>
      <c r="AE141" s="221" t="s">
        <v>269</v>
      </c>
    </row>
    <row r="142" spans="1:31" ht="40" customHeight="1" x14ac:dyDescent="0.2">
      <c r="A142" s="123">
        <v>138</v>
      </c>
      <c r="B142" s="274" t="s">
        <v>256</v>
      </c>
      <c r="C142" s="123">
        <v>1</v>
      </c>
      <c r="D142" s="123">
        <v>72</v>
      </c>
      <c r="E142" s="123">
        <f t="shared" si="47"/>
        <v>72</v>
      </c>
      <c r="F142" s="123" t="s">
        <v>269</v>
      </c>
      <c r="G142" s="123" t="s">
        <v>269</v>
      </c>
      <c r="H142" s="257">
        <f t="shared" si="60"/>
        <v>73.331999999999994</v>
      </c>
      <c r="I142" s="257">
        <f t="shared" si="48"/>
        <v>1.0185</v>
      </c>
      <c r="J142" s="257">
        <f t="shared" si="40"/>
        <v>73.331999999999994</v>
      </c>
      <c r="K142" s="257"/>
      <c r="L142" s="257">
        <f t="shared" si="43"/>
        <v>0.32251424952501584</v>
      </c>
      <c r="M142" s="257">
        <f t="shared" si="49"/>
        <v>23.22102596580114</v>
      </c>
      <c r="N142" s="257">
        <f t="shared" si="51"/>
        <v>0.35154053198226731</v>
      </c>
      <c r="O142" s="257">
        <f t="shared" si="50"/>
        <v>25.310918302723245</v>
      </c>
      <c r="P142" s="257">
        <v>0.8</v>
      </c>
      <c r="Q142" s="257">
        <f t="shared" si="44"/>
        <v>57.6</v>
      </c>
      <c r="R142" s="257">
        <f t="shared" si="45"/>
        <v>0.44845946801773273</v>
      </c>
      <c r="S142" s="257">
        <f t="shared" si="42"/>
        <v>32.289081697276757</v>
      </c>
      <c r="T142" s="246">
        <f t="shared" si="46"/>
        <v>0.56057433502216591</v>
      </c>
      <c r="U142" s="123"/>
      <c r="V142" s="268">
        <f t="shared" si="52"/>
        <v>0.8</v>
      </c>
      <c r="W142" s="269">
        <v>0.18</v>
      </c>
      <c r="X142" s="270">
        <f t="shared" si="53"/>
        <v>0.97560975609756095</v>
      </c>
      <c r="Y142" s="271">
        <f t="shared" si="54"/>
        <v>0.17560975609756097</v>
      </c>
      <c r="Z142" s="267">
        <f t="shared" si="55"/>
        <v>1.5804878048780488E-2</v>
      </c>
      <c r="AA142" s="271">
        <f t="shared" si="56"/>
        <v>0.19141463414634147</v>
      </c>
      <c r="AB142" s="271">
        <f t="shared" si="57"/>
        <v>0.78419512195121954</v>
      </c>
      <c r="AC142" s="284">
        <f t="shared" si="58"/>
        <v>0.55171803274219455</v>
      </c>
      <c r="AD142" s="285">
        <f t="shared" si="59"/>
        <v>-8.856302279971362E-3</v>
      </c>
      <c r="AE142" s="221" t="s">
        <v>269</v>
      </c>
    </row>
    <row r="143" spans="1:31" ht="40" customHeight="1" x14ac:dyDescent="0.2">
      <c r="A143" s="123">
        <v>139</v>
      </c>
      <c r="B143" s="274" t="s">
        <v>253</v>
      </c>
      <c r="C143" s="123">
        <v>1</v>
      </c>
      <c r="D143" s="123">
        <v>72</v>
      </c>
      <c r="E143" s="123">
        <f t="shared" si="47"/>
        <v>72</v>
      </c>
      <c r="F143" s="123" t="s">
        <v>269</v>
      </c>
      <c r="G143" s="123" t="s">
        <v>269</v>
      </c>
      <c r="H143" s="257">
        <f t="shared" si="60"/>
        <v>73.331999999999994</v>
      </c>
      <c r="I143" s="257">
        <f t="shared" si="48"/>
        <v>1.0185</v>
      </c>
      <c r="J143" s="257">
        <f t="shared" si="40"/>
        <v>73.331999999999994</v>
      </c>
      <c r="K143" s="257"/>
      <c r="L143" s="257">
        <f t="shared" si="43"/>
        <v>0.32251424952501584</v>
      </c>
      <c r="M143" s="257">
        <f t="shared" si="49"/>
        <v>23.22102596580114</v>
      </c>
      <c r="N143" s="257">
        <f t="shared" si="51"/>
        <v>0.35154053198226731</v>
      </c>
      <c r="O143" s="257">
        <f t="shared" si="50"/>
        <v>25.310918302723245</v>
      </c>
      <c r="P143" s="257">
        <v>0.8</v>
      </c>
      <c r="Q143" s="257">
        <f t="shared" si="44"/>
        <v>57.6</v>
      </c>
      <c r="R143" s="257">
        <f t="shared" si="45"/>
        <v>0.44845946801773273</v>
      </c>
      <c r="S143" s="257">
        <f t="shared" si="42"/>
        <v>32.289081697276757</v>
      </c>
      <c r="T143" s="246">
        <f t="shared" si="46"/>
        <v>0.56057433502216591</v>
      </c>
      <c r="U143" s="123"/>
      <c r="V143" s="268">
        <f t="shared" si="52"/>
        <v>0.8</v>
      </c>
      <c r="W143" s="269">
        <v>0.18</v>
      </c>
      <c r="X143" s="270">
        <f t="shared" si="53"/>
        <v>0.97560975609756095</v>
      </c>
      <c r="Y143" s="271">
        <f t="shared" si="54"/>
        <v>0.17560975609756097</v>
      </c>
      <c r="Z143" s="267">
        <f t="shared" si="55"/>
        <v>1.5804878048780488E-2</v>
      </c>
      <c r="AA143" s="271">
        <f t="shared" si="56"/>
        <v>0.19141463414634147</v>
      </c>
      <c r="AB143" s="271">
        <f t="shared" si="57"/>
        <v>0.78419512195121954</v>
      </c>
      <c r="AC143" s="284">
        <f t="shared" si="58"/>
        <v>0.55171803274219455</v>
      </c>
      <c r="AD143" s="285">
        <f t="shared" si="59"/>
        <v>-8.856302279971362E-3</v>
      </c>
      <c r="AE143" s="221" t="s">
        <v>269</v>
      </c>
    </row>
    <row r="144" spans="1:31" ht="40" customHeight="1" x14ac:dyDescent="0.2">
      <c r="A144" s="123">
        <v>140</v>
      </c>
      <c r="B144" s="274" t="s">
        <v>254</v>
      </c>
      <c r="C144" s="123">
        <v>1</v>
      </c>
      <c r="D144" s="123">
        <v>72</v>
      </c>
      <c r="E144" s="123">
        <f t="shared" si="47"/>
        <v>72</v>
      </c>
      <c r="F144" s="123" t="s">
        <v>269</v>
      </c>
      <c r="G144" s="123" t="s">
        <v>269</v>
      </c>
      <c r="H144" s="257">
        <f t="shared" si="60"/>
        <v>73.331999999999994</v>
      </c>
      <c r="I144" s="257">
        <f t="shared" si="48"/>
        <v>1.0185</v>
      </c>
      <c r="J144" s="257">
        <f t="shared" ref="J144:J184" si="61">I144*E144</f>
        <v>73.331999999999994</v>
      </c>
      <c r="K144" s="257"/>
      <c r="L144" s="257">
        <f t="shared" si="43"/>
        <v>0.32251424952501584</v>
      </c>
      <c r="M144" s="257">
        <f t="shared" si="49"/>
        <v>23.22102596580114</v>
      </c>
      <c r="N144" s="257">
        <f t="shared" si="51"/>
        <v>0.35154053198226731</v>
      </c>
      <c r="O144" s="257">
        <f t="shared" si="50"/>
        <v>25.310918302723245</v>
      </c>
      <c r="P144" s="257">
        <v>0.8</v>
      </c>
      <c r="Q144" s="257">
        <f t="shared" si="44"/>
        <v>57.6</v>
      </c>
      <c r="R144" s="257">
        <f t="shared" si="45"/>
        <v>0.44845946801773273</v>
      </c>
      <c r="S144" s="257">
        <f t="shared" si="42"/>
        <v>32.289081697276757</v>
      </c>
      <c r="T144" s="246">
        <f t="shared" si="46"/>
        <v>0.56057433502216591</v>
      </c>
      <c r="U144" s="123"/>
      <c r="V144" s="268">
        <f t="shared" si="52"/>
        <v>0.8</v>
      </c>
      <c r="W144" s="269">
        <v>0.18</v>
      </c>
      <c r="X144" s="270">
        <f t="shared" si="53"/>
        <v>0.97560975609756095</v>
      </c>
      <c r="Y144" s="271">
        <f t="shared" si="54"/>
        <v>0.17560975609756097</v>
      </c>
      <c r="Z144" s="267">
        <f t="shared" si="55"/>
        <v>1.5804878048780488E-2</v>
      </c>
      <c r="AA144" s="271">
        <f t="shared" si="56"/>
        <v>0.19141463414634147</v>
      </c>
      <c r="AB144" s="271">
        <f t="shared" si="57"/>
        <v>0.78419512195121954</v>
      </c>
      <c r="AC144" s="284">
        <f t="shared" si="58"/>
        <v>0.55171803274219455</v>
      </c>
      <c r="AD144" s="285">
        <f t="shared" si="59"/>
        <v>-8.856302279971362E-3</v>
      </c>
      <c r="AE144" s="221" t="s">
        <v>269</v>
      </c>
    </row>
    <row r="145" spans="1:31" ht="40" customHeight="1" x14ac:dyDescent="0.2">
      <c r="A145" s="123">
        <v>141</v>
      </c>
      <c r="B145" s="274" t="s">
        <v>255</v>
      </c>
      <c r="C145" s="123">
        <v>1</v>
      </c>
      <c r="D145" s="123">
        <v>72</v>
      </c>
      <c r="E145" s="123">
        <f t="shared" si="47"/>
        <v>72</v>
      </c>
      <c r="F145" s="123" t="s">
        <v>269</v>
      </c>
      <c r="G145" s="123" t="s">
        <v>269</v>
      </c>
      <c r="H145" s="257">
        <f t="shared" si="60"/>
        <v>73.331999999999994</v>
      </c>
      <c r="I145" s="257">
        <f t="shared" si="48"/>
        <v>1.0185</v>
      </c>
      <c r="J145" s="257">
        <f t="shared" si="61"/>
        <v>73.331999999999994</v>
      </c>
      <c r="K145" s="257"/>
      <c r="L145" s="257">
        <f t="shared" si="43"/>
        <v>0.32251424952501584</v>
      </c>
      <c r="M145" s="257">
        <f t="shared" si="49"/>
        <v>23.22102596580114</v>
      </c>
      <c r="N145" s="257">
        <f t="shared" si="51"/>
        <v>0.35154053198226731</v>
      </c>
      <c r="O145" s="257">
        <f t="shared" si="50"/>
        <v>25.310918302723245</v>
      </c>
      <c r="P145" s="257">
        <v>0.8</v>
      </c>
      <c r="Q145" s="257">
        <f t="shared" si="44"/>
        <v>57.6</v>
      </c>
      <c r="R145" s="257">
        <f t="shared" si="45"/>
        <v>0.44845946801773273</v>
      </c>
      <c r="S145" s="257">
        <f t="shared" si="42"/>
        <v>32.289081697276757</v>
      </c>
      <c r="T145" s="246">
        <f t="shared" si="46"/>
        <v>0.56057433502216591</v>
      </c>
      <c r="U145" s="123"/>
      <c r="V145" s="268">
        <f t="shared" si="52"/>
        <v>0.8</v>
      </c>
      <c r="W145" s="269">
        <v>0.18</v>
      </c>
      <c r="X145" s="270">
        <f t="shared" si="53"/>
        <v>0.97560975609756095</v>
      </c>
      <c r="Y145" s="271">
        <f t="shared" si="54"/>
        <v>0.17560975609756097</v>
      </c>
      <c r="Z145" s="267">
        <f t="shared" si="55"/>
        <v>1.5804878048780488E-2</v>
      </c>
      <c r="AA145" s="271">
        <f t="shared" si="56"/>
        <v>0.19141463414634147</v>
      </c>
      <c r="AB145" s="271">
        <f t="shared" si="57"/>
        <v>0.78419512195121954</v>
      </c>
      <c r="AC145" s="284">
        <f t="shared" si="58"/>
        <v>0.55171803274219455</v>
      </c>
      <c r="AD145" s="285">
        <f t="shared" si="59"/>
        <v>-8.856302279971362E-3</v>
      </c>
      <c r="AE145" s="221" t="s">
        <v>269</v>
      </c>
    </row>
    <row r="146" spans="1:31" ht="40" customHeight="1" x14ac:dyDescent="0.2">
      <c r="A146" s="123">
        <v>142</v>
      </c>
      <c r="B146" s="274" t="s">
        <v>139</v>
      </c>
      <c r="C146" s="123">
        <v>1</v>
      </c>
      <c r="D146" s="123">
        <v>48</v>
      </c>
      <c r="E146" s="123">
        <f t="shared" si="47"/>
        <v>48</v>
      </c>
      <c r="F146" s="123" t="s">
        <v>269</v>
      </c>
      <c r="G146" s="123" t="s">
        <v>269</v>
      </c>
      <c r="H146" s="257">
        <v>216.8</v>
      </c>
      <c r="I146" s="257">
        <f t="shared" si="48"/>
        <v>4.5166666666666666</v>
      </c>
      <c r="J146" s="257">
        <f t="shared" si="61"/>
        <v>216.8</v>
      </c>
      <c r="K146" s="257"/>
      <c r="L146" s="257">
        <f t="shared" si="43"/>
        <v>1.4302301034409963</v>
      </c>
      <c r="M146" s="257">
        <f t="shared" si="49"/>
        <v>68.651044965167827</v>
      </c>
      <c r="N146" s="257">
        <f t="shared" si="51"/>
        <v>1.5589508127506861</v>
      </c>
      <c r="O146" s="257">
        <f t="shared" si="50"/>
        <v>74.829639012032942</v>
      </c>
      <c r="P146" s="257">
        <v>2.5</v>
      </c>
      <c r="Q146" s="257">
        <f t="shared" si="44"/>
        <v>120</v>
      </c>
      <c r="R146" s="257">
        <f t="shared" si="45"/>
        <v>0.94104918724931386</v>
      </c>
      <c r="S146" s="257">
        <f t="shared" si="42"/>
        <v>45.170360987967058</v>
      </c>
      <c r="T146" s="246">
        <f t="shared" si="46"/>
        <v>0.37641967489972555</v>
      </c>
      <c r="U146" s="123"/>
      <c r="V146" s="268">
        <f t="shared" si="52"/>
        <v>2.5</v>
      </c>
      <c r="W146" s="269">
        <v>0.18</v>
      </c>
      <c r="X146" s="270">
        <f t="shared" si="53"/>
        <v>3.0487804878048776</v>
      </c>
      <c r="Y146" s="271">
        <f t="shared" si="54"/>
        <v>0.54878048780487798</v>
      </c>
      <c r="Z146" s="267">
        <f t="shared" si="55"/>
        <v>4.939024390243902E-2</v>
      </c>
      <c r="AA146" s="271">
        <f t="shared" si="56"/>
        <v>0.59817073170731705</v>
      </c>
      <c r="AB146" s="271">
        <f t="shared" si="57"/>
        <v>2.4506097560975606</v>
      </c>
      <c r="AC146" s="284">
        <f t="shared" si="58"/>
        <v>0.3638518703878762</v>
      </c>
      <c r="AD146" s="285">
        <f t="shared" si="59"/>
        <v>-1.2567804511849356E-2</v>
      </c>
      <c r="AE146" s="221" t="s">
        <v>269</v>
      </c>
    </row>
    <row r="147" spans="1:31" ht="40" customHeight="1" x14ac:dyDescent="0.2">
      <c r="A147" s="123">
        <v>143</v>
      </c>
      <c r="B147" s="274" t="s">
        <v>140</v>
      </c>
      <c r="C147" s="123">
        <v>1</v>
      </c>
      <c r="D147" s="123">
        <v>48</v>
      </c>
      <c r="E147" s="123">
        <f t="shared" si="47"/>
        <v>48</v>
      </c>
      <c r="F147" s="123" t="s">
        <v>269</v>
      </c>
      <c r="G147" s="123" t="s">
        <v>269</v>
      </c>
      <c r="H147" s="257">
        <v>216</v>
      </c>
      <c r="I147" s="257">
        <f t="shared" si="48"/>
        <v>4.5</v>
      </c>
      <c r="J147" s="257">
        <f t="shared" si="61"/>
        <v>216</v>
      </c>
      <c r="K147" s="257"/>
      <c r="L147" s="257">
        <f t="shared" si="43"/>
        <v>1.4249525015832807</v>
      </c>
      <c r="M147" s="257">
        <f t="shared" si="49"/>
        <v>68.397720075997469</v>
      </c>
      <c r="N147" s="257">
        <f t="shared" si="51"/>
        <v>1.553198226725776</v>
      </c>
      <c r="O147" s="257">
        <f t="shared" si="50"/>
        <v>74.553514882837248</v>
      </c>
      <c r="P147" s="257">
        <v>2.5</v>
      </c>
      <c r="Q147" s="257">
        <f t="shared" si="44"/>
        <v>120</v>
      </c>
      <c r="R147" s="257">
        <f t="shared" si="45"/>
        <v>0.94680177327422399</v>
      </c>
      <c r="S147" s="257">
        <f t="shared" si="42"/>
        <v>45.446485117162752</v>
      </c>
      <c r="T147" s="246">
        <f t="shared" si="46"/>
        <v>0.3787207093096896</v>
      </c>
      <c r="U147" s="123"/>
      <c r="V147" s="268">
        <f t="shared" si="52"/>
        <v>2.5</v>
      </c>
      <c r="W147" s="269">
        <v>0.18</v>
      </c>
      <c r="X147" s="270">
        <f t="shared" si="53"/>
        <v>3.0487804878048776</v>
      </c>
      <c r="Y147" s="271">
        <f t="shared" si="54"/>
        <v>0.54878048780487798</v>
      </c>
      <c r="Z147" s="267">
        <f t="shared" si="55"/>
        <v>4.939024390243902E-2</v>
      </c>
      <c r="AA147" s="271">
        <f t="shared" si="56"/>
        <v>0.59817073170731705</v>
      </c>
      <c r="AB147" s="271">
        <f t="shared" si="57"/>
        <v>2.4506097560975606</v>
      </c>
      <c r="AC147" s="284">
        <f t="shared" si="58"/>
        <v>0.36619928046024558</v>
      </c>
      <c r="AD147" s="285">
        <f t="shared" si="59"/>
        <v>-1.2521428849444016E-2</v>
      </c>
      <c r="AE147" s="221" t="s">
        <v>269</v>
      </c>
    </row>
    <row r="148" spans="1:31" ht="40" customHeight="1" x14ac:dyDescent="0.2">
      <c r="A148" s="123">
        <v>144</v>
      </c>
      <c r="B148" s="274" t="s">
        <v>141</v>
      </c>
      <c r="C148" s="123">
        <v>1</v>
      </c>
      <c r="D148" s="123">
        <v>48</v>
      </c>
      <c r="E148" s="123">
        <f t="shared" si="47"/>
        <v>48</v>
      </c>
      <c r="F148" s="123" t="s">
        <v>269</v>
      </c>
      <c r="G148" s="123" t="s">
        <v>269</v>
      </c>
      <c r="H148" s="257">
        <v>216</v>
      </c>
      <c r="I148" s="257">
        <f t="shared" si="48"/>
        <v>4.5</v>
      </c>
      <c r="J148" s="257">
        <f t="shared" si="61"/>
        <v>216</v>
      </c>
      <c r="K148" s="257"/>
      <c r="L148" s="257">
        <f t="shared" si="43"/>
        <v>1.4249525015832807</v>
      </c>
      <c r="M148" s="257">
        <f t="shared" si="49"/>
        <v>68.397720075997469</v>
      </c>
      <c r="N148" s="257">
        <f t="shared" si="51"/>
        <v>1.553198226725776</v>
      </c>
      <c r="O148" s="257">
        <f t="shared" si="50"/>
        <v>74.553514882837248</v>
      </c>
      <c r="P148" s="257">
        <v>2.5</v>
      </c>
      <c r="Q148" s="257">
        <f t="shared" si="44"/>
        <v>120</v>
      </c>
      <c r="R148" s="257">
        <f t="shared" si="45"/>
        <v>0.94680177327422399</v>
      </c>
      <c r="S148" s="257">
        <f t="shared" si="42"/>
        <v>45.446485117162752</v>
      </c>
      <c r="T148" s="246">
        <f t="shared" si="46"/>
        <v>0.3787207093096896</v>
      </c>
      <c r="U148" s="123"/>
      <c r="V148" s="268">
        <f t="shared" si="52"/>
        <v>2.5</v>
      </c>
      <c r="W148" s="269">
        <v>0.18</v>
      </c>
      <c r="X148" s="270">
        <f t="shared" si="53"/>
        <v>3.0487804878048776</v>
      </c>
      <c r="Y148" s="271">
        <f t="shared" si="54"/>
        <v>0.54878048780487798</v>
      </c>
      <c r="Z148" s="267">
        <f t="shared" si="55"/>
        <v>4.939024390243902E-2</v>
      </c>
      <c r="AA148" s="271">
        <f t="shared" si="56"/>
        <v>0.59817073170731705</v>
      </c>
      <c r="AB148" s="271">
        <f t="shared" si="57"/>
        <v>2.4506097560975606</v>
      </c>
      <c r="AC148" s="284">
        <f t="shared" si="58"/>
        <v>0.36619928046024558</v>
      </c>
      <c r="AD148" s="285">
        <f t="shared" si="59"/>
        <v>-1.2521428849444016E-2</v>
      </c>
      <c r="AE148" s="221" t="s">
        <v>269</v>
      </c>
    </row>
    <row r="149" spans="1:31" ht="40" customHeight="1" x14ac:dyDescent="0.2">
      <c r="A149" s="123">
        <v>145</v>
      </c>
      <c r="B149" s="274" t="s">
        <v>142</v>
      </c>
      <c r="C149" s="123">
        <v>1</v>
      </c>
      <c r="D149" s="123">
        <v>48</v>
      </c>
      <c r="E149" s="123">
        <f t="shared" si="47"/>
        <v>48</v>
      </c>
      <c r="F149" s="123" t="s">
        <v>269</v>
      </c>
      <c r="G149" s="123" t="s">
        <v>269</v>
      </c>
      <c r="H149" s="257">
        <v>216</v>
      </c>
      <c r="I149" s="257">
        <f t="shared" si="48"/>
        <v>4.5</v>
      </c>
      <c r="J149" s="257">
        <f t="shared" si="61"/>
        <v>216</v>
      </c>
      <c r="K149" s="257"/>
      <c r="L149" s="257">
        <f t="shared" si="43"/>
        <v>1.4249525015832807</v>
      </c>
      <c r="M149" s="257">
        <f t="shared" si="49"/>
        <v>68.397720075997469</v>
      </c>
      <c r="N149" s="257">
        <f t="shared" si="51"/>
        <v>1.553198226725776</v>
      </c>
      <c r="O149" s="257">
        <f t="shared" si="50"/>
        <v>74.553514882837248</v>
      </c>
      <c r="P149" s="257">
        <v>2.5</v>
      </c>
      <c r="Q149" s="257">
        <f t="shared" si="44"/>
        <v>120</v>
      </c>
      <c r="R149" s="257">
        <f t="shared" si="45"/>
        <v>0.94680177327422399</v>
      </c>
      <c r="S149" s="257">
        <f t="shared" si="42"/>
        <v>45.446485117162752</v>
      </c>
      <c r="T149" s="246">
        <f t="shared" si="46"/>
        <v>0.3787207093096896</v>
      </c>
      <c r="U149" s="123"/>
      <c r="V149" s="268">
        <f t="shared" si="52"/>
        <v>2.5</v>
      </c>
      <c r="W149" s="269">
        <v>0.18</v>
      </c>
      <c r="X149" s="270">
        <f t="shared" si="53"/>
        <v>3.0487804878048776</v>
      </c>
      <c r="Y149" s="271">
        <f t="shared" si="54"/>
        <v>0.54878048780487798</v>
      </c>
      <c r="Z149" s="267">
        <f t="shared" si="55"/>
        <v>4.939024390243902E-2</v>
      </c>
      <c r="AA149" s="271">
        <f t="shared" si="56"/>
        <v>0.59817073170731705</v>
      </c>
      <c r="AB149" s="271">
        <f t="shared" si="57"/>
        <v>2.4506097560975606</v>
      </c>
      <c r="AC149" s="284">
        <f t="shared" si="58"/>
        <v>0.36619928046024558</v>
      </c>
      <c r="AD149" s="285">
        <f t="shared" si="59"/>
        <v>-1.2521428849444016E-2</v>
      </c>
      <c r="AE149" s="221" t="s">
        <v>269</v>
      </c>
    </row>
    <row r="150" spans="1:31" ht="40" customHeight="1" x14ac:dyDescent="0.2">
      <c r="A150" s="123">
        <v>146</v>
      </c>
      <c r="B150" s="274" t="s">
        <v>143</v>
      </c>
      <c r="C150" s="123">
        <v>1</v>
      </c>
      <c r="D150" s="123">
        <v>48</v>
      </c>
      <c r="E150" s="123">
        <f t="shared" si="47"/>
        <v>48</v>
      </c>
      <c r="F150" s="123" t="s">
        <v>269</v>
      </c>
      <c r="G150" s="123" t="s">
        <v>269</v>
      </c>
      <c r="H150" s="257">
        <v>216</v>
      </c>
      <c r="I150" s="257">
        <f t="shared" si="48"/>
        <v>4.5</v>
      </c>
      <c r="J150" s="257">
        <f t="shared" si="61"/>
        <v>216</v>
      </c>
      <c r="K150" s="257"/>
      <c r="L150" s="257">
        <f t="shared" si="43"/>
        <v>1.4249525015832807</v>
      </c>
      <c r="M150" s="257">
        <f t="shared" si="49"/>
        <v>68.397720075997469</v>
      </c>
      <c r="N150" s="257">
        <f t="shared" si="51"/>
        <v>1.553198226725776</v>
      </c>
      <c r="O150" s="257">
        <f t="shared" si="50"/>
        <v>74.553514882837248</v>
      </c>
      <c r="P150" s="257">
        <v>2.5</v>
      </c>
      <c r="Q150" s="257">
        <f t="shared" si="44"/>
        <v>120</v>
      </c>
      <c r="R150" s="257">
        <f t="shared" si="45"/>
        <v>0.94680177327422399</v>
      </c>
      <c r="S150" s="257">
        <f t="shared" si="42"/>
        <v>45.446485117162752</v>
      </c>
      <c r="T150" s="246">
        <f t="shared" si="46"/>
        <v>0.3787207093096896</v>
      </c>
      <c r="U150" s="123"/>
      <c r="V150" s="268">
        <f t="shared" si="52"/>
        <v>2.5</v>
      </c>
      <c r="W150" s="269">
        <v>0.18</v>
      </c>
      <c r="X150" s="270">
        <f t="shared" si="53"/>
        <v>3.0487804878048776</v>
      </c>
      <c r="Y150" s="271">
        <f t="shared" si="54"/>
        <v>0.54878048780487798</v>
      </c>
      <c r="Z150" s="267">
        <f t="shared" si="55"/>
        <v>4.939024390243902E-2</v>
      </c>
      <c r="AA150" s="271">
        <f t="shared" si="56"/>
        <v>0.59817073170731705</v>
      </c>
      <c r="AB150" s="271">
        <f t="shared" si="57"/>
        <v>2.4506097560975606</v>
      </c>
      <c r="AC150" s="284">
        <f t="shared" si="58"/>
        <v>0.36619928046024558</v>
      </c>
      <c r="AD150" s="285">
        <f t="shared" si="59"/>
        <v>-1.2521428849444016E-2</v>
      </c>
      <c r="AE150" s="221" t="s">
        <v>269</v>
      </c>
    </row>
    <row r="151" spans="1:31" ht="40" customHeight="1" x14ac:dyDescent="0.2">
      <c r="A151" s="123">
        <v>147</v>
      </c>
      <c r="B151" s="274" t="s">
        <v>144</v>
      </c>
      <c r="C151" s="123">
        <v>1</v>
      </c>
      <c r="D151" s="123">
        <v>12</v>
      </c>
      <c r="E151" s="123">
        <f t="shared" si="47"/>
        <v>12</v>
      </c>
      <c r="F151" s="123" t="s">
        <v>269</v>
      </c>
      <c r="G151" s="123" t="s">
        <v>269</v>
      </c>
      <c r="H151" s="257">
        <v>92.4</v>
      </c>
      <c r="I151" s="257">
        <f t="shared" si="48"/>
        <v>7.7</v>
      </c>
      <c r="J151" s="257">
        <f t="shared" si="61"/>
        <v>92.4</v>
      </c>
      <c r="K151" s="257"/>
      <c r="L151" s="257">
        <f t="shared" si="43"/>
        <v>2.4382520582647245</v>
      </c>
      <c r="M151" s="257">
        <f t="shared" si="49"/>
        <v>29.259024699176695</v>
      </c>
      <c r="N151" s="257">
        <f t="shared" si="51"/>
        <v>2.6576947435085501</v>
      </c>
      <c r="O151" s="257">
        <f t="shared" si="50"/>
        <v>31.892336922102601</v>
      </c>
      <c r="P151" s="257">
        <v>3.95</v>
      </c>
      <c r="Q151" s="257">
        <f t="shared" si="44"/>
        <v>47.400000000000006</v>
      </c>
      <c r="R151" s="257">
        <f t="shared" si="45"/>
        <v>1.2923052564914501</v>
      </c>
      <c r="S151" s="257">
        <f t="shared" si="42"/>
        <v>15.507663077897405</v>
      </c>
      <c r="T151" s="246">
        <f t="shared" si="46"/>
        <v>0.32716588771935445</v>
      </c>
      <c r="U151" s="123"/>
      <c r="V151" s="268">
        <f t="shared" si="52"/>
        <v>3.95</v>
      </c>
      <c r="W151" s="269">
        <v>0.18</v>
      </c>
      <c r="X151" s="270">
        <f t="shared" si="53"/>
        <v>4.8170731707317076</v>
      </c>
      <c r="Y151" s="271">
        <f t="shared" si="54"/>
        <v>0.86707317073170731</v>
      </c>
      <c r="Z151" s="267">
        <f t="shared" si="55"/>
        <v>7.8036585365853658E-2</v>
      </c>
      <c r="AA151" s="271">
        <f t="shared" si="56"/>
        <v>0.94510975609756098</v>
      </c>
      <c r="AB151" s="271">
        <f t="shared" si="57"/>
        <v>3.8719634146341466</v>
      </c>
      <c r="AC151" s="284">
        <f t="shared" si="58"/>
        <v>0.31360540921855024</v>
      </c>
      <c r="AD151" s="285">
        <f t="shared" si="59"/>
        <v>-1.3560478500804218E-2</v>
      </c>
      <c r="AE151" s="221" t="s">
        <v>269</v>
      </c>
    </row>
    <row r="152" spans="1:31" ht="40" customHeight="1" x14ac:dyDescent="0.2">
      <c r="A152" s="123">
        <v>148</v>
      </c>
      <c r="B152" s="274" t="s">
        <v>145</v>
      </c>
      <c r="C152" s="123">
        <v>1</v>
      </c>
      <c r="D152" s="123">
        <v>24</v>
      </c>
      <c r="E152" s="123">
        <f t="shared" si="47"/>
        <v>24</v>
      </c>
      <c r="F152" s="123" t="s">
        <v>269</v>
      </c>
      <c r="G152" s="123" t="s">
        <v>269</v>
      </c>
      <c r="H152" s="257">
        <f>72*0.95</f>
        <v>68.399999999999991</v>
      </c>
      <c r="I152" s="257">
        <f t="shared" si="48"/>
        <v>2.8499999999999996</v>
      </c>
      <c r="J152" s="257">
        <f t="shared" si="61"/>
        <v>68.399999999999991</v>
      </c>
      <c r="K152" s="257"/>
      <c r="L152" s="257">
        <f t="shared" si="43"/>
        <v>0.90246991766941098</v>
      </c>
      <c r="M152" s="257">
        <f t="shared" si="49"/>
        <v>21.659278024065863</v>
      </c>
      <c r="N152" s="257">
        <f t="shared" si="51"/>
        <v>0.98369221025965803</v>
      </c>
      <c r="O152" s="257">
        <f t="shared" si="50"/>
        <v>23.608613046231792</v>
      </c>
      <c r="P152" s="257">
        <v>1.95</v>
      </c>
      <c r="Q152" s="257">
        <f t="shared" si="44"/>
        <v>46.8</v>
      </c>
      <c r="R152" s="257">
        <f t="shared" si="45"/>
        <v>0.96630778974034193</v>
      </c>
      <c r="S152" s="257">
        <f t="shared" si="42"/>
        <v>23.191386953768205</v>
      </c>
      <c r="T152" s="246">
        <f t="shared" si="46"/>
        <v>0.49554245627709842</v>
      </c>
      <c r="U152" s="123"/>
      <c r="V152" s="268">
        <f t="shared" si="52"/>
        <v>1.95</v>
      </c>
      <c r="W152" s="269">
        <v>0.18</v>
      </c>
      <c r="X152" s="270">
        <f t="shared" si="53"/>
        <v>2.3780487804878048</v>
      </c>
      <c r="Y152" s="271">
        <f t="shared" si="54"/>
        <v>0.42804878048780487</v>
      </c>
      <c r="Z152" s="267">
        <f t="shared" si="55"/>
        <v>3.8524390243902439E-2</v>
      </c>
      <c r="AA152" s="271">
        <f t="shared" si="56"/>
        <v>0.46657317073170729</v>
      </c>
      <c r="AB152" s="271">
        <f t="shared" si="57"/>
        <v>1.9114756097560974</v>
      </c>
      <c r="AC152" s="284">
        <f t="shared" si="58"/>
        <v>0.48537548413438752</v>
      </c>
      <c r="AD152" s="285">
        <f t="shared" si="59"/>
        <v>-1.0166972142710895E-2</v>
      </c>
      <c r="AE152" s="221" t="s">
        <v>269</v>
      </c>
    </row>
    <row r="153" spans="1:31" ht="40" customHeight="1" x14ac:dyDescent="0.2">
      <c r="A153" s="123">
        <v>149</v>
      </c>
      <c r="B153" s="274" t="s">
        <v>146</v>
      </c>
      <c r="C153" s="123">
        <v>1</v>
      </c>
      <c r="D153" s="123">
        <v>60</v>
      </c>
      <c r="E153" s="123">
        <f t="shared" si="47"/>
        <v>60</v>
      </c>
      <c r="F153" s="123" t="s">
        <v>269</v>
      </c>
      <c r="G153" s="123" t="s">
        <v>269</v>
      </c>
      <c r="H153" s="257">
        <v>85.2</v>
      </c>
      <c r="I153" s="257">
        <f t="shared" si="48"/>
        <v>1.4200000000000002</v>
      </c>
      <c r="J153" s="257">
        <f t="shared" si="61"/>
        <v>85.2</v>
      </c>
      <c r="K153" s="257"/>
      <c r="L153" s="257">
        <f t="shared" si="43"/>
        <v>0.44965167827739083</v>
      </c>
      <c r="M153" s="257">
        <f t="shared" si="49"/>
        <v>26.979100696643446</v>
      </c>
      <c r="N153" s="257">
        <f t="shared" si="51"/>
        <v>0.49012032932235605</v>
      </c>
      <c r="O153" s="257">
        <f t="shared" si="50"/>
        <v>29.407219759341363</v>
      </c>
      <c r="P153" s="257">
        <v>0.85</v>
      </c>
      <c r="Q153" s="257">
        <f t="shared" si="44"/>
        <v>51</v>
      </c>
      <c r="R153" s="257">
        <f t="shared" si="45"/>
        <v>0.35987967067764393</v>
      </c>
      <c r="S153" s="257">
        <f t="shared" si="42"/>
        <v>21.592780240658637</v>
      </c>
      <c r="T153" s="246">
        <f t="shared" si="46"/>
        <v>0.42338784785605171</v>
      </c>
      <c r="U153" s="123"/>
      <c r="V153" s="268">
        <f t="shared" si="52"/>
        <v>0.85</v>
      </c>
      <c r="W153" s="269">
        <v>0.18</v>
      </c>
      <c r="X153" s="270">
        <f t="shared" si="53"/>
        <v>1.0365853658536583</v>
      </c>
      <c r="Y153" s="271">
        <f t="shared" si="54"/>
        <v>0.18658536585365851</v>
      </c>
      <c r="Z153" s="267">
        <f t="shared" si="55"/>
        <v>1.6792682926829266E-2</v>
      </c>
      <c r="AA153" s="271">
        <f t="shared" si="56"/>
        <v>0.20337804878048776</v>
      </c>
      <c r="AB153" s="271">
        <f t="shared" si="57"/>
        <v>0.83320731707317064</v>
      </c>
      <c r="AC153" s="284">
        <f t="shared" si="58"/>
        <v>0.41176665245329974</v>
      </c>
      <c r="AD153" s="285">
        <f t="shared" si="59"/>
        <v>-1.1621195402751971E-2</v>
      </c>
      <c r="AE153" s="221" t="s">
        <v>269</v>
      </c>
    </row>
    <row r="154" spans="1:31" ht="40" customHeight="1" x14ac:dyDescent="0.2">
      <c r="A154" s="123">
        <v>150</v>
      </c>
      <c r="B154" s="274" t="s">
        <v>147</v>
      </c>
      <c r="C154" s="123">
        <v>1</v>
      </c>
      <c r="D154" s="123">
        <v>48</v>
      </c>
      <c r="E154" s="123">
        <f t="shared" si="47"/>
        <v>48</v>
      </c>
      <c r="F154" s="123" t="s">
        <v>269</v>
      </c>
      <c r="G154" s="123" t="s">
        <v>269</v>
      </c>
      <c r="H154" s="257">
        <v>216</v>
      </c>
      <c r="I154" s="257">
        <f t="shared" si="48"/>
        <v>4.5</v>
      </c>
      <c r="J154" s="257">
        <f t="shared" si="61"/>
        <v>216</v>
      </c>
      <c r="K154" s="257"/>
      <c r="L154" s="257">
        <f t="shared" si="43"/>
        <v>1.4249525015832807</v>
      </c>
      <c r="M154" s="257">
        <f t="shared" si="49"/>
        <v>68.397720075997469</v>
      </c>
      <c r="N154" s="257">
        <f t="shared" si="51"/>
        <v>1.553198226725776</v>
      </c>
      <c r="O154" s="257">
        <f t="shared" si="50"/>
        <v>74.553514882837248</v>
      </c>
      <c r="P154" s="257">
        <v>2.5</v>
      </c>
      <c r="Q154" s="257">
        <f t="shared" si="44"/>
        <v>120</v>
      </c>
      <c r="R154" s="257">
        <f t="shared" si="45"/>
        <v>0.94680177327422399</v>
      </c>
      <c r="S154" s="257">
        <f t="shared" si="42"/>
        <v>45.446485117162752</v>
      </c>
      <c r="T154" s="246">
        <f t="shared" si="46"/>
        <v>0.3787207093096896</v>
      </c>
      <c r="U154" s="123"/>
      <c r="V154" s="268">
        <f t="shared" si="52"/>
        <v>2.5</v>
      </c>
      <c r="W154" s="269">
        <v>0.18</v>
      </c>
      <c r="X154" s="270">
        <f t="shared" si="53"/>
        <v>3.0487804878048776</v>
      </c>
      <c r="Y154" s="271">
        <f t="shared" si="54"/>
        <v>0.54878048780487798</v>
      </c>
      <c r="Z154" s="267">
        <f t="shared" si="55"/>
        <v>4.939024390243902E-2</v>
      </c>
      <c r="AA154" s="271">
        <f t="shared" si="56"/>
        <v>0.59817073170731705</v>
      </c>
      <c r="AB154" s="271">
        <f t="shared" si="57"/>
        <v>2.4506097560975606</v>
      </c>
      <c r="AC154" s="284">
        <f t="shared" si="58"/>
        <v>0.36619928046024558</v>
      </c>
      <c r="AD154" s="285">
        <f t="shared" si="59"/>
        <v>-1.2521428849444016E-2</v>
      </c>
      <c r="AE154" s="221" t="s">
        <v>269</v>
      </c>
    </row>
    <row r="155" spans="1:31" ht="40" customHeight="1" x14ac:dyDescent="0.2">
      <c r="A155" s="123">
        <v>151</v>
      </c>
      <c r="B155" s="274" t="s">
        <v>148</v>
      </c>
      <c r="C155" s="123">
        <v>1</v>
      </c>
      <c r="D155" s="123">
        <v>8</v>
      </c>
      <c r="E155" s="123">
        <f t="shared" si="47"/>
        <v>8</v>
      </c>
      <c r="F155" s="123" t="s">
        <v>269</v>
      </c>
      <c r="G155" s="123" t="s">
        <v>269</v>
      </c>
      <c r="H155" s="257">
        <v>25.5</v>
      </c>
      <c r="I155" s="257">
        <f t="shared" si="48"/>
        <v>3.1875</v>
      </c>
      <c r="J155" s="257">
        <f t="shared" si="61"/>
        <v>25.5</v>
      </c>
      <c r="K155" s="257"/>
      <c r="L155" s="257">
        <f t="shared" si="43"/>
        <v>1.0093413552881572</v>
      </c>
      <c r="M155" s="257">
        <f t="shared" si="49"/>
        <v>8.0747308423052573</v>
      </c>
      <c r="N155" s="257">
        <f t="shared" si="51"/>
        <v>1.1001820772640913</v>
      </c>
      <c r="O155" s="257">
        <f t="shared" si="50"/>
        <v>8.8014566181127307</v>
      </c>
      <c r="P155" s="257">
        <v>2.5</v>
      </c>
      <c r="Q155" s="257">
        <f t="shared" si="44"/>
        <v>20</v>
      </c>
      <c r="R155" s="257">
        <f t="shared" si="45"/>
        <v>1.3998179227359087</v>
      </c>
      <c r="S155" s="257">
        <f t="shared" si="42"/>
        <v>11.198543381887269</v>
      </c>
      <c r="T155" s="246">
        <f t="shared" si="46"/>
        <v>0.55992716909436346</v>
      </c>
      <c r="U155" s="123"/>
      <c r="V155" s="268">
        <f t="shared" si="52"/>
        <v>2.5</v>
      </c>
      <c r="W155" s="269">
        <v>0.18</v>
      </c>
      <c r="X155" s="270">
        <f t="shared" si="53"/>
        <v>3.0487804878048776</v>
      </c>
      <c r="Y155" s="271">
        <f t="shared" si="54"/>
        <v>0.54878048780487798</v>
      </c>
      <c r="Z155" s="267">
        <f t="shared" si="55"/>
        <v>4.939024390243902E-2</v>
      </c>
      <c r="AA155" s="271">
        <f t="shared" si="56"/>
        <v>0.59817073170731705</v>
      </c>
      <c r="AB155" s="271">
        <f t="shared" si="57"/>
        <v>2.4506097560975606</v>
      </c>
      <c r="AC155" s="284">
        <f t="shared" si="58"/>
        <v>0.55105782365934064</v>
      </c>
      <c r="AD155" s="285">
        <f t="shared" si="59"/>
        <v>-8.869345435022824E-3</v>
      </c>
      <c r="AE155" s="221" t="s">
        <v>269</v>
      </c>
    </row>
    <row r="156" spans="1:31" ht="40" customHeight="1" x14ac:dyDescent="0.2">
      <c r="A156" s="123">
        <v>152</v>
      </c>
      <c r="B156" s="274" t="s">
        <v>149</v>
      </c>
      <c r="C156" s="123">
        <v>1</v>
      </c>
      <c r="D156" s="123">
        <v>8</v>
      </c>
      <c r="E156" s="123">
        <f t="shared" si="47"/>
        <v>8</v>
      </c>
      <c r="F156" s="123" t="s">
        <v>269</v>
      </c>
      <c r="G156" s="123" t="s">
        <v>269</v>
      </c>
      <c r="H156" s="257">
        <v>25.5</v>
      </c>
      <c r="I156" s="257">
        <f t="shared" si="48"/>
        <v>3.1875</v>
      </c>
      <c r="J156" s="257">
        <f t="shared" si="61"/>
        <v>25.5</v>
      </c>
      <c r="K156" s="257"/>
      <c r="L156" s="257">
        <f t="shared" si="43"/>
        <v>1.0093413552881572</v>
      </c>
      <c r="M156" s="257">
        <f t="shared" si="49"/>
        <v>8.0747308423052573</v>
      </c>
      <c r="N156" s="257">
        <f t="shared" si="51"/>
        <v>1.1001820772640913</v>
      </c>
      <c r="O156" s="257">
        <f t="shared" si="50"/>
        <v>8.8014566181127307</v>
      </c>
      <c r="P156" s="257">
        <v>2.5</v>
      </c>
      <c r="Q156" s="257">
        <f t="shared" si="44"/>
        <v>20</v>
      </c>
      <c r="R156" s="257">
        <f t="shared" si="45"/>
        <v>1.3998179227359087</v>
      </c>
      <c r="S156" s="257">
        <f t="shared" si="42"/>
        <v>11.198543381887269</v>
      </c>
      <c r="T156" s="246">
        <f t="shared" si="46"/>
        <v>0.55992716909436346</v>
      </c>
      <c r="U156" s="123"/>
      <c r="V156" s="268">
        <f t="shared" si="52"/>
        <v>2.5</v>
      </c>
      <c r="W156" s="269">
        <v>0.18</v>
      </c>
      <c r="X156" s="270">
        <f t="shared" si="53"/>
        <v>3.0487804878048776</v>
      </c>
      <c r="Y156" s="271">
        <f t="shared" si="54"/>
        <v>0.54878048780487798</v>
      </c>
      <c r="Z156" s="267">
        <f t="shared" si="55"/>
        <v>4.939024390243902E-2</v>
      </c>
      <c r="AA156" s="271">
        <f t="shared" si="56"/>
        <v>0.59817073170731705</v>
      </c>
      <c r="AB156" s="271">
        <f t="shared" si="57"/>
        <v>2.4506097560975606</v>
      </c>
      <c r="AC156" s="284">
        <f t="shared" si="58"/>
        <v>0.55105782365934064</v>
      </c>
      <c r="AD156" s="285">
        <f t="shared" si="59"/>
        <v>-8.869345435022824E-3</v>
      </c>
      <c r="AE156" s="221" t="s">
        <v>269</v>
      </c>
    </row>
    <row r="157" spans="1:31" ht="40" customHeight="1" x14ac:dyDescent="0.2">
      <c r="A157" s="123">
        <v>153</v>
      </c>
      <c r="B157" s="274" t="s">
        <v>150</v>
      </c>
      <c r="C157" s="123">
        <v>1</v>
      </c>
      <c r="D157" s="123">
        <v>8</v>
      </c>
      <c r="E157" s="123">
        <f t="shared" si="47"/>
        <v>8</v>
      </c>
      <c r="F157" s="123" t="s">
        <v>269</v>
      </c>
      <c r="G157" s="123" t="s">
        <v>269</v>
      </c>
      <c r="H157" s="257">
        <v>25.5</v>
      </c>
      <c r="I157" s="257">
        <f t="shared" si="48"/>
        <v>3.1875</v>
      </c>
      <c r="J157" s="257">
        <f t="shared" si="61"/>
        <v>25.5</v>
      </c>
      <c r="K157" s="257"/>
      <c r="L157" s="257">
        <f t="shared" si="43"/>
        <v>1.0093413552881572</v>
      </c>
      <c r="M157" s="257">
        <f t="shared" si="49"/>
        <v>8.0747308423052573</v>
      </c>
      <c r="N157" s="257">
        <f t="shared" si="51"/>
        <v>1.1001820772640913</v>
      </c>
      <c r="O157" s="257">
        <f t="shared" si="50"/>
        <v>8.8014566181127307</v>
      </c>
      <c r="P157" s="257">
        <v>2.5</v>
      </c>
      <c r="Q157" s="257">
        <f t="shared" si="44"/>
        <v>20</v>
      </c>
      <c r="R157" s="257">
        <f t="shared" si="45"/>
        <v>1.3998179227359087</v>
      </c>
      <c r="S157" s="257">
        <f t="shared" si="42"/>
        <v>11.198543381887269</v>
      </c>
      <c r="T157" s="246">
        <f t="shared" si="46"/>
        <v>0.55992716909436346</v>
      </c>
      <c r="U157" s="123"/>
      <c r="V157" s="268">
        <f t="shared" si="52"/>
        <v>2.5</v>
      </c>
      <c r="W157" s="269">
        <v>0.18</v>
      </c>
      <c r="X157" s="270">
        <f t="shared" si="53"/>
        <v>3.0487804878048776</v>
      </c>
      <c r="Y157" s="271">
        <f t="shared" si="54"/>
        <v>0.54878048780487798</v>
      </c>
      <c r="Z157" s="267">
        <f t="shared" si="55"/>
        <v>4.939024390243902E-2</v>
      </c>
      <c r="AA157" s="271">
        <f t="shared" si="56"/>
        <v>0.59817073170731705</v>
      </c>
      <c r="AB157" s="271">
        <f t="shared" si="57"/>
        <v>2.4506097560975606</v>
      </c>
      <c r="AC157" s="284">
        <f t="shared" si="58"/>
        <v>0.55105782365934064</v>
      </c>
      <c r="AD157" s="285">
        <f t="shared" si="59"/>
        <v>-8.869345435022824E-3</v>
      </c>
      <c r="AE157" s="221" t="s">
        <v>269</v>
      </c>
    </row>
    <row r="158" spans="1:31" ht="40" customHeight="1" x14ac:dyDescent="0.2">
      <c r="A158" s="123">
        <v>154</v>
      </c>
      <c r="B158" s="274" t="s">
        <v>151</v>
      </c>
      <c r="C158" s="123">
        <v>1</v>
      </c>
      <c r="D158" s="123">
        <v>8</v>
      </c>
      <c r="E158" s="123">
        <f t="shared" si="47"/>
        <v>8</v>
      </c>
      <c r="F158" s="123" t="s">
        <v>269</v>
      </c>
      <c r="G158" s="123" t="s">
        <v>269</v>
      </c>
      <c r="H158" s="257">
        <v>25.5</v>
      </c>
      <c r="I158" s="257">
        <f t="shared" si="48"/>
        <v>3.1875</v>
      </c>
      <c r="J158" s="257">
        <f t="shared" si="61"/>
        <v>25.5</v>
      </c>
      <c r="K158" s="257"/>
      <c r="L158" s="257">
        <f t="shared" si="43"/>
        <v>1.0093413552881572</v>
      </c>
      <c r="M158" s="257">
        <f t="shared" si="49"/>
        <v>8.0747308423052573</v>
      </c>
      <c r="N158" s="257">
        <f t="shared" si="51"/>
        <v>1.1001820772640913</v>
      </c>
      <c r="O158" s="257">
        <f t="shared" si="50"/>
        <v>8.8014566181127307</v>
      </c>
      <c r="P158" s="257">
        <v>2.5</v>
      </c>
      <c r="Q158" s="257">
        <f t="shared" si="44"/>
        <v>20</v>
      </c>
      <c r="R158" s="257">
        <f t="shared" si="45"/>
        <v>1.3998179227359087</v>
      </c>
      <c r="S158" s="257">
        <f t="shared" si="42"/>
        <v>11.198543381887269</v>
      </c>
      <c r="T158" s="246">
        <f t="shared" si="46"/>
        <v>0.55992716909436346</v>
      </c>
      <c r="U158" s="123"/>
      <c r="V158" s="268">
        <f t="shared" si="52"/>
        <v>2.5</v>
      </c>
      <c r="W158" s="269">
        <v>0.18</v>
      </c>
      <c r="X158" s="270">
        <f t="shared" si="53"/>
        <v>3.0487804878048776</v>
      </c>
      <c r="Y158" s="271">
        <f t="shared" si="54"/>
        <v>0.54878048780487798</v>
      </c>
      <c r="Z158" s="267">
        <f t="shared" si="55"/>
        <v>4.939024390243902E-2</v>
      </c>
      <c r="AA158" s="271">
        <f t="shared" si="56"/>
        <v>0.59817073170731705</v>
      </c>
      <c r="AB158" s="271">
        <f t="shared" si="57"/>
        <v>2.4506097560975606</v>
      </c>
      <c r="AC158" s="284">
        <f t="shared" si="58"/>
        <v>0.55105782365934064</v>
      </c>
      <c r="AD158" s="285">
        <f t="shared" si="59"/>
        <v>-8.869345435022824E-3</v>
      </c>
      <c r="AE158" s="221" t="s">
        <v>269</v>
      </c>
    </row>
    <row r="159" spans="1:31" ht="40" customHeight="1" x14ac:dyDescent="0.2">
      <c r="A159" s="123">
        <v>155</v>
      </c>
      <c r="B159" s="274" t="s">
        <v>153</v>
      </c>
      <c r="C159" s="123">
        <v>1</v>
      </c>
      <c r="D159" s="123">
        <v>16</v>
      </c>
      <c r="E159" s="123">
        <f t="shared" si="47"/>
        <v>16</v>
      </c>
      <c r="F159" s="123" t="s">
        <v>269</v>
      </c>
      <c r="G159" s="123" t="s">
        <v>269</v>
      </c>
      <c r="H159" s="257">
        <v>36.200000000000003</v>
      </c>
      <c r="I159" s="257">
        <f t="shared" si="48"/>
        <v>2.2625000000000002</v>
      </c>
      <c r="J159" s="257">
        <f t="shared" si="61"/>
        <v>36.200000000000003</v>
      </c>
      <c r="K159" s="257"/>
      <c r="L159" s="257">
        <f t="shared" si="43"/>
        <v>0.7164344521849273</v>
      </c>
      <c r="M159" s="257">
        <f t="shared" si="49"/>
        <v>11.462951234958837</v>
      </c>
      <c r="N159" s="257">
        <f t="shared" si="51"/>
        <v>0.78091355288157083</v>
      </c>
      <c r="O159" s="257">
        <f t="shared" si="50"/>
        <v>12.494616846105133</v>
      </c>
      <c r="P159" s="257">
        <v>1.25</v>
      </c>
      <c r="Q159" s="257">
        <f t="shared" si="44"/>
        <v>20</v>
      </c>
      <c r="R159" s="257">
        <f t="shared" si="45"/>
        <v>0.46908644711842917</v>
      </c>
      <c r="S159" s="257">
        <f t="shared" si="42"/>
        <v>7.5053831538948668</v>
      </c>
      <c r="T159" s="246">
        <f t="shared" si="46"/>
        <v>0.37526915769474334</v>
      </c>
      <c r="U159" s="123"/>
      <c r="V159" s="268">
        <f t="shared" si="52"/>
        <v>1.25</v>
      </c>
      <c r="W159" s="269">
        <v>0.18</v>
      </c>
      <c r="X159" s="270">
        <f t="shared" si="53"/>
        <v>1.5243902439024388</v>
      </c>
      <c r="Y159" s="271">
        <f t="shared" si="54"/>
        <v>0.27439024390243899</v>
      </c>
      <c r="Z159" s="267">
        <f t="shared" si="55"/>
        <v>2.469512195121951E-2</v>
      </c>
      <c r="AA159" s="271">
        <f t="shared" si="56"/>
        <v>0.29908536585365852</v>
      </c>
      <c r="AB159" s="271">
        <f t="shared" si="57"/>
        <v>1.2253048780487803</v>
      </c>
      <c r="AC159" s="284">
        <f t="shared" si="58"/>
        <v>0.36267816535169128</v>
      </c>
      <c r="AD159" s="285">
        <f t="shared" si="59"/>
        <v>-1.2590992343052054E-2</v>
      </c>
      <c r="AE159" s="221">
        <v>1.05</v>
      </c>
    </row>
    <row r="160" spans="1:31" ht="40" customHeight="1" x14ac:dyDescent="0.2">
      <c r="A160" s="123">
        <v>156</v>
      </c>
      <c r="B160" s="274" t="s">
        <v>154</v>
      </c>
      <c r="C160" s="123">
        <v>1</v>
      </c>
      <c r="D160" s="123">
        <v>30</v>
      </c>
      <c r="E160" s="123">
        <f t="shared" si="47"/>
        <v>30</v>
      </c>
      <c r="F160" s="123" t="s">
        <v>269</v>
      </c>
      <c r="G160" s="123" t="s">
        <v>269</v>
      </c>
      <c r="H160" s="257">
        <v>40.5</v>
      </c>
      <c r="I160" s="257">
        <f t="shared" si="48"/>
        <v>1.35</v>
      </c>
      <c r="J160" s="257">
        <f t="shared" si="61"/>
        <v>40.5</v>
      </c>
      <c r="K160" s="257"/>
      <c r="L160" s="257">
        <f t="shared" si="43"/>
        <v>0.42748575047498422</v>
      </c>
      <c r="M160" s="257">
        <f t="shared" si="49"/>
        <v>12.824572514249525</v>
      </c>
      <c r="N160" s="257">
        <f t="shared" si="51"/>
        <v>0.4659594680177328</v>
      </c>
      <c r="O160" s="257">
        <f t="shared" si="50"/>
        <v>13.978784040531984</v>
      </c>
      <c r="P160" s="257">
        <v>0.8</v>
      </c>
      <c r="Q160" s="257">
        <f t="shared" si="44"/>
        <v>24</v>
      </c>
      <c r="R160" s="257">
        <f t="shared" si="45"/>
        <v>0.33404053198226724</v>
      </c>
      <c r="S160" s="257">
        <f t="shared" si="42"/>
        <v>10.021215959468016</v>
      </c>
      <c r="T160" s="246">
        <f t="shared" si="46"/>
        <v>0.41755066497783405</v>
      </c>
      <c r="U160" s="123"/>
      <c r="V160" s="268">
        <f t="shared" si="52"/>
        <v>0.8</v>
      </c>
      <c r="W160" s="269">
        <v>0.18</v>
      </c>
      <c r="X160" s="270">
        <f t="shared" si="53"/>
        <v>0.97560975609756095</v>
      </c>
      <c r="Y160" s="271">
        <f t="shared" si="54"/>
        <v>0.17560975609756097</v>
      </c>
      <c r="Z160" s="267">
        <f t="shared" si="55"/>
        <v>1.5804878048780488E-2</v>
      </c>
      <c r="AA160" s="271">
        <f t="shared" si="56"/>
        <v>0.19141463414634147</v>
      </c>
      <c r="AB160" s="271">
        <f t="shared" si="57"/>
        <v>0.78419512195121954</v>
      </c>
      <c r="AC160" s="284">
        <f t="shared" si="58"/>
        <v>0.40581182543148031</v>
      </c>
      <c r="AD160" s="285">
        <f t="shared" si="59"/>
        <v>-1.1738839546353741E-2</v>
      </c>
      <c r="AE160" s="221">
        <v>1.05</v>
      </c>
    </row>
    <row r="161" spans="1:31" ht="40" customHeight="1" x14ac:dyDescent="0.2">
      <c r="A161" s="123">
        <v>157</v>
      </c>
      <c r="B161" s="274" t="s">
        <v>155</v>
      </c>
      <c r="C161" s="123">
        <v>1</v>
      </c>
      <c r="D161" s="123">
        <v>16</v>
      </c>
      <c r="E161" s="123">
        <f t="shared" si="47"/>
        <v>16</v>
      </c>
      <c r="F161" s="123" t="s">
        <v>269</v>
      </c>
      <c r="G161" s="123" t="s">
        <v>269</v>
      </c>
      <c r="H161" s="257">
        <v>60</v>
      </c>
      <c r="I161" s="257">
        <f t="shared" si="48"/>
        <v>3.75</v>
      </c>
      <c r="J161" s="257">
        <f t="shared" si="61"/>
        <v>60</v>
      </c>
      <c r="K161" s="257"/>
      <c r="L161" s="257">
        <f t="shared" si="43"/>
        <v>1.1874604179860671</v>
      </c>
      <c r="M161" s="257">
        <f t="shared" si="49"/>
        <v>18.999366687777073</v>
      </c>
      <c r="N161" s="257">
        <f t="shared" si="51"/>
        <v>1.2943318556048131</v>
      </c>
      <c r="O161" s="257">
        <f t="shared" si="50"/>
        <v>20.70930968967701</v>
      </c>
      <c r="P161" s="257">
        <v>2</v>
      </c>
      <c r="Q161" s="257">
        <f t="shared" si="44"/>
        <v>32</v>
      </c>
      <c r="R161" s="257">
        <f t="shared" si="45"/>
        <v>0.70566814439518688</v>
      </c>
      <c r="S161" s="257">
        <f t="shared" si="42"/>
        <v>11.29069031032299</v>
      </c>
      <c r="T161" s="246">
        <f t="shared" si="46"/>
        <v>0.35283407219759344</v>
      </c>
      <c r="U161" s="123"/>
      <c r="V161" s="268">
        <f t="shared" si="52"/>
        <v>2</v>
      </c>
      <c r="W161" s="269">
        <v>0.18</v>
      </c>
      <c r="X161" s="270">
        <f t="shared" si="53"/>
        <v>2.4390243902439024</v>
      </c>
      <c r="Y161" s="271">
        <f t="shared" si="54"/>
        <v>0.43902439024390244</v>
      </c>
      <c r="Z161" s="267">
        <f t="shared" si="55"/>
        <v>3.951219512195122E-2</v>
      </c>
      <c r="AA161" s="271">
        <f t="shared" si="56"/>
        <v>0.47853658536585364</v>
      </c>
      <c r="AB161" s="271">
        <f t="shared" si="57"/>
        <v>1.9604878048780487</v>
      </c>
      <c r="AC161" s="284">
        <f t="shared" si="58"/>
        <v>0.33979091714608933</v>
      </c>
      <c r="AD161" s="285">
        <f t="shared" si="59"/>
        <v>-1.3043155051504107E-2</v>
      </c>
      <c r="AE161" s="221" t="s">
        <v>269</v>
      </c>
    </row>
    <row r="162" spans="1:31" ht="40" customHeight="1" x14ac:dyDescent="0.2">
      <c r="A162" s="123">
        <v>158</v>
      </c>
      <c r="B162" s="274" t="s">
        <v>222</v>
      </c>
      <c r="C162" s="123">
        <v>1</v>
      </c>
      <c r="D162" s="123">
        <v>24</v>
      </c>
      <c r="E162" s="123">
        <f t="shared" si="47"/>
        <v>24</v>
      </c>
      <c r="F162" s="123" t="s">
        <v>269</v>
      </c>
      <c r="G162" s="123" t="s">
        <v>269</v>
      </c>
      <c r="H162" s="257">
        <f t="shared" ref="H162:H168" si="62">91.2*0.95</f>
        <v>86.64</v>
      </c>
      <c r="I162" s="257">
        <f t="shared" si="48"/>
        <v>3.61</v>
      </c>
      <c r="J162" s="257">
        <f t="shared" si="61"/>
        <v>86.64</v>
      </c>
      <c r="K162" s="257"/>
      <c r="L162" s="257">
        <f t="shared" si="43"/>
        <v>1.1431285623812539</v>
      </c>
      <c r="M162" s="257">
        <f t="shared" si="49"/>
        <v>27.435085497150094</v>
      </c>
      <c r="N162" s="257">
        <f t="shared" si="51"/>
        <v>1.2460101329955668</v>
      </c>
      <c r="O162" s="257">
        <f t="shared" si="50"/>
        <v>29.904243191893606</v>
      </c>
      <c r="P162" s="257">
        <v>1.95</v>
      </c>
      <c r="Q162" s="257">
        <f t="shared" si="44"/>
        <v>46.8</v>
      </c>
      <c r="R162" s="257">
        <f t="shared" si="45"/>
        <v>0.70398986700443311</v>
      </c>
      <c r="S162" s="257">
        <f t="shared" si="42"/>
        <v>16.895756808106391</v>
      </c>
      <c r="T162" s="246">
        <f t="shared" si="46"/>
        <v>0.36102044461765803</v>
      </c>
      <c r="U162" s="123"/>
      <c r="V162" s="268">
        <f t="shared" si="52"/>
        <v>1.95</v>
      </c>
      <c r="W162" s="269">
        <v>0.18</v>
      </c>
      <c r="X162" s="270">
        <f t="shared" si="53"/>
        <v>2.3780487804878048</v>
      </c>
      <c r="Y162" s="271">
        <f t="shared" si="54"/>
        <v>0.42804878048780487</v>
      </c>
      <c r="Z162" s="267">
        <f t="shared" si="55"/>
        <v>3.8524390243902439E-2</v>
      </c>
      <c r="AA162" s="271">
        <f t="shared" si="56"/>
        <v>0.46657317073170729</v>
      </c>
      <c r="AB162" s="271">
        <f t="shared" si="57"/>
        <v>1.9114756097560974</v>
      </c>
      <c r="AC162" s="284">
        <f t="shared" si="58"/>
        <v>0.34814227990355756</v>
      </c>
      <c r="AD162" s="285">
        <f t="shared" si="59"/>
        <v>-1.2878164714100471E-2</v>
      </c>
      <c r="AE162" s="221" t="s">
        <v>269</v>
      </c>
    </row>
    <row r="163" spans="1:31" ht="40" customHeight="1" x14ac:dyDescent="0.2">
      <c r="A163" s="123">
        <v>159</v>
      </c>
      <c r="B163" s="274" t="s">
        <v>223</v>
      </c>
      <c r="C163" s="123">
        <v>1</v>
      </c>
      <c r="D163" s="123">
        <v>24</v>
      </c>
      <c r="E163" s="123">
        <f t="shared" si="47"/>
        <v>24</v>
      </c>
      <c r="F163" s="123" t="s">
        <v>269</v>
      </c>
      <c r="G163" s="123" t="s">
        <v>269</v>
      </c>
      <c r="H163" s="257">
        <f t="shared" si="62"/>
        <v>86.64</v>
      </c>
      <c r="I163" s="257">
        <f t="shared" si="48"/>
        <v>3.61</v>
      </c>
      <c r="J163" s="257">
        <f t="shared" si="61"/>
        <v>86.64</v>
      </c>
      <c r="K163" s="257"/>
      <c r="L163" s="257">
        <f t="shared" si="43"/>
        <v>1.1431285623812539</v>
      </c>
      <c r="M163" s="257">
        <f t="shared" si="49"/>
        <v>27.435085497150094</v>
      </c>
      <c r="N163" s="257">
        <f t="shared" si="51"/>
        <v>1.2460101329955668</v>
      </c>
      <c r="O163" s="257">
        <f t="shared" si="50"/>
        <v>29.904243191893606</v>
      </c>
      <c r="P163" s="257">
        <v>1.95</v>
      </c>
      <c r="Q163" s="257">
        <f t="shared" si="44"/>
        <v>46.8</v>
      </c>
      <c r="R163" s="257">
        <f t="shared" si="45"/>
        <v>0.70398986700443311</v>
      </c>
      <c r="S163" s="257">
        <f t="shared" si="42"/>
        <v>16.895756808106391</v>
      </c>
      <c r="T163" s="246">
        <f t="shared" si="46"/>
        <v>0.36102044461765803</v>
      </c>
      <c r="U163" s="123"/>
      <c r="V163" s="268">
        <f t="shared" si="52"/>
        <v>1.95</v>
      </c>
      <c r="W163" s="269">
        <v>0.18</v>
      </c>
      <c r="X163" s="270">
        <f t="shared" si="53"/>
        <v>2.3780487804878048</v>
      </c>
      <c r="Y163" s="271">
        <f t="shared" si="54"/>
        <v>0.42804878048780487</v>
      </c>
      <c r="Z163" s="267">
        <f t="shared" si="55"/>
        <v>3.8524390243902439E-2</v>
      </c>
      <c r="AA163" s="271">
        <f t="shared" si="56"/>
        <v>0.46657317073170729</v>
      </c>
      <c r="AB163" s="271">
        <f t="shared" si="57"/>
        <v>1.9114756097560974</v>
      </c>
      <c r="AC163" s="284">
        <f t="shared" si="58"/>
        <v>0.34814227990355756</v>
      </c>
      <c r="AD163" s="285">
        <f t="shared" si="59"/>
        <v>-1.2878164714100471E-2</v>
      </c>
      <c r="AE163" s="221" t="s">
        <v>269</v>
      </c>
    </row>
    <row r="164" spans="1:31" ht="40" customHeight="1" x14ac:dyDescent="0.2">
      <c r="A164" s="123">
        <v>160</v>
      </c>
      <c r="B164" s="274" t="s">
        <v>224</v>
      </c>
      <c r="C164" s="123">
        <v>1</v>
      </c>
      <c r="D164" s="123">
        <v>24</v>
      </c>
      <c r="E164" s="123">
        <f t="shared" si="47"/>
        <v>24</v>
      </c>
      <c r="F164" s="123" t="s">
        <v>269</v>
      </c>
      <c r="G164" s="123" t="s">
        <v>269</v>
      </c>
      <c r="H164" s="257">
        <f t="shared" si="62"/>
        <v>86.64</v>
      </c>
      <c r="I164" s="257">
        <f t="shared" si="48"/>
        <v>3.61</v>
      </c>
      <c r="J164" s="257">
        <f t="shared" si="61"/>
        <v>86.64</v>
      </c>
      <c r="K164" s="257"/>
      <c r="L164" s="257">
        <f t="shared" si="43"/>
        <v>1.1431285623812539</v>
      </c>
      <c r="M164" s="257">
        <f t="shared" si="49"/>
        <v>27.435085497150094</v>
      </c>
      <c r="N164" s="257">
        <f t="shared" si="51"/>
        <v>1.2460101329955668</v>
      </c>
      <c r="O164" s="257">
        <f t="shared" si="50"/>
        <v>29.904243191893606</v>
      </c>
      <c r="P164" s="257">
        <v>1.95</v>
      </c>
      <c r="Q164" s="257">
        <f t="shared" si="44"/>
        <v>46.8</v>
      </c>
      <c r="R164" s="257">
        <f t="shared" si="45"/>
        <v>0.70398986700443311</v>
      </c>
      <c r="S164" s="257">
        <f t="shared" si="42"/>
        <v>16.895756808106391</v>
      </c>
      <c r="T164" s="246">
        <f t="shared" si="46"/>
        <v>0.36102044461765803</v>
      </c>
      <c r="U164" s="123"/>
      <c r="V164" s="268">
        <f t="shared" si="52"/>
        <v>1.95</v>
      </c>
      <c r="W164" s="269">
        <v>0.18</v>
      </c>
      <c r="X164" s="270">
        <f t="shared" si="53"/>
        <v>2.3780487804878048</v>
      </c>
      <c r="Y164" s="271">
        <f t="shared" si="54"/>
        <v>0.42804878048780487</v>
      </c>
      <c r="Z164" s="267">
        <f t="shared" si="55"/>
        <v>3.8524390243902439E-2</v>
      </c>
      <c r="AA164" s="271">
        <f t="shared" si="56"/>
        <v>0.46657317073170729</v>
      </c>
      <c r="AB164" s="271">
        <f t="shared" si="57"/>
        <v>1.9114756097560974</v>
      </c>
      <c r="AC164" s="284">
        <f t="shared" si="58"/>
        <v>0.34814227990355756</v>
      </c>
      <c r="AD164" s="285">
        <f t="shared" si="59"/>
        <v>-1.2878164714100471E-2</v>
      </c>
      <c r="AE164" s="221" t="s">
        <v>269</v>
      </c>
    </row>
    <row r="165" spans="1:31" ht="40" customHeight="1" x14ac:dyDescent="0.2">
      <c r="A165" s="123">
        <v>161</v>
      </c>
      <c r="B165" s="274" t="s">
        <v>225</v>
      </c>
      <c r="C165" s="123">
        <v>1</v>
      </c>
      <c r="D165" s="123">
        <v>24</v>
      </c>
      <c r="E165" s="123">
        <f t="shared" si="47"/>
        <v>24</v>
      </c>
      <c r="F165" s="123" t="s">
        <v>269</v>
      </c>
      <c r="G165" s="123" t="s">
        <v>269</v>
      </c>
      <c r="H165" s="257">
        <f t="shared" si="62"/>
        <v>86.64</v>
      </c>
      <c r="I165" s="257">
        <f t="shared" si="48"/>
        <v>3.61</v>
      </c>
      <c r="J165" s="257">
        <f t="shared" si="61"/>
        <v>86.64</v>
      </c>
      <c r="K165" s="257"/>
      <c r="L165" s="257">
        <f t="shared" si="43"/>
        <v>1.1431285623812539</v>
      </c>
      <c r="M165" s="257">
        <f t="shared" si="49"/>
        <v>27.435085497150094</v>
      </c>
      <c r="N165" s="257">
        <f t="shared" si="51"/>
        <v>1.2460101329955668</v>
      </c>
      <c r="O165" s="257">
        <f t="shared" si="50"/>
        <v>29.904243191893606</v>
      </c>
      <c r="P165" s="257">
        <v>1.95</v>
      </c>
      <c r="Q165" s="257">
        <f t="shared" si="44"/>
        <v>46.8</v>
      </c>
      <c r="R165" s="257">
        <f t="shared" si="45"/>
        <v>0.70398986700443311</v>
      </c>
      <c r="S165" s="257">
        <f t="shared" si="42"/>
        <v>16.895756808106391</v>
      </c>
      <c r="T165" s="246">
        <f t="shared" si="46"/>
        <v>0.36102044461765803</v>
      </c>
      <c r="U165" s="123"/>
      <c r="V165" s="268">
        <f t="shared" si="52"/>
        <v>1.95</v>
      </c>
      <c r="W165" s="269">
        <v>0.18</v>
      </c>
      <c r="X165" s="270">
        <f t="shared" si="53"/>
        <v>2.3780487804878048</v>
      </c>
      <c r="Y165" s="271">
        <f t="shared" si="54"/>
        <v>0.42804878048780487</v>
      </c>
      <c r="Z165" s="267">
        <f t="shared" si="55"/>
        <v>3.8524390243902439E-2</v>
      </c>
      <c r="AA165" s="271">
        <f t="shared" si="56"/>
        <v>0.46657317073170729</v>
      </c>
      <c r="AB165" s="271">
        <f t="shared" si="57"/>
        <v>1.9114756097560974</v>
      </c>
      <c r="AC165" s="284">
        <f t="shared" si="58"/>
        <v>0.34814227990355756</v>
      </c>
      <c r="AD165" s="285">
        <f t="shared" si="59"/>
        <v>-1.2878164714100471E-2</v>
      </c>
      <c r="AE165" s="221" t="s">
        <v>269</v>
      </c>
    </row>
    <row r="166" spans="1:31" ht="40" customHeight="1" x14ac:dyDescent="0.2">
      <c r="A166" s="123">
        <v>162</v>
      </c>
      <c r="B166" s="274" t="s">
        <v>160</v>
      </c>
      <c r="C166" s="123">
        <v>1</v>
      </c>
      <c r="D166" s="123">
        <v>24</v>
      </c>
      <c r="E166" s="123">
        <f t="shared" si="47"/>
        <v>24</v>
      </c>
      <c r="F166" s="123" t="s">
        <v>269</v>
      </c>
      <c r="G166" s="123" t="s">
        <v>269</v>
      </c>
      <c r="H166" s="257">
        <f t="shared" si="62"/>
        <v>86.64</v>
      </c>
      <c r="I166" s="257">
        <f t="shared" si="48"/>
        <v>3.61</v>
      </c>
      <c r="J166" s="257">
        <f t="shared" si="61"/>
        <v>86.64</v>
      </c>
      <c r="K166" s="257"/>
      <c r="L166" s="257">
        <f t="shared" si="43"/>
        <v>1.1431285623812539</v>
      </c>
      <c r="M166" s="257">
        <f t="shared" si="49"/>
        <v>27.435085497150094</v>
      </c>
      <c r="N166" s="257">
        <f t="shared" si="51"/>
        <v>1.2460101329955668</v>
      </c>
      <c r="O166" s="257">
        <f t="shared" si="50"/>
        <v>29.904243191893606</v>
      </c>
      <c r="P166" s="257">
        <v>1.95</v>
      </c>
      <c r="Q166" s="257">
        <f t="shared" si="44"/>
        <v>46.8</v>
      </c>
      <c r="R166" s="257">
        <f t="shared" si="45"/>
        <v>0.70398986700443311</v>
      </c>
      <c r="S166" s="257">
        <f t="shared" si="42"/>
        <v>16.895756808106391</v>
      </c>
      <c r="T166" s="246">
        <f t="shared" si="46"/>
        <v>0.36102044461765803</v>
      </c>
      <c r="U166" s="123"/>
      <c r="V166" s="268">
        <f t="shared" si="52"/>
        <v>1.95</v>
      </c>
      <c r="W166" s="269">
        <v>0.18</v>
      </c>
      <c r="X166" s="270">
        <f t="shared" si="53"/>
        <v>2.3780487804878048</v>
      </c>
      <c r="Y166" s="271">
        <f t="shared" si="54"/>
        <v>0.42804878048780487</v>
      </c>
      <c r="Z166" s="267">
        <f t="shared" si="55"/>
        <v>3.8524390243902439E-2</v>
      </c>
      <c r="AA166" s="271">
        <f t="shared" si="56"/>
        <v>0.46657317073170729</v>
      </c>
      <c r="AB166" s="271">
        <f t="shared" si="57"/>
        <v>1.9114756097560974</v>
      </c>
      <c r="AC166" s="284">
        <f t="shared" si="58"/>
        <v>0.34814227990355756</v>
      </c>
      <c r="AD166" s="285">
        <f t="shared" si="59"/>
        <v>-1.2878164714100471E-2</v>
      </c>
      <c r="AE166" s="221" t="s">
        <v>269</v>
      </c>
    </row>
    <row r="167" spans="1:31" ht="40" customHeight="1" x14ac:dyDescent="0.2">
      <c r="A167" s="123">
        <v>163</v>
      </c>
      <c r="B167" s="274" t="s">
        <v>203</v>
      </c>
      <c r="C167" s="123">
        <v>1</v>
      </c>
      <c r="D167" s="123">
        <v>24</v>
      </c>
      <c r="E167" s="123">
        <f t="shared" si="47"/>
        <v>24</v>
      </c>
      <c r="F167" s="123" t="s">
        <v>269</v>
      </c>
      <c r="G167" s="123" t="s">
        <v>269</v>
      </c>
      <c r="H167" s="257">
        <f t="shared" si="62"/>
        <v>86.64</v>
      </c>
      <c r="I167" s="257">
        <f t="shared" si="48"/>
        <v>3.61</v>
      </c>
      <c r="J167" s="257">
        <f t="shared" si="61"/>
        <v>86.64</v>
      </c>
      <c r="K167" s="257"/>
      <c r="L167" s="257">
        <f t="shared" si="43"/>
        <v>1.1431285623812539</v>
      </c>
      <c r="M167" s="257">
        <f t="shared" si="49"/>
        <v>27.435085497150094</v>
      </c>
      <c r="N167" s="257">
        <f t="shared" si="51"/>
        <v>1.2460101329955668</v>
      </c>
      <c r="O167" s="257">
        <f t="shared" si="50"/>
        <v>29.904243191893606</v>
      </c>
      <c r="P167" s="257">
        <v>1.95</v>
      </c>
      <c r="Q167" s="257">
        <f t="shared" si="44"/>
        <v>46.8</v>
      </c>
      <c r="R167" s="257">
        <f t="shared" si="45"/>
        <v>0.70398986700443311</v>
      </c>
      <c r="S167" s="257">
        <f t="shared" si="42"/>
        <v>16.895756808106391</v>
      </c>
      <c r="T167" s="246">
        <f t="shared" si="46"/>
        <v>0.36102044461765803</v>
      </c>
      <c r="U167" s="123"/>
      <c r="V167" s="268">
        <f t="shared" si="52"/>
        <v>1.95</v>
      </c>
      <c r="W167" s="269">
        <v>0.18</v>
      </c>
      <c r="X167" s="270">
        <f t="shared" si="53"/>
        <v>2.3780487804878048</v>
      </c>
      <c r="Y167" s="271">
        <f t="shared" si="54"/>
        <v>0.42804878048780487</v>
      </c>
      <c r="Z167" s="267">
        <f t="shared" si="55"/>
        <v>3.8524390243902439E-2</v>
      </c>
      <c r="AA167" s="271">
        <f t="shared" si="56"/>
        <v>0.46657317073170729</v>
      </c>
      <c r="AB167" s="271">
        <f t="shared" si="57"/>
        <v>1.9114756097560974</v>
      </c>
      <c r="AC167" s="284">
        <f t="shared" si="58"/>
        <v>0.34814227990355756</v>
      </c>
      <c r="AD167" s="285">
        <f t="shared" si="59"/>
        <v>-1.2878164714100471E-2</v>
      </c>
      <c r="AE167" s="221" t="s">
        <v>269</v>
      </c>
    </row>
    <row r="168" spans="1:31" ht="40" customHeight="1" x14ac:dyDescent="0.2">
      <c r="A168" s="123">
        <v>164</v>
      </c>
      <c r="B168" s="274" t="s">
        <v>161</v>
      </c>
      <c r="C168" s="123">
        <v>1</v>
      </c>
      <c r="D168" s="123">
        <v>24</v>
      </c>
      <c r="E168" s="123">
        <f t="shared" si="47"/>
        <v>24</v>
      </c>
      <c r="F168" s="123" t="s">
        <v>269</v>
      </c>
      <c r="G168" s="123" t="s">
        <v>269</v>
      </c>
      <c r="H168" s="257">
        <f t="shared" si="62"/>
        <v>86.64</v>
      </c>
      <c r="I168" s="257">
        <f t="shared" si="48"/>
        <v>3.61</v>
      </c>
      <c r="J168" s="257">
        <f t="shared" si="61"/>
        <v>86.64</v>
      </c>
      <c r="K168" s="257"/>
      <c r="L168" s="257">
        <f t="shared" si="43"/>
        <v>1.1431285623812539</v>
      </c>
      <c r="M168" s="257">
        <f t="shared" si="49"/>
        <v>27.435085497150094</v>
      </c>
      <c r="N168" s="257">
        <f t="shared" si="51"/>
        <v>1.2460101329955668</v>
      </c>
      <c r="O168" s="257">
        <f t="shared" si="50"/>
        <v>29.904243191893606</v>
      </c>
      <c r="P168" s="257">
        <v>1.95</v>
      </c>
      <c r="Q168" s="257">
        <f t="shared" si="44"/>
        <v>46.8</v>
      </c>
      <c r="R168" s="257">
        <f t="shared" si="45"/>
        <v>0.70398986700443311</v>
      </c>
      <c r="S168" s="257">
        <f t="shared" si="42"/>
        <v>16.895756808106391</v>
      </c>
      <c r="T168" s="246">
        <f t="shared" si="46"/>
        <v>0.36102044461765803</v>
      </c>
      <c r="U168" s="123"/>
      <c r="V168" s="268">
        <f t="shared" si="52"/>
        <v>1.95</v>
      </c>
      <c r="W168" s="269">
        <v>0.18</v>
      </c>
      <c r="X168" s="270">
        <f t="shared" si="53"/>
        <v>2.3780487804878048</v>
      </c>
      <c r="Y168" s="271">
        <f t="shared" si="54"/>
        <v>0.42804878048780487</v>
      </c>
      <c r="Z168" s="267">
        <f t="shared" si="55"/>
        <v>3.8524390243902439E-2</v>
      </c>
      <c r="AA168" s="271">
        <f t="shared" si="56"/>
        <v>0.46657317073170729</v>
      </c>
      <c r="AB168" s="271">
        <f t="shared" si="57"/>
        <v>1.9114756097560974</v>
      </c>
      <c r="AC168" s="284">
        <f t="shared" si="58"/>
        <v>0.34814227990355756</v>
      </c>
      <c r="AD168" s="285">
        <f t="shared" si="59"/>
        <v>-1.2878164714100471E-2</v>
      </c>
      <c r="AE168" s="221" t="s">
        <v>269</v>
      </c>
    </row>
    <row r="169" spans="1:31" ht="40" customHeight="1" x14ac:dyDescent="0.2">
      <c r="A169" s="123">
        <v>165</v>
      </c>
      <c r="B169" s="274" t="s">
        <v>237</v>
      </c>
      <c r="C169" s="123">
        <v>1</v>
      </c>
      <c r="D169" s="123">
        <v>60</v>
      </c>
      <c r="E169" s="123">
        <f t="shared" si="47"/>
        <v>60</v>
      </c>
      <c r="F169" s="123" t="s">
        <v>269</v>
      </c>
      <c r="G169" s="123" t="s">
        <v>269</v>
      </c>
      <c r="H169" s="257">
        <v>79.8</v>
      </c>
      <c r="I169" s="257">
        <f t="shared" si="48"/>
        <v>1.3299999999999998</v>
      </c>
      <c r="J169" s="257">
        <f t="shared" si="61"/>
        <v>79.8</v>
      </c>
      <c r="K169" s="257"/>
      <c r="L169" s="257">
        <f t="shared" si="43"/>
        <v>0.42115262824572508</v>
      </c>
      <c r="M169" s="257">
        <f t="shared" si="49"/>
        <v>25.269157694743509</v>
      </c>
      <c r="N169" s="257">
        <f t="shared" si="51"/>
        <v>0.4590563647878404</v>
      </c>
      <c r="O169" s="257">
        <f t="shared" si="50"/>
        <v>27.543381887270424</v>
      </c>
      <c r="P169" s="257">
        <v>0.85</v>
      </c>
      <c r="Q169" s="257">
        <f t="shared" si="44"/>
        <v>51</v>
      </c>
      <c r="R169" s="257">
        <f t="shared" si="45"/>
        <v>0.39094363521215958</v>
      </c>
      <c r="S169" s="257">
        <f t="shared" si="42"/>
        <v>23.456618112729576</v>
      </c>
      <c r="T169" s="246">
        <f t="shared" si="46"/>
        <v>0.45993368848489363</v>
      </c>
      <c r="U169" s="123"/>
      <c r="V169" s="268">
        <f t="shared" si="52"/>
        <v>0.85</v>
      </c>
      <c r="W169" s="269">
        <v>0.18</v>
      </c>
      <c r="X169" s="270">
        <f t="shared" si="53"/>
        <v>1.0365853658536583</v>
      </c>
      <c r="Y169" s="271">
        <f t="shared" si="54"/>
        <v>0.18658536585365851</v>
      </c>
      <c r="Z169" s="267">
        <f t="shared" si="55"/>
        <v>1.6792682926829266E-2</v>
      </c>
      <c r="AA169" s="271">
        <f t="shared" si="56"/>
        <v>0.20337804878048776</v>
      </c>
      <c r="AB169" s="271">
        <f t="shared" si="57"/>
        <v>0.83320731707317064</v>
      </c>
      <c r="AC169" s="284">
        <f t="shared" si="58"/>
        <v>0.44904904772034432</v>
      </c>
      <c r="AD169" s="285">
        <f t="shared" si="59"/>
        <v>-1.0884640764549314E-2</v>
      </c>
      <c r="AE169" s="221" t="s">
        <v>269</v>
      </c>
    </row>
    <row r="170" spans="1:31" ht="40" customHeight="1" x14ac:dyDescent="0.2">
      <c r="A170" s="123">
        <v>166</v>
      </c>
      <c r="B170" s="274" t="s">
        <v>226</v>
      </c>
      <c r="C170" s="123">
        <v>1</v>
      </c>
      <c r="D170" s="123">
        <v>60</v>
      </c>
      <c r="E170" s="123">
        <f t="shared" si="47"/>
        <v>60</v>
      </c>
      <c r="F170" s="123" t="s">
        <v>269</v>
      </c>
      <c r="G170" s="123" t="s">
        <v>269</v>
      </c>
      <c r="H170" s="257">
        <v>79.8</v>
      </c>
      <c r="I170" s="257">
        <f t="shared" si="48"/>
        <v>1.3299999999999998</v>
      </c>
      <c r="J170" s="257">
        <f t="shared" si="61"/>
        <v>79.8</v>
      </c>
      <c r="K170" s="257"/>
      <c r="L170" s="257">
        <f t="shared" si="43"/>
        <v>0.42115262824572508</v>
      </c>
      <c r="M170" s="257">
        <f t="shared" si="49"/>
        <v>25.269157694743509</v>
      </c>
      <c r="N170" s="257">
        <f t="shared" si="51"/>
        <v>0.4590563647878404</v>
      </c>
      <c r="O170" s="257">
        <f t="shared" si="50"/>
        <v>27.543381887270424</v>
      </c>
      <c r="P170" s="257">
        <v>0.85</v>
      </c>
      <c r="Q170" s="257">
        <f t="shared" si="44"/>
        <v>51</v>
      </c>
      <c r="R170" s="257">
        <f t="shared" si="45"/>
        <v>0.39094363521215958</v>
      </c>
      <c r="S170" s="257">
        <f t="shared" si="42"/>
        <v>23.456618112729576</v>
      </c>
      <c r="T170" s="246">
        <f t="shared" si="46"/>
        <v>0.45993368848489363</v>
      </c>
      <c r="U170" s="123"/>
      <c r="V170" s="268">
        <f t="shared" si="52"/>
        <v>0.85</v>
      </c>
      <c r="W170" s="269">
        <v>0.18</v>
      </c>
      <c r="X170" s="270">
        <f t="shared" si="53"/>
        <v>1.0365853658536583</v>
      </c>
      <c r="Y170" s="271">
        <f t="shared" si="54"/>
        <v>0.18658536585365851</v>
      </c>
      <c r="Z170" s="267">
        <f t="shared" si="55"/>
        <v>1.6792682926829266E-2</v>
      </c>
      <c r="AA170" s="271">
        <f t="shared" si="56"/>
        <v>0.20337804878048776</v>
      </c>
      <c r="AB170" s="271">
        <f t="shared" si="57"/>
        <v>0.83320731707317064</v>
      </c>
      <c r="AC170" s="284">
        <f t="shared" si="58"/>
        <v>0.44904904772034432</v>
      </c>
      <c r="AD170" s="285">
        <f t="shared" si="59"/>
        <v>-1.0884640764549314E-2</v>
      </c>
      <c r="AE170" s="221" t="s">
        <v>269</v>
      </c>
    </row>
    <row r="171" spans="1:31" ht="40" customHeight="1" x14ac:dyDescent="0.2">
      <c r="A171" s="123">
        <v>167</v>
      </c>
      <c r="B171" s="274" t="s">
        <v>227</v>
      </c>
      <c r="C171" s="123">
        <v>1</v>
      </c>
      <c r="D171" s="123">
        <v>60</v>
      </c>
      <c r="E171" s="123">
        <f t="shared" si="47"/>
        <v>60</v>
      </c>
      <c r="F171" s="123" t="s">
        <v>269</v>
      </c>
      <c r="G171" s="123" t="s">
        <v>269</v>
      </c>
      <c r="H171" s="257">
        <v>79.8</v>
      </c>
      <c r="I171" s="257">
        <f t="shared" si="48"/>
        <v>1.3299999999999998</v>
      </c>
      <c r="J171" s="257">
        <f t="shared" si="61"/>
        <v>79.8</v>
      </c>
      <c r="K171" s="257"/>
      <c r="L171" s="257">
        <f t="shared" si="43"/>
        <v>0.42115262824572508</v>
      </c>
      <c r="M171" s="257">
        <f t="shared" si="49"/>
        <v>25.269157694743509</v>
      </c>
      <c r="N171" s="257">
        <f t="shared" si="51"/>
        <v>0.4590563647878404</v>
      </c>
      <c r="O171" s="257">
        <f t="shared" si="50"/>
        <v>27.543381887270424</v>
      </c>
      <c r="P171" s="257">
        <v>0.85</v>
      </c>
      <c r="Q171" s="257">
        <f t="shared" si="44"/>
        <v>51</v>
      </c>
      <c r="R171" s="257">
        <f t="shared" si="45"/>
        <v>0.39094363521215958</v>
      </c>
      <c r="S171" s="257">
        <f t="shared" si="42"/>
        <v>23.456618112729576</v>
      </c>
      <c r="T171" s="246">
        <f t="shared" si="46"/>
        <v>0.45993368848489363</v>
      </c>
      <c r="U171" s="123"/>
      <c r="V171" s="268">
        <f t="shared" si="52"/>
        <v>0.85</v>
      </c>
      <c r="W171" s="269">
        <v>0.18</v>
      </c>
      <c r="X171" s="270">
        <f t="shared" si="53"/>
        <v>1.0365853658536583</v>
      </c>
      <c r="Y171" s="271">
        <f t="shared" si="54"/>
        <v>0.18658536585365851</v>
      </c>
      <c r="Z171" s="267">
        <f t="shared" si="55"/>
        <v>1.6792682926829266E-2</v>
      </c>
      <c r="AA171" s="271">
        <f t="shared" si="56"/>
        <v>0.20337804878048776</v>
      </c>
      <c r="AB171" s="271">
        <f t="shared" si="57"/>
        <v>0.83320731707317064</v>
      </c>
      <c r="AC171" s="284">
        <f t="shared" si="58"/>
        <v>0.44904904772034432</v>
      </c>
      <c r="AD171" s="285">
        <f t="shared" si="59"/>
        <v>-1.0884640764549314E-2</v>
      </c>
      <c r="AE171" s="221" t="s">
        <v>269</v>
      </c>
    </row>
    <row r="172" spans="1:31" ht="40" customHeight="1" x14ac:dyDescent="0.2">
      <c r="A172" s="123">
        <v>168</v>
      </c>
      <c r="B172" s="274" t="s">
        <v>238</v>
      </c>
      <c r="C172" s="123">
        <v>1</v>
      </c>
      <c r="D172" s="123">
        <v>60</v>
      </c>
      <c r="E172" s="123">
        <f t="shared" si="47"/>
        <v>60</v>
      </c>
      <c r="F172" s="123" t="s">
        <v>269</v>
      </c>
      <c r="G172" s="123" t="s">
        <v>269</v>
      </c>
      <c r="H172" s="257">
        <v>79.8</v>
      </c>
      <c r="I172" s="257">
        <f t="shared" si="48"/>
        <v>1.3299999999999998</v>
      </c>
      <c r="J172" s="257">
        <f t="shared" si="61"/>
        <v>79.8</v>
      </c>
      <c r="K172" s="257"/>
      <c r="L172" s="257">
        <f t="shared" si="43"/>
        <v>0.42115262824572508</v>
      </c>
      <c r="M172" s="257">
        <f t="shared" si="49"/>
        <v>25.269157694743509</v>
      </c>
      <c r="N172" s="257">
        <f t="shared" si="51"/>
        <v>0.4590563647878404</v>
      </c>
      <c r="O172" s="257">
        <f t="shared" si="50"/>
        <v>27.543381887270424</v>
      </c>
      <c r="P172" s="257">
        <v>0.85</v>
      </c>
      <c r="Q172" s="257">
        <f t="shared" si="44"/>
        <v>51</v>
      </c>
      <c r="R172" s="257">
        <f t="shared" si="45"/>
        <v>0.39094363521215958</v>
      </c>
      <c r="S172" s="257">
        <f t="shared" si="42"/>
        <v>23.456618112729576</v>
      </c>
      <c r="T172" s="246">
        <f t="shared" si="46"/>
        <v>0.45993368848489363</v>
      </c>
      <c r="U172" s="123"/>
      <c r="V172" s="268">
        <f t="shared" si="52"/>
        <v>0.85</v>
      </c>
      <c r="W172" s="269">
        <v>0.18</v>
      </c>
      <c r="X172" s="270">
        <f t="shared" si="53"/>
        <v>1.0365853658536583</v>
      </c>
      <c r="Y172" s="271">
        <f t="shared" si="54"/>
        <v>0.18658536585365851</v>
      </c>
      <c r="Z172" s="267">
        <f t="shared" si="55"/>
        <v>1.6792682926829266E-2</v>
      </c>
      <c r="AA172" s="271">
        <f t="shared" si="56"/>
        <v>0.20337804878048776</v>
      </c>
      <c r="AB172" s="271">
        <f t="shared" si="57"/>
        <v>0.83320731707317064</v>
      </c>
      <c r="AC172" s="284">
        <f t="shared" si="58"/>
        <v>0.44904904772034432</v>
      </c>
      <c r="AD172" s="285">
        <f t="shared" si="59"/>
        <v>-1.0884640764549314E-2</v>
      </c>
      <c r="AE172" s="221" t="s">
        <v>269</v>
      </c>
    </row>
    <row r="173" spans="1:31" ht="40" customHeight="1" x14ac:dyDescent="0.2">
      <c r="A173" s="123">
        <v>169</v>
      </c>
      <c r="B173" s="274" t="s">
        <v>164</v>
      </c>
      <c r="C173" s="123">
        <v>1</v>
      </c>
      <c r="D173" s="123">
        <v>60</v>
      </c>
      <c r="E173" s="123">
        <f t="shared" si="47"/>
        <v>60</v>
      </c>
      <c r="F173" s="123" t="s">
        <v>269</v>
      </c>
      <c r="G173" s="123" t="s">
        <v>269</v>
      </c>
      <c r="H173" s="257">
        <v>79.8</v>
      </c>
      <c r="I173" s="257">
        <f t="shared" si="48"/>
        <v>1.3299999999999998</v>
      </c>
      <c r="J173" s="257">
        <f t="shared" si="61"/>
        <v>79.8</v>
      </c>
      <c r="K173" s="257"/>
      <c r="L173" s="257">
        <f t="shared" si="43"/>
        <v>0.42115262824572508</v>
      </c>
      <c r="M173" s="257">
        <f t="shared" si="49"/>
        <v>25.269157694743509</v>
      </c>
      <c r="N173" s="257">
        <f t="shared" si="51"/>
        <v>0.4590563647878404</v>
      </c>
      <c r="O173" s="257">
        <f t="shared" si="50"/>
        <v>27.543381887270424</v>
      </c>
      <c r="P173" s="257">
        <v>0.85</v>
      </c>
      <c r="Q173" s="257">
        <f t="shared" si="44"/>
        <v>51</v>
      </c>
      <c r="R173" s="257">
        <f t="shared" si="45"/>
        <v>0.39094363521215958</v>
      </c>
      <c r="S173" s="257">
        <f t="shared" si="42"/>
        <v>23.456618112729576</v>
      </c>
      <c r="T173" s="246">
        <f t="shared" si="46"/>
        <v>0.45993368848489363</v>
      </c>
      <c r="U173" s="123"/>
      <c r="V173" s="268">
        <f t="shared" si="52"/>
        <v>0.85</v>
      </c>
      <c r="W173" s="269">
        <v>0.18</v>
      </c>
      <c r="X173" s="270">
        <f t="shared" si="53"/>
        <v>1.0365853658536583</v>
      </c>
      <c r="Y173" s="271">
        <f t="shared" si="54"/>
        <v>0.18658536585365851</v>
      </c>
      <c r="Z173" s="267">
        <f t="shared" si="55"/>
        <v>1.6792682926829266E-2</v>
      </c>
      <c r="AA173" s="271">
        <f t="shared" si="56"/>
        <v>0.20337804878048776</v>
      </c>
      <c r="AB173" s="271">
        <f t="shared" si="57"/>
        <v>0.83320731707317064</v>
      </c>
      <c r="AC173" s="284">
        <f t="shared" si="58"/>
        <v>0.44904904772034432</v>
      </c>
      <c r="AD173" s="285">
        <f t="shared" si="59"/>
        <v>-1.0884640764549314E-2</v>
      </c>
      <c r="AE173" s="221" t="s">
        <v>269</v>
      </c>
    </row>
    <row r="174" spans="1:31" ht="40" customHeight="1" x14ac:dyDescent="0.2">
      <c r="A174" s="123">
        <v>170</v>
      </c>
      <c r="B174" s="274" t="s">
        <v>228</v>
      </c>
      <c r="C174" s="123">
        <v>1</v>
      </c>
      <c r="D174" s="123">
        <v>60</v>
      </c>
      <c r="E174" s="123">
        <f t="shared" si="47"/>
        <v>60</v>
      </c>
      <c r="F174" s="123" t="s">
        <v>269</v>
      </c>
      <c r="G174" s="123" t="s">
        <v>269</v>
      </c>
      <c r="H174" s="257">
        <v>79.8</v>
      </c>
      <c r="I174" s="257">
        <f t="shared" si="48"/>
        <v>1.3299999999999998</v>
      </c>
      <c r="J174" s="257">
        <f t="shared" si="61"/>
        <v>79.8</v>
      </c>
      <c r="K174" s="257"/>
      <c r="L174" s="257">
        <f t="shared" si="43"/>
        <v>0.42115262824572508</v>
      </c>
      <c r="M174" s="257">
        <f t="shared" si="49"/>
        <v>25.269157694743509</v>
      </c>
      <c r="N174" s="257">
        <f t="shared" si="51"/>
        <v>0.4590563647878404</v>
      </c>
      <c r="O174" s="257">
        <f t="shared" si="50"/>
        <v>27.543381887270424</v>
      </c>
      <c r="P174" s="257">
        <v>0.85</v>
      </c>
      <c r="Q174" s="257">
        <f t="shared" si="44"/>
        <v>51</v>
      </c>
      <c r="R174" s="257">
        <f t="shared" si="45"/>
        <v>0.39094363521215958</v>
      </c>
      <c r="S174" s="257">
        <f t="shared" si="42"/>
        <v>23.456618112729576</v>
      </c>
      <c r="T174" s="246">
        <f t="shared" si="46"/>
        <v>0.45993368848489363</v>
      </c>
      <c r="U174" s="123"/>
      <c r="V174" s="268">
        <f t="shared" si="52"/>
        <v>0.85</v>
      </c>
      <c r="W174" s="269">
        <v>0.18</v>
      </c>
      <c r="X174" s="270">
        <f t="shared" si="53"/>
        <v>1.0365853658536583</v>
      </c>
      <c r="Y174" s="271">
        <f t="shared" si="54"/>
        <v>0.18658536585365851</v>
      </c>
      <c r="Z174" s="267">
        <f t="shared" si="55"/>
        <v>1.6792682926829266E-2</v>
      </c>
      <c r="AA174" s="271">
        <f t="shared" si="56"/>
        <v>0.20337804878048776</v>
      </c>
      <c r="AB174" s="271">
        <f t="shared" si="57"/>
        <v>0.83320731707317064</v>
      </c>
      <c r="AC174" s="284">
        <f t="shared" si="58"/>
        <v>0.44904904772034432</v>
      </c>
      <c r="AD174" s="285">
        <f t="shared" si="59"/>
        <v>-1.0884640764549314E-2</v>
      </c>
      <c r="AE174" s="221" t="s">
        <v>269</v>
      </c>
    </row>
    <row r="175" spans="1:31" ht="40" customHeight="1" x14ac:dyDescent="0.2">
      <c r="A175" s="123">
        <v>171</v>
      </c>
      <c r="B175" s="274" t="s">
        <v>166</v>
      </c>
      <c r="C175" s="123">
        <v>1</v>
      </c>
      <c r="D175" s="123">
        <v>60</v>
      </c>
      <c r="E175" s="123">
        <f t="shared" si="47"/>
        <v>60</v>
      </c>
      <c r="F175" s="123" t="s">
        <v>269</v>
      </c>
      <c r="G175" s="123" t="s">
        <v>269</v>
      </c>
      <c r="H175" s="257">
        <v>79.8</v>
      </c>
      <c r="I175" s="257">
        <f t="shared" si="48"/>
        <v>1.3299999999999998</v>
      </c>
      <c r="J175" s="257">
        <f t="shared" si="61"/>
        <v>79.8</v>
      </c>
      <c r="K175" s="257"/>
      <c r="L175" s="257">
        <f t="shared" si="43"/>
        <v>0.42115262824572508</v>
      </c>
      <c r="M175" s="257">
        <f t="shared" si="49"/>
        <v>25.269157694743509</v>
      </c>
      <c r="N175" s="257">
        <f t="shared" si="51"/>
        <v>0.4590563647878404</v>
      </c>
      <c r="O175" s="257">
        <f t="shared" si="50"/>
        <v>27.543381887270424</v>
      </c>
      <c r="P175" s="257">
        <v>0.85</v>
      </c>
      <c r="Q175" s="257">
        <f t="shared" si="44"/>
        <v>51</v>
      </c>
      <c r="R175" s="257">
        <f t="shared" si="45"/>
        <v>0.39094363521215958</v>
      </c>
      <c r="S175" s="257">
        <f t="shared" si="42"/>
        <v>23.456618112729576</v>
      </c>
      <c r="T175" s="246">
        <f t="shared" si="46"/>
        <v>0.45993368848489363</v>
      </c>
      <c r="U175" s="123"/>
      <c r="V175" s="268">
        <f t="shared" si="52"/>
        <v>0.85</v>
      </c>
      <c r="W175" s="269">
        <v>0.18</v>
      </c>
      <c r="X175" s="270">
        <f t="shared" si="53"/>
        <v>1.0365853658536583</v>
      </c>
      <c r="Y175" s="271">
        <f t="shared" si="54"/>
        <v>0.18658536585365851</v>
      </c>
      <c r="Z175" s="267">
        <f t="shared" si="55"/>
        <v>1.6792682926829266E-2</v>
      </c>
      <c r="AA175" s="271">
        <f t="shared" si="56"/>
        <v>0.20337804878048776</v>
      </c>
      <c r="AB175" s="271">
        <f t="shared" si="57"/>
        <v>0.83320731707317064</v>
      </c>
      <c r="AC175" s="284">
        <f t="shared" si="58"/>
        <v>0.44904904772034432</v>
      </c>
      <c r="AD175" s="285">
        <f t="shared" si="59"/>
        <v>-1.0884640764549314E-2</v>
      </c>
      <c r="AE175" s="221" t="s">
        <v>269</v>
      </c>
    </row>
    <row r="176" spans="1:31" ht="40" customHeight="1" x14ac:dyDescent="0.2">
      <c r="A176" s="123">
        <v>172</v>
      </c>
      <c r="B176" s="274" t="s">
        <v>167</v>
      </c>
      <c r="C176" s="123">
        <v>1</v>
      </c>
      <c r="D176" s="123">
        <v>60</v>
      </c>
      <c r="E176" s="123">
        <f t="shared" si="47"/>
        <v>60</v>
      </c>
      <c r="F176" s="123" t="s">
        <v>269</v>
      </c>
      <c r="G176" s="123" t="s">
        <v>269</v>
      </c>
      <c r="H176" s="257">
        <v>79.8</v>
      </c>
      <c r="I176" s="257">
        <f t="shared" si="48"/>
        <v>1.3299999999999998</v>
      </c>
      <c r="J176" s="257">
        <f t="shared" si="61"/>
        <v>79.8</v>
      </c>
      <c r="K176" s="257"/>
      <c r="L176" s="257">
        <f t="shared" si="43"/>
        <v>0.42115262824572508</v>
      </c>
      <c r="M176" s="257">
        <f t="shared" si="49"/>
        <v>25.269157694743509</v>
      </c>
      <c r="N176" s="257">
        <f t="shared" si="51"/>
        <v>0.4590563647878404</v>
      </c>
      <c r="O176" s="257">
        <f t="shared" si="50"/>
        <v>27.543381887270424</v>
      </c>
      <c r="P176" s="257">
        <v>0.85</v>
      </c>
      <c r="Q176" s="257">
        <f t="shared" si="44"/>
        <v>51</v>
      </c>
      <c r="R176" s="257">
        <f t="shared" si="45"/>
        <v>0.39094363521215958</v>
      </c>
      <c r="S176" s="257">
        <f t="shared" si="42"/>
        <v>23.456618112729576</v>
      </c>
      <c r="T176" s="246">
        <f t="shared" si="46"/>
        <v>0.45993368848489363</v>
      </c>
      <c r="U176" s="123"/>
      <c r="V176" s="268">
        <f t="shared" si="52"/>
        <v>0.85</v>
      </c>
      <c r="W176" s="269">
        <v>0.18</v>
      </c>
      <c r="X176" s="270">
        <f t="shared" si="53"/>
        <v>1.0365853658536583</v>
      </c>
      <c r="Y176" s="271">
        <f t="shared" si="54"/>
        <v>0.18658536585365851</v>
      </c>
      <c r="Z176" s="267">
        <f t="shared" si="55"/>
        <v>1.6792682926829266E-2</v>
      </c>
      <c r="AA176" s="271">
        <f t="shared" si="56"/>
        <v>0.20337804878048776</v>
      </c>
      <c r="AB176" s="271">
        <f t="shared" si="57"/>
        <v>0.83320731707317064</v>
      </c>
      <c r="AC176" s="284">
        <f t="shared" si="58"/>
        <v>0.44904904772034432</v>
      </c>
      <c r="AD176" s="285">
        <f t="shared" si="59"/>
        <v>-1.0884640764549314E-2</v>
      </c>
      <c r="AE176" s="221" t="s">
        <v>269</v>
      </c>
    </row>
    <row r="177" spans="1:31" ht="40" customHeight="1" x14ac:dyDescent="0.2">
      <c r="A177" s="123">
        <v>173</v>
      </c>
      <c r="B177" s="274" t="s">
        <v>229</v>
      </c>
      <c r="C177" s="123">
        <v>1</v>
      </c>
      <c r="D177" s="123">
        <v>120</v>
      </c>
      <c r="E177" s="123">
        <f t="shared" si="47"/>
        <v>120</v>
      </c>
      <c r="F177" s="123" t="s">
        <v>269</v>
      </c>
      <c r="G177" s="123" t="s">
        <v>269</v>
      </c>
      <c r="H177" s="257">
        <v>115.2</v>
      </c>
      <c r="I177" s="257">
        <f t="shared" si="48"/>
        <v>0.96000000000000008</v>
      </c>
      <c r="J177" s="257">
        <f t="shared" si="61"/>
        <v>115.2</v>
      </c>
      <c r="K177" s="257"/>
      <c r="L177" s="257">
        <f t="shared" si="43"/>
        <v>0.3039898670044332</v>
      </c>
      <c r="M177" s="257">
        <f t="shared" si="49"/>
        <v>36.478784040531984</v>
      </c>
      <c r="N177" s="257">
        <f t="shared" si="51"/>
        <v>0.33134895503483219</v>
      </c>
      <c r="O177" s="257">
        <f t="shared" si="50"/>
        <v>39.761874604179866</v>
      </c>
      <c r="P177" s="257"/>
      <c r="Q177" s="257">
        <f t="shared" si="44"/>
        <v>0</v>
      </c>
      <c r="R177" s="257">
        <f t="shared" si="45"/>
        <v>-0.33134895503483219</v>
      </c>
      <c r="S177" s="257">
        <f t="shared" si="42"/>
        <v>-39.761874604179866</v>
      </c>
      <c r="T177" s="246" t="e">
        <f t="shared" si="46"/>
        <v>#DIV/0!</v>
      </c>
      <c r="U177" s="123"/>
      <c r="V177" s="268">
        <f t="shared" si="52"/>
        <v>0</v>
      </c>
      <c r="W177" s="269">
        <v>0.18</v>
      </c>
      <c r="X177" s="270">
        <f t="shared" si="53"/>
        <v>0</v>
      </c>
      <c r="Y177" s="271">
        <f t="shared" si="54"/>
        <v>0</v>
      </c>
      <c r="Z177" s="267">
        <f t="shared" si="55"/>
        <v>0</v>
      </c>
      <c r="AA177" s="271">
        <f t="shared" si="56"/>
        <v>0</v>
      </c>
      <c r="AB177" s="271">
        <f t="shared" si="57"/>
        <v>0</v>
      </c>
      <c r="AC177" s="284" t="e">
        <f t="shared" si="58"/>
        <v>#DIV/0!</v>
      </c>
      <c r="AD177" s="285" t="e">
        <f t="shared" si="59"/>
        <v>#DIV/0!</v>
      </c>
      <c r="AE177" s="221" t="s">
        <v>269</v>
      </c>
    </row>
    <row r="178" spans="1:31" ht="40" customHeight="1" x14ac:dyDescent="0.2">
      <c r="A178" s="123">
        <v>174</v>
      </c>
      <c r="B178" s="274" t="s">
        <v>168</v>
      </c>
      <c r="C178" s="123">
        <v>1</v>
      </c>
      <c r="D178" s="123">
        <v>40</v>
      </c>
      <c r="E178" s="123">
        <f t="shared" si="47"/>
        <v>40</v>
      </c>
      <c r="F178" s="123" t="s">
        <v>269</v>
      </c>
      <c r="G178" s="123" t="s">
        <v>269</v>
      </c>
      <c r="H178" s="257">
        <v>162</v>
      </c>
      <c r="I178" s="257">
        <f t="shared" si="48"/>
        <v>4.05</v>
      </c>
      <c r="J178" s="257">
        <f t="shared" si="61"/>
        <v>162</v>
      </c>
      <c r="K178" s="257"/>
      <c r="L178" s="257">
        <f t="shared" si="43"/>
        <v>1.2824572514249524</v>
      </c>
      <c r="M178" s="257">
        <f t="shared" si="49"/>
        <v>51.298290056998098</v>
      </c>
      <c r="N178" s="257">
        <f t="shared" si="51"/>
        <v>1.3978784040531982</v>
      </c>
      <c r="O178" s="257">
        <f t="shared" si="50"/>
        <v>55.915136162127929</v>
      </c>
      <c r="P178" s="257">
        <v>2.5</v>
      </c>
      <c r="Q178" s="257">
        <f t="shared" si="44"/>
        <v>100</v>
      </c>
      <c r="R178" s="257">
        <f t="shared" si="45"/>
        <v>1.1021215959468018</v>
      </c>
      <c r="S178" s="257">
        <f t="shared" si="42"/>
        <v>44.084863837872071</v>
      </c>
      <c r="T178" s="246">
        <f t="shared" si="46"/>
        <v>0.44084863837872074</v>
      </c>
      <c r="U178" s="123"/>
      <c r="V178" s="268">
        <f t="shared" si="52"/>
        <v>2.5</v>
      </c>
      <c r="W178" s="269">
        <v>0.18</v>
      </c>
      <c r="X178" s="270">
        <f t="shared" si="53"/>
        <v>3.0487804878048776</v>
      </c>
      <c r="Y178" s="271">
        <f t="shared" si="54"/>
        <v>0.54878048780487798</v>
      </c>
      <c r="Z178" s="267">
        <f t="shared" si="55"/>
        <v>4.939024390243902E-2</v>
      </c>
      <c r="AA178" s="271">
        <f t="shared" si="56"/>
        <v>0.59817073170731705</v>
      </c>
      <c r="AB178" s="271">
        <f t="shared" si="57"/>
        <v>2.4506097560975606</v>
      </c>
      <c r="AC178" s="284">
        <f t="shared" si="58"/>
        <v>0.42957935241422113</v>
      </c>
      <c r="AD178" s="285">
        <f t="shared" si="59"/>
        <v>-1.1269285964499609E-2</v>
      </c>
      <c r="AE178" s="221" t="s">
        <v>269</v>
      </c>
    </row>
    <row r="179" spans="1:31" ht="40" customHeight="1" x14ac:dyDescent="0.2">
      <c r="A179" s="123">
        <v>175</v>
      </c>
      <c r="B179" s="274" t="s">
        <v>169</v>
      </c>
      <c r="C179" s="123">
        <v>1</v>
      </c>
      <c r="D179" s="123">
        <v>40</v>
      </c>
      <c r="E179" s="123">
        <f t="shared" si="47"/>
        <v>40</v>
      </c>
      <c r="F179" s="123" t="s">
        <v>269</v>
      </c>
      <c r="G179" s="123" t="s">
        <v>269</v>
      </c>
      <c r="H179" s="257">
        <v>168</v>
      </c>
      <c r="I179" s="257">
        <f t="shared" si="48"/>
        <v>4.2</v>
      </c>
      <c r="J179" s="257">
        <f t="shared" si="61"/>
        <v>168</v>
      </c>
      <c r="K179" s="257"/>
      <c r="L179" s="257">
        <f t="shared" si="43"/>
        <v>1.3299556681443954</v>
      </c>
      <c r="M179" s="257">
        <f t="shared" si="49"/>
        <v>53.198226725775811</v>
      </c>
      <c r="N179" s="257">
        <f t="shared" si="51"/>
        <v>1.4496516782773909</v>
      </c>
      <c r="O179" s="257">
        <f t="shared" si="50"/>
        <v>57.986067131095638</v>
      </c>
      <c r="P179" s="257">
        <v>1.95</v>
      </c>
      <c r="Q179" s="257">
        <f t="shared" si="44"/>
        <v>78</v>
      </c>
      <c r="R179" s="257">
        <f t="shared" si="45"/>
        <v>0.50034832172260901</v>
      </c>
      <c r="S179" s="257">
        <f t="shared" si="42"/>
        <v>20.013932868904362</v>
      </c>
      <c r="T179" s="246">
        <f t="shared" si="46"/>
        <v>0.2565888829346713</v>
      </c>
      <c r="U179" s="123"/>
      <c r="V179" s="268">
        <f t="shared" si="52"/>
        <v>1.95</v>
      </c>
      <c r="W179" s="269">
        <v>0.18</v>
      </c>
      <c r="X179" s="270">
        <f t="shared" si="53"/>
        <v>2.3780487804878048</v>
      </c>
      <c r="Y179" s="271">
        <f t="shared" si="54"/>
        <v>0.42804878048780487</v>
      </c>
      <c r="Z179" s="267">
        <f t="shared" si="55"/>
        <v>3.8524390243902439E-2</v>
      </c>
      <c r="AA179" s="271">
        <f t="shared" si="56"/>
        <v>0.46657317073170729</v>
      </c>
      <c r="AB179" s="271">
        <f t="shared" si="57"/>
        <v>1.9114756097560974</v>
      </c>
      <c r="AC179" s="284">
        <f t="shared" si="58"/>
        <v>0.24160597661909733</v>
      </c>
      <c r="AD179" s="285">
        <f t="shared" si="59"/>
        <v>-1.4982906315573974E-2</v>
      </c>
      <c r="AE179" s="221" t="s">
        <v>269</v>
      </c>
    </row>
    <row r="180" spans="1:31" ht="40" customHeight="1" x14ac:dyDescent="0.2">
      <c r="A180" s="123">
        <v>176</v>
      </c>
      <c r="B180" s="274" t="s">
        <v>170</v>
      </c>
      <c r="C180" s="123">
        <v>1</v>
      </c>
      <c r="D180" s="123">
        <v>40</v>
      </c>
      <c r="E180" s="123">
        <f t="shared" si="47"/>
        <v>40</v>
      </c>
      <c r="F180" s="123" t="s">
        <v>269</v>
      </c>
      <c r="G180" s="123" t="s">
        <v>269</v>
      </c>
      <c r="H180" s="257">
        <v>48.8</v>
      </c>
      <c r="I180" s="257">
        <f t="shared" si="48"/>
        <v>1.22</v>
      </c>
      <c r="J180" s="257">
        <f t="shared" si="61"/>
        <v>48.8</v>
      </c>
      <c r="K180" s="257"/>
      <c r="L180" s="257">
        <f t="shared" si="43"/>
        <v>0.38632045598480053</v>
      </c>
      <c r="M180" s="257">
        <f t="shared" si="49"/>
        <v>15.45281823939202</v>
      </c>
      <c r="N180" s="257">
        <f t="shared" si="51"/>
        <v>0.42108929702343262</v>
      </c>
      <c r="O180" s="257">
        <f t="shared" si="50"/>
        <v>16.843571880937304</v>
      </c>
      <c r="P180" s="257">
        <v>0.8</v>
      </c>
      <c r="Q180" s="257">
        <f t="shared" si="44"/>
        <v>32</v>
      </c>
      <c r="R180" s="257">
        <f t="shared" si="45"/>
        <v>0.37891070297656743</v>
      </c>
      <c r="S180" s="257">
        <f t="shared" si="42"/>
        <v>15.156428119062696</v>
      </c>
      <c r="T180" s="246">
        <f t="shared" si="46"/>
        <v>0.47363837872070924</v>
      </c>
      <c r="U180" s="123"/>
      <c r="V180" s="268">
        <f t="shared" si="52"/>
        <v>0.8</v>
      </c>
      <c r="W180" s="269">
        <v>0.18</v>
      </c>
      <c r="X180" s="270">
        <f t="shared" si="53"/>
        <v>0.97560975609756095</v>
      </c>
      <c r="Y180" s="271">
        <f t="shared" si="54"/>
        <v>0.17560975609756097</v>
      </c>
      <c r="Z180" s="267">
        <f t="shared" si="55"/>
        <v>1.5804878048780488E-2</v>
      </c>
      <c r="AA180" s="271">
        <f t="shared" si="56"/>
        <v>0.19141463414634147</v>
      </c>
      <c r="AB180" s="271">
        <f t="shared" si="57"/>
        <v>0.78419512195121954</v>
      </c>
      <c r="AC180" s="284">
        <f t="shared" si="58"/>
        <v>0.46302994594548591</v>
      </c>
      <c r="AD180" s="285">
        <f t="shared" si="59"/>
        <v>-1.0608432775223331E-2</v>
      </c>
      <c r="AE180" s="221" t="s">
        <v>269</v>
      </c>
    </row>
    <row r="181" spans="1:31" ht="40" customHeight="1" x14ac:dyDescent="0.2">
      <c r="A181" s="123">
        <v>177</v>
      </c>
      <c r="B181" s="274" t="s">
        <v>171</v>
      </c>
      <c r="C181" s="123">
        <v>1</v>
      </c>
      <c r="D181" s="123">
        <v>270</v>
      </c>
      <c r="E181" s="123">
        <f t="shared" si="47"/>
        <v>270</v>
      </c>
      <c r="F181" s="123" t="s">
        <v>269</v>
      </c>
      <c r="G181" s="123" t="s">
        <v>269</v>
      </c>
      <c r="H181" s="257">
        <v>374.4</v>
      </c>
      <c r="I181" s="257">
        <f t="shared" si="48"/>
        <v>1.3866666666666665</v>
      </c>
      <c r="J181" s="257">
        <f t="shared" si="61"/>
        <v>374.4</v>
      </c>
      <c r="K181" s="257"/>
      <c r="L181" s="257">
        <f t="shared" si="43"/>
        <v>0.43909647456195899</v>
      </c>
      <c r="M181" s="257">
        <f t="shared" si="49"/>
        <v>118.55604813172894</v>
      </c>
      <c r="N181" s="257">
        <f t="shared" si="51"/>
        <v>0.47861515727253534</v>
      </c>
      <c r="O181" s="257">
        <f t="shared" si="50"/>
        <v>129.22609246358454</v>
      </c>
      <c r="P181" s="257">
        <v>0.8</v>
      </c>
      <c r="Q181" s="257">
        <f t="shared" si="44"/>
        <v>216</v>
      </c>
      <c r="R181" s="257">
        <f t="shared" si="45"/>
        <v>0.3213848427274647</v>
      </c>
      <c r="S181" s="257">
        <f t="shared" si="42"/>
        <v>86.773907536415464</v>
      </c>
      <c r="T181" s="246">
        <f t="shared" si="46"/>
        <v>0.40173105340933085</v>
      </c>
      <c r="U181" s="123"/>
      <c r="V181" s="268">
        <f t="shared" si="52"/>
        <v>0.8</v>
      </c>
      <c r="W181" s="269">
        <v>0.18</v>
      </c>
      <c r="X181" s="270">
        <f t="shared" si="53"/>
        <v>0.97560975609756095</v>
      </c>
      <c r="Y181" s="271">
        <f t="shared" si="54"/>
        <v>0.17560975609756097</v>
      </c>
      <c r="Z181" s="267">
        <f t="shared" si="55"/>
        <v>1.5804878048780488E-2</v>
      </c>
      <c r="AA181" s="271">
        <f t="shared" si="56"/>
        <v>0.19141463414634147</v>
      </c>
      <c r="AB181" s="271">
        <f t="shared" si="57"/>
        <v>0.78419512195121954</v>
      </c>
      <c r="AC181" s="284">
        <f t="shared" si="58"/>
        <v>0.3896733811839404</v>
      </c>
      <c r="AD181" s="285">
        <f t="shared" si="59"/>
        <v>-1.2057672225390448E-2</v>
      </c>
      <c r="AE181" s="221" t="s">
        <v>269</v>
      </c>
    </row>
    <row r="182" spans="1:31" ht="40" customHeight="1" x14ac:dyDescent="0.2">
      <c r="A182" s="123">
        <v>178</v>
      </c>
      <c r="B182" s="274" t="s">
        <v>172</v>
      </c>
      <c r="C182" s="123">
        <v>1</v>
      </c>
      <c r="D182" s="123">
        <v>270</v>
      </c>
      <c r="E182" s="123">
        <f t="shared" si="47"/>
        <v>270</v>
      </c>
      <c r="F182" s="123" t="s">
        <v>269</v>
      </c>
      <c r="G182" s="123" t="s">
        <v>269</v>
      </c>
      <c r="H182" s="257">
        <v>374.4</v>
      </c>
      <c r="I182" s="257">
        <f t="shared" si="48"/>
        <v>1.3866666666666665</v>
      </c>
      <c r="J182" s="257">
        <f t="shared" si="61"/>
        <v>374.4</v>
      </c>
      <c r="K182" s="257"/>
      <c r="L182" s="257">
        <f t="shared" si="43"/>
        <v>0.43909647456195899</v>
      </c>
      <c r="M182" s="257">
        <f t="shared" si="49"/>
        <v>118.55604813172894</v>
      </c>
      <c r="N182" s="257">
        <f t="shared" si="51"/>
        <v>0.47861515727253534</v>
      </c>
      <c r="O182" s="257">
        <f t="shared" si="50"/>
        <v>129.22609246358454</v>
      </c>
      <c r="P182" s="257">
        <v>0.8</v>
      </c>
      <c r="Q182" s="257">
        <f t="shared" si="44"/>
        <v>216</v>
      </c>
      <c r="R182" s="257">
        <f t="shared" si="45"/>
        <v>0.3213848427274647</v>
      </c>
      <c r="S182" s="257">
        <f t="shared" si="42"/>
        <v>86.773907536415464</v>
      </c>
      <c r="T182" s="246">
        <f t="shared" si="46"/>
        <v>0.40173105340933085</v>
      </c>
      <c r="U182" s="123"/>
      <c r="V182" s="268">
        <f t="shared" si="52"/>
        <v>0.8</v>
      </c>
      <c r="W182" s="269">
        <v>0.18</v>
      </c>
      <c r="X182" s="270">
        <f t="shared" si="53"/>
        <v>0.97560975609756095</v>
      </c>
      <c r="Y182" s="271">
        <f t="shared" si="54"/>
        <v>0.17560975609756097</v>
      </c>
      <c r="Z182" s="267">
        <f t="shared" si="55"/>
        <v>1.5804878048780488E-2</v>
      </c>
      <c r="AA182" s="271">
        <f t="shared" si="56"/>
        <v>0.19141463414634147</v>
      </c>
      <c r="AB182" s="271">
        <f t="shared" si="57"/>
        <v>0.78419512195121954</v>
      </c>
      <c r="AC182" s="284">
        <f t="shared" si="58"/>
        <v>0.3896733811839404</v>
      </c>
      <c r="AD182" s="285">
        <f t="shared" si="59"/>
        <v>-1.2057672225390448E-2</v>
      </c>
      <c r="AE182" s="221" t="s">
        <v>269</v>
      </c>
    </row>
    <row r="183" spans="1:31" ht="40" customHeight="1" x14ac:dyDescent="0.2">
      <c r="A183" s="123">
        <v>179</v>
      </c>
      <c r="B183" s="274" t="s">
        <v>173</v>
      </c>
      <c r="C183" s="123">
        <v>1</v>
      </c>
      <c r="D183" s="123">
        <v>270</v>
      </c>
      <c r="E183" s="123">
        <f t="shared" si="47"/>
        <v>270</v>
      </c>
      <c r="F183" s="123" t="s">
        <v>269</v>
      </c>
      <c r="G183" s="123" t="s">
        <v>269</v>
      </c>
      <c r="H183" s="257">
        <v>374.4</v>
      </c>
      <c r="I183" s="257">
        <f t="shared" si="48"/>
        <v>1.3866666666666665</v>
      </c>
      <c r="J183" s="257">
        <f t="shared" si="61"/>
        <v>374.4</v>
      </c>
      <c r="K183" s="257"/>
      <c r="L183" s="257">
        <f t="shared" si="43"/>
        <v>0.43909647456195899</v>
      </c>
      <c r="M183" s="257">
        <f t="shared" si="49"/>
        <v>118.55604813172894</v>
      </c>
      <c r="N183" s="257">
        <f t="shared" si="51"/>
        <v>0.47861515727253534</v>
      </c>
      <c r="O183" s="257">
        <f t="shared" si="50"/>
        <v>129.22609246358454</v>
      </c>
      <c r="P183" s="257">
        <v>0.8</v>
      </c>
      <c r="Q183" s="257">
        <f t="shared" si="44"/>
        <v>216</v>
      </c>
      <c r="R183" s="257">
        <f t="shared" si="45"/>
        <v>0.3213848427274647</v>
      </c>
      <c r="S183" s="257">
        <f t="shared" si="42"/>
        <v>86.773907536415464</v>
      </c>
      <c r="T183" s="246">
        <f t="shared" si="46"/>
        <v>0.40173105340933085</v>
      </c>
      <c r="U183" s="123"/>
      <c r="V183" s="268">
        <f t="shared" si="52"/>
        <v>0.8</v>
      </c>
      <c r="W183" s="269">
        <v>0.18</v>
      </c>
      <c r="X183" s="270">
        <f t="shared" si="53"/>
        <v>0.97560975609756095</v>
      </c>
      <c r="Y183" s="271">
        <f t="shared" si="54"/>
        <v>0.17560975609756097</v>
      </c>
      <c r="Z183" s="267">
        <f t="shared" si="55"/>
        <v>1.5804878048780488E-2</v>
      </c>
      <c r="AA183" s="271">
        <f t="shared" si="56"/>
        <v>0.19141463414634147</v>
      </c>
      <c r="AB183" s="271">
        <f t="shared" si="57"/>
        <v>0.78419512195121954</v>
      </c>
      <c r="AC183" s="284">
        <f t="shared" si="58"/>
        <v>0.3896733811839404</v>
      </c>
      <c r="AD183" s="285">
        <f t="shared" si="59"/>
        <v>-1.2057672225390448E-2</v>
      </c>
      <c r="AE183" s="221" t="s">
        <v>269</v>
      </c>
    </row>
    <row r="184" spans="1:31" ht="40" customHeight="1" x14ac:dyDescent="0.2">
      <c r="A184" s="123">
        <v>180</v>
      </c>
      <c r="B184" s="274" t="s">
        <v>174</v>
      </c>
      <c r="C184" s="123">
        <v>1</v>
      </c>
      <c r="D184" s="123">
        <v>270</v>
      </c>
      <c r="E184" s="123">
        <f t="shared" si="47"/>
        <v>270</v>
      </c>
      <c r="F184" s="123" t="s">
        <v>269</v>
      </c>
      <c r="G184" s="123" t="s">
        <v>269</v>
      </c>
      <c r="H184" s="257">
        <v>374.4</v>
      </c>
      <c r="I184" s="257">
        <f t="shared" si="48"/>
        <v>1.3866666666666665</v>
      </c>
      <c r="J184" s="257">
        <f t="shared" si="61"/>
        <v>374.4</v>
      </c>
      <c r="K184" s="257"/>
      <c r="L184" s="257">
        <f t="shared" si="43"/>
        <v>0.43909647456195899</v>
      </c>
      <c r="M184" s="257">
        <f t="shared" si="49"/>
        <v>118.55604813172894</v>
      </c>
      <c r="N184" s="257">
        <f t="shared" si="51"/>
        <v>0.47861515727253534</v>
      </c>
      <c r="O184" s="257">
        <f t="shared" si="50"/>
        <v>129.22609246358454</v>
      </c>
      <c r="P184" s="257">
        <v>0.8</v>
      </c>
      <c r="Q184" s="257">
        <f t="shared" si="44"/>
        <v>216</v>
      </c>
      <c r="R184" s="257">
        <f t="shared" si="45"/>
        <v>0.3213848427274647</v>
      </c>
      <c r="S184" s="257">
        <f t="shared" si="42"/>
        <v>86.773907536415464</v>
      </c>
      <c r="T184" s="246">
        <f t="shared" si="46"/>
        <v>0.40173105340933085</v>
      </c>
      <c r="U184" s="123"/>
      <c r="V184" s="268">
        <f t="shared" si="52"/>
        <v>0.8</v>
      </c>
      <c r="W184" s="269">
        <v>0.18</v>
      </c>
      <c r="X184" s="270">
        <f t="shared" si="53"/>
        <v>0.97560975609756095</v>
      </c>
      <c r="Y184" s="271">
        <f t="shared" si="54"/>
        <v>0.17560975609756097</v>
      </c>
      <c r="Z184" s="267">
        <f t="shared" si="55"/>
        <v>1.5804878048780488E-2</v>
      </c>
      <c r="AA184" s="271">
        <f t="shared" si="56"/>
        <v>0.19141463414634147</v>
      </c>
      <c r="AB184" s="271">
        <f t="shared" si="57"/>
        <v>0.78419512195121954</v>
      </c>
      <c r="AC184" s="284">
        <f t="shared" si="58"/>
        <v>0.3896733811839404</v>
      </c>
      <c r="AD184" s="285">
        <f t="shared" si="59"/>
        <v>-1.2057672225390448E-2</v>
      </c>
      <c r="AE184" s="221" t="s">
        <v>269</v>
      </c>
    </row>
    <row r="185" spans="1:31" ht="49" thickBot="1" x14ac:dyDescent="0.25">
      <c r="A185" s="302" t="s">
        <v>99</v>
      </c>
      <c r="B185" s="303"/>
      <c r="C185" s="303"/>
      <c r="D185" s="304"/>
      <c r="E185" s="231"/>
      <c r="F185" s="232"/>
      <c r="G185" s="232"/>
      <c r="H185" s="232"/>
      <c r="I185" s="309" t="s">
        <v>100</v>
      </c>
      <c r="J185" s="311">
        <f>SUM(J6:J184)</f>
        <v>20513.268999999986</v>
      </c>
      <c r="K185" s="249"/>
      <c r="L185" s="253" t="s">
        <v>101</v>
      </c>
      <c r="M185" s="233">
        <f>SUM(M6:M184)</f>
        <v>6469.9253065231114</v>
      </c>
      <c r="N185" s="313" t="s">
        <v>102</v>
      </c>
      <c r="O185" s="314"/>
      <c r="P185" s="315">
        <f>SUM(Q6:Q184)</f>
        <v>11463.399999999994</v>
      </c>
      <c r="Q185" s="316"/>
      <c r="R185" s="317" t="s">
        <v>103</v>
      </c>
      <c r="S185" s="304"/>
      <c r="T185" s="318">
        <f>P185-M188</f>
        <v>4411.1814158898032</v>
      </c>
      <c r="U185" s="283"/>
      <c r="AD185" s="280"/>
    </row>
    <row r="186" spans="1:31" ht="17" thickBot="1" x14ac:dyDescent="0.25">
      <c r="A186" s="305"/>
      <c r="B186" s="303"/>
      <c r="C186" s="303"/>
      <c r="D186" s="304"/>
      <c r="E186" s="231"/>
      <c r="F186" s="234"/>
      <c r="G186" s="234"/>
      <c r="H186" s="234"/>
      <c r="I186" s="310"/>
      <c r="J186" s="312"/>
      <c r="K186" s="250"/>
      <c r="L186" s="254" t="s">
        <v>104</v>
      </c>
      <c r="M186" s="235">
        <f>M185*0.09</f>
        <v>582.29327758707996</v>
      </c>
      <c r="N186" s="320"/>
      <c r="O186" s="321"/>
      <c r="P186" s="321"/>
      <c r="Q186" s="322"/>
      <c r="R186" s="307"/>
      <c r="S186" s="308"/>
      <c r="T186" s="319"/>
      <c r="U186" s="123"/>
      <c r="AD186" s="280"/>
    </row>
    <row r="187" spans="1:31" ht="49" thickBot="1" x14ac:dyDescent="0.25">
      <c r="A187" s="305"/>
      <c r="B187" s="303"/>
      <c r="C187" s="303"/>
      <c r="D187" s="304"/>
      <c r="E187" s="236"/>
      <c r="F187" s="237"/>
      <c r="G187" s="237"/>
      <c r="H187" s="237"/>
      <c r="I187" s="238" t="s">
        <v>105</v>
      </c>
      <c r="J187" s="239" t="s">
        <v>106</v>
      </c>
      <c r="K187" s="250"/>
      <c r="L187" s="255" t="s">
        <v>107</v>
      </c>
      <c r="M187" s="159">
        <v>0</v>
      </c>
      <c r="N187" s="323"/>
      <c r="O187" s="324"/>
      <c r="P187" s="324"/>
      <c r="Q187" s="325"/>
      <c r="R187" s="326" t="s">
        <v>108</v>
      </c>
      <c r="S187" s="327"/>
      <c r="T187" s="256">
        <f>T185/P185</f>
        <v>0.38480567858487058</v>
      </c>
      <c r="U187" s="123"/>
      <c r="AD187" s="280"/>
    </row>
    <row r="188" spans="1:31" ht="103" thickBot="1" x14ac:dyDescent="0.25">
      <c r="A188" s="306"/>
      <c r="B188" s="307"/>
      <c r="C188" s="307"/>
      <c r="D188" s="308"/>
      <c r="E188" s="240"/>
      <c r="F188" s="241"/>
      <c r="G188" s="241"/>
      <c r="H188" s="241"/>
      <c r="I188" s="242" t="s">
        <v>109</v>
      </c>
      <c r="J188" s="243">
        <f>SUM(J185:J187)</f>
        <v>20513.268999999986</v>
      </c>
      <c r="K188" s="250"/>
      <c r="L188" s="244" t="s">
        <v>109</v>
      </c>
      <c r="M188" s="167">
        <f>SUM(M185:M187)</f>
        <v>7052.2185841101909</v>
      </c>
      <c r="N188" s="168" t="s">
        <v>110</v>
      </c>
      <c r="O188" s="328">
        <f>M187/M185</f>
        <v>0</v>
      </c>
      <c r="P188" s="329"/>
      <c r="Q188" s="245"/>
      <c r="R188" s="251"/>
      <c r="S188" s="251"/>
      <c r="T188" s="252"/>
      <c r="U188" s="123"/>
    </row>
    <row r="189" spans="1:31" x14ac:dyDescent="0.2">
      <c r="A189" s="171"/>
      <c r="B189" s="275"/>
      <c r="C189" s="104"/>
      <c r="D189" s="104"/>
      <c r="E189" s="172"/>
      <c r="F189" s="172"/>
      <c r="G189" s="172"/>
      <c r="H189" s="172"/>
      <c r="I189" s="172"/>
      <c r="J189" s="173"/>
      <c r="K189" s="174"/>
      <c r="L189" s="104"/>
      <c r="M189" s="104"/>
      <c r="N189" s="175"/>
      <c r="O189" s="175"/>
      <c r="P189" s="176"/>
      <c r="Q189" s="177"/>
      <c r="R189" s="177"/>
      <c r="S189" s="178"/>
      <c r="T189" s="223"/>
      <c r="U189" s="221"/>
    </row>
    <row r="190" spans="1:31" x14ac:dyDescent="0.2">
      <c r="A190" s="174"/>
      <c r="B190" s="276"/>
      <c r="C190" s="177"/>
      <c r="D190" s="177"/>
      <c r="E190" s="179"/>
      <c r="F190" s="179"/>
      <c r="G190" s="179"/>
      <c r="H190" s="179"/>
      <c r="I190" s="179"/>
      <c r="J190" s="180"/>
      <c r="K190" s="174"/>
      <c r="L190" s="286"/>
      <c r="M190" s="287"/>
      <c r="N190" s="287"/>
      <c r="O190" s="287"/>
      <c r="P190" s="288"/>
      <c r="Q190" s="177"/>
      <c r="R190" s="177"/>
      <c r="S190" s="177"/>
      <c r="T190" s="223"/>
      <c r="U190" s="221"/>
    </row>
    <row r="191" spans="1:31" x14ac:dyDescent="0.2">
      <c r="A191" s="174"/>
      <c r="B191" s="276"/>
      <c r="C191" s="177"/>
      <c r="D191" s="177"/>
      <c r="E191" s="179"/>
      <c r="F191" s="179"/>
      <c r="G191" s="179"/>
      <c r="H191" s="179"/>
      <c r="I191" s="179"/>
      <c r="J191" s="180"/>
      <c r="K191" s="174"/>
      <c r="L191" s="181"/>
      <c r="M191" s="182"/>
      <c r="N191" s="183"/>
      <c r="O191" s="183"/>
      <c r="P191" s="184"/>
      <c r="Q191" s="177"/>
      <c r="R191" s="177"/>
      <c r="S191" s="177"/>
      <c r="T191" s="223"/>
      <c r="U191" s="221"/>
    </row>
    <row r="192" spans="1:31" x14ac:dyDescent="0.2">
      <c r="A192" s="185" t="s">
        <v>111</v>
      </c>
      <c r="B192" s="276"/>
      <c r="C192" s="177"/>
      <c r="D192" s="177"/>
      <c r="E192" s="179"/>
      <c r="F192" s="179"/>
      <c r="G192" s="179"/>
      <c r="H192" s="179"/>
      <c r="I192" s="179"/>
      <c r="J192" s="180"/>
      <c r="K192" s="174"/>
      <c r="L192" s="186"/>
      <c r="M192" s="186"/>
      <c r="N192" s="186"/>
      <c r="O192" s="186"/>
      <c r="P192" s="184"/>
      <c r="Q192" s="177"/>
      <c r="R192" s="177"/>
      <c r="S192" s="177"/>
      <c r="T192" s="223"/>
      <c r="U192" s="221"/>
    </row>
    <row r="193" spans="1:21" x14ac:dyDescent="0.2">
      <c r="A193" s="185" t="s">
        <v>112</v>
      </c>
      <c r="B193" s="276"/>
      <c r="C193" s="177"/>
      <c r="D193" s="177"/>
      <c r="E193" s="179"/>
      <c r="F193" s="179"/>
      <c r="G193" s="179"/>
      <c r="H193" s="179"/>
      <c r="I193" s="179"/>
      <c r="J193" s="180"/>
      <c r="K193" s="174"/>
      <c r="L193" s="186"/>
      <c r="M193" s="186"/>
      <c r="N193" s="181"/>
      <c r="O193" s="181"/>
      <c r="P193" s="187"/>
      <c r="Q193" s="177"/>
      <c r="R193" s="188"/>
      <c r="S193" s="177"/>
      <c r="T193" s="223"/>
      <c r="U193" s="221"/>
    </row>
    <row r="194" spans="1:21" ht="17" thickBot="1" x14ac:dyDescent="0.25">
      <c r="A194" s="189"/>
      <c r="B194" s="277"/>
      <c r="C194" s="190"/>
      <c r="D194" s="190"/>
      <c r="E194" s="191"/>
      <c r="F194" s="191"/>
      <c r="G194" s="191"/>
      <c r="H194" s="191"/>
      <c r="I194" s="191"/>
      <c r="J194" s="192"/>
      <c r="K194" s="174"/>
      <c r="L194" s="193"/>
      <c r="M194" s="193"/>
      <c r="N194" s="193"/>
      <c r="O194" s="193"/>
      <c r="P194" s="194"/>
      <c r="Q194" s="177"/>
      <c r="R194" s="177"/>
      <c r="S194" s="177"/>
      <c r="T194" s="223"/>
      <c r="U194" s="221"/>
    </row>
    <row r="1048576" spans="31:31" x14ac:dyDescent="0.2">
      <c r="AE1048576" t="s">
        <v>269</v>
      </c>
    </row>
  </sheetData>
  <mergeCells count="16">
    <mergeCell ref="L190:P190"/>
    <mergeCell ref="A1:Q1"/>
    <mergeCell ref="S1:T1"/>
    <mergeCell ref="A2:Q2"/>
    <mergeCell ref="A4:J4"/>
    <mergeCell ref="L4:T4"/>
    <mergeCell ref="A185:D188"/>
    <mergeCell ref="I185:I186"/>
    <mergeCell ref="J185:J186"/>
    <mergeCell ref="N185:O185"/>
    <mergeCell ref="P185:Q185"/>
    <mergeCell ref="R185:S186"/>
    <mergeCell ref="T185:T186"/>
    <mergeCell ref="N186:Q187"/>
    <mergeCell ref="R187:S187"/>
    <mergeCell ref="O188:P1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76"/>
  <sheetViews>
    <sheetView zoomScale="75" workbookViewId="0">
      <selection activeCell="Q1" sqref="Q1:R1"/>
    </sheetView>
  </sheetViews>
  <sheetFormatPr baseColWidth="10" defaultColWidth="11" defaultRowHeight="16" x14ac:dyDescent="0.2"/>
  <cols>
    <col min="1" max="1" width="5.6640625" customWidth="1"/>
    <col min="2" max="2" width="42.33203125" customWidth="1"/>
    <col min="3" max="3" width="11" bestFit="1" customWidth="1"/>
    <col min="5" max="7" width="11" bestFit="1" customWidth="1"/>
    <col min="8" max="8" width="13.6640625" customWidth="1"/>
    <col min="10" max="10" width="11" bestFit="1" customWidth="1"/>
    <col min="11" max="11" width="14.1640625" customWidth="1"/>
    <col min="12" max="12" width="11" bestFit="1" customWidth="1"/>
    <col min="13" max="13" width="12.83203125" bestFit="1" customWidth="1"/>
    <col min="15" max="16" width="11" bestFit="1" customWidth="1"/>
    <col min="17" max="17" width="11.33203125" bestFit="1" customWidth="1"/>
    <col min="18" max="18" width="11" bestFit="1" customWidth="1"/>
  </cols>
  <sheetData>
    <row r="1" spans="1:19" ht="33" customHeight="1" x14ac:dyDescent="0.4">
      <c r="A1" s="330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  <c r="P1" s="94" t="s">
        <v>1</v>
      </c>
      <c r="Q1" s="348">
        <v>46083</v>
      </c>
      <c r="R1" s="298"/>
      <c r="S1" s="95"/>
    </row>
    <row r="2" spans="1:19" ht="32" customHeight="1" thickBot="1" x14ac:dyDescent="0.4">
      <c r="A2" s="347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6"/>
      <c r="P2" s="96" t="s">
        <v>3</v>
      </c>
      <c r="Q2" s="97">
        <v>3.16</v>
      </c>
      <c r="R2" s="98"/>
      <c r="S2" s="99"/>
    </row>
    <row r="3" spans="1:19" ht="25" customHeight="1" thickBot="1" x14ac:dyDescent="0.35">
      <c r="A3" s="100"/>
      <c r="B3" s="101" t="s">
        <v>4</v>
      </c>
      <c r="C3" s="100"/>
      <c r="D3" s="100"/>
      <c r="E3" s="102"/>
      <c r="F3" s="102"/>
      <c r="G3" s="102"/>
      <c r="H3" s="103"/>
      <c r="I3" s="104"/>
      <c r="J3" s="105"/>
      <c r="K3" s="106"/>
      <c r="L3" s="106"/>
      <c r="M3" s="106"/>
      <c r="N3" s="107"/>
      <c r="O3" s="106"/>
      <c r="P3" s="108"/>
      <c r="Q3" s="108"/>
      <c r="R3" s="108"/>
      <c r="S3" s="109"/>
    </row>
    <row r="4" spans="1:19" ht="27" customHeight="1" thickBot="1" x14ac:dyDescent="0.25">
      <c r="A4" s="361" t="s">
        <v>5</v>
      </c>
      <c r="B4" s="355"/>
      <c r="C4" s="355"/>
      <c r="D4" s="355"/>
      <c r="E4" s="355"/>
      <c r="F4" s="355"/>
      <c r="G4" s="355"/>
      <c r="H4" s="362"/>
      <c r="I4" s="110"/>
      <c r="J4" s="354" t="s">
        <v>6</v>
      </c>
      <c r="K4" s="355"/>
      <c r="L4" s="355"/>
      <c r="M4" s="355"/>
      <c r="N4" s="355"/>
      <c r="O4" s="355"/>
      <c r="P4" s="355"/>
      <c r="Q4" s="355"/>
      <c r="R4" s="355"/>
      <c r="S4" s="353"/>
    </row>
    <row r="5" spans="1:19" ht="17" customHeight="1" thickBot="1" x14ac:dyDescent="0.25">
      <c r="A5" s="100"/>
      <c r="B5" s="100"/>
      <c r="C5" s="100"/>
      <c r="D5" s="100"/>
      <c r="E5" s="102"/>
      <c r="F5" s="102"/>
      <c r="G5" s="102"/>
      <c r="H5" s="103"/>
      <c r="I5" s="111"/>
      <c r="J5" s="112"/>
      <c r="K5" s="112"/>
      <c r="L5" s="112"/>
      <c r="M5" s="112"/>
      <c r="N5" s="113"/>
      <c r="O5" s="112"/>
      <c r="P5" s="112"/>
      <c r="Q5" s="112"/>
      <c r="R5" s="112"/>
      <c r="S5" s="109"/>
    </row>
    <row r="6" spans="1:19" ht="80" customHeight="1" x14ac:dyDescent="0.2">
      <c r="A6" s="114" t="s">
        <v>7</v>
      </c>
      <c r="B6" s="115" t="s">
        <v>8</v>
      </c>
      <c r="C6" s="116" t="s">
        <v>9</v>
      </c>
      <c r="D6" s="116" t="s">
        <v>10</v>
      </c>
      <c r="E6" s="116" t="s">
        <v>11</v>
      </c>
      <c r="F6" s="116" t="s">
        <v>12</v>
      </c>
      <c r="G6" s="116" t="s">
        <v>13</v>
      </c>
      <c r="H6" s="117" t="s">
        <v>14</v>
      </c>
      <c r="I6" s="118"/>
      <c r="J6" s="119" t="s">
        <v>15</v>
      </c>
      <c r="K6" s="120" t="s">
        <v>16</v>
      </c>
      <c r="L6" s="120" t="s">
        <v>17</v>
      </c>
      <c r="M6" s="120" t="s">
        <v>18</v>
      </c>
      <c r="N6" s="121" t="s">
        <v>19</v>
      </c>
      <c r="O6" s="120" t="s">
        <v>20</v>
      </c>
      <c r="P6" s="120" t="s">
        <v>21</v>
      </c>
      <c r="Q6" s="120" t="s">
        <v>22</v>
      </c>
      <c r="R6" s="120" t="s">
        <v>23</v>
      </c>
      <c r="S6" s="122" t="s">
        <v>24</v>
      </c>
    </row>
    <row r="7" spans="1:19" ht="45" hidden="1" customHeight="1" x14ac:dyDescent="0.2">
      <c r="A7" s="123">
        <v>1</v>
      </c>
      <c r="B7" s="124" t="s">
        <v>25</v>
      </c>
      <c r="C7" s="125">
        <v>15</v>
      </c>
      <c r="D7" s="126" t="s">
        <v>26</v>
      </c>
      <c r="E7" s="125">
        <f t="shared" ref="E7:E38" si="0">D7*C7</f>
        <v>900</v>
      </c>
      <c r="F7" s="127">
        <v>85.2</v>
      </c>
      <c r="G7" s="128">
        <f t="shared" ref="G7:G38" si="1">F7/D7</f>
        <v>1.4200000000000002</v>
      </c>
      <c r="H7" s="129">
        <f t="shared" ref="H7:H38" si="2">G7*E7</f>
        <v>1278.0000000000002</v>
      </c>
      <c r="I7" s="130"/>
      <c r="J7" s="131">
        <f t="shared" ref="J7:J38" si="3">G7/$Q$2</f>
        <v>0.44936708860759494</v>
      </c>
      <c r="K7" s="131">
        <f t="shared" ref="K7:K38" si="4">H7/$Q$2</f>
        <v>404.43037974683551</v>
      </c>
      <c r="L7" s="131">
        <f t="shared" ref="L7:L38" si="5">J7*(1+$M$70+9%)</f>
        <v>0.48981012658227852</v>
      </c>
      <c r="M7" s="131">
        <f>L7*E7</f>
        <v>440.82911392405066</v>
      </c>
      <c r="N7" s="132"/>
      <c r="O7" s="133">
        <f>N7*E7</f>
        <v>0</v>
      </c>
      <c r="P7" s="133">
        <f>N7-L7</f>
        <v>-0.48981012658227852</v>
      </c>
      <c r="Q7" s="133">
        <f t="shared" ref="Q7:Q38" si="6">P7*E7</f>
        <v>-440.82911392405066</v>
      </c>
      <c r="R7" s="123" t="e">
        <f>P7/N7</f>
        <v>#DIV/0!</v>
      </c>
      <c r="S7" s="135"/>
    </row>
    <row r="8" spans="1:19" ht="45" hidden="1" customHeight="1" x14ac:dyDescent="0.2">
      <c r="A8" s="123">
        <v>2</v>
      </c>
      <c r="B8" s="136" t="s">
        <v>27</v>
      </c>
      <c r="C8" s="125">
        <v>40</v>
      </c>
      <c r="D8" s="126" t="s">
        <v>28</v>
      </c>
      <c r="E8" s="125">
        <f t="shared" si="0"/>
        <v>2000</v>
      </c>
      <c r="F8" s="127">
        <v>80.510000000000005</v>
      </c>
      <c r="G8" s="128">
        <f t="shared" si="1"/>
        <v>1.6102000000000001</v>
      </c>
      <c r="H8" s="129">
        <f t="shared" si="2"/>
        <v>3220.4</v>
      </c>
      <c r="I8" s="130"/>
      <c r="J8" s="131">
        <f t="shared" si="3"/>
        <v>0.50955696202531642</v>
      </c>
      <c r="K8" s="131">
        <f t="shared" si="4"/>
        <v>1019.1139240506329</v>
      </c>
      <c r="L8" s="131">
        <f t="shared" si="5"/>
        <v>0.55541708860759498</v>
      </c>
      <c r="M8" s="131">
        <f t="shared" ref="M8:M38" si="7">L8*E8</f>
        <v>1110.83417721519</v>
      </c>
      <c r="N8" s="132"/>
      <c r="O8" s="133">
        <f t="shared" ref="O8:O38" si="8">N8*E8</f>
        <v>0</v>
      </c>
      <c r="P8" s="133">
        <f t="shared" ref="P8:P38" si="9">N8-L8</f>
        <v>-0.55541708860759498</v>
      </c>
      <c r="Q8" s="133">
        <f t="shared" si="6"/>
        <v>-1110.83417721519</v>
      </c>
      <c r="R8" s="134" t="e">
        <f t="shared" ref="R8:R38" si="10">P8/N8</f>
        <v>#DIV/0!</v>
      </c>
      <c r="S8" s="137"/>
    </row>
    <row r="9" spans="1:19" ht="45" hidden="1" customHeight="1" x14ac:dyDescent="0.2">
      <c r="A9" s="123">
        <v>3</v>
      </c>
      <c r="B9" s="136" t="s">
        <v>29</v>
      </c>
      <c r="C9" s="125">
        <v>30</v>
      </c>
      <c r="D9" s="126" t="s">
        <v>28</v>
      </c>
      <c r="E9" s="125">
        <f t="shared" si="0"/>
        <v>1500</v>
      </c>
      <c r="F9" s="127">
        <v>80.510000000000005</v>
      </c>
      <c r="G9" s="128">
        <f t="shared" si="1"/>
        <v>1.6102000000000001</v>
      </c>
      <c r="H9" s="129">
        <f t="shared" si="2"/>
        <v>2415.3000000000002</v>
      </c>
      <c r="I9" s="130"/>
      <c r="J9" s="131">
        <f t="shared" si="3"/>
        <v>0.50955696202531642</v>
      </c>
      <c r="K9" s="131">
        <f t="shared" si="4"/>
        <v>764.33544303797476</v>
      </c>
      <c r="L9" s="131">
        <f t="shared" si="5"/>
        <v>0.55541708860759498</v>
      </c>
      <c r="M9" s="131">
        <f t="shared" si="7"/>
        <v>833.12563291139247</v>
      </c>
      <c r="N9" s="132"/>
      <c r="O9" s="133">
        <f t="shared" si="8"/>
        <v>0</v>
      </c>
      <c r="P9" s="133">
        <f t="shared" si="9"/>
        <v>-0.55541708860759498</v>
      </c>
      <c r="Q9" s="133">
        <f t="shared" si="6"/>
        <v>-833.12563291139247</v>
      </c>
      <c r="R9" s="134" t="e">
        <f t="shared" si="10"/>
        <v>#DIV/0!</v>
      </c>
      <c r="S9" s="138"/>
    </row>
    <row r="10" spans="1:19" ht="45" hidden="1" customHeight="1" x14ac:dyDescent="0.2">
      <c r="A10" s="123">
        <v>4</v>
      </c>
      <c r="B10" s="139" t="s">
        <v>30</v>
      </c>
      <c r="C10" s="125">
        <v>26</v>
      </c>
      <c r="D10" s="126" t="s">
        <v>28</v>
      </c>
      <c r="E10" s="125">
        <f t="shared" si="0"/>
        <v>1300</v>
      </c>
      <c r="F10" s="127">
        <v>80.510000000000005</v>
      </c>
      <c r="G10" s="128">
        <f t="shared" si="1"/>
        <v>1.6102000000000001</v>
      </c>
      <c r="H10" s="129">
        <f t="shared" si="2"/>
        <v>2093.2600000000002</v>
      </c>
      <c r="I10" s="130"/>
      <c r="J10" s="131">
        <f t="shared" si="3"/>
        <v>0.50955696202531642</v>
      </c>
      <c r="K10" s="131">
        <f t="shared" si="4"/>
        <v>662.42405063291142</v>
      </c>
      <c r="L10" s="131">
        <f t="shared" si="5"/>
        <v>0.55541708860759498</v>
      </c>
      <c r="M10" s="131">
        <f t="shared" si="7"/>
        <v>722.04221518987345</v>
      </c>
      <c r="N10" s="132"/>
      <c r="O10" s="133">
        <f t="shared" si="8"/>
        <v>0</v>
      </c>
      <c r="P10" s="133">
        <f t="shared" si="9"/>
        <v>-0.55541708860759498</v>
      </c>
      <c r="Q10" s="133">
        <f t="shared" si="6"/>
        <v>-722.04221518987345</v>
      </c>
      <c r="R10" s="134" t="e">
        <f t="shared" si="10"/>
        <v>#DIV/0!</v>
      </c>
      <c r="S10" s="138"/>
    </row>
    <row r="11" spans="1:19" ht="45" hidden="1" customHeight="1" x14ac:dyDescent="0.2">
      <c r="A11" s="123">
        <v>5</v>
      </c>
      <c r="B11" s="140" t="s">
        <v>31</v>
      </c>
      <c r="C11" s="125">
        <v>10</v>
      </c>
      <c r="D11" s="126" t="s">
        <v>32</v>
      </c>
      <c r="E11" s="125">
        <f t="shared" si="0"/>
        <v>1000</v>
      </c>
      <c r="F11" s="127">
        <v>365</v>
      </c>
      <c r="G11" s="128">
        <f t="shared" si="1"/>
        <v>3.65</v>
      </c>
      <c r="H11" s="129">
        <f t="shared" si="2"/>
        <v>3650</v>
      </c>
      <c r="I11" s="130"/>
      <c r="J11" s="131">
        <f t="shared" si="3"/>
        <v>1.1550632911392404</v>
      </c>
      <c r="K11" s="131">
        <f t="shared" si="4"/>
        <v>1155.0632911392404</v>
      </c>
      <c r="L11" s="131">
        <f t="shared" si="5"/>
        <v>1.2590189873417721</v>
      </c>
      <c r="M11" s="131">
        <f t="shared" si="7"/>
        <v>1259.0189873417721</v>
      </c>
      <c r="N11" s="132"/>
      <c r="O11" s="133">
        <f t="shared" si="8"/>
        <v>0</v>
      </c>
      <c r="P11" s="133">
        <f t="shared" si="9"/>
        <v>-1.2590189873417721</v>
      </c>
      <c r="Q11" s="133">
        <f t="shared" si="6"/>
        <v>-1259.0189873417721</v>
      </c>
      <c r="R11" s="134" t="e">
        <f t="shared" si="10"/>
        <v>#DIV/0!</v>
      </c>
      <c r="S11" s="138"/>
    </row>
    <row r="12" spans="1:19" ht="45" hidden="1" customHeight="1" x14ac:dyDescent="0.2">
      <c r="A12" s="123">
        <v>6</v>
      </c>
      <c r="B12" s="141" t="s">
        <v>33</v>
      </c>
      <c r="C12" s="125">
        <v>30</v>
      </c>
      <c r="D12" s="126" t="s">
        <v>28</v>
      </c>
      <c r="E12" s="125">
        <f t="shared" si="0"/>
        <v>1500</v>
      </c>
      <c r="F12" s="127">
        <v>79.055000000000007</v>
      </c>
      <c r="G12" s="128">
        <f t="shared" si="1"/>
        <v>1.5811000000000002</v>
      </c>
      <c r="H12" s="129">
        <f t="shared" si="2"/>
        <v>2371.65</v>
      </c>
      <c r="I12" s="130"/>
      <c r="J12" s="131">
        <f t="shared" si="3"/>
        <v>0.50034810126582285</v>
      </c>
      <c r="K12" s="131">
        <f t="shared" si="4"/>
        <v>750.52215189873414</v>
      </c>
      <c r="L12" s="131">
        <f t="shared" si="5"/>
        <v>0.5453794303797469</v>
      </c>
      <c r="M12" s="131">
        <f t="shared" si="7"/>
        <v>818.06914556962033</v>
      </c>
      <c r="N12" s="132"/>
      <c r="O12" s="133">
        <f t="shared" si="8"/>
        <v>0</v>
      </c>
      <c r="P12" s="133">
        <f t="shared" si="9"/>
        <v>-0.5453794303797469</v>
      </c>
      <c r="Q12" s="133">
        <f t="shared" si="6"/>
        <v>-818.06914556962033</v>
      </c>
      <c r="R12" s="134" t="e">
        <f t="shared" si="10"/>
        <v>#DIV/0!</v>
      </c>
      <c r="S12" s="142"/>
    </row>
    <row r="13" spans="1:19" ht="45" hidden="1" customHeight="1" x14ac:dyDescent="0.2">
      <c r="A13" s="123">
        <v>7</v>
      </c>
      <c r="B13" s="124" t="s">
        <v>34</v>
      </c>
      <c r="C13" s="125">
        <v>30</v>
      </c>
      <c r="D13" s="126" t="s">
        <v>28</v>
      </c>
      <c r="E13" s="125">
        <f t="shared" si="0"/>
        <v>1500</v>
      </c>
      <c r="F13" s="127">
        <v>79.055000000000007</v>
      </c>
      <c r="G13" s="128">
        <f t="shared" si="1"/>
        <v>1.5811000000000002</v>
      </c>
      <c r="H13" s="129">
        <f t="shared" si="2"/>
        <v>2371.65</v>
      </c>
      <c r="I13" s="130"/>
      <c r="J13" s="131">
        <f t="shared" si="3"/>
        <v>0.50034810126582285</v>
      </c>
      <c r="K13" s="131">
        <f t="shared" si="4"/>
        <v>750.52215189873414</v>
      </c>
      <c r="L13" s="131">
        <f t="shared" si="5"/>
        <v>0.5453794303797469</v>
      </c>
      <c r="M13" s="131">
        <f t="shared" si="7"/>
        <v>818.06914556962033</v>
      </c>
      <c r="N13" s="132"/>
      <c r="O13" s="133">
        <f t="shared" si="8"/>
        <v>0</v>
      </c>
      <c r="P13" s="133">
        <f t="shared" si="9"/>
        <v>-0.5453794303797469</v>
      </c>
      <c r="Q13" s="133">
        <f t="shared" si="6"/>
        <v>-818.06914556962033</v>
      </c>
      <c r="R13" s="134" t="e">
        <f t="shared" si="10"/>
        <v>#DIV/0!</v>
      </c>
      <c r="S13" s="135"/>
    </row>
    <row r="14" spans="1:19" ht="45" hidden="1" customHeight="1" x14ac:dyDescent="0.2">
      <c r="A14" s="123">
        <v>8</v>
      </c>
      <c r="B14" s="136" t="s">
        <v>35</v>
      </c>
      <c r="C14" s="125">
        <v>40</v>
      </c>
      <c r="D14" s="126" t="s">
        <v>28</v>
      </c>
      <c r="E14" s="125">
        <f t="shared" si="0"/>
        <v>2000</v>
      </c>
      <c r="F14" s="127">
        <v>79.055000000000007</v>
      </c>
      <c r="G14" s="128">
        <f t="shared" si="1"/>
        <v>1.5811000000000002</v>
      </c>
      <c r="H14" s="129">
        <f t="shared" si="2"/>
        <v>3162.2000000000003</v>
      </c>
      <c r="I14" s="130"/>
      <c r="J14" s="131">
        <f t="shared" si="3"/>
        <v>0.50034810126582285</v>
      </c>
      <c r="K14" s="131">
        <f t="shared" si="4"/>
        <v>1000.6962025316457</v>
      </c>
      <c r="L14" s="131">
        <f t="shared" si="5"/>
        <v>0.5453794303797469</v>
      </c>
      <c r="M14" s="131">
        <f t="shared" si="7"/>
        <v>1090.7588607594937</v>
      </c>
      <c r="N14" s="132"/>
      <c r="O14" s="133">
        <f t="shared" si="8"/>
        <v>0</v>
      </c>
      <c r="P14" s="133">
        <f t="shared" si="9"/>
        <v>-0.5453794303797469</v>
      </c>
      <c r="Q14" s="133">
        <f t="shared" si="6"/>
        <v>-1090.7588607594937</v>
      </c>
      <c r="R14" s="134" t="e">
        <f t="shared" si="10"/>
        <v>#DIV/0!</v>
      </c>
      <c r="S14" s="138"/>
    </row>
    <row r="15" spans="1:19" ht="45" hidden="1" customHeight="1" x14ac:dyDescent="0.2">
      <c r="A15" s="123">
        <v>9</v>
      </c>
      <c r="B15" s="139" t="s">
        <v>36</v>
      </c>
      <c r="C15" s="125">
        <v>30</v>
      </c>
      <c r="D15" s="126" t="s">
        <v>37</v>
      </c>
      <c r="E15" s="125">
        <f t="shared" si="0"/>
        <v>1440</v>
      </c>
      <c r="F15" s="127">
        <v>72.75</v>
      </c>
      <c r="G15" s="128">
        <f t="shared" si="1"/>
        <v>1.515625</v>
      </c>
      <c r="H15" s="129">
        <f t="shared" si="2"/>
        <v>2182.5</v>
      </c>
      <c r="I15" s="130"/>
      <c r="J15" s="131">
        <f t="shared" si="3"/>
        <v>0.479628164556962</v>
      </c>
      <c r="K15" s="131">
        <f t="shared" si="4"/>
        <v>690.66455696202524</v>
      </c>
      <c r="L15" s="131">
        <f t="shared" si="5"/>
        <v>0.52279469936708867</v>
      </c>
      <c r="M15" s="131">
        <f t="shared" si="7"/>
        <v>752.82436708860769</v>
      </c>
      <c r="N15" s="132"/>
      <c r="O15" s="133">
        <f t="shared" si="8"/>
        <v>0</v>
      </c>
      <c r="P15" s="133">
        <f t="shared" si="9"/>
        <v>-0.52279469936708867</v>
      </c>
      <c r="Q15" s="133">
        <f t="shared" si="6"/>
        <v>-752.82436708860769</v>
      </c>
      <c r="R15" s="134" t="e">
        <f t="shared" si="10"/>
        <v>#DIV/0!</v>
      </c>
      <c r="S15" s="138"/>
    </row>
    <row r="16" spans="1:19" ht="45" hidden="1" customHeight="1" x14ac:dyDescent="0.2">
      <c r="A16" s="123">
        <v>10</v>
      </c>
      <c r="B16" s="140" t="s">
        <v>38</v>
      </c>
      <c r="C16" s="125">
        <v>30</v>
      </c>
      <c r="D16" s="126" t="s">
        <v>37</v>
      </c>
      <c r="E16" s="125">
        <f t="shared" si="0"/>
        <v>1440</v>
      </c>
      <c r="F16" s="127">
        <v>72.75</v>
      </c>
      <c r="G16" s="128">
        <f t="shared" si="1"/>
        <v>1.515625</v>
      </c>
      <c r="H16" s="129">
        <f t="shared" si="2"/>
        <v>2182.5</v>
      </c>
      <c r="I16" s="130"/>
      <c r="J16" s="131">
        <f t="shared" si="3"/>
        <v>0.479628164556962</v>
      </c>
      <c r="K16" s="131">
        <f t="shared" si="4"/>
        <v>690.66455696202524</v>
      </c>
      <c r="L16" s="131">
        <f t="shared" si="5"/>
        <v>0.52279469936708867</v>
      </c>
      <c r="M16" s="131">
        <f t="shared" si="7"/>
        <v>752.82436708860769</v>
      </c>
      <c r="N16" s="132"/>
      <c r="O16" s="133">
        <f t="shared" si="8"/>
        <v>0</v>
      </c>
      <c r="P16" s="133">
        <f t="shared" si="9"/>
        <v>-0.52279469936708867</v>
      </c>
      <c r="Q16" s="133">
        <f t="shared" si="6"/>
        <v>-752.82436708860769</v>
      </c>
      <c r="R16" s="134" t="e">
        <f t="shared" si="10"/>
        <v>#DIV/0!</v>
      </c>
      <c r="S16" s="138"/>
    </row>
    <row r="17" spans="1:19" ht="45" hidden="1" customHeight="1" x14ac:dyDescent="0.2">
      <c r="A17" s="123">
        <v>11</v>
      </c>
      <c r="B17" s="141" t="s">
        <v>39</v>
      </c>
      <c r="C17" s="125">
        <v>30</v>
      </c>
      <c r="D17" s="126" t="s">
        <v>37</v>
      </c>
      <c r="E17" s="125">
        <f t="shared" si="0"/>
        <v>1440</v>
      </c>
      <c r="F17" s="127">
        <v>72.75</v>
      </c>
      <c r="G17" s="128">
        <f t="shared" si="1"/>
        <v>1.515625</v>
      </c>
      <c r="H17" s="129">
        <f t="shared" si="2"/>
        <v>2182.5</v>
      </c>
      <c r="I17" s="130"/>
      <c r="J17" s="131">
        <f t="shared" si="3"/>
        <v>0.479628164556962</v>
      </c>
      <c r="K17" s="131">
        <f t="shared" si="4"/>
        <v>690.66455696202524</v>
      </c>
      <c r="L17" s="131">
        <f t="shared" si="5"/>
        <v>0.52279469936708867</v>
      </c>
      <c r="M17" s="131">
        <f t="shared" si="7"/>
        <v>752.82436708860769</v>
      </c>
      <c r="N17" s="132"/>
      <c r="O17" s="133">
        <f t="shared" si="8"/>
        <v>0</v>
      </c>
      <c r="P17" s="133">
        <f t="shared" si="9"/>
        <v>-0.52279469936708867</v>
      </c>
      <c r="Q17" s="133">
        <f t="shared" si="6"/>
        <v>-752.82436708860769</v>
      </c>
      <c r="R17" s="134" t="e">
        <f t="shared" si="10"/>
        <v>#DIV/0!</v>
      </c>
      <c r="S17" s="142"/>
    </row>
    <row r="18" spans="1:19" ht="45" hidden="1" customHeight="1" x14ac:dyDescent="0.2">
      <c r="A18" s="123">
        <v>12</v>
      </c>
      <c r="B18" s="124" t="s">
        <v>40</v>
      </c>
      <c r="C18" s="125">
        <v>30</v>
      </c>
      <c r="D18" s="126" t="s">
        <v>37</v>
      </c>
      <c r="E18" s="125">
        <f t="shared" si="0"/>
        <v>1440</v>
      </c>
      <c r="F18" s="127">
        <v>72.75</v>
      </c>
      <c r="G18" s="128">
        <f t="shared" si="1"/>
        <v>1.515625</v>
      </c>
      <c r="H18" s="129">
        <f t="shared" si="2"/>
        <v>2182.5</v>
      </c>
      <c r="I18" s="130"/>
      <c r="J18" s="131">
        <f t="shared" si="3"/>
        <v>0.479628164556962</v>
      </c>
      <c r="K18" s="131">
        <f t="shared" si="4"/>
        <v>690.66455696202524</v>
      </c>
      <c r="L18" s="131">
        <f t="shared" si="5"/>
        <v>0.52279469936708867</v>
      </c>
      <c r="M18" s="131">
        <f t="shared" si="7"/>
        <v>752.82436708860769</v>
      </c>
      <c r="N18" s="132"/>
      <c r="O18" s="133">
        <f t="shared" si="8"/>
        <v>0</v>
      </c>
      <c r="P18" s="133">
        <f t="shared" si="9"/>
        <v>-0.52279469936708867</v>
      </c>
      <c r="Q18" s="133">
        <f t="shared" si="6"/>
        <v>-752.82436708860769</v>
      </c>
      <c r="R18" s="134" t="e">
        <f t="shared" si="10"/>
        <v>#DIV/0!</v>
      </c>
      <c r="S18" s="135"/>
    </row>
    <row r="19" spans="1:19" ht="45" hidden="1" customHeight="1" x14ac:dyDescent="0.2">
      <c r="A19" s="123">
        <v>13</v>
      </c>
      <c r="B19" s="124" t="s">
        <v>41</v>
      </c>
      <c r="C19" s="125">
        <v>16</v>
      </c>
      <c r="D19" s="126" t="s">
        <v>37</v>
      </c>
      <c r="E19" s="125">
        <f t="shared" si="0"/>
        <v>768</v>
      </c>
      <c r="F19" s="127">
        <v>25.5</v>
      </c>
      <c r="G19" s="128">
        <f t="shared" si="1"/>
        <v>0.53125</v>
      </c>
      <c r="H19" s="129">
        <f t="shared" si="2"/>
        <v>408</v>
      </c>
      <c r="I19" s="130"/>
      <c r="J19" s="131">
        <f t="shared" si="3"/>
        <v>0.16811708860759492</v>
      </c>
      <c r="K19" s="131">
        <f t="shared" si="4"/>
        <v>129.1139240506329</v>
      </c>
      <c r="L19" s="131">
        <f t="shared" si="5"/>
        <v>0.18324762658227847</v>
      </c>
      <c r="M19" s="131">
        <f t="shared" si="7"/>
        <v>140.73417721518987</v>
      </c>
      <c r="N19" s="132"/>
      <c r="O19" s="133">
        <f t="shared" si="8"/>
        <v>0</v>
      </c>
      <c r="P19" s="133">
        <f t="shared" si="9"/>
        <v>-0.18324762658227847</v>
      </c>
      <c r="Q19" s="133">
        <f t="shared" si="6"/>
        <v>-140.73417721518987</v>
      </c>
      <c r="R19" s="134" t="e">
        <f t="shared" si="10"/>
        <v>#DIV/0!</v>
      </c>
      <c r="S19" s="135"/>
    </row>
    <row r="20" spans="1:19" ht="45" hidden="1" customHeight="1" x14ac:dyDescent="0.2">
      <c r="A20" s="123">
        <v>14</v>
      </c>
      <c r="B20" s="136" t="s">
        <v>42</v>
      </c>
      <c r="C20" s="125">
        <v>32</v>
      </c>
      <c r="D20" s="126" t="s">
        <v>37</v>
      </c>
      <c r="E20" s="125">
        <f t="shared" si="0"/>
        <v>1536</v>
      </c>
      <c r="F20" s="127">
        <v>25.5</v>
      </c>
      <c r="G20" s="128">
        <f t="shared" si="1"/>
        <v>0.53125</v>
      </c>
      <c r="H20" s="129">
        <f t="shared" si="2"/>
        <v>816</v>
      </c>
      <c r="I20" s="130"/>
      <c r="J20" s="131">
        <f t="shared" si="3"/>
        <v>0.16811708860759492</v>
      </c>
      <c r="K20" s="131">
        <f t="shared" si="4"/>
        <v>258.22784810126581</v>
      </c>
      <c r="L20" s="131">
        <f t="shared" si="5"/>
        <v>0.18324762658227847</v>
      </c>
      <c r="M20" s="131">
        <f t="shared" si="7"/>
        <v>281.46835443037975</v>
      </c>
      <c r="N20" s="132"/>
      <c r="O20" s="133">
        <f t="shared" si="8"/>
        <v>0</v>
      </c>
      <c r="P20" s="133">
        <f t="shared" si="9"/>
        <v>-0.18324762658227847</v>
      </c>
      <c r="Q20" s="133">
        <f t="shared" si="6"/>
        <v>-281.46835443037975</v>
      </c>
      <c r="R20" s="134" t="e">
        <f t="shared" si="10"/>
        <v>#DIV/0!</v>
      </c>
      <c r="S20" s="137"/>
    </row>
    <row r="21" spans="1:19" ht="45" hidden="1" customHeight="1" x14ac:dyDescent="0.2">
      <c r="A21" s="123">
        <v>15</v>
      </c>
      <c r="B21" s="136" t="s">
        <v>43</v>
      </c>
      <c r="C21" s="125">
        <v>10</v>
      </c>
      <c r="D21" s="126" t="s">
        <v>44</v>
      </c>
      <c r="E21" s="125">
        <f t="shared" si="0"/>
        <v>1440</v>
      </c>
      <c r="F21" s="127">
        <v>262.2</v>
      </c>
      <c r="G21" s="128">
        <f t="shared" si="1"/>
        <v>1.8208333333333333</v>
      </c>
      <c r="H21" s="129">
        <f t="shared" si="2"/>
        <v>2622</v>
      </c>
      <c r="I21" s="130"/>
      <c r="J21" s="131">
        <f t="shared" si="3"/>
        <v>0.57621308016877637</v>
      </c>
      <c r="K21" s="131">
        <f t="shared" si="4"/>
        <v>829.74683544303798</v>
      </c>
      <c r="L21" s="131">
        <f t="shared" si="5"/>
        <v>0.62807225738396633</v>
      </c>
      <c r="M21" s="131">
        <f t="shared" si="7"/>
        <v>904.42405063291153</v>
      </c>
      <c r="N21" s="132"/>
      <c r="O21" s="133">
        <f t="shared" si="8"/>
        <v>0</v>
      </c>
      <c r="P21" s="133">
        <f t="shared" si="9"/>
        <v>-0.62807225738396633</v>
      </c>
      <c r="Q21" s="133">
        <f t="shared" si="6"/>
        <v>-904.42405063291153</v>
      </c>
      <c r="R21" s="134" t="e">
        <f t="shared" si="10"/>
        <v>#DIV/0!</v>
      </c>
      <c r="S21" s="138"/>
    </row>
    <row r="22" spans="1:19" ht="45" hidden="1" customHeight="1" x14ac:dyDescent="0.2">
      <c r="A22" s="123">
        <v>16</v>
      </c>
      <c r="B22" s="139" t="s">
        <v>45</v>
      </c>
      <c r="C22" s="125">
        <v>19</v>
      </c>
      <c r="D22" s="126" t="s">
        <v>26</v>
      </c>
      <c r="E22" s="125">
        <f t="shared" si="0"/>
        <v>1140</v>
      </c>
      <c r="F22" s="127">
        <v>136.80000000000001</v>
      </c>
      <c r="G22" s="128">
        <f t="shared" si="1"/>
        <v>2.2800000000000002</v>
      </c>
      <c r="H22" s="129">
        <f t="shared" si="2"/>
        <v>2599.2000000000003</v>
      </c>
      <c r="I22" s="130"/>
      <c r="J22" s="131">
        <f t="shared" si="3"/>
        <v>0.72151898734177222</v>
      </c>
      <c r="K22" s="131">
        <f t="shared" si="4"/>
        <v>822.53164556962031</v>
      </c>
      <c r="L22" s="131">
        <f t="shared" si="5"/>
        <v>0.78645569620253175</v>
      </c>
      <c r="M22" s="131">
        <f t="shared" si="7"/>
        <v>896.55949367088624</v>
      </c>
      <c r="N22" s="132"/>
      <c r="O22" s="133">
        <f t="shared" si="8"/>
        <v>0</v>
      </c>
      <c r="P22" s="133">
        <f t="shared" si="9"/>
        <v>-0.78645569620253175</v>
      </c>
      <c r="Q22" s="133">
        <f t="shared" si="6"/>
        <v>-896.55949367088624</v>
      </c>
      <c r="R22" s="134" t="e">
        <f t="shared" si="10"/>
        <v>#DIV/0!</v>
      </c>
      <c r="S22" s="138"/>
    </row>
    <row r="23" spans="1:19" ht="45" hidden="1" customHeight="1" x14ac:dyDescent="0.2">
      <c r="A23" s="123">
        <v>17</v>
      </c>
      <c r="B23" s="140" t="s">
        <v>46</v>
      </c>
      <c r="C23" s="125">
        <v>30</v>
      </c>
      <c r="D23" s="126" t="s">
        <v>47</v>
      </c>
      <c r="E23" s="125">
        <f t="shared" si="0"/>
        <v>420</v>
      </c>
      <c r="F23" s="127">
        <v>43.4</v>
      </c>
      <c r="G23" s="128">
        <f t="shared" si="1"/>
        <v>3.1</v>
      </c>
      <c r="H23" s="129">
        <f t="shared" si="2"/>
        <v>1302</v>
      </c>
      <c r="I23" s="130"/>
      <c r="J23" s="131">
        <f t="shared" si="3"/>
        <v>0.98101265822784811</v>
      </c>
      <c r="K23" s="131">
        <f t="shared" si="4"/>
        <v>412.02531645569616</v>
      </c>
      <c r="L23" s="131">
        <f t="shared" si="5"/>
        <v>1.0693037974683546</v>
      </c>
      <c r="M23" s="131">
        <f t="shared" si="7"/>
        <v>449.10759493670895</v>
      </c>
      <c r="N23" s="132"/>
      <c r="O23" s="133">
        <f t="shared" si="8"/>
        <v>0</v>
      </c>
      <c r="P23" s="133">
        <f t="shared" si="9"/>
        <v>-1.0693037974683546</v>
      </c>
      <c r="Q23" s="133">
        <f t="shared" si="6"/>
        <v>-449.10759493670895</v>
      </c>
      <c r="R23" s="134" t="e">
        <f t="shared" si="10"/>
        <v>#DIV/0!</v>
      </c>
      <c r="S23" s="138"/>
    </row>
    <row r="24" spans="1:19" ht="45" hidden="1" customHeight="1" x14ac:dyDescent="0.2">
      <c r="A24" s="123">
        <v>18</v>
      </c>
      <c r="B24" s="141" t="s">
        <v>48</v>
      </c>
      <c r="C24" s="125">
        <v>19</v>
      </c>
      <c r="D24" s="126" t="s">
        <v>47</v>
      </c>
      <c r="E24" s="125">
        <f t="shared" si="0"/>
        <v>266</v>
      </c>
      <c r="F24" s="127">
        <v>43.4</v>
      </c>
      <c r="G24" s="128">
        <f t="shared" si="1"/>
        <v>3.1</v>
      </c>
      <c r="H24" s="129">
        <f t="shared" si="2"/>
        <v>824.6</v>
      </c>
      <c r="I24" s="130"/>
      <c r="J24" s="131">
        <f t="shared" si="3"/>
        <v>0.98101265822784811</v>
      </c>
      <c r="K24" s="131">
        <f t="shared" si="4"/>
        <v>260.94936708860757</v>
      </c>
      <c r="L24" s="131">
        <f t="shared" si="5"/>
        <v>1.0693037974683546</v>
      </c>
      <c r="M24" s="131">
        <f t="shared" si="7"/>
        <v>284.43481012658231</v>
      </c>
      <c r="N24" s="132"/>
      <c r="O24" s="133">
        <f t="shared" si="8"/>
        <v>0</v>
      </c>
      <c r="P24" s="133">
        <f t="shared" si="9"/>
        <v>-1.0693037974683546</v>
      </c>
      <c r="Q24" s="133">
        <f t="shared" si="6"/>
        <v>-284.43481012658231</v>
      </c>
      <c r="R24" s="134" t="e">
        <f t="shared" si="10"/>
        <v>#DIV/0!</v>
      </c>
      <c r="S24" s="142"/>
    </row>
    <row r="25" spans="1:19" ht="45" hidden="1" customHeight="1" x14ac:dyDescent="0.2">
      <c r="A25" s="123">
        <v>19</v>
      </c>
      <c r="B25" s="124" t="s">
        <v>49</v>
      </c>
      <c r="C25" s="125">
        <v>50</v>
      </c>
      <c r="D25" s="126" t="s">
        <v>47</v>
      </c>
      <c r="E25" s="125">
        <f t="shared" si="0"/>
        <v>700</v>
      </c>
      <c r="F25" s="127">
        <v>43.4</v>
      </c>
      <c r="G25" s="128">
        <f t="shared" si="1"/>
        <v>3.1</v>
      </c>
      <c r="H25" s="129">
        <f t="shared" si="2"/>
        <v>2170</v>
      </c>
      <c r="I25" s="130"/>
      <c r="J25" s="131">
        <f t="shared" si="3"/>
        <v>0.98101265822784811</v>
      </c>
      <c r="K25" s="131">
        <f t="shared" si="4"/>
        <v>686.70886075949363</v>
      </c>
      <c r="L25" s="131">
        <f t="shared" si="5"/>
        <v>1.0693037974683546</v>
      </c>
      <c r="M25" s="131">
        <f t="shared" si="7"/>
        <v>748.51265822784819</v>
      </c>
      <c r="N25" s="132"/>
      <c r="O25" s="133">
        <f t="shared" si="8"/>
        <v>0</v>
      </c>
      <c r="P25" s="133">
        <f t="shared" si="9"/>
        <v>-1.0693037974683546</v>
      </c>
      <c r="Q25" s="133">
        <f t="shared" si="6"/>
        <v>-748.51265822784819</v>
      </c>
      <c r="R25" s="134" t="e">
        <f t="shared" si="10"/>
        <v>#DIV/0!</v>
      </c>
      <c r="S25" s="135"/>
    </row>
    <row r="26" spans="1:19" ht="45" hidden="1" customHeight="1" x14ac:dyDescent="0.2">
      <c r="A26" s="123">
        <v>20</v>
      </c>
      <c r="B26" s="136" t="s">
        <v>50</v>
      </c>
      <c r="C26" s="125">
        <v>10</v>
      </c>
      <c r="D26" s="126" t="s">
        <v>44</v>
      </c>
      <c r="E26" s="125">
        <f t="shared" si="0"/>
        <v>1440</v>
      </c>
      <c r="F26" s="127">
        <v>92.4</v>
      </c>
      <c r="G26" s="128">
        <f t="shared" si="1"/>
        <v>0.64166666666666672</v>
      </c>
      <c r="H26" s="129">
        <f t="shared" si="2"/>
        <v>924.00000000000011</v>
      </c>
      <c r="I26" s="130"/>
      <c r="J26" s="131">
        <f t="shared" si="3"/>
        <v>0.20305907172995782</v>
      </c>
      <c r="K26" s="131">
        <f t="shared" si="4"/>
        <v>292.40506329113924</v>
      </c>
      <c r="L26" s="131">
        <f t="shared" si="5"/>
        <v>0.22133438818565404</v>
      </c>
      <c r="M26" s="131">
        <f t="shared" si="7"/>
        <v>318.72151898734182</v>
      </c>
      <c r="N26" s="132"/>
      <c r="O26" s="133">
        <f t="shared" si="8"/>
        <v>0</v>
      </c>
      <c r="P26" s="133">
        <f t="shared" si="9"/>
        <v>-0.22133438818565404</v>
      </c>
      <c r="Q26" s="133">
        <f t="shared" si="6"/>
        <v>-318.72151898734182</v>
      </c>
      <c r="R26" s="134" t="e">
        <f t="shared" si="10"/>
        <v>#DIV/0!</v>
      </c>
      <c r="S26" s="138"/>
    </row>
    <row r="27" spans="1:19" ht="45" customHeight="1" x14ac:dyDescent="0.2">
      <c r="A27" s="123">
        <v>21</v>
      </c>
      <c r="B27" s="139" t="s">
        <v>51</v>
      </c>
      <c r="C27" s="125">
        <v>5</v>
      </c>
      <c r="D27" s="126" t="s">
        <v>44</v>
      </c>
      <c r="E27" s="125">
        <f t="shared" si="0"/>
        <v>720</v>
      </c>
      <c r="F27" s="127">
        <v>167.4</v>
      </c>
      <c r="G27" s="128">
        <f t="shared" si="1"/>
        <v>1.1625000000000001</v>
      </c>
      <c r="H27" s="129">
        <f t="shared" si="2"/>
        <v>837.00000000000011</v>
      </c>
      <c r="I27" s="130"/>
      <c r="J27" s="131">
        <f t="shared" si="3"/>
        <v>0.36787974683544306</v>
      </c>
      <c r="K27" s="131">
        <f t="shared" si="4"/>
        <v>264.87341772151899</v>
      </c>
      <c r="L27" s="131">
        <f t="shared" si="5"/>
        <v>0.40098892405063297</v>
      </c>
      <c r="M27" s="131">
        <f t="shared" si="7"/>
        <v>288.71202531645571</v>
      </c>
      <c r="N27" s="132"/>
      <c r="O27" s="133">
        <f t="shared" si="8"/>
        <v>0</v>
      </c>
      <c r="P27" s="133">
        <f t="shared" si="9"/>
        <v>-0.40098892405063297</v>
      </c>
      <c r="Q27" s="133">
        <f t="shared" si="6"/>
        <v>-288.71202531645571</v>
      </c>
      <c r="R27" s="134" t="e">
        <f t="shared" si="10"/>
        <v>#DIV/0!</v>
      </c>
      <c r="S27" s="138"/>
    </row>
    <row r="28" spans="1:19" ht="45" customHeight="1" x14ac:dyDescent="0.2">
      <c r="A28" s="123">
        <v>22</v>
      </c>
      <c r="B28" s="140" t="s">
        <v>52</v>
      </c>
      <c r="C28" s="125">
        <v>5</v>
      </c>
      <c r="D28" s="126" t="s">
        <v>44</v>
      </c>
      <c r="E28" s="125">
        <f t="shared" si="0"/>
        <v>720</v>
      </c>
      <c r="F28" s="127">
        <v>167.4</v>
      </c>
      <c r="G28" s="128">
        <f t="shared" si="1"/>
        <v>1.1625000000000001</v>
      </c>
      <c r="H28" s="129">
        <f t="shared" si="2"/>
        <v>837.00000000000011</v>
      </c>
      <c r="I28" s="130"/>
      <c r="J28" s="131">
        <f t="shared" si="3"/>
        <v>0.36787974683544306</v>
      </c>
      <c r="K28" s="131">
        <f t="shared" si="4"/>
        <v>264.87341772151899</v>
      </c>
      <c r="L28" s="131">
        <f t="shared" si="5"/>
        <v>0.40098892405063297</v>
      </c>
      <c r="M28" s="131">
        <f t="shared" si="7"/>
        <v>288.71202531645571</v>
      </c>
      <c r="N28" s="132"/>
      <c r="O28" s="133">
        <f t="shared" si="8"/>
        <v>0</v>
      </c>
      <c r="P28" s="133">
        <f t="shared" si="9"/>
        <v>-0.40098892405063297</v>
      </c>
      <c r="Q28" s="133">
        <f t="shared" si="6"/>
        <v>-288.71202531645571</v>
      </c>
      <c r="R28" s="134" t="e">
        <f t="shared" si="10"/>
        <v>#DIV/0!</v>
      </c>
      <c r="S28" s="138"/>
    </row>
    <row r="29" spans="1:19" ht="45" customHeight="1" thickBot="1" x14ac:dyDescent="0.25">
      <c r="A29" s="123">
        <v>23</v>
      </c>
      <c r="B29" s="141" t="s">
        <v>53</v>
      </c>
      <c r="C29" s="125">
        <v>5</v>
      </c>
      <c r="D29" s="126" t="s">
        <v>44</v>
      </c>
      <c r="E29" s="125">
        <f t="shared" si="0"/>
        <v>720</v>
      </c>
      <c r="F29" s="127">
        <v>167.4</v>
      </c>
      <c r="G29" s="128">
        <f t="shared" si="1"/>
        <v>1.1625000000000001</v>
      </c>
      <c r="H29" s="129">
        <f t="shared" si="2"/>
        <v>837.00000000000011</v>
      </c>
      <c r="I29" s="130"/>
      <c r="J29" s="131">
        <f t="shared" si="3"/>
        <v>0.36787974683544306</v>
      </c>
      <c r="K29" s="131">
        <f t="shared" si="4"/>
        <v>264.87341772151899</v>
      </c>
      <c r="L29" s="131">
        <f t="shared" si="5"/>
        <v>0.40098892405063297</v>
      </c>
      <c r="M29" s="131">
        <f t="shared" si="7"/>
        <v>288.71202531645571</v>
      </c>
      <c r="N29" s="132"/>
      <c r="O29" s="133">
        <f t="shared" si="8"/>
        <v>0</v>
      </c>
      <c r="P29" s="133">
        <f t="shared" si="9"/>
        <v>-0.40098892405063297</v>
      </c>
      <c r="Q29" s="133">
        <f t="shared" si="6"/>
        <v>-288.71202531645571</v>
      </c>
      <c r="R29" s="134" t="e">
        <f t="shared" si="10"/>
        <v>#DIV/0!</v>
      </c>
      <c r="S29" s="142"/>
    </row>
    <row r="30" spans="1:19" ht="45" hidden="1" customHeight="1" x14ac:dyDescent="0.25">
      <c r="A30" s="123">
        <v>24</v>
      </c>
      <c r="B30" s="124" t="s">
        <v>54</v>
      </c>
      <c r="C30" s="125">
        <v>2</v>
      </c>
      <c r="D30" s="126" t="s">
        <v>55</v>
      </c>
      <c r="E30" s="125">
        <f t="shared" si="0"/>
        <v>540</v>
      </c>
      <c r="F30" s="127">
        <v>374.4</v>
      </c>
      <c r="G30" s="128">
        <f t="shared" si="1"/>
        <v>1.3866666666666665</v>
      </c>
      <c r="H30" s="129">
        <f t="shared" si="2"/>
        <v>748.8</v>
      </c>
      <c r="I30" s="130"/>
      <c r="J30" s="131">
        <f t="shared" si="3"/>
        <v>0.4388185654008438</v>
      </c>
      <c r="K30" s="131">
        <f t="shared" si="4"/>
        <v>236.96202531645568</v>
      </c>
      <c r="L30" s="131">
        <f t="shared" si="5"/>
        <v>0.47831223628691977</v>
      </c>
      <c r="M30" s="131">
        <f t="shared" si="7"/>
        <v>258.28860759493665</v>
      </c>
      <c r="N30" s="132"/>
      <c r="O30" s="133">
        <f t="shared" si="8"/>
        <v>0</v>
      </c>
      <c r="P30" s="133">
        <f t="shared" si="9"/>
        <v>-0.47831223628691977</v>
      </c>
      <c r="Q30" s="133">
        <f t="shared" si="6"/>
        <v>-258.28860759493665</v>
      </c>
      <c r="R30" s="134" t="e">
        <f t="shared" si="10"/>
        <v>#DIV/0!</v>
      </c>
      <c r="S30" s="135"/>
    </row>
    <row r="31" spans="1:19" ht="45" hidden="1" customHeight="1" x14ac:dyDescent="0.25">
      <c r="A31" s="123">
        <v>25</v>
      </c>
      <c r="B31" s="124" t="s">
        <v>56</v>
      </c>
      <c r="C31" s="125">
        <v>2</v>
      </c>
      <c r="D31" s="126" t="s">
        <v>55</v>
      </c>
      <c r="E31" s="125">
        <f t="shared" si="0"/>
        <v>540</v>
      </c>
      <c r="F31" s="127">
        <v>374.4</v>
      </c>
      <c r="G31" s="128">
        <f t="shared" si="1"/>
        <v>1.3866666666666665</v>
      </c>
      <c r="H31" s="129">
        <f t="shared" si="2"/>
        <v>748.8</v>
      </c>
      <c r="I31" s="130"/>
      <c r="J31" s="131">
        <f t="shared" si="3"/>
        <v>0.4388185654008438</v>
      </c>
      <c r="K31" s="131">
        <f t="shared" si="4"/>
        <v>236.96202531645568</v>
      </c>
      <c r="L31" s="131">
        <f t="shared" si="5"/>
        <v>0.47831223628691977</v>
      </c>
      <c r="M31" s="131">
        <f t="shared" si="7"/>
        <v>258.28860759493665</v>
      </c>
      <c r="N31" s="132"/>
      <c r="O31" s="133">
        <f t="shared" si="8"/>
        <v>0</v>
      </c>
      <c r="P31" s="133">
        <f t="shared" si="9"/>
        <v>-0.47831223628691977</v>
      </c>
      <c r="Q31" s="133">
        <f t="shared" si="6"/>
        <v>-258.28860759493665</v>
      </c>
      <c r="R31" s="134" t="e">
        <f t="shared" si="10"/>
        <v>#DIV/0!</v>
      </c>
      <c r="S31" s="135"/>
    </row>
    <row r="32" spans="1:19" ht="45" hidden="1" customHeight="1" x14ac:dyDescent="0.25">
      <c r="A32" s="123">
        <v>26</v>
      </c>
      <c r="B32" s="136" t="s">
        <v>57</v>
      </c>
      <c r="C32" s="125">
        <v>2</v>
      </c>
      <c r="D32" s="126" t="s">
        <v>55</v>
      </c>
      <c r="E32" s="125">
        <f t="shared" si="0"/>
        <v>540</v>
      </c>
      <c r="F32" s="127">
        <v>374.4</v>
      </c>
      <c r="G32" s="128">
        <f t="shared" si="1"/>
        <v>1.3866666666666665</v>
      </c>
      <c r="H32" s="129">
        <f t="shared" si="2"/>
        <v>748.8</v>
      </c>
      <c r="I32" s="130"/>
      <c r="J32" s="131">
        <f t="shared" si="3"/>
        <v>0.4388185654008438</v>
      </c>
      <c r="K32" s="131">
        <f t="shared" si="4"/>
        <v>236.96202531645568</v>
      </c>
      <c r="L32" s="131">
        <f t="shared" si="5"/>
        <v>0.47831223628691977</v>
      </c>
      <c r="M32" s="131">
        <f t="shared" si="7"/>
        <v>258.28860759493665</v>
      </c>
      <c r="N32" s="132"/>
      <c r="O32" s="133">
        <f t="shared" si="8"/>
        <v>0</v>
      </c>
      <c r="P32" s="133">
        <f t="shared" si="9"/>
        <v>-0.47831223628691977</v>
      </c>
      <c r="Q32" s="133">
        <f t="shared" si="6"/>
        <v>-258.28860759493665</v>
      </c>
      <c r="R32" s="134" t="e">
        <f t="shared" si="10"/>
        <v>#DIV/0!</v>
      </c>
      <c r="S32" s="137"/>
    </row>
    <row r="33" spans="1:19" ht="45" hidden="1" customHeight="1" x14ac:dyDescent="0.25">
      <c r="A33" s="123">
        <v>27</v>
      </c>
      <c r="B33" s="136" t="s">
        <v>58</v>
      </c>
      <c r="C33" s="125">
        <v>40</v>
      </c>
      <c r="D33" s="126" t="s">
        <v>59</v>
      </c>
      <c r="E33" s="125">
        <f t="shared" si="0"/>
        <v>1600</v>
      </c>
      <c r="F33" s="127">
        <v>296</v>
      </c>
      <c r="G33" s="128">
        <f t="shared" si="1"/>
        <v>7.4</v>
      </c>
      <c r="H33" s="129">
        <f t="shared" si="2"/>
        <v>11840</v>
      </c>
      <c r="I33" s="130"/>
      <c r="J33" s="131">
        <f t="shared" si="3"/>
        <v>2.3417721518987342</v>
      </c>
      <c r="K33" s="131">
        <f t="shared" si="4"/>
        <v>3746.8354430379745</v>
      </c>
      <c r="L33" s="131">
        <f t="shared" si="5"/>
        <v>2.5525316455696205</v>
      </c>
      <c r="M33" s="131">
        <f t="shared" si="7"/>
        <v>4084.0506329113928</v>
      </c>
      <c r="N33" s="132"/>
      <c r="O33" s="133">
        <f t="shared" si="8"/>
        <v>0</v>
      </c>
      <c r="P33" s="133">
        <f t="shared" si="9"/>
        <v>-2.5525316455696205</v>
      </c>
      <c r="Q33" s="133">
        <f t="shared" si="6"/>
        <v>-4084.0506329113928</v>
      </c>
      <c r="R33" s="134" t="e">
        <f t="shared" si="10"/>
        <v>#DIV/0!</v>
      </c>
      <c r="S33" s="138"/>
    </row>
    <row r="34" spans="1:19" ht="45" hidden="1" customHeight="1" x14ac:dyDescent="0.25">
      <c r="A34" s="123">
        <v>28</v>
      </c>
      <c r="B34" s="139" t="s">
        <v>60</v>
      </c>
      <c r="C34" s="125">
        <v>40</v>
      </c>
      <c r="D34" s="126" t="s">
        <v>61</v>
      </c>
      <c r="E34" s="125">
        <f t="shared" si="0"/>
        <v>3200</v>
      </c>
      <c r="F34" s="127">
        <v>289.60000000000002</v>
      </c>
      <c r="G34" s="128">
        <f t="shared" si="1"/>
        <v>3.62</v>
      </c>
      <c r="H34" s="129">
        <f t="shared" si="2"/>
        <v>11584</v>
      </c>
      <c r="I34" s="130"/>
      <c r="J34" s="131">
        <f t="shared" si="3"/>
        <v>1.1455696202531644</v>
      </c>
      <c r="K34" s="131">
        <f t="shared" si="4"/>
        <v>3665.8227848101264</v>
      </c>
      <c r="L34" s="131">
        <f t="shared" si="5"/>
        <v>1.2486708860759492</v>
      </c>
      <c r="M34" s="131">
        <f t="shared" si="7"/>
        <v>3995.7468354430375</v>
      </c>
      <c r="N34" s="132"/>
      <c r="O34" s="133">
        <f t="shared" si="8"/>
        <v>0</v>
      </c>
      <c r="P34" s="133">
        <f t="shared" si="9"/>
        <v>-1.2486708860759492</v>
      </c>
      <c r="Q34" s="133">
        <f t="shared" si="6"/>
        <v>-3995.7468354430375</v>
      </c>
      <c r="R34" s="134" t="e">
        <f t="shared" si="10"/>
        <v>#DIV/0!</v>
      </c>
      <c r="S34" s="138"/>
    </row>
    <row r="35" spans="1:19" ht="45" hidden="1" customHeight="1" x14ac:dyDescent="0.25">
      <c r="A35" s="123">
        <v>29</v>
      </c>
      <c r="B35" s="140" t="s">
        <v>62</v>
      </c>
      <c r="C35" s="125">
        <v>30</v>
      </c>
      <c r="D35" s="126" t="s">
        <v>252</v>
      </c>
      <c r="E35" s="125">
        <f t="shared" si="0"/>
        <v>300</v>
      </c>
      <c r="F35" s="127">
        <v>24.25</v>
      </c>
      <c r="G35" s="128">
        <f t="shared" si="1"/>
        <v>2.4249999999999998</v>
      </c>
      <c r="H35" s="129">
        <f t="shared" si="2"/>
        <v>727.5</v>
      </c>
      <c r="I35" s="130"/>
      <c r="J35" s="131">
        <f t="shared" si="3"/>
        <v>0.76740506329113911</v>
      </c>
      <c r="K35" s="131">
        <f t="shared" si="4"/>
        <v>230.22151898734177</v>
      </c>
      <c r="L35" s="131">
        <f t="shared" si="5"/>
        <v>0.83647151898734173</v>
      </c>
      <c r="M35" s="131">
        <f t="shared" si="7"/>
        <v>250.94145569620252</v>
      </c>
      <c r="N35" s="132"/>
      <c r="O35" s="133">
        <f t="shared" si="8"/>
        <v>0</v>
      </c>
      <c r="P35" s="133">
        <f t="shared" si="9"/>
        <v>-0.83647151898734173</v>
      </c>
      <c r="Q35" s="133">
        <f t="shared" si="6"/>
        <v>-250.94145569620252</v>
      </c>
      <c r="R35" s="134" t="e">
        <f t="shared" si="10"/>
        <v>#DIV/0!</v>
      </c>
      <c r="S35" s="138"/>
    </row>
    <row r="36" spans="1:19" ht="45" hidden="1" customHeight="1" x14ac:dyDescent="0.25">
      <c r="A36" s="123">
        <v>30</v>
      </c>
      <c r="B36" s="141" t="s">
        <v>63</v>
      </c>
      <c r="C36" s="125">
        <v>6</v>
      </c>
      <c r="D36" s="126" t="s">
        <v>252</v>
      </c>
      <c r="E36" s="125">
        <f t="shared" si="0"/>
        <v>60</v>
      </c>
      <c r="F36" s="127">
        <v>24.25</v>
      </c>
      <c r="G36" s="128">
        <f t="shared" si="1"/>
        <v>2.4249999999999998</v>
      </c>
      <c r="H36" s="129">
        <f t="shared" si="2"/>
        <v>145.5</v>
      </c>
      <c r="I36" s="130"/>
      <c r="J36" s="131">
        <f t="shared" si="3"/>
        <v>0.76740506329113911</v>
      </c>
      <c r="K36" s="131">
        <f t="shared" si="4"/>
        <v>46.044303797468352</v>
      </c>
      <c r="L36" s="131">
        <f t="shared" si="5"/>
        <v>0.83647151898734173</v>
      </c>
      <c r="M36" s="131">
        <f t="shared" si="7"/>
        <v>50.188291139240505</v>
      </c>
      <c r="N36" s="132"/>
      <c r="O36" s="133">
        <f t="shared" si="8"/>
        <v>0</v>
      </c>
      <c r="P36" s="133">
        <f t="shared" si="9"/>
        <v>-0.83647151898734173</v>
      </c>
      <c r="Q36" s="133">
        <f t="shared" si="6"/>
        <v>-50.188291139240505</v>
      </c>
      <c r="R36" s="134" t="e">
        <f t="shared" si="10"/>
        <v>#DIV/0!</v>
      </c>
      <c r="S36" s="142"/>
    </row>
    <row r="37" spans="1:19" ht="45" hidden="1" customHeight="1" x14ac:dyDescent="0.25">
      <c r="A37" s="123">
        <v>31</v>
      </c>
      <c r="B37" s="124" t="s">
        <v>64</v>
      </c>
      <c r="C37" s="125">
        <v>40</v>
      </c>
      <c r="D37" s="126" t="s">
        <v>59</v>
      </c>
      <c r="E37" s="125">
        <f t="shared" si="0"/>
        <v>1600</v>
      </c>
      <c r="F37" s="127">
        <v>56</v>
      </c>
      <c r="G37" s="128">
        <f t="shared" si="1"/>
        <v>1.4</v>
      </c>
      <c r="H37" s="129">
        <f t="shared" si="2"/>
        <v>2240</v>
      </c>
      <c r="I37" s="130"/>
      <c r="J37" s="131">
        <f t="shared" si="3"/>
        <v>0.44303797468354428</v>
      </c>
      <c r="K37" s="131">
        <f t="shared" si="4"/>
        <v>708.8607594936708</v>
      </c>
      <c r="L37" s="131">
        <f t="shared" si="5"/>
        <v>0.48291139240506331</v>
      </c>
      <c r="M37" s="131">
        <f t="shared" si="7"/>
        <v>772.65822784810132</v>
      </c>
      <c r="N37" s="132"/>
      <c r="O37" s="133">
        <f t="shared" si="8"/>
        <v>0</v>
      </c>
      <c r="P37" s="133">
        <f t="shared" si="9"/>
        <v>-0.48291139240506331</v>
      </c>
      <c r="Q37" s="133">
        <f t="shared" si="6"/>
        <v>-772.65822784810132</v>
      </c>
      <c r="R37" s="134" t="e">
        <f t="shared" si="10"/>
        <v>#DIV/0!</v>
      </c>
      <c r="S37" s="135"/>
    </row>
    <row r="38" spans="1:19" ht="45" hidden="1" customHeight="1" x14ac:dyDescent="0.25">
      <c r="A38" s="123">
        <v>32</v>
      </c>
      <c r="B38" s="136" t="s">
        <v>65</v>
      </c>
      <c r="C38" s="125">
        <v>40</v>
      </c>
      <c r="D38" s="126" t="s">
        <v>59</v>
      </c>
      <c r="E38" s="125">
        <f t="shared" si="0"/>
        <v>1600</v>
      </c>
      <c r="F38" s="127">
        <v>56</v>
      </c>
      <c r="G38" s="128">
        <f t="shared" si="1"/>
        <v>1.4</v>
      </c>
      <c r="H38" s="129">
        <f t="shared" si="2"/>
        <v>2240</v>
      </c>
      <c r="I38" s="130"/>
      <c r="J38" s="131">
        <f t="shared" si="3"/>
        <v>0.44303797468354428</v>
      </c>
      <c r="K38" s="131">
        <f t="shared" si="4"/>
        <v>708.8607594936708</v>
      </c>
      <c r="L38" s="131">
        <f t="shared" si="5"/>
        <v>0.48291139240506331</v>
      </c>
      <c r="M38" s="131">
        <f t="shared" si="7"/>
        <v>772.65822784810132</v>
      </c>
      <c r="N38" s="132"/>
      <c r="O38" s="133">
        <f t="shared" si="8"/>
        <v>0</v>
      </c>
      <c r="P38" s="133">
        <f t="shared" si="9"/>
        <v>-0.48291139240506331</v>
      </c>
      <c r="Q38" s="133">
        <f t="shared" si="6"/>
        <v>-772.65822784810132</v>
      </c>
      <c r="R38" s="134" t="e">
        <f t="shared" si="10"/>
        <v>#DIV/0!</v>
      </c>
      <c r="S38" s="138"/>
    </row>
    <row r="39" spans="1:19" ht="45" hidden="1" customHeight="1" x14ac:dyDescent="0.25">
      <c r="A39" s="123">
        <v>33</v>
      </c>
      <c r="B39" s="139" t="s">
        <v>66</v>
      </c>
      <c r="C39" s="125">
        <v>40</v>
      </c>
      <c r="D39" s="126" t="s">
        <v>59</v>
      </c>
      <c r="E39" s="125">
        <f t="shared" ref="E39:E66" si="11">D39*C39</f>
        <v>1600</v>
      </c>
      <c r="F39" s="127">
        <v>56</v>
      </c>
      <c r="G39" s="128">
        <f t="shared" ref="G39:G66" si="12">F39/D39</f>
        <v>1.4</v>
      </c>
      <c r="H39" s="129">
        <f t="shared" ref="H39:H66" si="13">G39*E39</f>
        <v>2240</v>
      </c>
      <c r="I39" s="130"/>
      <c r="J39" s="131">
        <f t="shared" ref="J39:J66" si="14">G39/$Q$2</f>
        <v>0.44303797468354428</v>
      </c>
      <c r="K39" s="131">
        <f t="shared" ref="K39:K66" si="15">H39/$Q$2</f>
        <v>708.8607594936708</v>
      </c>
      <c r="L39" s="131">
        <f t="shared" ref="L39:L66" si="16">J39*(1+$M$70+9%)</f>
        <v>0.48291139240506331</v>
      </c>
      <c r="M39" s="131">
        <f t="shared" ref="M39:M66" si="17">L39*E39</f>
        <v>772.65822784810132</v>
      </c>
      <c r="N39" s="132"/>
      <c r="O39" s="133">
        <f t="shared" ref="O39:O66" si="18">N39*E39</f>
        <v>0</v>
      </c>
      <c r="P39" s="133">
        <f t="shared" ref="P39:P66" si="19">N39-L39</f>
        <v>-0.48291139240506331</v>
      </c>
      <c r="Q39" s="133">
        <f t="shared" ref="Q39:Q66" si="20">P39*E39</f>
        <v>-772.65822784810132</v>
      </c>
      <c r="R39" s="134" t="e">
        <f t="shared" ref="R39:R66" si="21">P39/N39</f>
        <v>#DIV/0!</v>
      </c>
      <c r="S39" s="138"/>
    </row>
    <row r="40" spans="1:19" ht="45" hidden="1" customHeight="1" x14ac:dyDescent="0.25">
      <c r="A40" s="123">
        <v>34</v>
      </c>
      <c r="B40" s="140" t="s">
        <v>67</v>
      </c>
      <c r="C40" s="125">
        <v>40</v>
      </c>
      <c r="D40" s="126" t="s">
        <v>59</v>
      </c>
      <c r="E40" s="125">
        <f t="shared" si="11"/>
        <v>1600</v>
      </c>
      <c r="F40" s="127">
        <v>56</v>
      </c>
      <c r="G40" s="128">
        <f t="shared" si="12"/>
        <v>1.4</v>
      </c>
      <c r="H40" s="129">
        <f t="shared" si="13"/>
        <v>2240</v>
      </c>
      <c r="I40" s="130"/>
      <c r="J40" s="131">
        <f t="shared" si="14"/>
        <v>0.44303797468354428</v>
      </c>
      <c r="K40" s="131">
        <f t="shared" si="15"/>
        <v>708.8607594936708</v>
      </c>
      <c r="L40" s="131">
        <f t="shared" si="16"/>
        <v>0.48291139240506331</v>
      </c>
      <c r="M40" s="131">
        <f t="shared" si="17"/>
        <v>772.65822784810132</v>
      </c>
      <c r="N40" s="132"/>
      <c r="O40" s="133">
        <f t="shared" si="18"/>
        <v>0</v>
      </c>
      <c r="P40" s="133">
        <f t="shared" si="19"/>
        <v>-0.48291139240506331</v>
      </c>
      <c r="Q40" s="133">
        <f t="shared" si="20"/>
        <v>-772.65822784810132</v>
      </c>
      <c r="R40" s="134" t="e">
        <f t="shared" si="21"/>
        <v>#DIV/0!</v>
      </c>
      <c r="S40" s="138"/>
    </row>
    <row r="41" spans="1:19" ht="45" hidden="1" customHeight="1" x14ac:dyDescent="0.25">
      <c r="A41" s="123">
        <v>35</v>
      </c>
      <c r="B41" s="141" t="s">
        <v>68</v>
      </c>
      <c r="C41" s="125">
        <v>10</v>
      </c>
      <c r="D41" s="126" t="s">
        <v>44</v>
      </c>
      <c r="E41" s="125">
        <f t="shared" si="11"/>
        <v>1440</v>
      </c>
      <c r="F41" s="127">
        <v>223.2</v>
      </c>
      <c r="G41" s="128">
        <f t="shared" si="12"/>
        <v>1.5499999999999998</v>
      </c>
      <c r="H41" s="129">
        <f t="shared" si="13"/>
        <v>2231.9999999999995</v>
      </c>
      <c r="I41" s="130"/>
      <c r="J41" s="131">
        <f t="shared" si="14"/>
        <v>0.490506329113924</v>
      </c>
      <c r="K41" s="131">
        <f t="shared" si="15"/>
        <v>706.32911392405049</v>
      </c>
      <c r="L41" s="131">
        <f t="shared" si="16"/>
        <v>0.53465189873417718</v>
      </c>
      <c r="M41" s="131">
        <f t="shared" si="17"/>
        <v>769.89873417721515</v>
      </c>
      <c r="N41" s="132"/>
      <c r="O41" s="133">
        <f t="shared" si="18"/>
        <v>0</v>
      </c>
      <c r="P41" s="133">
        <f t="shared" si="19"/>
        <v>-0.53465189873417718</v>
      </c>
      <c r="Q41" s="133">
        <f t="shared" si="20"/>
        <v>-769.89873417721515</v>
      </c>
      <c r="R41" s="134" t="e">
        <f t="shared" si="21"/>
        <v>#DIV/0!</v>
      </c>
      <c r="S41" s="142"/>
    </row>
    <row r="42" spans="1:19" ht="45" hidden="1" customHeight="1" x14ac:dyDescent="0.25">
      <c r="A42" s="123">
        <v>36</v>
      </c>
      <c r="B42" s="124" t="s">
        <v>69</v>
      </c>
      <c r="C42" s="125">
        <v>10</v>
      </c>
      <c r="D42" s="126" t="s">
        <v>44</v>
      </c>
      <c r="E42" s="125">
        <f t="shared" si="11"/>
        <v>1440</v>
      </c>
      <c r="F42" s="127">
        <v>230.4</v>
      </c>
      <c r="G42" s="128">
        <f t="shared" si="12"/>
        <v>1.6</v>
      </c>
      <c r="H42" s="129">
        <f t="shared" si="13"/>
        <v>2304</v>
      </c>
      <c r="I42" s="130"/>
      <c r="J42" s="131">
        <f t="shared" si="14"/>
        <v>0.50632911392405067</v>
      </c>
      <c r="K42" s="131">
        <f t="shared" si="15"/>
        <v>729.11392405063293</v>
      </c>
      <c r="L42" s="131">
        <f t="shared" si="16"/>
        <v>0.55189873417721524</v>
      </c>
      <c r="M42" s="131">
        <f t="shared" si="17"/>
        <v>794.7341772151899</v>
      </c>
      <c r="N42" s="132"/>
      <c r="O42" s="133">
        <f t="shared" si="18"/>
        <v>0</v>
      </c>
      <c r="P42" s="133">
        <f t="shared" si="19"/>
        <v>-0.55189873417721524</v>
      </c>
      <c r="Q42" s="133">
        <f t="shared" si="20"/>
        <v>-794.7341772151899</v>
      </c>
      <c r="R42" s="134" t="e">
        <f t="shared" si="21"/>
        <v>#DIV/0!</v>
      </c>
      <c r="S42" s="135"/>
    </row>
    <row r="43" spans="1:19" ht="45" hidden="1" customHeight="1" x14ac:dyDescent="0.25">
      <c r="A43" s="123">
        <v>37</v>
      </c>
      <c r="B43" s="124" t="s">
        <v>70</v>
      </c>
      <c r="C43" s="125">
        <v>20</v>
      </c>
      <c r="D43" s="126" t="s">
        <v>71</v>
      </c>
      <c r="E43" s="125">
        <f t="shared" si="11"/>
        <v>480</v>
      </c>
      <c r="F43" s="127">
        <v>110.4</v>
      </c>
      <c r="G43" s="128">
        <f t="shared" si="12"/>
        <v>4.6000000000000005</v>
      </c>
      <c r="H43" s="129">
        <f t="shared" si="13"/>
        <v>2208.0000000000005</v>
      </c>
      <c r="I43" s="130"/>
      <c r="J43" s="131">
        <f t="shared" si="14"/>
        <v>1.4556962025316458</v>
      </c>
      <c r="K43" s="131">
        <f t="shared" si="15"/>
        <v>698.73417721519002</v>
      </c>
      <c r="L43" s="131">
        <f t="shared" si="16"/>
        <v>1.5867088607594939</v>
      </c>
      <c r="M43" s="131">
        <f t="shared" si="17"/>
        <v>761.62025316455708</v>
      </c>
      <c r="N43" s="132"/>
      <c r="O43" s="133">
        <f t="shared" si="18"/>
        <v>0</v>
      </c>
      <c r="P43" s="133">
        <f t="shared" si="19"/>
        <v>-1.5867088607594939</v>
      </c>
      <c r="Q43" s="133">
        <f t="shared" si="20"/>
        <v>-761.62025316455708</v>
      </c>
      <c r="R43" s="134" t="e">
        <f t="shared" si="21"/>
        <v>#DIV/0!</v>
      </c>
      <c r="S43" s="135"/>
    </row>
    <row r="44" spans="1:19" ht="45" hidden="1" customHeight="1" x14ac:dyDescent="0.25">
      <c r="A44" s="123">
        <v>38</v>
      </c>
      <c r="B44" s="136" t="s">
        <v>72</v>
      </c>
      <c r="C44" s="125">
        <v>20</v>
      </c>
      <c r="D44" s="126" t="s">
        <v>71</v>
      </c>
      <c r="E44" s="125">
        <f t="shared" si="11"/>
        <v>480</v>
      </c>
      <c r="F44" s="127">
        <v>110.4</v>
      </c>
      <c r="G44" s="128">
        <f t="shared" si="12"/>
        <v>4.6000000000000005</v>
      </c>
      <c r="H44" s="129">
        <f t="shared" si="13"/>
        <v>2208.0000000000005</v>
      </c>
      <c r="I44" s="130"/>
      <c r="J44" s="131">
        <f t="shared" si="14"/>
        <v>1.4556962025316458</v>
      </c>
      <c r="K44" s="131">
        <f t="shared" si="15"/>
        <v>698.73417721519002</v>
      </c>
      <c r="L44" s="131">
        <f t="shared" si="16"/>
        <v>1.5867088607594939</v>
      </c>
      <c r="M44" s="131">
        <f t="shared" si="17"/>
        <v>761.62025316455708</v>
      </c>
      <c r="N44" s="132"/>
      <c r="O44" s="133">
        <f t="shared" si="18"/>
        <v>0</v>
      </c>
      <c r="P44" s="133">
        <f t="shared" si="19"/>
        <v>-1.5867088607594939</v>
      </c>
      <c r="Q44" s="133">
        <f t="shared" si="20"/>
        <v>-761.62025316455708</v>
      </c>
      <c r="R44" s="134" t="e">
        <f t="shared" si="21"/>
        <v>#DIV/0!</v>
      </c>
      <c r="S44" s="137"/>
    </row>
    <row r="45" spans="1:19" ht="45" hidden="1" customHeight="1" x14ac:dyDescent="0.25">
      <c r="A45" s="123">
        <v>39</v>
      </c>
      <c r="B45" s="136" t="s">
        <v>73</v>
      </c>
      <c r="C45" s="125">
        <v>20</v>
      </c>
      <c r="D45" s="126" t="s">
        <v>71</v>
      </c>
      <c r="E45" s="125">
        <f t="shared" si="11"/>
        <v>480</v>
      </c>
      <c r="F45" s="127">
        <v>87.6</v>
      </c>
      <c r="G45" s="128">
        <f t="shared" si="12"/>
        <v>3.65</v>
      </c>
      <c r="H45" s="129">
        <f t="shared" si="13"/>
        <v>1752</v>
      </c>
      <c r="I45" s="130"/>
      <c r="J45" s="131">
        <f t="shared" si="14"/>
        <v>1.1550632911392404</v>
      </c>
      <c r="K45" s="131">
        <f t="shared" si="15"/>
        <v>554.43037974683546</v>
      </c>
      <c r="L45" s="131">
        <f t="shared" si="16"/>
        <v>1.2590189873417721</v>
      </c>
      <c r="M45" s="131">
        <f t="shared" si="17"/>
        <v>604.3291139240506</v>
      </c>
      <c r="N45" s="132"/>
      <c r="O45" s="133">
        <f t="shared" si="18"/>
        <v>0</v>
      </c>
      <c r="P45" s="133">
        <f t="shared" si="19"/>
        <v>-1.2590189873417721</v>
      </c>
      <c r="Q45" s="133">
        <f t="shared" si="20"/>
        <v>-604.3291139240506</v>
      </c>
      <c r="R45" s="134" t="e">
        <f t="shared" si="21"/>
        <v>#DIV/0!</v>
      </c>
      <c r="S45" s="138"/>
    </row>
    <row r="46" spans="1:19" ht="45" hidden="1" customHeight="1" x14ac:dyDescent="0.25">
      <c r="A46" s="123">
        <v>40</v>
      </c>
      <c r="B46" s="139" t="s">
        <v>74</v>
      </c>
      <c r="C46" s="125">
        <v>20</v>
      </c>
      <c r="D46" s="126" t="s">
        <v>71</v>
      </c>
      <c r="E46" s="125">
        <f t="shared" si="11"/>
        <v>480</v>
      </c>
      <c r="F46" s="127">
        <v>87.6</v>
      </c>
      <c r="G46" s="128">
        <f t="shared" si="12"/>
        <v>3.65</v>
      </c>
      <c r="H46" s="129">
        <f t="shared" si="13"/>
        <v>1752</v>
      </c>
      <c r="I46" s="130"/>
      <c r="J46" s="131">
        <f t="shared" si="14"/>
        <v>1.1550632911392404</v>
      </c>
      <c r="K46" s="131">
        <f t="shared" si="15"/>
        <v>554.43037974683546</v>
      </c>
      <c r="L46" s="131">
        <f t="shared" si="16"/>
        <v>1.2590189873417721</v>
      </c>
      <c r="M46" s="131">
        <f t="shared" si="17"/>
        <v>604.3291139240506</v>
      </c>
      <c r="N46" s="132"/>
      <c r="O46" s="133">
        <f t="shared" si="18"/>
        <v>0</v>
      </c>
      <c r="P46" s="133">
        <f t="shared" si="19"/>
        <v>-1.2590189873417721</v>
      </c>
      <c r="Q46" s="133">
        <f t="shared" si="20"/>
        <v>-604.3291139240506</v>
      </c>
      <c r="R46" s="134" t="e">
        <f t="shared" si="21"/>
        <v>#DIV/0!</v>
      </c>
      <c r="S46" s="138"/>
    </row>
    <row r="47" spans="1:19" ht="45" hidden="1" customHeight="1" x14ac:dyDescent="0.25">
      <c r="A47" s="123">
        <v>41</v>
      </c>
      <c r="B47" s="140" t="s">
        <v>75</v>
      </c>
      <c r="C47" s="125">
        <v>20</v>
      </c>
      <c r="D47" s="126" t="s">
        <v>71</v>
      </c>
      <c r="E47" s="125">
        <f t="shared" si="11"/>
        <v>480</v>
      </c>
      <c r="F47" s="127">
        <v>87.6</v>
      </c>
      <c r="G47" s="128">
        <f t="shared" si="12"/>
        <v>3.65</v>
      </c>
      <c r="H47" s="129">
        <f t="shared" si="13"/>
        <v>1752</v>
      </c>
      <c r="I47" s="130"/>
      <c r="J47" s="131">
        <f t="shared" si="14"/>
        <v>1.1550632911392404</v>
      </c>
      <c r="K47" s="131">
        <f t="shared" si="15"/>
        <v>554.43037974683546</v>
      </c>
      <c r="L47" s="131">
        <f t="shared" si="16"/>
        <v>1.2590189873417721</v>
      </c>
      <c r="M47" s="131">
        <f t="shared" si="17"/>
        <v>604.3291139240506</v>
      </c>
      <c r="N47" s="132"/>
      <c r="O47" s="133">
        <f t="shared" si="18"/>
        <v>0</v>
      </c>
      <c r="P47" s="133">
        <f t="shared" si="19"/>
        <v>-1.2590189873417721</v>
      </c>
      <c r="Q47" s="133">
        <f t="shared" si="20"/>
        <v>-604.3291139240506</v>
      </c>
      <c r="R47" s="134" t="e">
        <f t="shared" si="21"/>
        <v>#DIV/0!</v>
      </c>
      <c r="S47" s="138"/>
    </row>
    <row r="48" spans="1:19" ht="45" hidden="1" customHeight="1" x14ac:dyDescent="0.25">
      <c r="A48" s="123">
        <v>42</v>
      </c>
      <c r="B48" s="141" t="s">
        <v>76</v>
      </c>
      <c r="C48" s="125">
        <v>20</v>
      </c>
      <c r="D48" s="126" t="s">
        <v>71</v>
      </c>
      <c r="E48" s="125">
        <f t="shared" si="11"/>
        <v>480</v>
      </c>
      <c r="F48" s="127">
        <v>87.6</v>
      </c>
      <c r="G48" s="128">
        <f t="shared" si="12"/>
        <v>3.65</v>
      </c>
      <c r="H48" s="129">
        <f t="shared" si="13"/>
        <v>1752</v>
      </c>
      <c r="I48" s="130"/>
      <c r="J48" s="131">
        <f t="shared" si="14"/>
        <v>1.1550632911392404</v>
      </c>
      <c r="K48" s="131">
        <f t="shared" si="15"/>
        <v>554.43037974683546</v>
      </c>
      <c r="L48" s="131">
        <f t="shared" si="16"/>
        <v>1.2590189873417721</v>
      </c>
      <c r="M48" s="131">
        <f t="shared" si="17"/>
        <v>604.3291139240506</v>
      </c>
      <c r="N48" s="132"/>
      <c r="O48" s="133">
        <f t="shared" si="18"/>
        <v>0</v>
      </c>
      <c r="P48" s="133">
        <f t="shared" si="19"/>
        <v>-1.2590189873417721</v>
      </c>
      <c r="Q48" s="133">
        <f t="shared" si="20"/>
        <v>-604.3291139240506</v>
      </c>
      <c r="R48" s="134" t="e">
        <f t="shared" si="21"/>
        <v>#DIV/0!</v>
      </c>
      <c r="S48" s="142"/>
    </row>
    <row r="49" spans="1:19" ht="45" hidden="1" customHeight="1" x14ac:dyDescent="0.25">
      <c r="A49" s="123">
        <v>43</v>
      </c>
      <c r="B49" s="124" t="s">
        <v>77</v>
      </c>
      <c r="C49" s="125">
        <v>20</v>
      </c>
      <c r="D49" s="126" t="s">
        <v>71</v>
      </c>
      <c r="E49" s="125">
        <f t="shared" si="11"/>
        <v>480</v>
      </c>
      <c r="F49" s="127">
        <v>87.6</v>
      </c>
      <c r="G49" s="128">
        <f t="shared" si="12"/>
        <v>3.65</v>
      </c>
      <c r="H49" s="129">
        <f t="shared" si="13"/>
        <v>1752</v>
      </c>
      <c r="I49" s="130"/>
      <c r="J49" s="131">
        <f t="shared" si="14"/>
        <v>1.1550632911392404</v>
      </c>
      <c r="K49" s="131">
        <f t="shared" si="15"/>
        <v>554.43037974683546</v>
      </c>
      <c r="L49" s="131">
        <f t="shared" si="16"/>
        <v>1.2590189873417721</v>
      </c>
      <c r="M49" s="131">
        <f t="shared" si="17"/>
        <v>604.3291139240506</v>
      </c>
      <c r="N49" s="132"/>
      <c r="O49" s="133">
        <f t="shared" si="18"/>
        <v>0</v>
      </c>
      <c r="P49" s="133">
        <f t="shared" si="19"/>
        <v>-1.2590189873417721</v>
      </c>
      <c r="Q49" s="133">
        <f t="shared" si="20"/>
        <v>-604.3291139240506</v>
      </c>
      <c r="R49" s="134" t="e">
        <f t="shared" si="21"/>
        <v>#DIV/0!</v>
      </c>
      <c r="S49" s="135"/>
    </row>
    <row r="50" spans="1:19" ht="45" hidden="1" customHeight="1" x14ac:dyDescent="0.25">
      <c r="A50" s="123">
        <v>44</v>
      </c>
      <c r="B50" s="136" t="s">
        <v>78</v>
      </c>
      <c r="C50" s="125">
        <v>8</v>
      </c>
      <c r="D50" s="126" t="s">
        <v>79</v>
      </c>
      <c r="E50" s="125">
        <f t="shared" si="11"/>
        <v>1200</v>
      </c>
      <c r="F50" s="127">
        <v>168</v>
      </c>
      <c r="G50" s="128">
        <f t="shared" si="12"/>
        <v>1.1200000000000001</v>
      </c>
      <c r="H50" s="129">
        <f t="shared" si="13"/>
        <v>1344.0000000000002</v>
      </c>
      <c r="I50" s="130"/>
      <c r="J50" s="131">
        <f t="shared" si="14"/>
        <v>0.35443037974683544</v>
      </c>
      <c r="K50" s="131">
        <f t="shared" si="15"/>
        <v>425.31645569620258</v>
      </c>
      <c r="L50" s="131">
        <f t="shared" si="16"/>
        <v>0.38632911392405067</v>
      </c>
      <c r="M50" s="131">
        <f t="shared" si="17"/>
        <v>463.59493670886081</v>
      </c>
      <c r="N50" s="132"/>
      <c r="O50" s="133">
        <f t="shared" si="18"/>
        <v>0</v>
      </c>
      <c r="P50" s="133">
        <f t="shared" si="19"/>
        <v>-0.38632911392405067</v>
      </c>
      <c r="Q50" s="133">
        <f t="shared" si="20"/>
        <v>-463.59493670886081</v>
      </c>
      <c r="R50" s="134" t="e">
        <f t="shared" si="21"/>
        <v>#DIV/0!</v>
      </c>
      <c r="S50" s="138"/>
    </row>
    <row r="51" spans="1:19" ht="45" hidden="1" customHeight="1" x14ac:dyDescent="0.25">
      <c r="A51" s="123">
        <v>45</v>
      </c>
      <c r="B51" s="139" t="s">
        <v>80</v>
      </c>
      <c r="C51" s="125">
        <v>7</v>
      </c>
      <c r="D51" s="126" t="s">
        <v>44</v>
      </c>
      <c r="E51" s="125">
        <f t="shared" si="11"/>
        <v>1008</v>
      </c>
      <c r="F51" s="127">
        <v>220.8</v>
      </c>
      <c r="G51" s="128">
        <f t="shared" si="12"/>
        <v>1.5333333333333334</v>
      </c>
      <c r="H51" s="129">
        <f t="shared" si="13"/>
        <v>1545.6000000000001</v>
      </c>
      <c r="I51" s="130"/>
      <c r="J51" s="131">
        <f t="shared" si="14"/>
        <v>0.48523206751054854</v>
      </c>
      <c r="K51" s="131">
        <f t="shared" si="15"/>
        <v>489.11392405063293</v>
      </c>
      <c r="L51" s="131">
        <f t="shared" si="16"/>
        <v>0.52890295358649797</v>
      </c>
      <c r="M51" s="131">
        <f t="shared" si="17"/>
        <v>533.13417721518999</v>
      </c>
      <c r="N51" s="132"/>
      <c r="O51" s="133">
        <f t="shared" si="18"/>
        <v>0</v>
      </c>
      <c r="P51" s="133">
        <f t="shared" si="19"/>
        <v>-0.52890295358649797</v>
      </c>
      <c r="Q51" s="133">
        <f t="shared" si="20"/>
        <v>-533.13417721518999</v>
      </c>
      <c r="R51" s="134" t="e">
        <f t="shared" si="21"/>
        <v>#DIV/0!</v>
      </c>
      <c r="S51" s="138"/>
    </row>
    <row r="52" spans="1:19" ht="45" hidden="1" customHeight="1" x14ac:dyDescent="0.25">
      <c r="A52" s="123">
        <v>46</v>
      </c>
      <c r="B52" s="140" t="s">
        <v>81</v>
      </c>
      <c r="C52" s="125">
        <v>20</v>
      </c>
      <c r="D52" s="126" t="s">
        <v>71</v>
      </c>
      <c r="E52" s="125">
        <f t="shared" si="11"/>
        <v>480</v>
      </c>
      <c r="F52" s="127">
        <v>118.56</v>
      </c>
      <c r="G52" s="128">
        <f t="shared" si="12"/>
        <v>4.9400000000000004</v>
      </c>
      <c r="H52" s="129">
        <f t="shared" si="13"/>
        <v>2371.2000000000003</v>
      </c>
      <c r="I52" s="130"/>
      <c r="J52" s="131">
        <f t="shared" si="14"/>
        <v>1.5632911392405064</v>
      </c>
      <c r="K52" s="131">
        <f t="shared" si="15"/>
        <v>750.37974683544314</v>
      </c>
      <c r="L52" s="131">
        <f t="shared" si="16"/>
        <v>1.7039873417721521</v>
      </c>
      <c r="M52" s="131">
        <f t="shared" si="17"/>
        <v>817.913924050633</v>
      </c>
      <c r="N52" s="132"/>
      <c r="O52" s="133">
        <f t="shared" si="18"/>
        <v>0</v>
      </c>
      <c r="P52" s="133">
        <f t="shared" si="19"/>
        <v>-1.7039873417721521</v>
      </c>
      <c r="Q52" s="133">
        <f t="shared" si="20"/>
        <v>-817.913924050633</v>
      </c>
      <c r="R52" s="134" t="e">
        <f t="shared" si="21"/>
        <v>#DIV/0!</v>
      </c>
      <c r="S52" s="138"/>
    </row>
    <row r="53" spans="1:19" ht="45" hidden="1" customHeight="1" x14ac:dyDescent="0.25">
      <c r="A53" s="123">
        <v>47</v>
      </c>
      <c r="B53" s="141" t="s">
        <v>82</v>
      </c>
      <c r="C53" s="125">
        <v>40</v>
      </c>
      <c r="D53" s="126" t="s">
        <v>71</v>
      </c>
      <c r="E53" s="125">
        <f t="shared" si="11"/>
        <v>960</v>
      </c>
      <c r="F53" s="127">
        <v>118.56</v>
      </c>
      <c r="G53" s="128">
        <f t="shared" si="12"/>
        <v>4.9400000000000004</v>
      </c>
      <c r="H53" s="129">
        <f t="shared" si="13"/>
        <v>4742.4000000000005</v>
      </c>
      <c r="I53" s="130"/>
      <c r="J53" s="131">
        <f t="shared" si="14"/>
        <v>1.5632911392405064</v>
      </c>
      <c r="K53" s="131">
        <f t="shared" si="15"/>
        <v>1500.7594936708863</v>
      </c>
      <c r="L53" s="131">
        <f t="shared" si="16"/>
        <v>1.7039873417721521</v>
      </c>
      <c r="M53" s="131">
        <f t="shared" si="17"/>
        <v>1635.827848101266</v>
      </c>
      <c r="N53" s="132"/>
      <c r="O53" s="133">
        <f t="shared" si="18"/>
        <v>0</v>
      </c>
      <c r="P53" s="133">
        <f t="shared" si="19"/>
        <v>-1.7039873417721521</v>
      </c>
      <c r="Q53" s="133">
        <f t="shared" si="20"/>
        <v>-1635.827848101266</v>
      </c>
      <c r="R53" s="134" t="e">
        <f t="shared" si="21"/>
        <v>#DIV/0!</v>
      </c>
      <c r="S53" s="142"/>
    </row>
    <row r="54" spans="1:19" ht="45" hidden="1" customHeight="1" x14ac:dyDescent="0.25">
      <c r="A54" s="123">
        <v>48</v>
      </c>
      <c r="B54" s="124" t="s">
        <v>83</v>
      </c>
      <c r="C54" s="125">
        <v>20</v>
      </c>
      <c r="D54" s="126" t="s">
        <v>71</v>
      </c>
      <c r="E54" s="125">
        <f t="shared" si="11"/>
        <v>480</v>
      </c>
      <c r="F54" s="127">
        <v>118.56</v>
      </c>
      <c r="G54" s="128">
        <f t="shared" si="12"/>
        <v>4.9400000000000004</v>
      </c>
      <c r="H54" s="129">
        <f t="shared" si="13"/>
        <v>2371.2000000000003</v>
      </c>
      <c r="I54" s="130"/>
      <c r="J54" s="131">
        <f t="shared" si="14"/>
        <v>1.5632911392405064</v>
      </c>
      <c r="K54" s="131">
        <f t="shared" si="15"/>
        <v>750.37974683544314</v>
      </c>
      <c r="L54" s="131">
        <f t="shared" si="16"/>
        <v>1.7039873417721521</v>
      </c>
      <c r="M54" s="131">
        <f t="shared" si="17"/>
        <v>817.913924050633</v>
      </c>
      <c r="N54" s="132"/>
      <c r="O54" s="133">
        <f t="shared" si="18"/>
        <v>0</v>
      </c>
      <c r="P54" s="133">
        <f t="shared" si="19"/>
        <v>-1.7039873417721521</v>
      </c>
      <c r="Q54" s="133">
        <f t="shared" si="20"/>
        <v>-817.913924050633</v>
      </c>
      <c r="R54" s="134" t="e">
        <f t="shared" si="21"/>
        <v>#DIV/0!</v>
      </c>
      <c r="S54" s="135"/>
    </row>
    <row r="55" spans="1:19" ht="45" hidden="1" customHeight="1" x14ac:dyDescent="0.25">
      <c r="A55" s="123">
        <v>49</v>
      </c>
      <c r="B55" s="124" t="s">
        <v>84</v>
      </c>
      <c r="C55" s="125">
        <v>20</v>
      </c>
      <c r="D55" s="126" t="s">
        <v>71</v>
      </c>
      <c r="E55" s="125">
        <f t="shared" si="11"/>
        <v>480</v>
      </c>
      <c r="F55" s="127">
        <v>118.56</v>
      </c>
      <c r="G55" s="128">
        <f t="shared" si="12"/>
        <v>4.9400000000000004</v>
      </c>
      <c r="H55" s="129">
        <f t="shared" si="13"/>
        <v>2371.2000000000003</v>
      </c>
      <c r="I55" s="130"/>
      <c r="J55" s="131">
        <f t="shared" si="14"/>
        <v>1.5632911392405064</v>
      </c>
      <c r="K55" s="131">
        <f t="shared" si="15"/>
        <v>750.37974683544314</v>
      </c>
      <c r="L55" s="131">
        <f t="shared" si="16"/>
        <v>1.7039873417721521</v>
      </c>
      <c r="M55" s="131">
        <f t="shared" si="17"/>
        <v>817.913924050633</v>
      </c>
      <c r="N55" s="132"/>
      <c r="O55" s="133">
        <f t="shared" si="18"/>
        <v>0</v>
      </c>
      <c r="P55" s="133">
        <f t="shared" si="19"/>
        <v>-1.7039873417721521</v>
      </c>
      <c r="Q55" s="133">
        <f t="shared" si="20"/>
        <v>-817.913924050633</v>
      </c>
      <c r="R55" s="134" t="e">
        <f t="shared" si="21"/>
        <v>#DIV/0!</v>
      </c>
      <c r="S55" s="135"/>
    </row>
    <row r="56" spans="1:19" ht="45" hidden="1" customHeight="1" x14ac:dyDescent="0.25">
      <c r="A56" s="123">
        <v>50</v>
      </c>
      <c r="B56" s="136" t="s">
        <v>85</v>
      </c>
      <c r="C56" s="125">
        <v>20</v>
      </c>
      <c r="D56" s="126" t="s">
        <v>71</v>
      </c>
      <c r="E56" s="125">
        <f t="shared" si="11"/>
        <v>480</v>
      </c>
      <c r="F56" s="127">
        <v>118.56</v>
      </c>
      <c r="G56" s="128">
        <f t="shared" si="12"/>
        <v>4.9400000000000004</v>
      </c>
      <c r="H56" s="129">
        <f t="shared" si="13"/>
        <v>2371.2000000000003</v>
      </c>
      <c r="I56" s="130"/>
      <c r="J56" s="131">
        <f t="shared" si="14"/>
        <v>1.5632911392405064</v>
      </c>
      <c r="K56" s="131">
        <f t="shared" si="15"/>
        <v>750.37974683544314</v>
      </c>
      <c r="L56" s="131">
        <f t="shared" si="16"/>
        <v>1.7039873417721521</v>
      </c>
      <c r="M56" s="131">
        <f t="shared" si="17"/>
        <v>817.913924050633</v>
      </c>
      <c r="N56" s="132"/>
      <c r="O56" s="133">
        <f t="shared" si="18"/>
        <v>0</v>
      </c>
      <c r="P56" s="133">
        <f t="shared" si="19"/>
        <v>-1.7039873417721521</v>
      </c>
      <c r="Q56" s="133">
        <f t="shared" si="20"/>
        <v>-817.913924050633</v>
      </c>
      <c r="R56" s="134" t="e">
        <f t="shared" si="21"/>
        <v>#DIV/0!</v>
      </c>
      <c r="S56" s="137"/>
    </row>
    <row r="57" spans="1:19" ht="45" hidden="1" customHeight="1" x14ac:dyDescent="0.25">
      <c r="A57" s="123">
        <v>51</v>
      </c>
      <c r="B57" s="136" t="s">
        <v>86</v>
      </c>
      <c r="C57" s="125">
        <v>20</v>
      </c>
      <c r="D57" s="126" t="s">
        <v>71</v>
      </c>
      <c r="E57" s="125">
        <f t="shared" si="11"/>
        <v>480</v>
      </c>
      <c r="F57" s="127">
        <v>118.56</v>
      </c>
      <c r="G57" s="128">
        <f t="shared" si="12"/>
        <v>4.9400000000000004</v>
      </c>
      <c r="H57" s="129">
        <f t="shared" si="13"/>
        <v>2371.2000000000003</v>
      </c>
      <c r="I57" s="130"/>
      <c r="J57" s="131">
        <f t="shared" si="14"/>
        <v>1.5632911392405064</v>
      </c>
      <c r="K57" s="131">
        <f t="shared" si="15"/>
        <v>750.37974683544314</v>
      </c>
      <c r="L57" s="131">
        <f t="shared" si="16"/>
        <v>1.7039873417721521</v>
      </c>
      <c r="M57" s="131">
        <f t="shared" si="17"/>
        <v>817.913924050633</v>
      </c>
      <c r="N57" s="132"/>
      <c r="O57" s="133">
        <f t="shared" si="18"/>
        <v>0</v>
      </c>
      <c r="P57" s="133">
        <f t="shared" si="19"/>
        <v>-1.7039873417721521</v>
      </c>
      <c r="Q57" s="133">
        <f t="shared" si="20"/>
        <v>-817.913924050633</v>
      </c>
      <c r="R57" s="134" t="e">
        <f t="shared" si="21"/>
        <v>#DIV/0!</v>
      </c>
      <c r="S57" s="138"/>
    </row>
    <row r="58" spans="1:19" ht="45" hidden="1" customHeight="1" x14ac:dyDescent="0.25">
      <c r="A58" s="123">
        <v>52</v>
      </c>
      <c r="B58" s="139" t="s">
        <v>87</v>
      </c>
      <c r="C58" s="125">
        <v>56</v>
      </c>
      <c r="D58" s="126" t="s">
        <v>88</v>
      </c>
      <c r="E58" s="125">
        <f t="shared" si="11"/>
        <v>5376</v>
      </c>
      <c r="F58" s="127">
        <v>60</v>
      </c>
      <c r="G58" s="128">
        <f t="shared" si="12"/>
        <v>0.625</v>
      </c>
      <c r="H58" s="129">
        <f t="shared" si="13"/>
        <v>3360</v>
      </c>
      <c r="I58" s="130"/>
      <c r="J58" s="131">
        <f t="shared" si="14"/>
        <v>0.19778481012658228</v>
      </c>
      <c r="K58" s="131">
        <f t="shared" si="15"/>
        <v>1063.2911392405063</v>
      </c>
      <c r="L58" s="131">
        <f t="shared" si="16"/>
        <v>0.21558544303797469</v>
      </c>
      <c r="M58" s="131">
        <f t="shared" si="17"/>
        <v>1158.9873417721519</v>
      </c>
      <c r="N58" s="132"/>
      <c r="O58" s="133">
        <f t="shared" si="18"/>
        <v>0</v>
      </c>
      <c r="P58" s="133">
        <f t="shared" si="19"/>
        <v>-0.21558544303797469</v>
      </c>
      <c r="Q58" s="133">
        <f t="shared" si="20"/>
        <v>-1158.9873417721519</v>
      </c>
      <c r="R58" s="134" t="e">
        <f t="shared" si="21"/>
        <v>#DIV/0!</v>
      </c>
      <c r="S58" s="138"/>
    </row>
    <row r="59" spans="1:19" ht="45" hidden="1" customHeight="1" x14ac:dyDescent="0.25">
      <c r="A59" s="123">
        <v>53</v>
      </c>
      <c r="B59" s="140" t="s">
        <v>89</v>
      </c>
      <c r="C59" s="125">
        <v>20</v>
      </c>
      <c r="D59" s="126" t="s">
        <v>90</v>
      </c>
      <c r="E59" s="125">
        <f t="shared" si="11"/>
        <v>720</v>
      </c>
      <c r="F59" s="127">
        <v>69</v>
      </c>
      <c r="G59" s="128">
        <f t="shared" si="12"/>
        <v>1.9166666666666667</v>
      </c>
      <c r="H59" s="129">
        <f t="shared" si="13"/>
        <v>1380</v>
      </c>
      <c r="I59" s="130"/>
      <c r="J59" s="131">
        <f t="shared" si="14"/>
        <v>0.60654008438818563</v>
      </c>
      <c r="K59" s="131">
        <f t="shared" si="15"/>
        <v>436.70886075949363</v>
      </c>
      <c r="L59" s="131">
        <f t="shared" si="16"/>
        <v>0.66112869198312241</v>
      </c>
      <c r="M59" s="131">
        <f t="shared" si="17"/>
        <v>476.01265822784814</v>
      </c>
      <c r="N59" s="132"/>
      <c r="O59" s="133">
        <f t="shared" si="18"/>
        <v>0</v>
      </c>
      <c r="P59" s="133">
        <f t="shared" si="19"/>
        <v>-0.66112869198312241</v>
      </c>
      <c r="Q59" s="133">
        <f t="shared" si="20"/>
        <v>-476.01265822784814</v>
      </c>
      <c r="R59" s="134" t="e">
        <f t="shared" si="21"/>
        <v>#DIV/0!</v>
      </c>
      <c r="S59" s="138"/>
    </row>
    <row r="60" spans="1:19" ht="45" hidden="1" customHeight="1" x14ac:dyDescent="0.25">
      <c r="A60" s="123">
        <v>54</v>
      </c>
      <c r="B60" s="141" t="s">
        <v>91</v>
      </c>
      <c r="C60" s="125">
        <v>20</v>
      </c>
      <c r="D60" s="126" t="s">
        <v>90</v>
      </c>
      <c r="E60" s="125">
        <f t="shared" si="11"/>
        <v>720</v>
      </c>
      <c r="F60" s="127">
        <v>69</v>
      </c>
      <c r="G60" s="128">
        <f t="shared" si="12"/>
        <v>1.9166666666666667</v>
      </c>
      <c r="H60" s="129">
        <f t="shared" si="13"/>
        <v>1380</v>
      </c>
      <c r="I60" s="130"/>
      <c r="J60" s="131">
        <f t="shared" si="14"/>
        <v>0.60654008438818563</v>
      </c>
      <c r="K60" s="131">
        <f t="shared" si="15"/>
        <v>436.70886075949363</v>
      </c>
      <c r="L60" s="131">
        <f t="shared" si="16"/>
        <v>0.66112869198312241</v>
      </c>
      <c r="M60" s="131">
        <f t="shared" si="17"/>
        <v>476.01265822784814</v>
      </c>
      <c r="N60" s="132"/>
      <c r="O60" s="133">
        <f t="shared" si="18"/>
        <v>0</v>
      </c>
      <c r="P60" s="133">
        <f t="shared" si="19"/>
        <v>-0.66112869198312241</v>
      </c>
      <c r="Q60" s="133">
        <f t="shared" si="20"/>
        <v>-476.01265822784814</v>
      </c>
      <c r="R60" s="134" t="e">
        <f t="shared" si="21"/>
        <v>#DIV/0!</v>
      </c>
      <c r="S60" s="142"/>
    </row>
    <row r="61" spans="1:19" ht="45" hidden="1" customHeight="1" x14ac:dyDescent="0.25">
      <c r="A61" s="123">
        <v>55</v>
      </c>
      <c r="B61" s="124" t="s">
        <v>92</v>
      </c>
      <c r="C61" s="125">
        <v>20</v>
      </c>
      <c r="D61" s="126" t="s">
        <v>90</v>
      </c>
      <c r="E61" s="125">
        <f t="shared" si="11"/>
        <v>720</v>
      </c>
      <c r="F61" s="127">
        <v>69</v>
      </c>
      <c r="G61" s="128">
        <f t="shared" si="12"/>
        <v>1.9166666666666667</v>
      </c>
      <c r="H61" s="129">
        <f t="shared" si="13"/>
        <v>1380</v>
      </c>
      <c r="I61" s="130"/>
      <c r="J61" s="131">
        <f t="shared" si="14"/>
        <v>0.60654008438818563</v>
      </c>
      <c r="K61" s="131">
        <f t="shared" si="15"/>
        <v>436.70886075949363</v>
      </c>
      <c r="L61" s="131">
        <f t="shared" si="16"/>
        <v>0.66112869198312241</v>
      </c>
      <c r="M61" s="131">
        <f t="shared" si="17"/>
        <v>476.01265822784814</v>
      </c>
      <c r="N61" s="132"/>
      <c r="O61" s="133">
        <f t="shared" si="18"/>
        <v>0</v>
      </c>
      <c r="P61" s="133">
        <f t="shared" si="19"/>
        <v>-0.66112869198312241</v>
      </c>
      <c r="Q61" s="133">
        <f t="shared" si="20"/>
        <v>-476.01265822784814</v>
      </c>
      <c r="R61" s="134" t="e">
        <f t="shared" si="21"/>
        <v>#DIV/0!</v>
      </c>
      <c r="S61" s="135"/>
    </row>
    <row r="62" spans="1:19" ht="45" hidden="1" customHeight="1" x14ac:dyDescent="0.25">
      <c r="A62" s="123">
        <v>56</v>
      </c>
      <c r="B62" s="136" t="s">
        <v>93</v>
      </c>
      <c r="C62" s="125">
        <v>27</v>
      </c>
      <c r="D62" s="126" t="s">
        <v>90</v>
      </c>
      <c r="E62" s="125">
        <f t="shared" si="11"/>
        <v>972</v>
      </c>
      <c r="F62" s="127">
        <v>69</v>
      </c>
      <c r="G62" s="128">
        <f t="shared" si="12"/>
        <v>1.9166666666666667</v>
      </c>
      <c r="H62" s="129">
        <f t="shared" si="13"/>
        <v>1863</v>
      </c>
      <c r="I62" s="130"/>
      <c r="J62" s="131">
        <f t="shared" si="14"/>
        <v>0.60654008438818563</v>
      </c>
      <c r="K62" s="131">
        <f t="shared" si="15"/>
        <v>589.55696202531647</v>
      </c>
      <c r="L62" s="131">
        <f t="shared" si="16"/>
        <v>0.66112869198312241</v>
      </c>
      <c r="M62" s="131">
        <f t="shared" si="17"/>
        <v>642.61708860759495</v>
      </c>
      <c r="N62" s="132"/>
      <c r="O62" s="133">
        <f t="shared" si="18"/>
        <v>0</v>
      </c>
      <c r="P62" s="133">
        <f t="shared" si="19"/>
        <v>-0.66112869198312241</v>
      </c>
      <c r="Q62" s="133">
        <f t="shared" si="20"/>
        <v>-642.61708860759495</v>
      </c>
      <c r="R62" s="134" t="e">
        <f t="shared" si="21"/>
        <v>#DIV/0!</v>
      </c>
      <c r="S62" s="138"/>
    </row>
    <row r="63" spans="1:19" ht="45" hidden="1" customHeight="1" x14ac:dyDescent="0.25">
      <c r="A63" s="123">
        <v>57</v>
      </c>
      <c r="B63" s="139" t="s">
        <v>94</v>
      </c>
      <c r="C63" s="125">
        <v>30</v>
      </c>
      <c r="D63" s="126" t="s">
        <v>95</v>
      </c>
      <c r="E63" s="125">
        <f t="shared" si="11"/>
        <v>8640</v>
      </c>
      <c r="F63" s="127">
        <v>68.400000000000006</v>
      </c>
      <c r="G63" s="128">
        <f t="shared" si="12"/>
        <v>0.23750000000000002</v>
      </c>
      <c r="H63" s="129">
        <f t="shared" si="13"/>
        <v>2052</v>
      </c>
      <c r="I63" s="130"/>
      <c r="J63" s="131">
        <f t="shared" si="14"/>
        <v>7.5158227848101264E-2</v>
      </c>
      <c r="K63" s="131">
        <f t="shared" si="15"/>
        <v>649.36708860759495</v>
      </c>
      <c r="L63" s="131">
        <f t="shared" si="16"/>
        <v>8.1922468354430386E-2</v>
      </c>
      <c r="M63" s="131">
        <f t="shared" si="17"/>
        <v>707.81012658227849</v>
      </c>
      <c r="N63" s="132"/>
      <c r="O63" s="133">
        <f t="shared" si="18"/>
        <v>0</v>
      </c>
      <c r="P63" s="133">
        <f t="shared" si="19"/>
        <v>-8.1922468354430386E-2</v>
      </c>
      <c r="Q63" s="133">
        <f t="shared" si="20"/>
        <v>-707.81012658227849</v>
      </c>
      <c r="R63" s="134" t="e">
        <f t="shared" si="21"/>
        <v>#DIV/0!</v>
      </c>
      <c r="S63" s="138"/>
    </row>
    <row r="64" spans="1:19" ht="45" hidden="1" customHeight="1" x14ac:dyDescent="0.25">
      <c r="A64" s="123">
        <v>58</v>
      </c>
      <c r="B64" s="140" t="s">
        <v>96</v>
      </c>
      <c r="C64" s="125">
        <v>30</v>
      </c>
      <c r="D64" s="126" t="s">
        <v>95</v>
      </c>
      <c r="E64" s="125">
        <f t="shared" si="11"/>
        <v>8640</v>
      </c>
      <c r="F64" s="127">
        <v>68.400000000000006</v>
      </c>
      <c r="G64" s="128">
        <f t="shared" si="12"/>
        <v>0.23750000000000002</v>
      </c>
      <c r="H64" s="129">
        <f t="shared" si="13"/>
        <v>2052</v>
      </c>
      <c r="I64" s="130"/>
      <c r="J64" s="131">
        <f t="shared" si="14"/>
        <v>7.5158227848101264E-2</v>
      </c>
      <c r="K64" s="131">
        <f t="shared" si="15"/>
        <v>649.36708860759495</v>
      </c>
      <c r="L64" s="131">
        <f t="shared" si="16"/>
        <v>8.1922468354430386E-2</v>
      </c>
      <c r="M64" s="131">
        <f t="shared" si="17"/>
        <v>707.81012658227849</v>
      </c>
      <c r="N64" s="132"/>
      <c r="O64" s="133">
        <f t="shared" si="18"/>
        <v>0</v>
      </c>
      <c r="P64" s="133">
        <f t="shared" si="19"/>
        <v>-8.1922468354430386E-2</v>
      </c>
      <c r="Q64" s="133">
        <f t="shared" si="20"/>
        <v>-707.81012658227849</v>
      </c>
      <c r="R64" s="134" t="e">
        <f t="shared" si="21"/>
        <v>#DIV/0!</v>
      </c>
      <c r="S64" s="138"/>
    </row>
    <row r="65" spans="1:19" ht="45" hidden="1" customHeight="1" x14ac:dyDescent="0.25">
      <c r="A65" s="123">
        <v>59</v>
      </c>
      <c r="B65" s="141" t="s">
        <v>97</v>
      </c>
      <c r="C65" s="125">
        <v>30</v>
      </c>
      <c r="D65" s="126" t="s">
        <v>95</v>
      </c>
      <c r="E65" s="125">
        <f t="shared" si="11"/>
        <v>8640</v>
      </c>
      <c r="F65" s="127">
        <v>68.400000000000006</v>
      </c>
      <c r="G65" s="128">
        <f t="shared" si="12"/>
        <v>0.23750000000000002</v>
      </c>
      <c r="H65" s="129">
        <f t="shared" si="13"/>
        <v>2052</v>
      </c>
      <c r="I65" s="130"/>
      <c r="J65" s="131">
        <f t="shared" si="14"/>
        <v>7.5158227848101264E-2</v>
      </c>
      <c r="K65" s="131">
        <f t="shared" si="15"/>
        <v>649.36708860759495</v>
      </c>
      <c r="L65" s="131">
        <f t="shared" si="16"/>
        <v>8.1922468354430386E-2</v>
      </c>
      <c r="M65" s="131">
        <f t="shared" si="17"/>
        <v>707.81012658227849</v>
      </c>
      <c r="N65" s="132"/>
      <c r="O65" s="133">
        <f t="shared" si="18"/>
        <v>0</v>
      </c>
      <c r="P65" s="133">
        <f t="shared" si="19"/>
        <v>-8.1922468354430386E-2</v>
      </c>
      <c r="Q65" s="133">
        <f t="shared" si="20"/>
        <v>-707.81012658227849</v>
      </c>
      <c r="R65" s="134" t="e">
        <f t="shared" si="21"/>
        <v>#DIV/0!</v>
      </c>
      <c r="S65" s="142"/>
    </row>
    <row r="66" spans="1:19" ht="45" hidden="1" customHeight="1" x14ac:dyDescent="0.25">
      <c r="A66" s="123">
        <v>60</v>
      </c>
      <c r="B66" s="124" t="s">
        <v>98</v>
      </c>
      <c r="C66" s="125">
        <v>30</v>
      </c>
      <c r="D66" s="126" t="s">
        <v>95</v>
      </c>
      <c r="E66" s="125">
        <f t="shared" si="11"/>
        <v>8640</v>
      </c>
      <c r="F66" s="127">
        <v>68.400000000000006</v>
      </c>
      <c r="G66" s="128">
        <f t="shared" si="12"/>
        <v>0.23750000000000002</v>
      </c>
      <c r="H66" s="129">
        <f t="shared" si="13"/>
        <v>2052</v>
      </c>
      <c r="I66" s="130"/>
      <c r="J66" s="131">
        <f t="shared" si="14"/>
        <v>7.5158227848101264E-2</v>
      </c>
      <c r="K66" s="131">
        <f t="shared" si="15"/>
        <v>649.36708860759495</v>
      </c>
      <c r="L66" s="131">
        <f t="shared" si="16"/>
        <v>8.1922468354430386E-2</v>
      </c>
      <c r="M66" s="131">
        <f t="shared" si="17"/>
        <v>707.81012658227849</v>
      </c>
      <c r="N66" s="132"/>
      <c r="O66" s="133">
        <f t="shared" si="18"/>
        <v>0</v>
      </c>
      <c r="P66" s="133">
        <f t="shared" si="19"/>
        <v>-8.1922468354430386E-2</v>
      </c>
      <c r="Q66" s="133">
        <f t="shared" si="20"/>
        <v>-707.81012658227849</v>
      </c>
      <c r="R66" s="134" t="e">
        <f t="shared" si="21"/>
        <v>#DIV/0!</v>
      </c>
      <c r="S66" s="135"/>
    </row>
    <row r="67" spans="1:19" ht="33" hidden="1" customHeight="1" thickBot="1" x14ac:dyDescent="0.25">
      <c r="A67" s="342" t="s">
        <v>99</v>
      </c>
      <c r="B67" s="343"/>
      <c r="C67" s="343"/>
      <c r="D67" s="344"/>
      <c r="E67" s="143"/>
      <c r="F67" s="144"/>
      <c r="G67" s="359" t="s">
        <v>100</v>
      </c>
      <c r="H67" s="363">
        <f>SUM(H7:H66)</f>
        <v>133743.65999999997</v>
      </c>
      <c r="I67" s="145"/>
      <c r="J67" s="146" t="s">
        <v>101</v>
      </c>
      <c r="K67" s="147">
        <f>SUM(K7:K18)</f>
        <v>9269.7658227848096</v>
      </c>
      <c r="L67" s="351" t="s">
        <v>102</v>
      </c>
      <c r="M67" s="352"/>
      <c r="N67" s="349">
        <f>SUM(O7:O12)</f>
        <v>0</v>
      </c>
      <c r="O67" s="350"/>
      <c r="P67" s="338" t="s">
        <v>103</v>
      </c>
      <c r="Q67" s="339"/>
      <c r="R67" s="357">
        <f>N67-K70</f>
        <v>-10104.044746835443</v>
      </c>
      <c r="S67" s="148"/>
    </row>
    <row r="68" spans="1:19" ht="17" hidden="1" customHeight="1" thickBot="1" x14ac:dyDescent="0.25">
      <c r="A68" s="345"/>
      <c r="B68" s="343"/>
      <c r="C68" s="343"/>
      <c r="D68" s="344"/>
      <c r="E68" s="143"/>
      <c r="F68" s="149"/>
      <c r="G68" s="360"/>
      <c r="H68" s="364"/>
      <c r="I68" s="150"/>
      <c r="J68" s="151" t="s">
        <v>104</v>
      </c>
      <c r="K68" s="152">
        <f>K67*0.09</f>
        <v>834.27892405063278</v>
      </c>
      <c r="L68" s="320"/>
      <c r="M68" s="333"/>
      <c r="N68" s="333"/>
      <c r="O68" s="334"/>
      <c r="P68" s="340"/>
      <c r="Q68" s="341"/>
      <c r="R68" s="358"/>
      <c r="S68" s="153"/>
    </row>
    <row r="69" spans="1:19" ht="49" hidden="1" customHeight="1" thickBot="1" x14ac:dyDescent="0.25">
      <c r="A69" s="345"/>
      <c r="B69" s="343"/>
      <c r="C69" s="343"/>
      <c r="D69" s="344"/>
      <c r="E69" s="154"/>
      <c r="F69" s="155"/>
      <c r="G69" s="156" t="s">
        <v>105</v>
      </c>
      <c r="H69" s="157" t="s">
        <v>106</v>
      </c>
      <c r="I69" s="150"/>
      <c r="J69" s="158" t="s">
        <v>107</v>
      </c>
      <c r="K69" s="159">
        <v>0</v>
      </c>
      <c r="L69" s="335"/>
      <c r="M69" s="336"/>
      <c r="N69" s="336"/>
      <c r="O69" s="337"/>
      <c r="P69" s="326" t="s">
        <v>108</v>
      </c>
      <c r="Q69" s="353"/>
      <c r="R69" s="160" t="e">
        <f>R67/N67</f>
        <v>#DIV/0!</v>
      </c>
      <c r="S69" s="161"/>
    </row>
    <row r="70" spans="1:19" ht="86" hidden="1" customHeight="1" thickBot="1" x14ac:dyDescent="0.25">
      <c r="A70" s="346"/>
      <c r="B70" s="340"/>
      <c r="C70" s="340"/>
      <c r="D70" s="341"/>
      <c r="E70" s="162"/>
      <c r="F70" s="163"/>
      <c r="G70" s="164" t="s">
        <v>109</v>
      </c>
      <c r="H70" s="165">
        <f>SUM(H67:H69)</f>
        <v>133743.65999999997</v>
      </c>
      <c r="I70" s="150"/>
      <c r="J70" s="166" t="s">
        <v>109</v>
      </c>
      <c r="K70" s="167">
        <f>SUM(K67:K69)</f>
        <v>10104.044746835443</v>
      </c>
      <c r="L70" s="168" t="s">
        <v>110</v>
      </c>
      <c r="M70" s="328">
        <f>K69/K67</f>
        <v>0</v>
      </c>
      <c r="N70" s="356"/>
      <c r="O70" s="169"/>
      <c r="P70" s="104"/>
      <c r="Q70" s="104"/>
      <c r="R70" s="104"/>
      <c r="S70" s="170"/>
    </row>
    <row r="71" spans="1:19" x14ac:dyDescent="0.2">
      <c r="A71" s="171"/>
      <c r="B71" s="104"/>
      <c r="C71" s="104"/>
      <c r="D71" s="104"/>
      <c r="E71" s="172"/>
      <c r="F71" s="172"/>
      <c r="G71" s="172"/>
      <c r="H71" s="173"/>
      <c r="I71" s="174"/>
      <c r="J71" s="104"/>
      <c r="K71" s="104"/>
      <c r="L71" s="175"/>
      <c r="M71" s="175"/>
      <c r="N71" s="176"/>
      <c r="O71" s="177"/>
      <c r="P71" s="177"/>
      <c r="Q71" s="178"/>
      <c r="R71" s="177"/>
      <c r="S71" s="170"/>
    </row>
    <row r="72" spans="1:19" x14ac:dyDescent="0.2">
      <c r="A72" s="174"/>
      <c r="B72" s="177"/>
      <c r="C72" s="177"/>
      <c r="D72" s="177"/>
      <c r="E72" s="179"/>
      <c r="F72" s="179"/>
      <c r="G72" s="179"/>
      <c r="H72" s="180"/>
      <c r="I72" s="174"/>
      <c r="J72" s="286"/>
      <c r="K72" s="287"/>
      <c r="L72" s="287"/>
      <c r="M72" s="287"/>
      <c r="N72" s="288"/>
      <c r="O72" s="177"/>
      <c r="P72" s="177"/>
      <c r="Q72" s="177"/>
      <c r="R72" s="177"/>
      <c r="S72" s="170"/>
    </row>
    <row r="73" spans="1:19" x14ac:dyDescent="0.2">
      <c r="A73" s="174"/>
      <c r="B73" s="177"/>
      <c r="C73" s="177"/>
      <c r="D73" s="177"/>
      <c r="E73" s="179"/>
      <c r="F73" s="179"/>
      <c r="G73" s="179"/>
      <c r="H73" s="180"/>
      <c r="I73" s="174"/>
      <c r="J73" s="181"/>
      <c r="K73" s="182"/>
      <c r="L73" s="183"/>
      <c r="M73" s="183"/>
      <c r="N73" s="184"/>
      <c r="O73" s="177"/>
      <c r="P73" s="177"/>
      <c r="Q73" s="177"/>
      <c r="R73" s="177"/>
      <c r="S73" s="170"/>
    </row>
    <row r="74" spans="1:19" x14ac:dyDescent="0.2">
      <c r="A74" s="185" t="s">
        <v>111</v>
      </c>
      <c r="B74" s="177"/>
      <c r="C74" s="177"/>
      <c r="D74" s="177"/>
      <c r="E74" s="179"/>
      <c r="F74" s="179"/>
      <c r="G74" s="179"/>
      <c r="H74" s="180"/>
      <c r="I74" s="174"/>
      <c r="J74" s="186"/>
      <c r="K74" s="186"/>
      <c r="L74" s="186"/>
      <c r="M74" s="186"/>
      <c r="N74" s="184"/>
      <c r="O74" s="177"/>
      <c r="P74" s="177"/>
      <c r="Q74" s="177"/>
      <c r="R74" s="177"/>
      <c r="S74" s="170"/>
    </row>
    <row r="75" spans="1:19" x14ac:dyDescent="0.2">
      <c r="A75" s="185" t="s">
        <v>112</v>
      </c>
      <c r="B75" s="177"/>
      <c r="C75" s="177"/>
      <c r="D75" s="177"/>
      <c r="E75" s="179"/>
      <c r="F75" s="179"/>
      <c r="G75" s="179"/>
      <c r="H75" s="180"/>
      <c r="I75" s="174"/>
      <c r="J75" s="186"/>
      <c r="K75" s="186"/>
      <c r="L75" s="181"/>
      <c r="M75" s="181"/>
      <c r="N75" s="187"/>
      <c r="O75" s="177"/>
      <c r="P75" s="188"/>
      <c r="Q75" s="177"/>
      <c r="R75" s="177"/>
      <c r="S75" s="170"/>
    </row>
    <row r="76" spans="1:19" ht="17" customHeight="1" thickBot="1" x14ac:dyDescent="0.25">
      <c r="A76" s="189"/>
      <c r="B76" s="190"/>
      <c r="C76" s="190"/>
      <c r="D76" s="190"/>
      <c r="E76" s="191"/>
      <c r="F76" s="191"/>
      <c r="G76" s="191"/>
      <c r="H76" s="192"/>
      <c r="I76" s="174"/>
      <c r="J76" s="193"/>
      <c r="K76" s="193"/>
      <c r="L76" s="193"/>
      <c r="M76" s="193"/>
      <c r="N76" s="194"/>
      <c r="O76" s="177"/>
      <c r="P76" s="177"/>
      <c r="Q76" s="177"/>
      <c r="R76" s="177"/>
      <c r="S76" s="170"/>
    </row>
  </sheetData>
  <autoFilter ref="A6:S70" xr:uid="{00000000-0001-0000-0100-000000000000}">
    <filterColumn colId="1">
      <filters>
        <filter val="HIMALAYA ACTIWHOOSH MINTS 15GX12X12"/>
        <filter val="HIMALAYA ALTICE FRESH 15GX12X12"/>
        <filter val="HIMALAYA HONEY LIME MINTS 15GX12X12"/>
      </filters>
    </filterColumn>
  </autoFilter>
  <mergeCells count="16">
    <mergeCell ref="J72:N72"/>
    <mergeCell ref="A1:O1"/>
    <mergeCell ref="L68:O69"/>
    <mergeCell ref="P67:Q68"/>
    <mergeCell ref="A67:D70"/>
    <mergeCell ref="A2:O2"/>
    <mergeCell ref="Q1:R1"/>
    <mergeCell ref="N67:O67"/>
    <mergeCell ref="L67:M67"/>
    <mergeCell ref="P69:Q69"/>
    <mergeCell ref="J4:S4"/>
    <mergeCell ref="M70:N70"/>
    <mergeCell ref="R67:R68"/>
    <mergeCell ref="G67:G68"/>
    <mergeCell ref="A4:H4"/>
    <mergeCell ref="H67:H68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 filterMode="1"/>
  <dimension ref="A1:AO74"/>
  <sheetViews>
    <sheetView workbookViewId="0">
      <selection activeCell="F11" sqref="F11"/>
    </sheetView>
  </sheetViews>
  <sheetFormatPr baseColWidth="10" defaultColWidth="14.5" defaultRowHeight="14" x14ac:dyDescent="0.2"/>
  <cols>
    <col min="1" max="1" width="3" style="3" customWidth="1"/>
    <col min="2" max="2" width="32.83203125" style="3" customWidth="1"/>
    <col min="3" max="3" width="6.83203125" style="3" customWidth="1"/>
    <col min="4" max="4" width="4.5" style="3" customWidth="1"/>
    <col min="5" max="6" width="5.33203125" style="3" customWidth="1"/>
    <col min="7" max="7" width="7.6640625" style="3" bestFit="1" customWidth="1"/>
    <col min="8" max="8" width="10.83203125" style="3" bestFit="1" customWidth="1"/>
    <col min="9" max="9" width="1.33203125" style="3" hidden="1" customWidth="1"/>
    <col min="10" max="10" width="5.6640625" style="3" customWidth="1"/>
    <col min="11" max="11" width="9" style="3" bestFit="1" customWidth="1"/>
    <col min="12" max="12" width="5.1640625" style="3" customWidth="1"/>
    <col min="13" max="13" width="8.33203125" style="3" bestFit="1" customWidth="1"/>
    <col min="14" max="14" width="9.1640625" style="3" bestFit="1" customWidth="1"/>
    <col min="15" max="15" width="8.1640625" style="3" bestFit="1" customWidth="1"/>
    <col min="16" max="16" width="5.33203125" style="3" customWidth="1"/>
    <col min="17" max="17" width="8.1640625" style="3" bestFit="1" customWidth="1"/>
    <col min="18" max="18" width="9" style="3" bestFit="1" customWidth="1"/>
    <col min="19" max="19" width="6.6640625" style="34" customWidth="1"/>
    <col min="20" max="20" width="14.5" style="3" customWidth="1"/>
    <col min="21" max="21" width="15.83203125" style="3" bestFit="1" customWidth="1"/>
    <col min="22" max="22" width="15.6640625" style="3" bestFit="1" customWidth="1"/>
    <col min="23" max="26" width="14.5" style="3" customWidth="1"/>
    <col min="27" max="27" width="40.83203125" style="3" bestFit="1" customWidth="1"/>
    <col min="28" max="28" width="14.5" style="3" customWidth="1"/>
    <col min="29" max="16384" width="14.5" style="3"/>
  </cols>
  <sheetData>
    <row r="1" spans="1:41" ht="16" x14ac:dyDescent="0.2">
      <c r="A1" s="368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  <c r="P1" s="1" t="s">
        <v>1</v>
      </c>
      <c r="Q1" s="366">
        <v>46013</v>
      </c>
      <c r="R1" s="298"/>
      <c r="S1" s="2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41" ht="15" customHeight="1" thickBot="1" x14ac:dyDescent="0.25">
      <c r="A2" s="294" t="s">
        <v>2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6"/>
      <c r="P2" s="5" t="s">
        <v>3</v>
      </c>
      <c r="Q2" s="6">
        <v>3.16</v>
      </c>
      <c r="R2" s="7"/>
      <c r="S2" s="8"/>
      <c r="AB2" s="9"/>
      <c r="AE2" s="9"/>
    </row>
    <row r="3" spans="1:41" ht="15" customHeight="1" thickBot="1" x14ac:dyDescent="0.25">
      <c r="A3" s="10"/>
      <c r="B3" s="11" t="s">
        <v>4</v>
      </c>
      <c r="C3" s="10"/>
      <c r="D3" s="10"/>
      <c r="E3" s="12"/>
      <c r="F3" s="12"/>
      <c r="G3" s="12"/>
      <c r="H3" s="13"/>
      <c r="I3" s="14"/>
      <c r="J3" s="15"/>
      <c r="K3" s="16"/>
      <c r="L3" s="16"/>
      <c r="M3" s="16"/>
      <c r="N3" s="17"/>
      <c r="O3" s="16"/>
      <c r="P3" s="18"/>
      <c r="Q3" s="18"/>
      <c r="R3" s="18"/>
      <c r="S3" s="19"/>
      <c r="U3" s="4"/>
      <c r="AB3" s="9"/>
    </row>
    <row r="4" spans="1:41" ht="15" customHeight="1" thickBot="1" x14ac:dyDescent="0.25">
      <c r="A4" s="365" t="s">
        <v>5</v>
      </c>
      <c r="B4" s="355"/>
      <c r="C4" s="355"/>
      <c r="D4" s="355"/>
      <c r="E4" s="355"/>
      <c r="F4" s="355"/>
      <c r="G4" s="355"/>
      <c r="H4" s="362"/>
      <c r="I4" s="20"/>
      <c r="J4" s="367" t="s">
        <v>6</v>
      </c>
      <c r="K4" s="355"/>
      <c r="L4" s="355"/>
      <c r="M4" s="355"/>
      <c r="N4" s="355"/>
      <c r="O4" s="355"/>
      <c r="P4" s="355"/>
      <c r="Q4" s="355"/>
      <c r="R4" s="355"/>
      <c r="S4" s="353"/>
      <c r="AB4" s="9"/>
    </row>
    <row r="5" spans="1:41" ht="15" customHeight="1" thickBot="1" x14ac:dyDescent="0.25">
      <c r="A5" s="10"/>
      <c r="B5" s="10"/>
      <c r="C5" s="10"/>
      <c r="D5" s="10"/>
      <c r="E5" s="12"/>
      <c r="F5" s="12"/>
      <c r="G5" s="12"/>
      <c r="H5" s="13"/>
      <c r="I5" s="21"/>
      <c r="J5" s="22"/>
      <c r="K5" s="22"/>
      <c r="L5" s="22"/>
      <c r="M5" s="22"/>
      <c r="N5" s="23"/>
      <c r="O5" s="22"/>
      <c r="P5" s="22"/>
      <c r="Q5" s="22"/>
      <c r="R5" s="22"/>
      <c r="S5" s="19"/>
      <c r="AB5" s="9"/>
      <c r="AE5" s="9"/>
    </row>
    <row r="6" spans="1:41" ht="90" customHeight="1" x14ac:dyDescent="0.2">
      <c r="A6" s="24" t="s">
        <v>7</v>
      </c>
      <c r="B6" s="25" t="s">
        <v>8</v>
      </c>
      <c r="C6" s="26" t="s">
        <v>9</v>
      </c>
      <c r="D6" s="26" t="s">
        <v>10</v>
      </c>
      <c r="E6" s="26" t="s">
        <v>11</v>
      </c>
      <c r="F6" s="26" t="s">
        <v>12</v>
      </c>
      <c r="G6" s="26" t="s">
        <v>13</v>
      </c>
      <c r="H6" s="27" t="s">
        <v>14</v>
      </c>
      <c r="I6" s="28"/>
      <c r="J6" s="29" t="s">
        <v>15</v>
      </c>
      <c r="K6" s="30" t="s">
        <v>16</v>
      </c>
      <c r="L6" s="30" t="s">
        <v>17</v>
      </c>
      <c r="M6" s="30" t="s">
        <v>18</v>
      </c>
      <c r="N6" s="31" t="s">
        <v>19</v>
      </c>
      <c r="O6" s="30" t="s">
        <v>20</v>
      </c>
      <c r="P6" s="30" t="s">
        <v>21</v>
      </c>
      <c r="Q6" s="30" t="s">
        <v>113</v>
      </c>
      <c r="R6" s="30" t="s">
        <v>23</v>
      </c>
      <c r="S6" s="92" t="s">
        <v>114</v>
      </c>
      <c r="T6" s="93" t="s">
        <v>115</v>
      </c>
      <c r="U6" s="32" t="s">
        <v>116</v>
      </c>
      <c r="V6" s="32" t="s">
        <v>117</v>
      </c>
      <c r="AB6" s="9"/>
      <c r="AI6" s="4"/>
      <c r="AJ6" s="4"/>
      <c r="AK6" s="4"/>
      <c r="AL6" s="4"/>
      <c r="AM6" s="4"/>
      <c r="AN6" s="4"/>
      <c r="AO6" s="4"/>
    </row>
    <row r="7" spans="1:41" s="210" customFormat="1" ht="45" hidden="1" customHeight="1" x14ac:dyDescent="0.2">
      <c r="A7" s="195">
        <v>1</v>
      </c>
      <c r="B7" s="204" t="s">
        <v>118</v>
      </c>
      <c r="C7" s="195">
        <v>20</v>
      </c>
      <c r="D7" s="195">
        <v>24</v>
      </c>
      <c r="E7" s="196">
        <f t="shared" ref="E7:E38" si="0">D7*C7</f>
        <v>480</v>
      </c>
      <c r="F7" s="195">
        <f>72*0.95</f>
        <v>68.399999999999991</v>
      </c>
      <c r="G7" s="205">
        <f t="shared" ref="G7:G38" si="1">F7/D7</f>
        <v>2.8499999999999996</v>
      </c>
      <c r="H7" s="206">
        <f t="shared" ref="H7:H38" si="2">G7*E7</f>
        <v>1367.9999999999998</v>
      </c>
      <c r="I7" s="197"/>
      <c r="J7" s="198">
        <f t="shared" ref="J7:J38" si="3">G7/$Q$2</f>
        <v>0.901898734177215</v>
      </c>
      <c r="K7" s="198">
        <f t="shared" ref="K7:K38" si="4">H7/$Q$2</f>
        <v>432.91139240506322</v>
      </c>
      <c r="L7" s="198">
        <f t="shared" ref="L7:L38" si="5">J7*(1+$M$67+9%)</f>
        <v>0.98306962025316447</v>
      </c>
      <c r="M7" s="198">
        <f t="shared" ref="M7:M38" si="6">L7*E7</f>
        <v>471.87341772151893</v>
      </c>
      <c r="N7" s="199">
        <v>1.95</v>
      </c>
      <c r="O7" s="200">
        <f t="shared" ref="O7:O38" si="7">N7*E7</f>
        <v>936</v>
      </c>
      <c r="P7" s="200">
        <f t="shared" ref="P7:P38" si="8">N7-L7</f>
        <v>0.96693037974683549</v>
      </c>
      <c r="Q7" s="200">
        <f t="shared" ref="Q7:Q38" si="9">P7*E7</f>
        <v>464.12658227848101</v>
      </c>
      <c r="R7" s="201">
        <f t="shared" ref="R7:R38" si="10">P7/N7</f>
        <v>0.49586173320350541</v>
      </c>
      <c r="S7" s="207">
        <f t="shared" ref="S7:S38" si="11">N7*1.08</f>
        <v>2.1059999999999999</v>
      </c>
      <c r="T7" s="208">
        <f t="shared" ref="T7:T38" si="12">S7*0.82</f>
        <v>1.7269199999999998</v>
      </c>
      <c r="U7" s="208">
        <f t="shared" ref="U7:U38" si="13">T7-L7</f>
        <v>0.74385037974683532</v>
      </c>
      <c r="V7" s="209">
        <f t="shared" ref="V7:V38" si="14">U7/T7</f>
        <v>0.43073818112410267</v>
      </c>
      <c r="AB7" s="211"/>
      <c r="AF7" s="212"/>
      <c r="AG7" s="212"/>
      <c r="AO7" s="211"/>
    </row>
    <row r="8" spans="1:41" s="215" customFormat="1" ht="45" hidden="1" customHeight="1" x14ac:dyDescent="0.2">
      <c r="A8" s="202">
        <v>2</v>
      </c>
      <c r="B8" s="204" t="s">
        <v>119</v>
      </c>
      <c r="C8" s="195">
        <v>20</v>
      </c>
      <c r="D8" s="195">
        <v>24</v>
      </c>
      <c r="E8" s="203">
        <f t="shared" si="0"/>
        <v>480</v>
      </c>
      <c r="F8" s="195">
        <f>72*0.95</f>
        <v>68.399999999999991</v>
      </c>
      <c r="G8" s="213">
        <f t="shared" si="1"/>
        <v>2.8499999999999996</v>
      </c>
      <c r="H8" s="214">
        <f t="shared" si="2"/>
        <v>1367.9999999999998</v>
      </c>
      <c r="I8" s="197"/>
      <c r="J8" s="200">
        <f t="shared" si="3"/>
        <v>0.901898734177215</v>
      </c>
      <c r="K8" s="200">
        <f t="shared" si="4"/>
        <v>432.91139240506322</v>
      </c>
      <c r="L8" s="200">
        <f t="shared" si="5"/>
        <v>0.98306962025316447</v>
      </c>
      <c r="M8" s="200">
        <f t="shared" si="6"/>
        <v>471.87341772151893</v>
      </c>
      <c r="N8" s="199">
        <v>1.95</v>
      </c>
      <c r="O8" s="200">
        <f t="shared" si="7"/>
        <v>936</v>
      </c>
      <c r="P8" s="200">
        <f t="shared" si="8"/>
        <v>0.96693037974683549</v>
      </c>
      <c r="Q8" s="200">
        <f t="shared" si="9"/>
        <v>464.12658227848101</v>
      </c>
      <c r="R8" s="201">
        <f t="shared" si="10"/>
        <v>0.49586173320350541</v>
      </c>
      <c r="S8" s="207">
        <f t="shared" si="11"/>
        <v>2.1059999999999999</v>
      </c>
      <c r="T8" s="208">
        <f t="shared" si="12"/>
        <v>1.7269199999999998</v>
      </c>
      <c r="U8" s="208">
        <f t="shared" si="13"/>
        <v>0.74385037974683532</v>
      </c>
      <c r="V8" s="209">
        <f t="shared" si="14"/>
        <v>0.43073818112410267</v>
      </c>
      <c r="W8" s="210"/>
      <c r="X8" s="210"/>
      <c r="Z8" s="210"/>
      <c r="AA8" s="210"/>
      <c r="AB8" s="211"/>
      <c r="AC8" s="210"/>
      <c r="AD8" s="210"/>
      <c r="AE8" s="210"/>
      <c r="AF8" s="210"/>
      <c r="AG8" s="210"/>
      <c r="AI8" s="210"/>
      <c r="AJ8" s="210"/>
      <c r="AK8" s="210"/>
      <c r="AL8" s="210"/>
      <c r="AM8" s="210"/>
      <c r="AN8" s="210"/>
      <c r="AO8" s="211"/>
    </row>
    <row r="9" spans="1:41" s="215" customFormat="1" ht="45" hidden="1" customHeight="1" thickBot="1" x14ac:dyDescent="0.2">
      <c r="A9" s="195">
        <v>3</v>
      </c>
      <c r="B9" s="204" t="s">
        <v>120</v>
      </c>
      <c r="C9" s="195">
        <v>28</v>
      </c>
      <c r="D9" s="195">
        <v>24</v>
      </c>
      <c r="E9" s="203">
        <f t="shared" si="0"/>
        <v>672</v>
      </c>
      <c r="F9" s="195">
        <v>66</v>
      </c>
      <c r="G9" s="213">
        <f t="shared" si="1"/>
        <v>2.75</v>
      </c>
      <c r="H9" s="214">
        <f t="shared" si="2"/>
        <v>1848</v>
      </c>
      <c r="I9" s="197"/>
      <c r="J9" s="200">
        <f t="shared" si="3"/>
        <v>0.870253164556962</v>
      </c>
      <c r="K9" s="200">
        <f t="shared" si="4"/>
        <v>584.81012658227849</v>
      </c>
      <c r="L9" s="200">
        <f t="shared" si="5"/>
        <v>0.94857594936708867</v>
      </c>
      <c r="M9" s="200">
        <f t="shared" si="6"/>
        <v>637.44303797468353</v>
      </c>
      <c r="N9" s="199">
        <v>1.5</v>
      </c>
      <c r="O9" s="200">
        <f t="shared" si="7"/>
        <v>1008</v>
      </c>
      <c r="P9" s="200">
        <f t="shared" si="8"/>
        <v>0.55142405063291133</v>
      </c>
      <c r="Q9" s="200">
        <f t="shared" si="9"/>
        <v>370.55696202531641</v>
      </c>
      <c r="R9" s="201">
        <f t="shared" si="10"/>
        <v>0.36761603375527424</v>
      </c>
      <c r="S9" s="207">
        <f t="shared" si="11"/>
        <v>1.62</v>
      </c>
      <c r="T9" s="208">
        <f t="shared" si="12"/>
        <v>1.3284</v>
      </c>
      <c r="U9" s="208">
        <f t="shared" si="13"/>
        <v>0.37982405063291136</v>
      </c>
      <c r="V9" s="209">
        <f t="shared" si="14"/>
        <v>0.28592596404163756</v>
      </c>
      <c r="W9" s="210"/>
      <c r="X9" s="210"/>
      <c r="Z9" s="210"/>
      <c r="AA9" s="210"/>
      <c r="AB9" s="211"/>
      <c r="AC9" s="210"/>
      <c r="AD9" s="210"/>
      <c r="AE9" s="210"/>
      <c r="AF9" s="210"/>
      <c r="AG9" s="210"/>
      <c r="AI9" s="210"/>
      <c r="AJ9" s="210"/>
      <c r="AK9" s="210"/>
      <c r="AL9" s="210"/>
      <c r="AM9" s="210"/>
      <c r="AN9" s="210"/>
      <c r="AO9" s="211"/>
    </row>
    <row r="10" spans="1:41" s="215" customFormat="1" ht="45" hidden="1" customHeight="1" x14ac:dyDescent="0.2">
      <c r="A10" s="202">
        <v>4</v>
      </c>
      <c r="B10" s="204" t="s">
        <v>121</v>
      </c>
      <c r="C10" s="195">
        <v>10</v>
      </c>
      <c r="D10" s="195">
        <v>400</v>
      </c>
      <c r="E10" s="203">
        <f t="shared" si="0"/>
        <v>4000</v>
      </c>
      <c r="F10" s="195">
        <v>374</v>
      </c>
      <c r="G10" s="213">
        <f t="shared" si="1"/>
        <v>0.93500000000000005</v>
      </c>
      <c r="H10" s="214">
        <f t="shared" si="2"/>
        <v>3740</v>
      </c>
      <c r="I10" s="197"/>
      <c r="J10" s="200">
        <f t="shared" si="3"/>
        <v>0.29588607594936711</v>
      </c>
      <c r="K10" s="200">
        <f t="shared" si="4"/>
        <v>1183.5443037974683</v>
      </c>
      <c r="L10" s="200">
        <f t="shared" si="5"/>
        <v>0.32251582278481017</v>
      </c>
      <c r="M10" s="200">
        <f t="shared" si="6"/>
        <v>1290.0632911392406</v>
      </c>
      <c r="N10" s="199">
        <v>0.4</v>
      </c>
      <c r="O10" s="200">
        <f t="shared" si="7"/>
        <v>1600</v>
      </c>
      <c r="P10" s="200">
        <f t="shared" si="8"/>
        <v>7.7484177215189853E-2</v>
      </c>
      <c r="Q10" s="200">
        <f t="shared" si="9"/>
        <v>309.93670886075944</v>
      </c>
      <c r="R10" s="201">
        <f t="shared" si="10"/>
        <v>0.19371044303797463</v>
      </c>
      <c r="S10" s="207">
        <f t="shared" si="11"/>
        <v>0.43200000000000005</v>
      </c>
      <c r="T10" s="208">
        <f t="shared" si="12"/>
        <v>0.35424</v>
      </c>
      <c r="U10" s="208">
        <f t="shared" si="13"/>
        <v>3.172417721518983E-2</v>
      </c>
      <c r="V10" s="209">
        <f t="shared" si="14"/>
        <v>8.9555604153087817E-2</v>
      </c>
      <c r="W10" s="210"/>
      <c r="X10" s="210"/>
      <c r="Z10" s="210"/>
      <c r="AA10" s="210"/>
      <c r="AB10" s="211"/>
      <c r="AC10" s="210"/>
      <c r="AD10" s="210"/>
      <c r="AE10" s="210"/>
      <c r="AF10" s="210"/>
      <c r="AG10" s="210"/>
      <c r="AI10" s="210"/>
      <c r="AJ10" s="210"/>
      <c r="AK10" s="210"/>
      <c r="AL10" s="210"/>
      <c r="AM10" s="210"/>
      <c r="AN10" s="210"/>
      <c r="AO10" s="211"/>
    </row>
    <row r="11" spans="1:41" s="215" customFormat="1" ht="45" hidden="1" customHeight="1" x14ac:dyDescent="0.2">
      <c r="A11" s="195">
        <v>5</v>
      </c>
      <c r="B11" s="204" t="s">
        <v>122</v>
      </c>
      <c r="C11" s="195">
        <v>20</v>
      </c>
      <c r="D11" s="195">
        <v>50</v>
      </c>
      <c r="E11" s="203">
        <f t="shared" si="0"/>
        <v>1000</v>
      </c>
      <c r="F11" s="195">
        <v>83</v>
      </c>
      <c r="G11" s="213">
        <f t="shared" si="1"/>
        <v>1.66</v>
      </c>
      <c r="H11" s="214">
        <f t="shared" si="2"/>
        <v>1660</v>
      </c>
      <c r="I11" s="197"/>
      <c r="J11" s="200">
        <f t="shared" si="3"/>
        <v>0.52531645569620244</v>
      </c>
      <c r="K11" s="200">
        <f t="shared" si="4"/>
        <v>525.31645569620252</v>
      </c>
      <c r="L11" s="200">
        <f t="shared" si="5"/>
        <v>0.57259493670886075</v>
      </c>
      <c r="M11" s="200">
        <f t="shared" si="6"/>
        <v>572.5949367088607</v>
      </c>
      <c r="N11" s="199">
        <v>1</v>
      </c>
      <c r="O11" s="200">
        <f t="shared" si="7"/>
        <v>1000</v>
      </c>
      <c r="P11" s="200">
        <f t="shared" si="8"/>
        <v>0.42740506329113925</v>
      </c>
      <c r="Q11" s="200">
        <f t="shared" si="9"/>
        <v>427.40506329113924</v>
      </c>
      <c r="R11" s="201">
        <f t="shared" si="10"/>
        <v>0.42740506329113925</v>
      </c>
      <c r="S11" s="207">
        <f t="shared" si="11"/>
        <v>1.08</v>
      </c>
      <c r="T11" s="208">
        <f t="shared" si="12"/>
        <v>0.88560000000000005</v>
      </c>
      <c r="U11" s="208">
        <f t="shared" si="13"/>
        <v>0.31300506329113931</v>
      </c>
      <c r="V11" s="209">
        <f t="shared" si="14"/>
        <v>0.35343841835042827</v>
      </c>
      <c r="W11" s="210"/>
      <c r="X11" s="210"/>
      <c r="Z11" s="210"/>
      <c r="AA11" s="210"/>
      <c r="AB11" s="211"/>
      <c r="AC11" s="210"/>
      <c r="AD11" s="210"/>
      <c r="AE11" s="210"/>
      <c r="AF11" s="210"/>
      <c r="AG11" s="210"/>
      <c r="AI11" s="210"/>
      <c r="AJ11" s="210"/>
      <c r="AK11" s="210"/>
      <c r="AL11" s="210"/>
      <c r="AM11" s="210"/>
      <c r="AN11" s="210"/>
      <c r="AO11" s="211"/>
    </row>
    <row r="12" spans="1:41" s="210" customFormat="1" ht="45" hidden="1" customHeight="1" thickBot="1" x14ac:dyDescent="0.2">
      <c r="A12" s="202">
        <v>6</v>
      </c>
      <c r="B12" s="204" t="s">
        <v>123</v>
      </c>
      <c r="C12" s="195">
        <v>20</v>
      </c>
      <c r="D12" s="195">
        <v>50</v>
      </c>
      <c r="E12" s="203">
        <f t="shared" si="0"/>
        <v>1000</v>
      </c>
      <c r="F12" s="195">
        <v>83</v>
      </c>
      <c r="G12" s="213">
        <f t="shared" si="1"/>
        <v>1.66</v>
      </c>
      <c r="H12" s="214">
        <f t="shared" si="2"/>
        <v>1660</v>
      </c>
      <c r="I12" s="195"/>
      <c r="J12" s="200">
        <f t="shared" si="3"/>
        <v>0.52531645569620244</v>
      </c>
      <c r="K12" s="200">
        <f t="shared" si="4"/>
        <v>525.31645569620252</v>
      </c>
      <c r="L12" s="200">
        <f t="shared" si="5"/>
        <v>0.57259493670886075</v>
      </c>
      <c r="M12" s="200">
        <f t="shared" si="6"/>
        <v>572.5949367088607</v>
      </c>
      <c r="N12" s="198">
        <v>1</v>
      </c>
      <c r="O12" s="200">
        <f t="shared" si="7"/>
        <v>1000</v>
      </c>
      <c r="P12" s="200">
        <f t="shared" si="8"/>
        <v>0.42740506329113925</v>
      </c>
      <c r="Q12" s="200">
        <f t="shared" si="9"/>
        <v>427.40506329113924</v>
      </c>
      <c r="R12" s="201">
        <f t="shared" si="10"/>
        <v>0.42740506329113925</v>
      </c>
      <c r="S12" s="207">
        <f t="shared" si="11"/>
        <v>1.08</v>
      </c>
      <c r="T12" s="208">
        <f t="shared" si="12"/>
        <v>0.88560000000000005</v>
      </c>
      <c r="U12" s="208">
        <f t="shared" si="13"/>
        <v>0.31300506329113931</v>
      </c>
      <c r="V12" s="209">
        <f t="shared" si="14"/>
        <v>0.35343841835042827</v>
      </c>
      <c r="AB12" s="211"/>
      <c r="AO12" s="211"/>
    </row>
    <row r="13" spans="1:41" s="210" customFormat="1" ht="45" hidden="1" customHeight="1" x14ac:dyDescent="0.2">
      <c r="A13" s="195">
        <v>7</v>
      </c>
      <c r="B13" s="204" t="s">
        <v>124</v>
      </c>
      <c r="C13" s="195">
        <v>10</v>
      </c>
      <c r="D13" s="195">
        <v>100</v>
      </c>
      <c r="E13" s="203">
        <f t="shared" si="0"/>
        <v>1000</v>
      </c>
      <c r="F13" s="195">
        <v>350</v>
      </c>
      <c r="G13" s="213">
        <f t="shared" si="1"/>
        <v>3.5</v>
      </c>
      <c r="H13" s="214">
        <f t="shared" si="2"/>
        <v>3500</v>
      </c>
      <c r="I13" s="195"/>
      <c r="J13" s="200">
        <f t="shared" si="3"/>
        <v>1.1075949367088607</v>
      </c>
      <c r="K13" s="200">
        <f t="shared" si="4"/>
        <v>1107.5949367088608</v>
      </c>
      <c r="L13" s="200">
        <f t="shared" si="5"/>
        <v>1.2072784810126582</v>
      </c>
      <c r="M13" s="200">
        <f t="shared" si="6"/>
        <v>1207.2784810126582</v>
      </c>
      <c r="N13" s="198">
        <v>1.75</v>
      </c>
      <c r="O13" s="200">
        <f t="shared" si="7"/>
        <v>1750</v>
      </c>
      <c r="P13" s="200">
        <f t="shared" si="8"/>
        <v>0.54272151898734178</v>
      </c>
      <c r="Q13" s="200">
        <f t="shared" si="9"/>
        <v>542.72151898734182</v>
      </c>
      <c r="R13" s="201">
        <f t="shared" si="10"/>
        <v>0.310126582278481</v>
      </c>
      <c r="S13" s="207">
        <f t="shared" si="11"/>
        <v>1.8900000000000001</v>
      </c>
      <c r="T13" s="208">
        <f t="shared" si="12"/>
        <v>1.5498000000000001</v>
      </c>
      <c r="U13" s="208">
        <f t="shared" si="13"/>
        <v>0.34252151898734184</v>
      </c>
      <c r="V13" s="209">
        <f t="shared" si="14"/>
        <v>0.22101014259087742</v>
      </c>
      <c r="AB13" s="211"/>
      <c r="AO13" s="211"/>
    </row>
    <row r="14" spans="1:41" s="210" customFormat="1" ht="45" hidden="1" customHeight="1" x14ac:dyDescent="0.2">
      <c r="A14" s="202">
        <v>8</v>
      </c>
      <c r="B14" s="204" t="s">
        <v>125</v>
      </c>
      <c r="C14" s="195">
        <v>20</v>
      </c>
      <c r="D14" s="195">
        <v>50</v>
      </c>
      <c r="E14" s="203">
        <f t="shared" si="0"/>
        <v>1000</v>
      </c>
      <c r="F14" s="195">
        <f>0.97*81.5</f>
        <v>79.054999999999993</v>
      </c>
      <c r="G14" s="213">
        <f t="shared" si="1"/>
        <v>1.5810999999999999</v>
      </c>
      <c r="H14" s="214">
        <f t="shared" si="2"/>
        <v>1581.1</v>
      </c>
      <c r="I14" s="195"/>
      <c r="J14" s="200">
        <f t="shared" si="3"/>
        <v>0.50034810126582274</v>
      </c>
      <c r="K14" s="200">
        <f t="shared" si="4"/>
        <v>500.34810126582272</v>
      </c>
      <c r="L14" s="200">
        <f t="shared" si="5"/>
        <v>0.54537943037974679</v>
      </c>
      <c r="M14" s="200">
        <f t="shared" si="6"/>
        <v>545.37943037974674</v>
      </c>
      <c r="N14" s="198">
        <v>0.85</v>
      </c>
      <c r="O14" s="200">
        <f t="shared" si="7"/>
        <v>850</v>
      </c>
      <c r="P14" s="200">
        <f t="shared" si="8"/>
        <v>0.30462056962025319</v>
      </c>
      <c r="Q14" s="200">
        <f t="shared" si="9"/>
        <v>304.62056962025321</v>
      </c>
      <c r="R14" s="201">
        <f t="shared" si="10"/>
        <v>0.35837714072970966</v>
      </c>
      <c r="S14" s="207">
        <f t="shared" si="11"/>
        <v>0.91800000000000004</v>
      </c>
      <c r="T14" s="208">
        <f t="shared" si="12"/>
        <v>0.75275999999999998</v>
      </c>
      <c r="U14" s="208">
        <f t="shared" si="13"/>
        <v>0.2073805696202532</v>
      </c>
      <c r="V14" s="209">
        <f t="shared" si="14"/>
        <v>0.27549360967672726</v>
      </c>
      <c r="AB14" s="211"/>
    </row>
    <row r="15" spans="1:41" s="210" customFormat="1" ht="45" hidden="1" customHeight="1" x14ac:dyDescent="0.2">
      <c r="A15" s="195">
        <v>9</v>
      </c>
      <c r="B15" s="204" t="s">
        <v>126</v>
      </c>
      <c r="C15" s="195">
        <v>20</v>
      </c>
      <c r="D15" s="195">
        <v>50</v>
      </c>
      <c r="E15" s="203">
        <f t="shared" si="0"/>
        <v>1000</v>
      </c>
      <c r="F15" s="195">
        <f>0.97*81.5</f>
        <v>79.054999999999993</v>
      </c>
      <c r="G15" s="213">
        <f t="shared" si="1"/>
        <v>1.5810999999999999</v>
      </c>
      <c r="H15" s="214">
        <f t="shared" si="2"/>
        <v>1581.1</v>
      </c>
      <c r="I15" s="195"/>
      <c r="J15" s="200">
        <f t="shared" si="3"/>
        <v>0.50034810126582274</v>
      </c>
      <c r="K15" s="200">
        <f t="shared" si="4"/>
        <v>500.34810126582272</v>
      </c>
      <c r="L15" s="200">
        <f t="shared" si="5"/>
        <v>0.54537943037974679</v>
      </c>
      <c r="M15" s="200">
        <f t="shared" si="6"/>
        <v>545.37943037974674</v>
      </c>
      <c r="N15" s="198">
        <v>0.85</v>
      </c>
      <c r="O15" s="200">
        <f t="shared" si="7"/>
        <v>850</v>
      </c>
      <c r="P15" s="200">
        <f t="shared" si="8"/>
        <v>0.30462056962025319</v>
      </c>
      <c r="Q15" s="200">
        <f t="shared" si="9"/>
        <v>304.62056962025321</v>
      </c>
      <c r="R15" s="201">
        <f t="shared" si="10"/>
        <v>0.35837714072970966</v>
      </c>
      <c r="S15" s="207">
        <f t="shared" si="11"/>
        <v>0.91800000000000004</v>
      </c>
      <c r="T15" s="208">
        <f t="shared" si="12"/>
        <v>0.75275999999999998</v>
      </c>
      <c r="U15" s="208">
        <f t="shared" si="13"/>
        <v>0.2073805696202532</v>
      </c>
      <c r="V15" s="209">
        <f t="shared" si="14"/>
        <v>0.27549360967672726</v>
      </c>
      <c r="AB15" s="211"/>
    </row>
    <row r="16" spans="1:41" s="210" customFormat="1" ht="45" hidden="1" customHeight="1" x14ac:dyDescent="0.2">
      <c r="A16" s="202">
        <v>10</v>
      </c>
      <c r="B16" s="204" t="s">
        <v>127</v>
      </c>
      <c r="C16" s="195">
        <v>30</v>
      </c>
      <c r="D16" s="195">
        <v>50</v>
      </c>
      <c r="E16" s="203">
        <f t="shared" si="0"/>
        <v>1500</v>
      </c>
      <c r="F16" s="195">
        <v>155</v>
      </c>
      <c r="G16" s="213">
        <f t="shared" si="1"/>
        <v>3.1</v>
      </c>
      <c r="H16" s="214">
        <f t="shared" si="2"/>
        <v>4650</v>
      </c>
      <c r="I16" s="195"/>
      <c r="J16" s="200">
        <f t="shared" si="3"/>
        <v>0.98101265822784811</v>
      </c>
      <c r="K16" s="200">
        <f t="shared" si="4"/>
        <v>1471.5189873417721</v>
      </c>
      <c r="L16" s="200">
        <f t="shared" si="5"/>
        <v>1.0693037974683546</v>
      </c>
      <c r="M16" s="200">
        <f t="shared" si="6"/>
        <v>1603.955696202532</v>
      </c>
      <c r="N16" s="198">
        <v>1.95</v>
      </c>
      <c r="O16" s="200">
        <f t="shared" si="7"/>
        <v>2925</v>
      </c>
      <c r="P16" s="200">
        <f t="shared" si="8"/>
        <v>0.88069620253164538</v>
      </c>
      <c r="Q16" s="200">
        <f t="shared" si="9"/>
        <v>1321.044303797468</v>
      </c>
      <c r="R16" s="201">
        <f t="shared" si="10"/>
        <v>0.45163907822135663</v>
      </c>
      <c r="S16" s="207">
        <f t="shared" si="11"/>
        <v>2.1059999999999999</v>
      </c>
      <c r="T16" s="208">
        <f t="shared" si="12"/>
        <v>1.7269199999999998</v>
      </c>
      <c r="U16" s="208">
        <f t="shared" si="13"/>
        <v>0.65761620253164521</v>
      </c>
      <c r="V16" s="209">
        <f t="shared" si="14"/>
        <v>0.38080293385428698</v>
      </c>
      <c r="AB16" s="211"/>
    </row>
    <row r="17" spans="1:41" s="210" customFormat="1" ht="45" hidden="1" customHeight="1" x14ac:dyDescent="0.2">
      <c r="A17" s="195">
        <v>11</v>
      </c>
      <c r="B17" s="204" t="s">
        <v>128</v>
      </c>
      <c r="C17" s="195">
        <v>10</v>
      </c>
      <c r="D17" s="195">
        <v>144</v>
      </c>
      <c r="E17" s="203">
        <f t="shared" si="0"/>
        <v>1440</v>
      </c>
      <c r="F17" s="195">
        <v>186</v>
      </c>
      <c r="G17" s="213">
        <f t="shared" si="1"/>
        <v>1.2916666666666667</v>
      </c>
      <c r="H17" s="214">
        <f t="shared" si="2"/>
        <v>1860</v>
      </c>
      <c r="I17" s="195"/>
      <c r="J17" s="200">
        <f t="shared" si="3"/>
        <v>0.40875527426160341</v>
      </c>
      <c r="K17" s="200">
        <f t="shared" si="4"/>
        <v>588.60759493670878</v>
      </c>
      <c r="L17" s="200">
        <f t="shared" si="5"/>
        <v>0.44554324894514774</v>
      </c>
      <c r="M17" s="200">
        <f t="shared" si="6"/>
        <v>641.58227848101274</v>
      </c>
      <c r="N17" s="198">
        <v>0.8</v>
      </c>
      <c r="O17" s="200">
        <f t="shared" si="7"/>
        <v>1152</v>
      </c>
      <c r="P17" s="200">
        <f t="shared" si="8"/>
        <v>0.3544567510548523</v>
      </c>
      <c r="Q17" s="200">
        <f t="shared" si="9"/>
        <v>510.41772151898732</v>
      </c>
      <c r="R17" s="201">
        <f t="shared" si="10"/>
        <v>0.44307093881856535</v>
      </c>
      <c r="S17" s="207">
        <f t="shared" si="11"/>
        <v>0.8640000000000001</v>
      </c>
      <c r="T17" s="208">
        <f t="shared" si="12"/>
        <v>0.70848</v>
      </c>
      <c r="U17" s="208">
        <f t="shared" si="13"/>
        <v>0.26293675105485226</v>
      </c>
      <c r="V17" s="209">
        <f t="shared" si="14"/>
        <v>0.37112797969576028</v>
      </c>
    </row>
    <row r="18" spans="1:41" s="210" customFormat="1" ht="45" hidden="1" customHeight="1" x14ac:dyDescent="0.2">
      <c r="A18" s="202">
        <v>12</v>
      </c>
      <c r="B18" s="204" t="s">
        <v>129</v>
      </c>
      <c r="C18" s="195">
        <v>10</v>
      </c>
      <c r="D18" s="195">
        <v>144</v>
      </c>
      <c r="E18" s="203">
        <f t="shared" si="0"/>
        <v>1440</v>
      </c>
      <c r="F18" s="195">
        <v>186</v>
      </c>
      <c r="G18" s="213">
        <f t="shared" si="1"/>
        <v>1.2916666666666667</v>
      </c>
      <c r="H18" s="214">
        <f t="shared" si="2"/>
        <v>1860</v>
      </c>
      <c r="I18" s="195"/>
      <c r="J18" s="200">
        <f t="shared" si="3"/>
        <v>0.40875527426160341</v>
      </c>
      <c r="K18" s="200">
        <f t="shared" si="4"/>
        <v>588.60759493670878</v>
      </c>
      <c r="L18" s="200">
        <f t="shared" si="5"/>
        <v>0.44554324894514774</v>
      </c>
      <c r="M18" s="200">
        <f t="shared" si="6"/>
        <v>641.58227848101274</v>
      </c>
      <c r="N18" s="198">
        <v>0.8</v>
      </c>
      <c r="O18" s="200">
        <f t="shared" si="7"/>
        <v>1152</v>
      </c>
      <c r="P18" s="200">
        <f t="shared" si="8"/>
        <v>0.3544567510548523</v>
      </c>
      <c r="Q18" s="200">
        <f t="shared" si="9"/>
        <v>510.41772151898732</v>
      </c>
      <c r="R18" s="201">
        <f t="shared" si="10"/>
        <v>0.44307093881856535</v>
      </c>
      <c r="S18" s="207">
        <f t="shared" si="11"/>
        <v>0.8640000000000001</v>
      </c>
      <c r="T18" s="208">
        <f t="shared" si="12"/>
        <v>0.70848</v>
      </c>
      <c r="U18" s="208">
        <f t="shared" si="13"/>
        <v>0.26293675105485226</v>
      </c>
      <c r="V18" s="209">
        <f t="shared" si="14"/>
        <v>0.37112797969576028</v>
      </c>
      <c r="AO18" s="211"/>
    </row>
    <row r="19" spans="1:41" s="210" customFormat="1" ht="45" hidden="1" customHeight="1" thickBot="1" x14ac:dyDescent="0.2">
      <c r="A19" s="195">
        <v>13</v>
      </c>
      <c r="B19" s="204" t="s">
        <v>130</v>
      </c>
      <c r="C19" s="195">
        <v>10</v>
      </c>
      <c r="D19" s="195">
        <v>144</v>
      </c>
      <c r="E19" s="203">
        <f t="shared" si="0"/>
        <v>1440</v>
      </c>
      <c r="F19" s="195">
        <v>186</v>
      </c>
      <c r="G19" s="213">
        <f t="shared" si="1"/>
        <v>1.2916666666666667</v>
      </c>
      <c r="H19" s="214">
        <f t="shared" si="2"/>
        <v>1860</v>
      </c>
      <c r="I19" s="195"/>
      <c r="J19" s="200">
        <f t="shared" si="3"/>
        <v>0.40875527426160341</v>
      </c>
      <c r="K19" s="200">
        <f t="shared" si="4"/>
        <v>588.60759493670878</v>
      </c>
      <c r="L19" s="200">
        <f t="shared" si="5"/>
        <v>0.44554324894514774</v>
      </c>
      <c r="M19" s="200">
        <f t="shared" si="6"/>
        <v>641.58227848101274</v>
      </c>
      <c r="N19" s="198">
        <v>0.8</v>
      </c>
      <c r="O19" s="200">
        <f t="shared" si="7"/>
        <v>1152</v>
      </c>
      <c r="P19" s="200">
        <f t="shared" si="8"/>
        <v>0.3544567510548523</v>
      </c>
      <c r="Q19" s="200">
        <f t="shared" si="9"/>
        <v>510.41772151898732</v>
      </c>
      <c r="R19" s="201">
        <f t="shared" si="10"/>
        <v>0.44307093881856535</v>
      </c>
      <c r="S19" s="207">
        <f t="shared" si="11"/>
        <v>0.8640000000000001</v>
      </c>
      <c r="T19" s="208">
        <f t="shared" si="12"/>
        <v>0.70848</v>
      </c>
      <c r="U19" s="208">
        <f t="shared" si="13"/>
        <v>0.26293675105485226</v>
      </c>
      <c r="V19" s="209">
        <f t="shared" si="14"/>
        <v>0.37112797969576028</v>
      </c>
    </row>
    <row r="20" spans="1:41" s="218" customFormat="1" ht="45" hidden="1" customHeight="1" x14ac:dyDescent="0.2">
      <c r="A20" s="202">
        <v>14</v>
      </c>
      <c r="B20" s="204" t="s">
        <v>131</v>
      </c>
      <c r="C20" s="195">
        <v>20</v>
      </c>
      <c r="D20" s="216">
        <v>48</v>
      </c>
      <c r="E20" s="216">
        <f t="shared" si="0"/>
        <v>960</v>
      </c>
      <c r="F20" s="195">
        <v>175.2</v>
      </c>
      <c r="G20" s="216">
        <f t="shared" si="1"/>
        <v>3.65</v>
      </c>
      <c r="H20" s="216">
        <f t="shared" si="2"/>
        <v>3504</v>
      </c>
      <c r="I20" s="216"/>
      <c r="J20" s="217">
        <f t="shared" si="3"/>
        <v>1.1550632911392404</v>
      </c>
      <c r="K20" s="217">
        <f t="shared" si="4"/>
        <v>1108.8607594936709</v>
      </c>
      <c r="L20" s="217">
        <f t="shared" si="5"/>
        <v>1.2590189873417721</v>
      </c>
      <c r="M20" s="217">
        <f t="shared" si="6"/>
        <v>1208.6582278481012</v>
      </c>
      <c r="N20" s="217">
        <v>1.95</v>
      </c>
      <c r="O20" s="200">
        <f t="shared" si="7"/>
        <v>1872</v>
      </c>
      <c r="P20" s="200">
        <f t="shared" si="8"/>
        <v>0.69098101265822787</v>
      </c>
      <c r="Q20" s="200">
        <f t="shared" si="9"/>
        <v>663.34177215189879</v>
      </c>
      <c r="R20" s="201">
        <f t="shared" si="10"/>
        <v>0.35434923726062967</v>
      </c>
      <c r="S20" s="207">
        <f t="shared" si="11"/>
        <v>2.1059999999999999</v>
      </c>
      <c r="T20" s="208">
        <f t="shared" si="12"/>
        <v>1.7269199999999998</v>
      </c>
      <c r="U20" s="208">
        <f t="shared" si="13"/>
        <v>0.4679010126582277</v>
      </c>
      <c r="V20" s="209">
        <f t="shared" si="14"/>
        <v>0.27094538986069289</v>
      </c>
      <c r="W20" s="210"/>
      <c r="X20" s="210"/>
      <c r="Z20" s="210"/>
      <c r="AA20" s="210"/>
      <c r="AB20" s="210"/>
      <c r="AI20" s="210"/>
      <c r="AJ20" s="210"/>
      <c r="AK20" s="210"/>
      <c r="AL20" s="210"/>
      <c r="AM20" s="210"/>
      <c r="AN20" s="210"/>
      <c r="AO20" s="211"/>
    </row>
    <row r="21" spans="1:41" s="218" customFormat="1" ht="45" hidden="1" customHeight="1" x14ac:dyDescent="0.2">
      <c r="A21" s="195">
        <v>15</v>
      </c>
      <c r="B21" s="204" t="s">
        <v>132</v>
      </c>
      <c r="C21" s="195">
        <v>20</v>
      </c>
      <c r="D21" s="216">
        <v>150</v>
      </c>
      <c r="E21" s="216">
        <f t="shared" si="0"/>
        <v>3000</v>
      </c>
      <c r="F21" s="195">
        <v>135.75</v>
      </c>
      <c r="G21" s="216">
        <f t="shared" si="1"/>
        <v>0.90500000000000003</v>
      </c>
      <c r="H21" s="216">
        <f t="shared" si="2"/>
        <v>2715</v>
      </c>
      <c r="I21" s="216"/>
      <c r="J21" s="217">
        <f t="shared" si="3"/>
        <v>0.28639240506329111</v>
      </c>
      <c r="K21" s="217">
        <f t="shared" si="4"/>
        <v>859.17721518987332</v>
      </c>
      <c r="L21" s="217">
        <f t="shared" si="5"/>
        <v>0.31216772151898731</v>
      </c>
      <c r="M21" s="217">
        <f t="shared" si="6"/>
        <v>936.50316455696191</v>
      </c>
      <c r="N21" s="217">
        <v>0.6</v>
      </c>
      <c r="O21" s="200">
        <f t="shared" si="7"/>
        <v>1800</v>
      </c>
      <c r="P21" s="200">
        <f t="shared" si="8"/>
        <v>0.28783227848101267</v>
      </c>
      <c r="Q21" s="200">
        <f t="shared" si="9"/>
        <v>863.49683544303798</v>
      </c>
      <c r="R21" s="201">
        <f t="shared" si="10"/>
        <v>0.47972046413502112</v>
      </c>
      <c r="S21" s="207">
        <f t="shared" si="11"/>
        <v>0.64800000000000002</v>
      </c>
      <c r="T21" s="208">
        <f t="shared" si="12"/>
        <v>0.53135999999999994</v>
      </c>
      <c r="U21" s="208">
        <f t="shared" si="13"/>
        <v>0.21919227848101264</v>
      </c>
      <c r="V21" s="209">
        <f t="shared" si="14"/>
        <v>0.41251181587062002</v>
      </c>
      <c r="W21" s="210"/>
      <c r="X21" s="210"/>
      <c r="Z21" s="210"/>
      <c r="AA21" s="210"/>
      <c r="AB21" s="210"/>
      <c r="AI21" s="210"/>
      <c r="AJ21" s="210"/>
      <c r="AK21" s="210"/>
      <c r="AL21" s="210"/>
      <c r="AM21" s="210"/>
      <c r="AN21" s="210"/>
      <c r="AO21" s="211"/>
    </row>
    <row r="22" spans="1:41" s="210" customFormat="1" ht="45" hidden="1" customHeight="1" x14ac:dyDescent="0.2">
      <c r="A22" s="202">
        <v>16</v>
      </c>
      <c r="B22" s="204" t="s">
        <v>133</v>
      </c>
      <c r="C22" s="195">
        <v>10</v>
      </c>
      <c r="D22" s="195">
        <v>72</v>
      </c>
      <c r="E22" s="203">
        <f t="shared" si="0"/>
        <v>720</v>
      </c>
      <c r="F22" s="195">
        <f t="shared" ref="F22:F27" si="15">75.6*0.97</f>
        <v>73.331999999999994</v>
      </c>
      <c r="G22" s="213">
        <f t="shared" si="1"/>
        <v>1.0185</v>
      </c>
      <c r="H22" s="214">
        <f t="shared" si="2"/>
        <v>733.31999999999994</v>
      </c>
      <c r="I22" s="195"/>
      <c r="J22" s="200">
        <f t="shared" si="3"/>
        <v>0.32231012658227848</v>
      </c>
      <c r="K22" s="200">
        <f t="shared" si="4"/>
        <v>232.06329113924048</v>
      </c>
      <c r="L22" s="200">
        <f t="shared" si="5"/>
        <v>0.35131803797468358</v>
      </c>
      <c r="M22" s="200">
        <f t="shared" si="6"/>
        <v>252.94898734177218</v>
      </c>
      <c r="N22" s="217">
        <v>0.8</v>
      </c>
      <c r="O22" s="200">
        <f t="shared" si="7"/>
        <v>576</v>
      </c>
      <c r="P22" s="200">
        <f t="shared" si="8"/>
        <v>0.44868196202531646</v>
      </c>
      <c r="Q22" s="200">
        <f t="shared" si="9"/>
        <v>323.05101265822788</v>
      </c>
      <c r="R22" s="201">
        <f t="shared" si="10"/>
        <v>0.56085245253164551</v>
      </c>
      <c r="S22" s="207">
        <f t="shared" si="11"/>
        <v>0.8640000000000001</v>
      </c>
      <c r="T22" s="208">
        <f t="shared" si="12"/>
        <v>0.70848</v>
      </c>
      <c r="U22" s="208">
        <f t="shared" si="13"/>
        <v>0.35716196202531642</v>
      </c>
      <c r="V22" s="209">
        <f t="shared" si="14"/>
        <v>0.50412426889300532</v>
      </c>
      <c r="AO22" s="211"/>
    </row>
    <row r="23" spans="1:41" s="210" customFormat="1" ht="45" hidden="1" customHeight="1" x14ac:dyDescent="0.2">
      <c r="A23" s="195">
        <v>17</v>
      </c>
      <c r="B23" s="204" t="s">
        <v>134</v>
      </c>
      <c r="C23" s="195">
        <v>10</v>
      </c>
      <c r="D23" s="195">
        <v>72</v>
      </c>
      <c r="E23" s="203">
        <f t="shared" si="0"/>
        <v>720</v>
      </c>
      <c r="F23" s="195">
        <f t="shared" si="15"/>
        <v>73.331999999999994</v>
      </c>
      <c r="G23" s="213">
        <f t="shared" si="1"/>
        <v>1.0185</v>
      </c>
      <c r="H23" s="214">
        <f t="shared" si="2"/>
        <v>733.31999999999994</v>
      </c>
      <c r="I23" s="195"/>
      <c r="J23" s="200">
        <f t="shared" si="3"/>
        <v>0.32231012658227848</v>
      </c>
      <c r="K23" s="200">
        <f t="shared" si="4"/>
        <v>232.06329113924048</v>
      </c>
      <c r="L23" s="200">
        <f t="shared" si="5"/>
        <v>0.35131803797468358</v>
      </c>
      <c r="M23" s="200">
        <f t="shared" si="6"/>
        <v>252.94898734177218</v>
      </c>
      <c r="N23" s="217">
        <v>0.8</v>
      </c>
      <c r="O23" s="200">
        <f t="shared" si="7"/>
        <v>576</v>
      </c>
      <c r="P23" s="200">
        <f t="shared" si="8"/>
        <v>0.44868196202531646</v>
      </c>
      <c r="Q23" s="200">
        <f t="shared" si="9"/>
        <v>323.05101265822788</v>
      </c>
      <c r="R23" s="201">
        <f t="shared" si="10"/>
        <v>0.56085245253164551</v>
      </c>
      <c r="S23" s="207">
        <f t="shared" si="11"/>
        <v>0.8640000000000001</v>
      </c>
      <c r="T23" s="208">
        <f t="shared" si="12"/>
        <v>0.70848</v>
      </c>
      <c r="U23" s="208">
        <f t="shared" si="13"/>
        <v>0.35716196202531642</v>
      </c>
      <c r="V23" s="209">
        <f t="shared" si="14"/>
        <v>0.50412426889300532</v>
      </c>
      <c r="AB23" s="211"/>
      <c r="AO23" s="211"/>
    </row>
    <row r="24" spans="1:41" s="210" customFormat="1" ht="45" hidden="1" customHeight="1" x14ac:dyDescent="0.2">
      <c r="A24" s="202">
        <v>18</v>
      </c>
      <c r="B24" s="204" t="s">
        <v>135</v>
      </c>
      <c r="C24" s="195">
        <v>10</v>
      </c>
      <c r="D24" s="195">
        <v>72</v>
      </c>
      <c r="E24" s="203">
        <f t="shared" si="0"/>
        <v>720</v>
      </c>
      <c r="F24" s="195">
        <f t="shared" si="15"/>
        <v>73.331999999999994</v>
      </c>
      <c r="G24" s="213">
        <f t="shared" si="1"/>
        <v>1.0185</v>
      </c>
      <c r="H24" s="214">
        <f t="shared" si="2"/>
        <v>733.31999999999994</v>
      </c>
      <c r="I24" s="195"/>
      <c r="J24" s="200">
        <f t="shared" si="3"/>
        <v>0.32231012658227848</v>
      </c>
      <c r="K24" s="200">
        <f t="shared" si="4"/>
        <v>232.06329113924048</v>
      </c>
      <c r="L24" s="200">
        <f t="shared" si="5"/>
        <v>0.35131803797468358</v>
      </c>
      <c r="M24" s="200">
        <f t="shared" si="6"/>
        <v>252.94898734177218</v>
      </c>
      <c r="N24" s="217">
        <v>0.8</v>
      </c>
      <c r="O24" s="200">
        <f t="shared" si="7"/>
        <v>576</v>
      </c>
      <c r="P24" s="200">
        <f t="shared" si="8"/>
        <v>0.44868196202531646</v>
      </c>
      <c r="Q24" s="200">
        <f t="shared" si="9"/>
        <v>323.05101265822788</v>
      </c>
      <c r="R24" s="201">
        <f t="shared" si="10"/>
        <v>0.56085245253164551</v>
      </c>
      <c r="S24" s="207">
        <f t="shared" si="11"/>
        <v>0.8640000000000001</v>
      </c>
      <c r="T24" s="208">
        <f t="shared" si="12"/>
        <v>0.70848</v>
      </c>
      <c r="U24" s="208">
        <f t="shared" si="13"/>
        <v>0.35716196202531642</v>
      </c>
      <c r="V24" s="209">
        <f t="shared" si="14"/>
        <v>0.50412426889300532</v>
      </c>
      <c r="AB24" s="211"/>
      <c r="AO24" s="211"/>
    </row>
    <row r="25" spans="1:41" s="210" customFormat="1" ht="45" hidden="1" customHeight="1" x14ac:dyDescent="0.2">
      <c r="A25" s="195">
        <v>19</v>
      </c>
      <c r="B25" s="204" t="s">
        <v>136</v>
      </c>
      <c r="C25" s="195">
        <v>10</v>
      </c>
      <c r="D25" s="195">
        <v>72</v>
      </c>
      <c r="E25" s="203">
        <f t="shared" si="0"/>
        <v>720</v>
      </c>
      <c r="F25" s="195">
        <f t="shared" si="15"/>
        <v>73.331999999999994</v>
      </c>
      <c r="G25" s="213">
        <f t="shared" si="1"/>
        <v>1.0185</v>
      </c>
      <c r="H25" s="214">
        <f t="shared" si="2"/>
        <v>733.31999999999994</v>
      </c>
      <c r="I25" s="195"/>
      <c r="J25" s="200">
        <f t="shared" si="3"/>
        <v>0.32231012658227848</v>
      </c>
      <c r="K25" s="200">
        <f t="shared" si="4"/>
        <v>232.06329113924048</v>
      </c>
      <c r="L25" s="200">
        <f t="shared" si="5"/>
        <v>0.35131803797468358</v>
      </c>
      <c r="M25" s="200">
        <f t="shared" si="6"/>
        <v>252.94898734177218</v>
      </c>
      <c r="N25" s="217">
        <v>0.8</v>
      </c>
      <c r="O25" s="200">
        <f t="shared" si="7"/>
        <v>576</v>
      </c>
      <c r="P25" s="200">
        <f t="shared" si="8"/>
        <v>0.44868196202531646</v>
      </c>
      <c r="Q25" s="200">
        <f t="shared" si="9"/>
        <v>323.05101265822788</v>
      </c>
      <c r="R25" s="201">
        <f t="shared" si="10"/>
        <v>0.56085245253164551</v>
      </c>
      <c r="S25" s="207">
        <f t="shared" si="11"/>
        <v>0.8640000000000001</v>
      </c>
      <c r="T25" s="208">
        <f t="shared" si="12"/>
        <v>0.70848</v>
      </c>
      <c r="U25" s="208">
        <f t="shared" si="13"/>
        <v>0.35716196202531642</v>
      </c>
      <c r="V25" s="209">
        <f t="shared" si="14"/>
        <v>0.50412426889300532</v>
      </c>
      <c r="AO25" s="211"/>
    </row>
    <row r="26" spans="1:41" s="210" customFormat="1" ht="45" hidden="1" customHeight="1" x14ac:dyDescent="0.2">
      <c r="A26" s="202">
        <v>20</v>
      </c>
      <c r="B26" s="204" t="s">
        <v>137</v>
      </c>
      <c r="C26" s="195">
        <v>10</v>
      </c>
      <c r="D26" s="195">
        <v>72</v>
      </c>
      <c r="E26" s="203">
        <f t="shared" si="0"/>
        <v>720</v>
      </c>
      <c r="F26" s="195">
        <f t="shared" si="15"/>
        <v>73.331999999999994</v>
      </c>
      <c r="G26" s="213">
        <f t="shared" si="1"/>
        <v>1.0185</v>
      </c>
      <c r="H26" s="214">
        <f t="shared" si="2"/>
        <v>733.31999999999994</v>
      </c>
      <c r="I26" s="195"/>
      <c r="J26" s="200">
        <f t="shared" si="3"/>
        <v>0.32231012658227848</v>
      </c>
      <c r="K26" s="200">
        <f t="shared" si="4"/>
        <v>232.06329113924048</v>
      </c>
      <c r="L26" s="200">
        <f t="shared" si="5"/>
        <v>0.35131803797468358</v>
      </c>
      <c r="M26" s="200">
        <f t="shared" si="6"/>
        <v>252.94898734177218</v>
      </c>
      <c r="N26" s="217">
        <v>0.8</v>
      </c>
      <c r="O26" s="200">
        <f t="shared" si="7"/>
        <v>576</v>
      </c>
      <c r="P26" s="200">
        <f t="shared" si="8"/>
        <v>0.44868196202531646</v>
      </c>
      <c r="Q26" s="200">
        <f t="shared" si="9"/>
        <v>323.05101265822788</v>
      </c>
      <c r="R26" s="201">
        <f t="shared" si="10"/>
        <v>0.56085245253164551</v>
      </c>
      <c r="S26" s="207">
        <f t="shared" si="11"/>
        <v>0.8640000000000001</v>
      </c>
      <c r="T26" s="208">
        <f t="shared" si="12"/>
        <v>0.70848</v>
      </c>
      <c r="U26" s="208">
        <f t="shared" si="13"/>
        <v>0.35716196202531642</v>
      </c>
      <c r="V26" s="209">
        <f t="shared" si="14"/>
        <v>0.50412426889300532</v>
      </c>
      <c r="AO26" s="211"/>
    </row>
    <row r="27" spans="1:41" s="210" customFormat="1" ht="45" hidden="1" customHeight="1" thickBot="1" x14ac:dyDescent="0.2">
      <c r="A27" s="195">
        <v>21</v>
      </c>
      <c r="B27" s="204" t="s">
        <v>138</v>
      </c>
      <c r="C27" s="195">
        <v>10</v>
      </c>
      <c r="D27" s="195">
        <v>72</v>
      </c>
      <c r="E27" s="203">
        <f t="shared" si="0"/>
        <v>720</v>
      </c>
      <c r="F27" s="195">
        <f t="shared" si="15"/>
        <v>73.331999999999994</v>
      </c>
      <c r="G27" s="213">
        <f t="shared" si="1"/>
        <v>1.0185</v>
      </c>
      <c r="H27" s="214">
        <f t="shared" si="2"/>
        <v>733.31999999999994</v>
      </c>
      <c r="I27" s="195"/>
      <c r="J27" s="200">
        <f t="shared" si="3"/>
        <v>0.32231012658227848</v>
      </c>
      <c r="K27" s="200">
        <f t="shared" si="4"/>
        <v>232.06329113924048</v>
      </c>
      <c r="L27" s="200">
        <f t="shared" si="5"/>
        <v>0.35131803797468358</v>
      </c>
      <c r="M27" s="200">
        <f t="shared" si="6"/>
        <v>252.94898734177218</v>
      </c>
      <c r="N27" s="217">
        <v>0.8</v>
      </c>
      <c r="O27" s="200">
        <f t="shared" si="7"/>
        <v>576</v>
      </c>
      <c r="P27" s="200">
        <f t="shared" si="8"/>
        <v>0.44868196202531646</v>
      </c>
      <c r="Q27" s="200">
        <f t="shared" si="9"/>
        <v>323.05101265822788</v>
      </c>
      <c r="R27" s="201">
        <f t="shared" si="10"/>
        <v>0.56085245253164551</v>
      </c>
      <c r="S27" s="207">
        <f t="shared" si="11"/>
        <v>0.8640000000000001</v>
      </c>
      <c r="T27" s="208">
        <f t="shared" si="12"/>
        <v>0.70848</v>
      </c>
      <c r="U27" s="208">
        <f t="shared" si="13"/>
        <v>0.35716196202531642</v>
      </c>
      <c r="V27" s="209">
        <f t="shared" si="14"/>
        <v>0.50412426889300532</v>
      </c>
      <c r="AO27" s="211"/>
    </row>
    <row r="28" spans="1:41" s="210" customFormat="1" ht="45" hidden="1" customHeight="1" x14ac:dyDescent="0.2">
      <c r="A28" s="202">
        <v>22</v>
      </c>
      <c r="B28" s="204" t="s">
        <v>139</v>
      </c>
      <c r="C28" s="195">
        <v>10</v>
      </c>
      <c r="D28" s="195">
        <v>48</v>
      </c>
      <c r="E28" s="203">
        <f t="shared" si="0"/>
        <v>480</v>
      </c>
      <c r="F28" s="195">
        <v>216.8</v>
      </c>
      <c r="G28" s="213">
        <f t="shared" si="1"/>
        <v>4.5166666666666666</v>
      </c>
      <c r="H28" s="214">
        <f t="shared" si="2"/>
        <v>2168</v>
      </c>
      <c r="I28" s="195"/>
      <c r="J28" s="200">
        <f t="shared" si="3"/>
        <v>1.4293248945147679</v>
      </c>
      <c r="K28" s="200">
        <f t="shared" si="4"/>
        <v>686.07594936708858</v>
      </c>
      <c r="L28" s="200">
        <f t="shared" si="5"/>
        <v>1.5579641350210971</v>
      </c>
      <c r="M28" s="200">
        <f t="shared" si="6"/>
        <v>747.82278481012656</v>
      </c>
      <c r="N28" s="198">
        <v>2.5</v>
      </c>
      <c r="O28" s="200">
        <f t="shared" si="7"/>
        <v>1200</v>
      </c>
      <c r="P28" s="200">
        <f t="shared" si="8"/>
        <v>0.9420358649789029</v>
      </c>
      <c r="Q28" s="200">
        <f t="shared" si="9"/>
        <v>452.17721518987338</v>
      </c>
      <c r="R28" s="201">
        <f t="shared" si="10"/>
        <v>0.37681434599156116</v>
      </c>
      <c r="S28" s="207">
        <f t="shared" si="11"/>
        <v>2.7</v>
      </c>
      <c r="T28" s="208">
        <f t="shared" si="12"/>
        <v>2.214</v>
      </c>
      <c r="U28" s="208">
        <f t="shared" si="13"/>
        <v>0.65603586497890287</v>
      </c>
      <c r="V28" s="209">
        <f t="shared" si="14"/>
        <v>0.29631249547375921</v>
      </c>
      <c r="AO28" s="211"/>
    </row>
    <row r="29" spans="1:41" s="210" customFormat="1" ht="45" hidden="1" customHeight="1" x14ac:dyDescent="0.2">
      <c r="A29" s="195">
        <v>23</v>
      </c>
      <c r="B29" s="204" t="s">
        <v>140</v>
      </c>
      <c r="C29" s="195">
        <v>10</v>
      </c>
      <c r="D29" s="195">
        <v>48</v>
      </c>
      <c r="E29" s="203">
        <f t="shared" si="0"/>
        <v>480</v>
      </c>
      <c r="F29" s="195">
        <v>216</v>
      </c>
      <c r="G29" s="213">
        <f t="shared" si="1"/>
        <v>4.5</v>
      </c>
      <c r="H29" s="214">
        <f t="shared" si="2"/>
        <v>2160</v>
      </c>
      <c r="I29" s="195"/>
      <c r="J29" s="200">
        <f t="shared" si="3"/>
        <v>1.4240506329113924</v>
      </c>
      <c r="K29" s="200">
        <f t="shared" si="4"/>
        <v>683.54430379746827</v>
      </c>
      <c r="L29" s="200">
        <f t="shared" si="5"/>
        <v>1.5522151898734178</v>
      </c>
      <c r="M29" s="200">
        <f t="shared" si="6"/>
        <v>745.0632911392405</v>
      </c>
      <c r="N29" s="198">
        <v>2.5</v>
      </c>
      <c r="O29" s="200">
        <f t="shared" si="7"/>
        <v>1200</v>
      </c>
      <c r="P29" s="200">
        <f t="shared" si="8"/>
        <v>0.94778481012658222</v>
      </c>
      <c r="Q29" s="200">
        <f t="shared" si="9"/>
        <v>454.9367088607595</v>
      </c>
      <c r="R29" s="201">
        <f t="shared" si="10"/>
        <v>0.37911392405063288</v>
      </c>
      <c r="S29" s="207">
        <f t="shared" si="11"/>
        <v>2.7</v>
      </c>
      <c r="T29" s="208">
        <f t="shared" si="12"/>
        <v>2.214</v>
      </c>
      <c r="U29" s="208">
        <f t="shared" si="13"/>
        <v>0.66178481012658219</v>
      </c>
      <c r="V29" s="209">
        <f t="shared" si="14"/>
        <v>0.29890912833178962</v>
      </c>
      <c r="AO29" s="211"/>
    </row>
    <row r="30" spans="1:41" s="210" customFormat="1" ht="45" hidden="1" customHeight="1" x14ac:dyDescent="0.2">
      <c r="A30" s="202">
        <v>24</v>
      </c>
      <c r="B30" s="204" t="s">
        <v>141</v>
      </c>
      <c r="C30" s="195">
        <v>10</v>
      </c>
      <c r="D30" s="195">
        <v>48</v>
      </c>
      <c r="E30" s="203">
        <f t="shared" si="0"/>
        <v>480</v>
      </c>
      <c r="F30" s="195">
        <v>216</v>
      </c>
      <c r="G30" s="213">
        <f t="shared" si="1"/>
        <v>4.5</v>
      </c>
      <c r="H30" s="214">
        <f t="shared" si="2"/>
        <v>2160</v>
      </c>
      <c r="I30" s="195"/>
      <c r="J30" s="200">
        <f t="shared" si="3"/>
        <v>1.4240506329113924</v>
      </c>
      <c r="K30" s="200">
        <f t="shared" si="4"/>
        <v>683.54430379746827</v>
      </c>
      <c r="L30" s="200">
        <f t="shared" si="5"/>
        <v>1.5522151898734178</v>
      </c>
      <c r="M30" s="200">
        <f t="shared" si="6"/>
        <v>745.0632911392405</v>
      </c>
      <c r="N30" s="198">
        <v>2.5</v>
      </c>
      <c r="O30" s="200">
        <f t="shared" si="7"/>
        <v>1200</v>
      </c>
      <c r="P30" s="200">
        <f t="shared" si="8"/>
        <v>0.94778481012658222</v>
      </c>
      <c r="Q30" s="200">
        <f t="shared" si="9"/>
        <v>454.9367088607595</v>
      </c>
      <c r="R30" s="201">
        <f t="shared" si="10"/>
        <v>0.37911392405063288</v>
      </c>
      <c r="S30" s="207">
        <f t="shared" si="11"/>
        <v>2.7</v>
      </c>
      <c r="T30" s="208">
        <f t="shared" si="12"/>
        <v>2.214</v>
      </c>
      <c r="U30" s="208">
        <f t="shared" si="13"/>
        <v>0.66178481012658219</v>
      </c>
      <c r="V30" s="209">
        <f t="shared" si="14"/>
        <v>0.29890912833178962</v>
      </c>
      <c r="AO30" s="211"/>
    </row>
    <row r="31" spans="1:41" s="210" customFormat="1" ht="45" hidden="1" customHeight="1" x14ac:dyDescent="0.2">
      <c r="A31" s="195">
        <v>25</v>
      </c>
      <c r="B31" s="204" t="s">
        <v>142</v>
      </c>
      <c r="C31" s="195">
        <v>10</v>
      </c>
      <c r="D31" s="195">
        <v>48</v>
      </c>
      <c r="E31" s="203">
        <f t="shared" si="0"/>
        <v>480</v>
      </c>
      <c r="F31" s="195">
        <v>216.00800000000001</v>
      </c>
      <c r="G31" s="213">
        <f t="shared" si="1"/>
        <v>4.5001666666666669</v>
      </c>
      <c r="H31" s="214">
        <f t="shared" si="2"/>
        <v>2160.08</v>
      </c>
      <c r="I31" s="195"/>
      <c r="J31" s="200">
        <f t="shared" si="3"/>
        <v>1.4241033755274262</v>
      </c>
      <c r="K31" s="200">
        <f t="shared" si="4"/>
        <v>683.56962025316454</v>
      </c>
      <c r="L31" s="200">
        <f t="shared" si="5"/>
        <v>1.5522726793248947</v>
      </c>
      <c r="M31" s="200">
        <f t="shared" si="6"/>
        <v>745.09088607594947</v>
      </c>
      <c r="N31" s="198">
        <v>2.5</v>
      </c>
      <c r="O31" s="200">
        <f t="shared" si="7"/>
        <v>1200</v>
      </c>
      <c r="P31" s="200">
        <f t="shared" si="8"/>
        <v>0.94772732067510534</v>
      </c>
      <c r="Q31" s="200">
        <f t="shared" si="9"/>
        <v>454.90911392405059</v>
      </c>
      <c r="R31" s="201">
        <f t="shared" si="10"/>
        <v>0.37909092827004215</v>
      </c>
      <c r="S31" s="207">
        <f t="shared" si="11"/>
        <v>2.7</v>
      </c>
      <c r="T31" s="208">
        <f t="shared" si="12"/>
        <v>2.214</v>
      </c>
      <c r="U31" s="208">
        <f t="shared" si="13"/>
        <v>0.66172732067510531</v>
      </c>
      <c r="V31" s="209">
        <f t="shared" si="14"/>
        <v>0.29888316200320925</v>
      </c>
      <c r="AO31" s="211"/>
    </row>
    <row r="32" spans="1:41" s="210" customFormat="1" ht="45" hidden="1" customHeight="1" x14ac:dyDescent="0.2">
      <c r="A32" s="202">
        <v>26</v>
      </c>
      <c r="B32" s="204" t="s">
        <v>143</v>
      </c>
      <c r="C32" s="195">
        <v>10</v>
      </c>
      <c r="D32" s="195">
        <v>48</v>
      </c>
      <c r="E32" s="203">
        <f t="shared" si="0"/>
        <v>480</v>
      </c>
      <c r="F32" s="195">
        <v>216</v>
      </c>
      <c r="G32" s="213">
        <f t="shared" si="1"/>
        <v>4.5</v>
      </c>
      <c r="H32" s="214">
        <f t="shared" si="2"/>
        <v>2160</v>
      </c>
      <c r="I32" s="195"/>
      <c r="J32" s="200">
        <f t="shared" si="3"/>
        <v>1.4240506329113924</v>
      </c>
      <c r="K32" s="200">
        <f t="shared" si="4"/>
        <v>683.54430379746827</v>
      </c>
      <c r="L32" s="200">
        <f t="shared" si="5"/>
        <v>1.5522151898734178</v>
      </c>
      <c r="M32" s="200">
        <f t="shared" si="6"/>
        <v>745.0632911392405</v>
      </c>
      <c r="N32" s="198">
        <v>2.5</v>
      </c>
      <c r="O32" s="200">
        <f t="shared" si="7"/>
        <v>1200</v>
      </c>
      <c r="P32" s="200">
        <f t="shared" si="8"/>
        <v>0.94778481012658222</v>
      </c>
      <c r="Q32" s="200">
        <f t="shared" si="9"/>
        <v>454.9367088607595</v>
      </c>
      <c r="R32" s="201">
        <f t="shared" si="10"/>
        <v>0.37911392405063288</v>
      </c>
      <c r="S32" s="207">
        <f t="shared" si="11"/>
        <v>2.7</v>
      </c>
      <c r="T32" s="208">
        <f t="shared" si="12"/>
        <v>2.214</v>
      </c>
      <c r="U32" s="208">
        <f t="shared" si="13"/>
        <v>0.66178481012658219</v>
      </c>
      <c r="V32" s="209">
        <f t="shared" si="14"/>
        <v>0.29890912833178962</v>
      </c>
      <c r="AO32" s="211"/>
    </row>
    <row r="33" spans="1:41" s="210" customFormat="1" ht="45" customHeight="1" thickBot="1" x14ac:dyDescent="0.25">
      <c r="A33" s="195">
        <v>27</v>
      </c>
      <c r="B33" s="204" t="s">
        <v>144</v>
      </c>
      <c r="C33" s="195">
        <v>20</v>
      </c>
      <c r="D33" s="195">
        <v>12</v>
      </c>
      <c r="E33" s="203">
        <f t="shared" si="0"/>
        <v>240</v>
      </c>
      <c r="F33" s="195">
        <v>92.4</v>
      </c>
      <c r="G33" s="213">
        <f t="shared" si="1"/>
        <v>7.7</v>
      </c>
      <c r="H33" s="214">
        <f t="shared" si="2"/>
        <v>1848</v>
      </c>
      <c r="I33" s="195"/>
      <c r="J33" s="200">
        <f t="shared" si="3"/>
        <v>2.4367088607594938</v>
      </c>
      <c r="K33" s="200">
        <f t="shared" si="4"/>
        <v>584.81012658227849</v>
      </c>
      <c r="L33" s="200">
        <f t="shared" si="5"/>
        <v>2.6560126582278483</v>
      </c>
      <c r="M33" s="200">
        <f t="shared" si="6"/>
        <v>637.44303797468353</v>
      </c>
      <c r="N33" s="198">
        <v>3.95</v>
      </c>
      <c r="O33" s="200">
        <f t="shared" si="7"/>
        <v>948</v>
      </c>
      <c r="P33" s="200">
        <f t="shared" si="8"/>
        <v>1.2939873417721519</v>
      </c>
      <c r="Q33" s="200">
        <f t="shared" si="9"/>
        <v>310.55696202531647</v>
      </c>
      <c r="R33" s="201">
        <f t="shared" si="10"/>
        <v>0.32759173209421566</v>
      </c>
      <c r="S33" s="207">
        <f t="shared" si="11"/>
        <v>4.2660000000000009</v>
      </c>
      <c r="T33" s="208">
        <f t="shared" si="12"/>
        <v>3.4981200000000006</v>
      </c>
      <c r="U33" s="208">
        <f t="shared" si="13"/>
        <v>0.8421073417721523</v>
      </c>
      <c r="V33" s="209">
        <f t="shared" si="14"/>
        <v>0.24073140480376665</v>
      </c>
      <c r="AO33" s="211"/>
    </row>
    <row r="34" spans="1:41" s="210" customFormat="1" ht="45" hidden="1" customHeight="1" x14ac:dyDescent="0.25">
      <c r="A34" s="202">
        <v>28</v>
      </c>
      <c r="B34" s="204" t="s">
        <v>145</v>
      </c>
      <c r="C34" s="195">
        <v>20</v>
      </c>
      <c r="D34" s="195">
        <v>24</v>
      </c>
      <c r="E34" s="203">
        <f t="shared" si="0"/>
        <v>480</v>
      </c>
      <c r="F34" s="195">
        <f>72*0.95</f>
        <v>68.399999999999991</v>
      </c>
      <c r="G34" s="213">
        <f t="shared" si="1"/>
        <v>2.8499999999999996</v>
      </c>
      <c r="H34" s="214">
        <f t="shared" si="2"/>
        <v>1367.9999999999998</v>
      </c>
      <c r="I34" s="195"/>
      <c r="J34" s="200">
        <f t="shared" si="3"/>
        <v>0.901898734177215</v>
      </c>
      <c r="K34" s="200">
        <f t="shared" si="4"/>
        <v>432.91139240506322</v>
      </c>
      <c r="L34" s="200">
        <f t="shared" si="5"/>
        <v>0.98306962025316447</v>
      </c>
      <c r="M34" s="200">
        <f t="shared" si="6"/>
        <v>471.87341772151893</v>
      </c>
      <c r="N34" s="198">
        <v>1.95</v>
      </c>
      <c r="O34" s="200">
        <f t="shared" si="7"/>
        <v>936</v>
      </c>
      <c r="P34" s="200">
        <f t="shared" si="8"/>
        <v>0.96693037974683549</v>
      </c>
      <c r="Q34" s="200">
        <f t="shared" si="9"/>
        <v>464.12658227848101</v>
      </c>
      <c r="R34" s="201">
        <f t="shared" si="10"/>
        <v>0.49586173320350541</v>
      </c>
      <c r="S34" s="207">
        <f t="shared" si="11"/>
        <v>2.1059999999999999</v>
      </c>
      <c r="T34" s="208">
        <f t="shared" si="12"/>
        <v>1.7269199999999998</v>
      </c>
      <c r="U34" s="208">
        <f t="shared" si="13"/>
        <v>0.74385037974683532</v>
      </c>
      <c r="V34" s="209">
        <f t="shared" si="14"/>
        <v>0.43073818112410267</v>
      </c>
    </row>
    <row r="35" spans="1:41" s="210" customFormat="1" ht="45" hidden="1" customHeight="1" thickBot="1" x14ac:dyDescent="0.25">
      <c r="A35" s="195">
        <v>29</v>
      </c>
      <c r="B35" s="204" t="s">
        <v>146</v>
      </c>
      <c r="C35" s="195">
        <v>20</v>
      </c>
      <c r="D35" s="195">
        <v>60</v>
      </c>
      <c r="E35" s="203">
        <f t="shared" si="0"/>
        <v>1200</v>
      </c>
      <c r="F35" s="195">
        <v>85.2</v>
      </c>
      <c r="G35" s="213">
        <f t="shared" si="1"/>
        <v>1.4200000000000002</v>
      </c>
      <c r="H35" s="214">
        <f t="shared" si="2"/>
        <v>1704.0000000000002</v>
      </c>
      <c r="I35" s="195"/>
      <c r="J35" s="200">
        <f t="shared" si="3"/>
        <v>0.44936708860759494</v>
      </c>
      <c r="K35" s="200">
        <f t="shared" si="4"/>
        <v>539.24050632911394</v>
      </c>
      <c r="L35" s="200">
        <f t="shared" si="5"/>
        <v>0.48981012658227852</v>
      </c>
      <c r="M35" s="200">
        <f t="shared" si="6"/>
        <v>587.77215189873425</v>
      </c>
      <c r="N35" s="198">
        <v>0.85</v>
      </c>
      <c r="O35" s="200">
        <f t="shared" si="7"/>
        <v>1020</v>
      </c>
      <c r="P35" s="200">
        <f t="shared" si="8"/>
        <v>0.36018987341772146</v>
      </c>
      <c r="Q35" s="200">
        <f t="shared" si="9"/>
        <v>432.22784810126575</v>
      </c>
      <c r="R35" s="201">
        <f t="shared" si="10"/>
        <v>0.42375279225614293</v>
      </c>
      <c r="S35" s="207">
        <f t="shared" si="11"/>
        <v>0.91800000000000004</v>
      </c>
      <c r="T35" s="208">
        <f t="shared" si="12"/>
        <v>0.75275999999999998</v>
      </c>
      <c r="U35" s="208">
        <f t="shared" si="13"/>
        <v>0.26294987341772147</v>
      </c>
      <c r="V35" s="209">
        <f t="shared" si="14"/>
        <v>0.3493143543994387</v>
      </c>
    </row>
    <row r="36" spans="1:41" s="210" customFormat="1" ht="45" hidden="1" customHeight="1" x14ac:dyDescent="0.25">
      <c r="A36" s="202">
        <v>30</v>
      </c>
      <c r="B36" s="204" t="s">
        <v>147</v>
      </c>
      <c r="C36" s="195">
        <v>10</v>
      </c>
      <c r="D36" s="195">
        <v>48</v>
      </c>
      <c r="E36" s="203">
        <f t="shared" si="0"/>
        <v>480</v>
      </c>
      <c r="F36" s="195">
        <v>216</v>
      </c>
      <c r="G36" s="213">
        <f t="shared" si="1"/>
        <v>4.5</v>
      </c>
      <c r="H36" s="214">
        <f t="shared" si="2"/>
        <v>2160</v>
      </c>
      <c r="I36" s="195"/>
      <c r="J36" s="200">
        <f t="shared" si="3"/>
        <v>1.4240506329113924</v>
      </c>
      <c r="K36" s="200">
        <f t="shared" si="4"/>
        <v>683.54430379746827</v>
      </c>
      <c r="L36" s="200">
        <f t="shared" si="5"/>
        <v>1.5522151898734178</v>
      </c>
      <c r="M36" s="200">
        <f t="shared" si="6"/>
        <v>745.0632911392405</v>
      </c>
      <c r="N36" s="198">
        <v>2.5</v>
      </c>
      <c r="O36" s="200">
        <f t="shared" si="7"/>
        <v>1200</v>
      </c>
      <c r="P36" s="200">
        <f t="shared" si="8"/>
        <v>0.94778481012658222</v>
      </c>
      <c r="Q36" s="200">
        <f t="shared" si="9"/>
        <v>454.9367088607595</v>
      </c>
      <c r="R36" s="201">
        <f t="shared" si="10"/>
        <v>0.37911392405063288</v>
      </c>
      <c r="S36" s="207">
        <f t="shared" si="11"/>
        <v>2.7</v>
      </c>
      <c r="T36" s="208">
        <f t="shared" si="12"/>
        <v>2.214</v>
      </c>
      <c r="U36" s="208">
        <f t="shared" si="13"/>
        <v>0.66178481012658219</v>
      </c>
      <c r="V36" s="209">
        <f t="shared" si="14"/>
        <v>0.29890912833178962</v>
      </c>
    </row>
    <row r="37" spans="1:41" s="210" customFormat="1" ht="45" hidden="1" customHeight="1" x14ac:dyDescent="0.25">
      <c r="A37" s="195">
        <v>31</v>
      </c>
      <c r="B37" s="204" t="s">
        <v>148</v>
      </c>
      <c r="C37" s="195">
        <v>24</v>
      </c>
      <c r="D37" s="195">
        <v>8</v>
      </c>
      <c r="E37" s="203">
        <f t="shared" si="0"/>
        <v>192</v>
      </c>
      <c r="F37" s="195">
        <v>25.5</v>
      </c>
      <c r="G37" s="213">
        <f t="shared" si="1"/>
        <v>3.1875</v>
      </c>
      <c r="H37" s="214">
        <f t="shared" si="2"/>
        <v>612</v>
      </c>
      <c r="I37" s="195"/>
      <c r="J37" s="200">
        <f t="shared" si="3"/>
        <v>1.0087025316455696</v>
      </c>
      <c r="K37" s="200">
        <f t="shared" si="4"/>
        <v>193.67088607594937</v>
      </c>
      <c r="L37" s="200">
        <f t="shared" si="5"/>
        <v>1.0994857594936709</v>
      </c>
      <c r="M37" s="200">
        <f t="shared" si="6"/>
        <v>211.1012658227848</v>
      </c>
      <c r="N37" s="198">
        <v>2.5</v>
      </c>
      <c r="O37" s="200">
        <f t="shared" si="7"/>
        <v>480</v>
      </c>
      <c r="P37" s="200">
        <f t="shared" si="8"/>
        <v>1.4005142405063291</v>
      </c>
      <c r="Q37" s="200">
        <f t="shared" si="9"/>
        <v>268.8987341772152</v>
      </c>
      <c r="R37" s="201">
        <f t="shared" si="10"/>
        <v>0.56020569620253169</v>
      </c>
      <c r="S37" s="207">
        <f t="shared" si="11"/>
        <v>2.7</v>
      </c>
      <c r="T37" s="208">
        <f t="shared" si="12"/>
        <v>2.214</v>
      </c>
      <c r="U37" s="208">
        <f t="shared" si="13"/>
        <v>1.1145142405063291</v>
      </c>
      <c r="V37" s="209">
        <f t="shared" si="14"/>
        <v>0.50339396590168428</v>
      </c>
    </row>
    <row r="38" spans="1:41" s="210" customFormat="1" ht="45" hidden="1" customHeight="1" x14ac:dyDescent="0.25">
      <c r="A38" s="202">
        <v>32</v>
      </c>
      <c r="B38" s="204" t="s">
        <v>149</v>
      </c>
      <c r="C38" s="195">
        <v>24</v>
      </c>
      <c r="D38" s="195">
        <v>8</v>
      </c>
      <c r="E38" s="203">
        <f t="shared" si="0"/>
        <v>192</v>
      </c>
      <c r="F38" s="195">
        <v>25.5</v>
      </c>
      <c r="G38" s="213">
        <f t="shared" si="1"/>
        <v>3.1875</v>
      </c>
      <c r="H38" s="214">
        <f t="shared" si="2"/>
        <v>612</v>
      </c>
      <c r="I38" s="195"/>
      <c r="J38" s="200">
        <f t="shared" si="3"/>
        <v>1.0087025316455696</v>
      </c>
      <c r="K38" s="200">
        <f t="shared" si="4"/>
        <v>193.67088607594937</v>
      </c>
      <c r="L38" s="200">
        <f t="shared" si="5"/>
        <v>1.0994857594936709</v>
      </c>
      <c r="M38" s="200">
        <f t="shared" si="6"/>
        <v>211.1012658227848</v>
      </c>
      <c r="N38" s="198">
        <v>2.5</v>
      </c>
      <c r="O38" s="200">
        <f t="shared" si="7"/>
        <v>480</v>
      </c>
      <c r="P38" s="200">
        <f t="shared" si="8"/>
        <v>1.4005142405063291</v>
      </c>
      <c r="Q38" s="200">
        <f t="shared" si="9"/>
        <v>268.8987341772152</v>
      </c>
      <c r="R38" s="201">
        <f t="shared" si="10"/>
        <v>0.56020569620253169</v>
      </c>
      <c r="S38" s="207">
        <f t="shared" si="11"/>
        <v>2.7</v>
      </c>
      <c r="T38" s="208">
        <f t="shared" si="12"/>
        <v>2.214</v>
      </c>
      <c r="U38" s="208">
        <f t="shared" si="13"/>
        <v>1.1145142405063291</v>
      </c>
      <c r="V38" s="209">
        <f t="shared" si="14"/>
        <v>0.50339396590168428</v>
      </c>
    </row>
    <row r="39" spans="1:41" s="210" customFormat="1" ht="45" hidden="1" customHeight="1" x14ac:dyDescent="0.25">
      <c r="A39" s="195">
        <v>33</v>
      </c>
      <c r="B39" s="204" t="s">
        <v>150</v>
      </c>
      <c r="C39" s="195">
        <v>24</v>
      </c>
      <c r="D39" s="195">
        <v>8</v>
      </c>
      <c r="E39" s="203">
        <f t="shared" ref="E39:E63" si="16">D39*C39</f>
        <v>192</v>
      </c>
      <c r="F39" s="195">
        <v>25.5</v>
      </c>
      <c r="G39" s="213">
        <f t="shared" ref="G39:G63" si="17">F39/D39</f>
        <v>3.1875</v>
      </c>
      <c r="H39" s="214">
        <f t="shared" ref="H39:H63" si="18">G39*E39</f>
        <v>612</v>
      </c>
      <c r="I39" s="195"/>
      <c r="J39" s="200">
        <f t="shared" ref="J39:J63" si="19">G39/$Q$2</f>
        <v>1.0087025316455696</v>
      </c>
      <c r="K39" s="200">
        <f t="shared" ref="K39:K63" si="20">H39/$Q$2</f>
        <v>193.67088607594937</v>
      </c>
      <c r="L39" s="200">
        <f t="shared" ref="L39:L63" si="21">J39*(1+$M$67+9%)</f>
        <v>1.0994857594936709</v>
      </c>
      <c r="M39" s="200">
        <f t="shared" ref="M39:M63" si="22">L39*E39</f>
        <v>211.1012658227848</v>
      </c>
      <c r="N39" s="198">
        <v>2.5</v>
      </c>
      <c r="O39" s="200">
        <f t="shared" ref="O39:O63" si="23">N39*E39</f>
        <v>480</v>
      </c>
      <c r="P39" s="200">
        <f t="shared" ref="P39:P63" si="24">N39-L39</f>
        <v>1.4005142405063291</v>
      </c>
      <c r="Q39" s="200">
        <f t="shared" ref="Q39:Q63" si="25">P39*E39</f>
        <v>268.8987341772152</v>
      </c>
      <c r="R39" s="201">
        <f t="shared" ref="R39:R63" si="26">P39/N39</f>
        <v>0.56020569620253169</v>
      </c>
      <c r="S39" s="207">
        <f t="shared" ref="S39:S63" si="27">N39*1.08</f>
        <v>2.7</v>
      </c>
      <c r="T39" s="208">
        <f t="shared" ref="T39:T63" si="28">S39*0.82</f>
        <v>2.214</v>
      </c>
      <c r="U39" s="208">
        <f t="shared" ref="U39:U63" si="29">T39-L39</f>
        <v>1.1145142405063291</v>
      </c>
      <c r="V39" s="209">
        <f t="shared" ref="V39:V63" si="30">U39/T39</f>
        <v>0.50339396590168428</v>
      </c>
    </row>
    <row r="40" spans="1:41" s="210" customFormat="1" ht="45" hidden="1" customHeight="1" x14ac:dyDescent="0.25">
      <c r="A40" s="202">
        <v>34</v>
      </c>
      <c r="B40" s="204" t="s">
        <v>151</v>
      </c>
      <c r="C40" s="195">
        <v>24</v>
      </c>
      <c r="D40" s="195">
        <v>8</v>
      </c>
      <c r="E40" s="203">
        <f t="shared" si="16"/>
        <v>192</v>
      </c>
      <c r="F40" s="195">
        <v>25.5</v>
      </c>
      <c r="G40" s="213">
        <f t="shared" si="17"/>
        <v>3.1875</v>
      </c>
      <c r="H40" s="214">
        <f t="shared" si="18"/>
        <v>612</v>
      </c>
      <c r="I40" s="195"/>
      <c r="J40" s="200">
        <f t="shared" si="19"/>
        <v>1.0087025316455696</v>
      </c>
      <c r="K40" s="200">
        <f t="shared" si="20"/>
        <v>193.67088607594937</v>
      </c>
      <c r="L40" s="200">
        <f t="shared" si="21"/>
        <v>1.0994857594936709</v>
      </c>
      <c r="M40" s="200">
        <f t="shared" si="22"/>
        <v>211.1012658227848</v>
      </c>
      <c r="N40" s="198">
        <v>2.5</v>
      </c>
      <c r="O40" s="200">
        <f t="shared" si="23"/>
        <v>480</v>
      </c>
      <c r="P40" s="200">
        <f t="shared" si="24"/>
        <v>1.4005142405063291</v>
      </c>
      <c r="Q40" s="200">
        <f t="shared" si="25"/>
        <v>268.8987341772152</v>
      </c>
      <c r="R40" s="201">
        <f t="shared" si="26"/>
        <v>0.56020569620253169</v>
      </c>
      <c r="S40" s="207">
        <f t="shared" si="27"/>
        <v>2.7</v>
      </c>
      <c r="T40" s="208">
        <f t="shared" si="28"/>
        <v>2.214</v>
      </c>
      <c r="U40" s="208">
        <f t="shared" si="29"/>
        <v>1.1145142405063291</v>
      </c>
      <c r="V40" s="209">
        <f t="shared" si="30"/>
        <v>0.50339396590168428</v>
      </c>
    </row>
    <row r="41" spans="1:41" s="210" customFormat="1" ht="45" hidden="1" customHeight="1" x14ac:dyDescent="0.25">
      <c r="A41" s="195">
        <v>35</v>
      </c>
      <c r="B41" s="204" t="s">
        <v>152</v>
      </c>
      <c r="C41" s="195">
        <v>20</v>
      </c>
      <c r="D41" s="195">
        <v>60</v>
      </c>
      <c r="E41" s="203">
        <f t="shared" si="16"/>
        <v>1200</v>
      </c>
      <c r="F41" s="195">
        <f>144*0.95</f>
        <v>136.79999999999998</v>
      </c>
      <c r="G41" s="213">
        <f t="shared" si="17"/>
        <v>2.2799999999999998</v>
      </c>
      <c r="H41" s="214">
        <f t="shared" si="18"/>
        <v>2735.9999999999995</v>
      </c>
      <c r="I41" s="195"/>
      <c r="J41" s="200">
        <f t="shared" si="19"/>
        <v>0.72151898734177211</v>
      </c>
      <c r="K41" s="200">
        <f t="shared" si="20"/>
        <v>865.82278481012645</v>
      </c>
      <c r="L41" s="200">
        <f t="shared" si="21"/>
        <v>0.78645569620253164</v>
      </c>
      <c r="M41" s="200">
        <f t="shared" si="22"/>
        <v>943.74683544303798</v>
      </c>
      <c r="N41" s="198">
        <v>1.25</v>
      </c>
      <c r="O41" s="200">
        <f t="shared" si="23"/>
        <v>1500</v>
      </c>
      <c r="P41" s="200">
        <f t="shared" si="24"/>
        <v>0.46354430379746836</v>
      </c>
      <c r="Q41" s="200">
        <f t="shared" si="25"/>
        <v>556.25316455696202</v>
      </c>
      <c r="R41" s="201">
        <f t="shared" si="26"/>
        <v>0.37083544303797467</v>
      </c>
      <c r="S41" s="207">
        <f t="shared" si="27"/>
        <v>1.35</v>
      </c>
      <c r="T41" s="208">
        <f t="shared" si="28"/>
        <v>1.107</v>
      </c>
      <c r="U41" s="208">
        <f t="shared" si="29"/>
        <v>0.32054430379746834</v>
      </c>
      <c r="V41" s="209">
        <f t="shared" si="30"/>
        <v>0.28956125004288019</v>
      </c>
    </row>
    <row r="42" spans="1:41" s="210" customFormat="1" ht="45" hidden="1" customHeight="1" x14ac:dyDescent="0.25">
      <c r="A42" s="202">
        <v>36</v>
      </c>
      <c r="B42" s="204" t="s">
        <v>153</v>
      </c>
      <c r="C42" s="195">
        <v>20</v>
      </c>
      <c r="D42" s="195">
        <v>16</v>
      </c>
      <c r="E42" s="203">
        <f t="shared" si="16"/>
        <v>320</v>
      </c>
      <c r="F42" s="195">
        <v>36.200000000000003</v>
      </c>
      <c r="G42" s="213">
        <f t="shared" si="17"/>
        <v>2.2625000000000002</v>
      </c>
      <c r="H42" s="214">
        <f t="shared" si="18"/>
        <v>724</v>
      </c>
      <c r="I42" s="195"/>
      <c r="J42" s="200">
        <f t="shared" si="19"/>
        <v>0.71598101265822789</v>
      </c>
      <c r="K42" s="200">
        <f t="shared" si="20"/>
        <v>229.1139240506329</v>
      </c>
      <c r="L42" s="200">
        <f t="shared" si="21"/>
        <v>0.78041930379746849</v>
      </c>
      <c r="M42" s="200">
        <f t="shared" si="22"/>
        <v>249.7341772151899</v>
      </c>
      <c r="N42" s="198">
        <v>1.25</v>
      </c>
      <c r="O42" s="200">
        <f t="shared" si="23"/>
        <v>400</v>
      </c>
      <c r="P42" s="200">
        <f t="shared" si="24"/>
        <v>0.46958069620253151</v>
      </c>
      <c r="Q42" s="200">
        <f t="shared" si="25"/>
        <v>150.2658227848101</v>
      </c>
      <c r="R42" s="201">
        <f t="shared" si="26"/>
        <v>0.37566455696202522</v>
      </c>
      <c r="S42" s="207">
        <f t="shared" si="27"/>
        <v>1.35</v>
      </c>
      <c r="T42" s="208">
        <f t="shared" si="28"/>
        <v>1.107</v>
      </c>
      <c r="U42" s="208">
        <f t="shared" si="29"/>
        <v>0.3265806962025315</v>
      </c>
      <c r="V42" s="209">
        <f t="shared" si="30"/>
        <v>0.29501417904474392</v>
      </c>
    </row>
    <row r="43" spans="1:41" s="210" customFormat="1" ht="45" hidden="1" customHeight="1" x14ac:dyDescent="0.25">
      <c r="A43" s="195">
        <v>37</v>
      </c>
      <c r="B43" s="204" t="s">
        <v>154</v>
      </c>
      <c r="C43" s="195">
        <v>40</v>
      </c>
      <c r="D43" s="195">
        <v>30</v>
      </c>
      <c r="E43" s="203">
        <f t="shared" si="16"/>
        <v>1200</v>
      </c>
      <c r="F43" s="195">
        <v>40.5</v>
      </c>
      <c r="G43" s="213">
        <f t="shared" si="17"/>
        <v>1.35</v>
      </c>
      <c r="H43" s="214">
        <f t="shared" si="18"/>
        <v>1620</v>
      </c>
      <c r="I43" s="195"/>
      <c r="J43" s="200">
        <f t="shared" si="19"/>
        <v>0.42721518987341772</v>
      </c>
      <c r="K43" s="200">
        <f t="shared" si="20"/>
        <v>512.65822784810121</v>
      </c>
      <c r="L43" s="200">
        <f t="shared" si="21"/>
        <v>0.46566455696202536</v>
      </c>
      <c r="M43" s="200">
        <f t="shared" si="22"/>
        <v>558.79746835443041</v>
      </c>
      <c r="N43" s="198">
        <v>0.8</v>
      </c>
      <c r="O43" s="200">
        <f t="shared" si="23"/>
        <v>960</v>
      </c>
      <c r="P43" s="200">
        <f t="shared" si="24"/>
        <v>0.33433544303797469</v>
      </c>
      <c r="Q43" s="200">
        <f t="shared" si="25"/>
        <v>401.20253164556965</v>
      </c>
      <c r="R43" s="201">
        <f t="shared" si="26"/>
        <v>0.41791930379746833</v>
      </c>
      <c r="S43" s="207">
        <f t="shared" si="27"/>
        <v>0.8640000000000001</v>
      </c>
      <c r="T43" s="208">
        <f t="shared" si="28"/>
        <v>0.70848</v>
      </c>
      <c r="U43" s="208">
        <f t="shared" si="29"/>
        <v>0.24281544303797464</v>
      </c>
      <c r="V43" s="209">
        <f t="shared" si="30"/>
        <v>0.34272730781105276</v>
      </c>
    </row>
    <row r="44" spans="1:41" s="210" customFormat="1" ht="45" hidden="1" customHeight="1" x14ac:dyDescent="0.25">
      <c r="A44" s="202">
        <v>38</v>
      </c>
      <c r="B44" s="204" t="s">
        <v>155</v>
      </c>
      <c r="C44" s="195">
        <v>40</v>
      </c>
      <c r="D44" s="195">
        <v>16</v>
      </c>
      <c r="E44" s="203">
        <f t="shared" si="16"/>
        <v>640</v>
      </c>
      <c r="F44" s="195">
        <v>60</v>
      </c>
      <c r="G44" s="213">
        <f t="shared" si="17"/>
        <v>3.75</v>
      </c>
      <c r="H44" s="214">
        <f t="shared" si="18"/>
        <v>2400</v>
      </c>
      <c r="I44" s="195"/>
      <c r="J44" s="200">
        <f t="shared" si="19"/>
        <v>1.1867088607594936</v>
      </c>
      <c r="K44" s="200">
        <f t="shared" si="20"/>
        <v>759.49367088607596</v>
      </c>
      <c r="L44" s="200">
        <f t="shared" si="21"/>
        <v>1.293512658227848</v>
      </c>
      <c r="M44" s="200">
        <f t="shared" si="22"/>
        <v>827.84810126582272</v>
      </c>
      <c r="N44" s="198">
        <v>2</v>
      </c>
      <c r="O44" s="200">
        <f t="shared" si="23"/>
        <v>1280</v>
      </c>
      <c r="P44" s="200">
        <f t="shared" si="24"/>
        <v>0.706487341772152</v>
      </c>
      <c r="Q44" s="200">
        <f t="shared" si="25"/>
        <v>452.15189873417728</v>
      </c>
      <c r="R44" s="201">
        <f t="shared" si="26"/>
        <v>0.353243670886076</v>
      </c>
      <c r="S44" s="207">
        <f t="shared" si="27"/>
        <v>2.16</v>
      </c>
      <c r="T44" s="208">
        <f t="shared" si="28"/>
        <v>1.7712000000000001</v>
      </c>
      <c r="U44" s="208">
        <f t="shared" si="29"/>
        <v>0.47768734177215211</v>
      </c>
      <c r="V44" s="209">
        <f t="shared" si="30"/>
        <v>0.26969700867894764</v>
      </c>
    </row>
    <row r="45" spans="1:41" s="210" customFormat="1" ht="45" hidden="1" customHeight="1" x14ac:dyDescent="0.25">
      <c r="A45" s="195">
        <v>39</v>
      </c>
      <c r="B45" s="204" t="s">
        <v>156</v>
      </c>
      <c r="C45" s="195">
        <v>40</v>
      </c>
      <c r="D45" s="195">
        <v>24</v>
      </c>
      <c r="E45" s="203">
        <f t="shared" si="16"/>
        <v>960</v>
      </c>
      <c r="F45" s="195">
        <f t="shared" ref="F45:F50" si="31">91.2*0.95</f>
        <v>86.64</v>
      </c>
      <c r="G45" s="213">
        <f t="shared" si="17"/>
        <v>3.61</v>
      </c>
      <c r="H45" s="214">
        <f t="shared" si="18"/>
        <v>3465.6</v>
      </c>
      <c r="I45" s="195"/>
      <c r="J45" s="200">
        <f t="shared" si="19"/>
        <v>1.1424050632911391</v>
      </c>
      <c r="K45" s="200">
        <f t="shared" si="20"/>
        <v>1096.7088607594935</v>
      </c>
      <c r="L45" s="200">
        <f t="shared" si="21"/>
        <v>1.2452215189873417</v>
      </c>
      <c r="M45" s="200">
        <f t="shared" si="22"/>
        <v>1195.4126582278479</v>
      </c>
      <c r="N45" s="198">
        <v>1.95</v>
      </c>
      <c r="O45" s="200">
        <f t="shared" si="23"/>
        <v>1872</v>
      </c>
      <c r="P45" s="200">
        <f t="shared" si="24"/>
        <v>0.70477848101265828</v>
      </c>
      <c r="Q45" s="200">
        <f t="shared" si="25"/>
        <v>676.58734177215194</v>
      </c>
      <c r="R45" s="201">
        <f t="shared" si="26"/>
        <v>0.36142486205777347</v>
      </c>
      <c r="S45" s="207">
        <f t="shared" si="27"/>
        <v>2.1059999999999999</v>
      </c>
      <c r="T45" s="208">
        <f t="shared" si="28"/>
        <v>1.7269199999999998</v>
      </c>
      <c r="U45" s="208">
        <f t="shared" si="29"/>
        <v>0.48169848101265811</v>
      </c>
      <c r="V45" s="209">
        <f t="shared" si="30"/>
        <v>0.27893502942386339</v>
      </c>
    </row>
    <row r="46" spans="1:41" s="210" customFormat="1" ht="45" hidden="1" customHeight="1" x14ac:dyDescent="0.25">
      <c r="A46" s="202">
        <v>40</v>
      </c>
      <c r="B46" s="204" t="s">
        <v>157</v>
      </c>
      <c r="C46" s="195">
        <v>80</v>
      </c>
      <c r="D46" s="195">
        <v>24</v>
      </c>
      <c r="E46" s="203">
        <f t="shared" si="16"/>
        <v>1920</v>
      </c>
      <c r="F46" s="195">
        <f t="shared" si="31"/>
        <v>86.64</v>
      </c>
      <c r="G46" s="213">
        <f t="shared" si="17"/>
        <v>3.61</v>
      </c>
      <c r="H46" s="214">
        <f t="shared" si="18"/>
        <v>6931.2</v>
      </c>
      <c r="I46" s="195"/>
      <c r="J46" s="200">
        <f t="shared" si="19"/>
        <v>1.1424050632911391</v>
      </c>
      <c r="K46" s="200">
        <f t="shared" si="20"/>
        <v>2193.417721518987</v>
      </c>
      <c r="L46" s="200">
        <f t="shared" si="21"/>
        <v>1.2452215189873417</v>
      </c>
      <c r="M46" s="200">
        <f t="shared" si="22"/>
        <v>2390.8253164556959</v>
      </c>
      <c r="N46" s="198">
        <v>1.95</v>
      </c>
      <c r="O46" s="200">
        <f t="shared" si="23"/>
        <v>3744</v>
      </c>
      <c r="P46" s="200">
        <f t="shared" si="24"/>
        <v>0.70477848101265828</v>
      </c>
      <c r="Q46" s="200">
        <f t="shared" si="25"/>
        <v>1353.1746835443039</v>
      </c>
      <c r="R46" s="201">
        <f t="shared" si="26"/>
        <v>0.36142486205777347</v>
      </c>
      <c r="S46" s="207">
        <f t="shared" si="27"/>
        <v>2.1059999999999999</v>
      </c>
      <c r="T46" s="208">
        <f t="shared" si="28"/>
        <v>1.7269199999999998</v>
      </c>
      <c r="U46" s="208">
        <f t="shared" si="29"/>
        <v>0.48169848101265811</v>
      </c>
      <c r="V46" s="209">
        <f t="shared" si="30"/>
        <v>0.27893502942386339</v>
      </c>
    </row>
    <row r="47" spans="1:41" s="210" customFormat="1" ht="45" hidden="1" customHeight="1" x14ac:dyDescent="0.25">
      <c r="A47" s="195">
        <v>41</v>
      </c>
      <c r="B47" s="204" t="s">
        <v>158</v>
      </c>
      <c r="C47" s="195">
        <v>60</v>
      </c>
      <c r="D47" s="195">
        <v>24</v>
      </c>
      <c r="E47" s="203">
        <f t="shared" si="16"/>
        <v>1440</v>
      </c>
      <c r="F47" s="195">
        <f t="shared" si="31"/>
        <v>86.64</v>
      </c>
      <c r="G47" s="213">
        <f t="shared" si="17"/>
        <v>3.61</v>
      </c>
      <c r="H47" s="214">
        <f t="shared" si="18"/>
        <v>5198.3999999999996</v>
      </c>
      <c r="I47" s="195"/>
      <c r="J47" s="200">
        <f t="shared" si="19"/>
        <v>1.1424050632911391</v>
      </c>
      <c r="K47" s="200">
        <f t="shared" si="20"/>
        <v>1645.0632911392404</v>
      </c>
      <c r="L47" s="200">
        <f t="shared" si="21"/>
        <v>1.2452215189873417</v>
      </c>
      <c r="M47" s="200">
        <f t="shared" si="22"/>
        <v>1793.118987341772</v>
      </c>
      <c r="N47" s="198">
        <v>1.95</v>
      </c>
      <c r="O47" s="200">
        <f t="shared" si="23"/>
        <v>2808</v>
      </c>
      <c r="P47" s="200">
        <f t="shared" si="24"/>
        <v>0.70477848101265828</v>
      </c>
      <c r="Q47" s="200">
        <f t="shared" si="25"/>
        <v>1014.881012658228</v>
      </c>
      <c r="R47" s="201">
        <f t="shared" si="26"/>
        <v>0.36142486205777347</v>
      </c>
      <c r="S47" s="207">
        <f t="shared" si="27"/>
        <v>2.1059999999999999</v>
      </c>
      <c r="T47" s="208">
        <f t="shared" si="28"/>
        <v>1.7269199999999998</v>
      </c>
      <c r="U47" s="208">
        <f t="shared" si="29"/>
        <v>0.48169848101265811</v>
      </c>
      <c r="V47" s="209">
        <f t="shared" si="30"/>
        <v>0.27893502942386339</v>
      </c>
    </row>
    <row r="48" spans="1:41" s="210" customFormat="1" ht="45" hidden="1" customHeight="1" x14ac:dyDescent="0.25">
      <c r="A48" s="202">
        <v>42</v>
      </c>
      <c r="B48" s="204" t="s">
        <v>159</v>
      </c>
      <c r="C48" s="195">
        <v>80</v>
      </c>
      <c r="D48" s="195">
        <v>24</v>
      </c>
      <c r="E48" s="203">
        <f t="shared" si="16"/>
        <v>1920</v>
      </c>
      <c r="F48" s="195">
        <f t="shared" si="31"/>
        <v>86.64</v>
      </c>
      <c r="G48" s="213">
        <f t="shared" si="17"/>
        <v>3.61</v>
      </c>
      <c r="H48" s="214">
        <f t="shared" si="18"/>
        <v>6931.2</v>
      </c>
      <c r="I48" s="195"/>
      <c r="J48" s="200">
        <f t="shared" si="19"/>
        <v>1.1424050632911391</v>
      </c>
      <c r="K48" s="200">
        <f t="shared" si="20"/>
        <v>2193.417721518987</v>
      </c>
      <c r="L48" s="200">
        <f t="shared" si="21"/>
        <v>1.2452215189873417</v>
      </c>
      <c r="M48" s="200">
        <f t="shared" si="22"/>
        <v>2390.8253164556959</v>
      </c>
      <c r="N48" s="198">
        <v>1.95</v>
      </c>
      <c r="O48" s="200">
        <f t="shared" si="23"/>
        <v>3744</v>
      </c>
      <c r="P48" s="200">
        <f t="shared" si="24"/>
        <v>0.70477848101265828</v>
      </c>
      <c r="Q48" s="200">
        <f t="shared" si="25"/>
        <v>1353.1746835443039</v>
      </c>
      <c r="R48" s="201">
        <f t="shared" si="26"/>
        <v>0.36142486205777347</v>
      </c>
      <c r="S48" s="207">
        <f t="shared" si="27"/>
        <v>2.1059999999999999</v>
      </c>
      <c r="T48" s="208">
        <f t="shared" si="28"/>
        <v>1.7269199999999998</v>
      </c>
      <c r="U48" s="208">
        <f t="shared" si="29"/>
        <v>0.48169848101265811</v>
      </c>
      <c r="V48" s="209">
        <f t="shared" si="30"/>
        <v>0.27893502942386339</v>
      </c>
    </row>
    <row r="49" spans="1:22" s="210" customFormat="1" ht="45" hidden="1" customHeight="1" x14ac:dyDescent="0.25">
      <c r="A49" s="195">
        <v>43</v>
      </c>
      <c r="B49" s="204" t="s">
        <v>160</v>
      </c>
      <c r="C49" s="195">
        <v>100</v>
      </c>
      <c r="D49" s="195">
        <v>24</v>
      </c>
      <c r="E49" s="203">
        <f t="shared" si="16"/>
        <v>2400</v>
      </c>
      <c r="F49" s="195">
        <f t="shared" si="31"/>
        <v>86.64</v>
      </c>
      <c r="G49" s="213">
        <f t="shared" si="17"/>
        <v>3.61</v>
      </c>
      <c r="H49" s="214">
        <f t="shared" si="18"/>
        <v>8664</v>
      </c>
      <c r="I49" s="195"/>
      <c r="J49" s="200">
        <f t="shared" si="19"/>
        <v>1.1424050632911391</v>
      </c>
      <c r="K49" s="200">
        <f t="shared" si="20"/>
        <v>2741.7721518987341</v>
      </c>
      <c r="L49" s="200">
        <f t="shared" si="21"/>
        <v>1.2452215189873417</v>
      </c>
      <c r="M49" s="200">
        <f t="shared" si="22"/>
        <v>2988.5316455696202</v>
      </c>
      <c r="N49" s="198">
        <v>1.95</v>
      </c>
      <c r="O49" s="200">
        <f t="shared" si="23"/>
        <v>4680</v>
      </c>
      <c r="P49" s="200">
        <f t="shared" si="24"/>
        <v>0.70477848101265828</v>
      </c>
      <c r="Q49" s="200">
        <f t="shared" si="25"/>
        <v>1691.4683544303798</v>
      </c>
      <c r="R49" s="201">
        <f t="shared" si="26"/>
        <v>0.36142486205777347</v>
      </c>
      <c r="S49" s="207">
        <f t="shared" si="27"/>
        <v>2.1059999999999999</v>
      </c>
      <c r="T49" s="208">
        <f t="shared" si="28"/>
        <v>1.7269199999999998</v>
      </c>
      <c r="U49" s="208">
        <f t="shared" si="29"/>
        <v>0.48169848101265811</v>
      </c>
      <c r="V49" s="209">
        <f t="shared" si="30"/>
        <v>0.27893502942386339</v>
      </c>
    </row>
    <row r="50" spans="1:22" s="210" customFormat="1" ht="45" hidden="1" customHeight="1" x14ac:dyDescent="0.25">
      <c r="A50" s="202">
        <v>44</v>
      </c>
      <c r="B50" s="204" t="s">
        <v>161</v>
      </c>
      <c r="C50" s="195">
        <v>120</v>
      </c>
      <c r="D50" s="195">
        <v>24</v>
      </c>
      <c r="E50" s="203">
        <f t="shared" si="16"/>
        <v>2880</v>
      </c>
      <c r="F50" s="195">
        <f t="shared" si="31"/>
        <v>86.64</v>
      </c>
      <c r="G50" s="213">
        <f t="shared" si="17"/>
        <v>3.61</v>
      </c>
      <c r="H50" s="214">
        <f t="shared" si="18"/>
        <v>10396.799999999999</v>
      </c>
      <c r="I50" s="195"/>
      <c r="J50" s="200">
        <f t="shared" si="19"/>
        <v>1.1424050632911391</v>
      </c>
      <c r="K50" s="200">
        <f t="shared" si="20"/>
        <v>3290.1265822784808</v>
      </c>
      <c r="L50" s="200">
        <f t="shared" si="21"/>
        <v>1.2452215189873417</v>
      </c>
      <c r="M50" s="200">
        <f t="shared" si="22"/>
        <v>3586.2379746835441</v>
      </c>
      <c r="N50" s="198">
        <v>1.95</v>
      </c>
      <c r="O50" s="200">
        <f t="shared" si="23"/>
        <v>5616</v>
      </c>
      <c r="P50" s="200">
        <f t="shared" si="24"/>
        <v>0.70477848101265828</v>
      </c>
      <c r="Q50" s="200">
        <f t="shared" si="25"/>
        <v>2029.7620253164559</v>
      </c>
      <c r="R50" s="201">
        <f t="shared" si="26"/>
        <v>0.36142486205777347</v>
      </c>
      <c r="S50" s="207">
        <f t="shared" si="27"/>
        <v>2.1059999999999999</v>
      </c>
      <c r="T50" s="208">
        <f t="shared" si="28"/>
        <v>1.7269199999999998</v>
      </c>
      <c r="U50" s="208">
        <f t="shared" si="29"/>
        <v>0.48169848101265811</v>
      </c>
      <c r="V50" s="209">
        <f t="shared" si="30"/>
        <v>0.27893502942386339</v>
      </c>
    </row>
    <row r="51" spans="1:22" s="210" customFormat="1" ht="45" hidden="1" customHeight="1" x14ac:dyDescent="0.25">
      <c r="A51" s="195">
        <v>45</v>
      </c>
      <c r="B51" s="204" t="s">
        <v>162</v>
      </c>
      <c r="C51" s="195">
        <v>20</v>
      </c>
      <c r="D51" s="195">
        <v>60</v>
      </c>
      <c r="E51" s="203">
        <f t="shared" si="16"/>
        <v>1200</v>
      </c>
      <c r="F51" s="195">
        <v>79.8</v>
      </c>
      <c r="G51" s="213">
        <f t="shared" si="17"/>
        <v>1.3299999999999998</v>
      </c>
      <c r="H51" s="214">
        <f t="shared" si="18"/>
        <v>1595.9999999999998</v>
      </c>
      <c r="I51" s="195"/>
      <c r="J51" s="200">
        <f t="shared" si="19"/>
        <v>0.420886075949367</v>
      </c>
      <c r="K51" s="200">
        <f t="shared" si="20"/>
        <v>505.06329113924039</v>
      </c>
      <c r="L51" s="200">
        <f t="shared" si="21"/>
        <v>0.45876582278481004</v>
      </c>
      <c r="M51" s="200">
        <f t="shared" si="22"/>
        <v>550.518987341772</v>
      </c>
      <c r="N51" s="198">
        <v>0.85</v>
      </c>
      <c r="O51" s="200">
        <f t="shared" si="23"/>
        <v>1020</v>
      </c>
      <c r="P51" s="200">
        <f t="shared" si="24"/>
        <v>0.39123417721518994</v>
      </c>
      <c r="Q51" s="200">
        <f t="shared" si="25"/>
        <v>469.48101265822794</v>
      </c>
      <c r="R51" s="201">
        <f t="shared" si="26"/>
        <v>0.46027550260610584</v>
      </c>
      <c r="S51" s="207">
        <f t="shared" si="27"/>
        <v>0.91800000000000004</v>
      </c>
      <c r="T51" s="208">
        <f t="shared" si="28"/>
        <v>0.75275999999999998</v>
      </c>
      <c r="U51" s="208">
        <f t="shared" si="29"/>
        <v>0.29399417721518994</v>
      </c>
      <c r="V51" s="209">
        <f t="shared" si="30"/>
        <v>0.39055499390933357</v>
      </c>
    </row>
    <row r="52" spans="1:22" s="210" customFormat="1" ht="45" hidden="1" customHeight="1" x14ac:dyDescent="0.25">
      <c r="A52" s="202">
        <v>46</v>
      </c>
      <c r="B52" s="204" t="s">
        <v>163</v>
      </c>
      <c r="C52" s="195">
        <v>20</v>
      </c>
      <c r="D52" s="195">
        <v>60</v>
      </c>
      <c r="E52" s="203">
        <f t="shared" si="16"/>
        <v>1200</v>
      </c>
      <c r="F52" s="195">
        <v>79.8</v>
      </c>
      <c r="G52" s="213">
        <f t="shared" si="17"/>
        <v>1.3299999999999998</v>
      </c>
      <c r="H52" s="214">
        <f t="shared" si="18"/>
        <v>1595.9999999999998</v>
      </c>
      <c r="I52" s="195"/>
      <c r="J52" s="200">
        <f t="shared" si="19"/>
        <v>0.420886075949367</v>
      </c>
      <c r="K52" s="200">
        <f t="shared" si="20"/>
        <v>505.06329113924039</v>
      </c>
      <c r="L52" s="200">
        <f t="shared" si="21"/>
        <v>0.45876582278481004</v>
      </c>
      <c r="M52" s="200">
        <f t="shared" si="22"/>
        <v>550.518987341772</v>
      </c>
      <c r="N52" s="198">
        <v>0.85</v>
      </c>
      <c r="O52" s="200">
        <f t="shared" si="23"/>
        <v>1020</v>
      </c>
      <c r="P52" s="200">
        <f t="shared" si="24"/>
        <v>0.39123417721518994</v>
      </c>
      <c r="Q52" s="200">
        <f t="shared" si="25"/>
        <v>469.48101265822794</v>
      </c>
      <c r="R52" s="201">
        <f t="shared" si="26"/>
        <v>0.46027550260610584</v>
      </c>
      <c r="S52" s="207">
        <f t="shared" si="27"/>
        <v>0.91800000000000004</v>
      </c>
      <c r="T52" s="208">
        <f t="shared" si="28"/>
        <v>0.75275999999999998</v>
      </c>
      <c r="U52" s="208">
        <f t="shared" si="29"/>
        <v>0.29399417721518994</v>
      </c>
      <c r="V52" s="209">
        <f t="shared" si="30"/>
        <v>0.39055499390933357</v>
      </c>
    </row>
    <row r="53" spans="1:22" s="210" customFormat="1" ht="45" hidden="1" customHeight="1" x14ac:dyDescent="0.25">
      <c r="A53" s="195">
        <v>47</v>
      </c>
      <c r="B53" s="204" t="s">
        <v>164</v>
      </c>
      <c r="C53" s="195">
        <v>40</v>
      </c>
      <c r="D53" s="195">
        <v>60</v>
      </c>
      <c r="E53" s="203">
        <f t="shared" si="16"/>
        <v>2400</v>
      </c>
      <c r="F53" s="195">
        <v>79.8</v>
      </c>
      <c r="G53" s="213">
        <f t="shared" si="17"/>
        <v>1.3299999999999998</v>
      </c>
      <c r="H53" s="214">
        <f t="shared" si="18"/>
        <v>3191.9999999999995</v>
      </c>
      <c r="I53" s="195"/>
      <c r="J53" s="200">
        <f t="shared" si="19"/>
        <v>0.420886075949367</v>
      </c>
      <c r="K53" s="200">
        <f t="shared" si="20"/>
        <v>1010.1265822784808</v>
      </c>
      <c r="L53" s="200">
        <f t="shared" si="21"/>
        <v>0.45876582278481004</v>
      </c>
      <c r="M53" s="200">
        <f t="shared" si="22"/>
        <v>1101.037974683544</v>
      </c>
      <c r="N53" s="198">
        <v>0.85</v>
      </c>
      <c r="O53" s="200">
        <f t="shared" si="23"/>
        <v>2040</v>
      </c>
      <c r="P53" s="200">
        <f t="shared" si="24"/>
        <v>0.39123417721518994</v>
      </c>
      <c r="Q53" s="200">
        <f t="shared" si="25"/>
        <v>938.96202531645588</v>
      </c>
      <c r="R53" s="201">
        <f t="shared" si="26"/>
        <v>0.46027550260610584</v>
      </c>
      <c r="S53" s="207">
        <f t="shared" si="27"/>
        <v>0.91800000000000004</v>
      </c>
      <c r="T53" s="208">
        <f t="shared" si="28"/>
        <v>0.75275999999999998</v>
      </c>
      <c r="U53" s="208">
        <f t="shared" si="29"/>
        <v>0.29399417721518994</v>
      </c>
      <c r="V53" s="209">
        <f t="shared" si="30"/>
        <v>0.39055499390933357</v>
      </c>
    </row>
    <row r="54" spans="1:22" s="210" customFormat="1" ht="45" hidden="1" customHeight="1" x14ac:dyDescent="0.25">
      <c r="A54" s="202">
        <v>48</v>
      </c>
      <c r="B54" s="204" t="s">
        <v>165</v>
      </c>
      <c r="C54" s="195">
        <v>20</v>
      </c>
      <c r="D54" s="195">
        <v>60</v>
      </c>
      <c r="E54" s="203">
        <f t="shared" si="16"/>
        <v>1200</v>
      </c>
      <c r="F54" s="195">
        <v>79.8</v>
      </c>
      <c r="G54" s="213">
        <f t="shared" si="17"/>
        <v>1.3299999999999998</v>
      </c>
      <c r="H54" s="214">
        <f t="shared" si="18"/>
        <v>1595.9999999999998</v>
      </c>
      <c r="I54" s="195"/>
      <c r="J54" s="200">
        <f t="shared" si="19"/>
        <v>0.420886075949367</v>
      </c>
      <c r="K54" s="200">
        <f t="shared" si="20"/>
        <v>505.06329113924039</v>
      </c>
      <c r="L54" s="200">
        <f t="shared" si="21"/>
        <v>0.45876582278481004</v>
      </c>
      <c r="M54" s="200">
        <f t="shared" si="22"/>
        <v>550.518987341772</v>
      </c>
      <c r="N54" s="198">
        <v>0.85</v>
      </c>
      <c r="O54" s="200">
        <f t="shared" si="23"/>
        <v>1020</v>
      </c>
      <c r="P54" s="200">
        <f t="shared" si="24"/>
        <v>0.39123417721518994</v>
      </c>
      <c r="Q54" s="200">
        <f t="shared" si="25"/>
        <v>469.48101265822794</v>
      </c>
      <c r="R54" s="201">
        <f t="shared" si="26"/>
        <v>0.46027550260610584</v>
      </c>
      <c r="S54" s="207">
        <f t="shared" si="27"/>
        <v>0.91800000000000004</v>
      </c>
      <c r="T54" s="208">
        <f t="shared" si="28"/>
        <v>0.75275999999999998</v>
      </c>
      <c r="U54" s="208">
        <f t="shared" si="29"/>
        <v>0.29399417721518994</v>
      </c>
      <c r="V54" s="209">
        <f t="shared" si="30"/>
        <v>0.39055499390933357</v>
      </c>
    </row>
    <row r="55" spans="1:22" s="210" customFormat="1" ht="45" hidden="1" customHeight="1" x14ac:dyDescent="0.25">
      <c r="A55" s="195">
        <v>49</v>
      </c>
      <c r="B55" s="204" t="s">
        <v>166</v>
      </c>
      <c r="C55" s="195">
        <v>40</v>
      </c>
      <c r="D55" s="195">
        <v>60</v>
      </c>
      <c r="E55" s="203">
        <f t="shared" si="16"/>
        <v>2400</v>
      </c>
      <c r="F55" s="195">
        <v>79.8</v>
      </c>
      <c r="G55" s="213">
        <f t="shared" si="17"/>
        <v>1.3299999999999998</v>
      </c>
      <c r="H55" s="214">
        <f t="shared" si="18"/>
        <v>3191.9999999999995</v>
      </c>
      <c r="I55" s="195"/>
      <c r="J55" s="200">
        <f t="shared" si="19"/>
        <v>0.420886075949367</v>
      </c>
      <c r="K55" s="200">
        <f t="shared" si="20"/>
        <v>1010.1265822784808</v>
      </c>
      <c r="L55" s="200">
        <f t="shared" si="21"/>
        <v>0.45876582278481004</v>
      </c>
      <c r="M55" s="200">
        <f t="shared" si="22"/>
        <v>1101.037974683544</v>
      </c>
      <c r="N55" s="198">
        <v>0.85</v>
      </c>
      <c r="O55" s="200">
        <f t="shared" si="23"/>
        <v>2040</v>
      </c>
      <c r="P55" s="200">
        <f t="shared" si="24"/>
        <v>0.39123417721518994</v>
      </c>
      <c r="Q55" s="200">
        <f t="shared" si="25"/>
        <v>938.96202531645588</v>
      </c>
      <c r="R55" s="201">
        <f t="shared" si="26"/>
        <v>0.46027550260610584</v>
      </c>
      <c r="S55" s="207">
        <f t="shared" si="27"/>
        <v>0.91800000000000004</v>
      </c>
      <c r="T55" s="208">
        <f t="shared" si="28"/>
        <v>0.75275999999999998</v>
      </c>
      <c r="U55" s="208">
        <f t="shared" si="29"/>
        <v>0.29399417721518994</v>
      </c>
      <c r="V55" s="209">
        <f t="shared" si="30"/>
        <v>0.39055499390933357</v>
      </c>
    </row>
    <row r="56" spans="1:22" s="210" customFormat="1" ht="45" hidden="1" customHeight="1" x14ac:dyDescent="0.25">
      <c r="A56" s="202">
        <v>50</v>
      </c>
      <c r="B56" s="204" t="s">
        <v>167</v>
      </c>
      <c r="C56" s="195">
        <v>20</v>
      </c>
      <c r="D56" s="195">
        <v>60</v>
      </c>
      <c r="E56" s="203">
        <f t="shared" si="16"/>
        <v>1200</v>
      </c>
      <c r="F56" s="195">
        <v>79.8</v>
      </c>
      <c r="G56" s="213">
        <f t="shared" si="17"/>
        <v>1.3299999999999998</v>
      </c>
      <c r="H56" s="214">
        <f t="shared" si="18"/>
        <v>1595.9999999999998</v>
      </c>
      <c r="I56" s="195"/>
      <c r="J56" s="200">
        <f t="shared" si="19"/>
        <v>0.420886075949367</v>
      </c>
      <c r="K56" s="200">
        <f t="shared" si="20"/>
        <v>505.06329113924039</v>
      </c>
      <c r="L56" s="200">
        <f t="shared" si="21"/>
        <v>0.45876582278481004</v>
      </c>
      <c r="M56" s="200">
        <f t="shared" si="22"/>
        <v>550.518987341772</v>
      </c>
      <c r="N56" s="198">
        <v>0.85</v>
      </c>
      <c r="O56" s="200">
        <f t="shared" si="23"/>
        <v>1020</v>
      </c>
      <c r="P56" s="200">
        <f t="shared" si="24"/>
        <v>0.39123417721518994</v>
      </c>
      <c r="Q56" s="200">
        <f t="shared" si="25"/>
        <v>469.48101265822794</v>
      </c>
      <c r="R56" s="201">
        <f t="shared" si="26"/>
        <v>0.46027550260610584</v>
      </c>
      <c r="S56" s="207">
        <f t="shared" si="27"/>
        <v>0.91800000000000004</v>
      </c>
      <c r="T56" s="208">
        <f t="shared" si="28"/>
        <v>0.75275999999999998</v>
      </c>
      <c r="U56" s="208">
        <f t="shared" si="29"/>
        <v>0.29399417721518994</v>
      </c>
      <c r="V56" s="209">
        <f t="shared" si="30"/>
        <v>0.39055499390933357</v>
      </c>
    </row>
    <row r="57" spans="1:22" s="210" customFormat="1" ht="45" hidden="1" customHeight="1" x14ac:dyDescent="0.25">
      <c r="A57" s="195">
        <v>51</v>
      </c>
      <c r="B57" s="204" t="s">
        <v>168</v>
      </c>
      <c r="C57" s="195">
        <v>20</v>
      </c>
      <c r="D57" s="195">
        <v>40</v>
      </c>
      <c r="E57" s="203">
        <f t="shared" si="16"/>
        <v>800</v>
      </c>
      <c r="F57" s="195">
        <v>162</v>
      </c>
      <c r="G57" s="213">
        <f t="shared" si="17"/>
        <v>4.05</v>
      </c>
      <c r="H57" s="214">
        <f t="shared" si="18"/>
        <v>3240</v>
      </c>
      <c r="I57" s="195"/>
      <c r="J57" s="200">
        <f t="shared" si="19"/>
        <v>1.2816455696202531</v>
      </c>
      <c r="K57" s="200">
        <f t="shared" si="20"/>
        <v>1025.3164556962024</v>
      </c>
      <c r="L57" s="200">
        <f t="shared" si="21"/>
        <v>1.396993670886076</v>
      </c>
      <c r="M57" s="200">
        <f t="shared" si="22"/>
        <v>1117.5949367088608</v>
      </c>
      <c r="N57" s="198">
        <v>2.5</v>
      </c>
      <c r="O57" s="200">
        <f t="shared" si="23"/>
        <v>2000</v>
      </c>
      <c r="P57" s="200">
        <f t="shared" si="24"/>
        <v>1.103006329113924</v>
      </c>
      <c r="Q57" s="200">
        <f t="shared" si="25"/>
        <v>882.40506329113919</v>
      </c>
      <c r="R57" s="201">
        <f t="shared" si="26"/>
        <v>0.44120253164556961</v>
      </c>
      <c r="S57" s="207">
        <f t="shared" si="27"/>
        <v>2.7</v>
      </c>
      <c r="T57" s="208">
        <f t="shared" si="28"/>
        <v>2.214</v>
      </c>
      <c r="U57" s="208">
        <f t="shared" si="29"/>
        <v>0.81700632911392401</v>
      </c>
      <c r="V57" s="209">
        <f t="shared" si="30"/>
        <v>0.36901821549861069</v>
      </c>
    </row>
    <row r="58" spans="1:22" s="210" customFormat="1" ht="45" hidden="1" customHeight="1" thickBot="1" x14ac:dyDescent="0.25">
      <c r="A58" s="202">
        <v>52</v>
      </c>
      <c r="B58" s="204" t="s">
        <v>169</v>
      </c>
      <c r="C58" s="195">
        <v>20</v>
      </c>
      <c r="D58" s="219">
        <v>40</v>
      </c>
      <c r="E58" s="203">
        <f t="shared" si="16"/>
        <v>800</v>
      </c>
      <c r="F58" s="195">
        <v>168</v>
      </c>
      <c r="G58" s="219">
        <f t="shared" si="17"/>
        <v>4.2</v>
      </c>
      <c r="H58" s="214">
        <f t="shared" si="18"/>
        <v>3360</v>
      </c>
      <c r="I58" s="195"/>
      <c r="J58" s="200">
        <f t="shared" si="19"/>
        <v>1.3291139240506329</v>
      </c>
      <c r="K58" s="200">
        <f t="shared" si="20"/>
        <v>1063.2911392405063</v>
      </c>
      <c r="L58" s="200">
        <f t="shared" si="21"/>
        <v>1.44873417721519</v>
      </c>
      <c r="M58" s="200">
        <f t="shared" si="22"/>
        <v>1158.9873417721519</v>
      </c>
      <c r="N58" s="198">
        <v>1.95</v>
      </c>
      <c r="O58" s="200">
        <f t="shared" si="23"/>
        <v>1560</v>
      </c>
      <c r="P58" s="200">
        <f t="shared" si="24"/>
        <v>0.50126582278480991</v>
      </c>
      <c r="Q58" s="200">
        <f t="shared" si="25"/>
        <v>401.01265822784791</v>
      </c>
      <c r="R58" s="201">
        <f t="shared" si="26"/>
        <v>0.25705939629990254</v>
      </c>
      <c r="S58" s="207">
        <f t="shared" si="27"/>
        <v>2.1059999999999999</v>
      </c>
      <c r="T58" s="208">
        <f t="shared" si="28"/>
        <v>1.7269199999999998</v>
      </c>
      <c r="U58" s="208">
        <f t="shared" si="29"/>
        <v>0.27818582278480974</v>
      </c>
      <c r="V58" s="209">
        <f t="shared" si="30"/>
        <v>0.16108784586709851</v>
      </c>
    </row>
    <row r="59" spans="1:22" s="210" customFormat="1" ht="45" hidden="1" customHeight="1" x14ac:dyDescent="0.25">
      <c r="A59" s="195">
        <v>53</v>
      </c>
      <c r="B59" s="204" t="s">
        <v>170</v>
      </c>
      <c r="C59" s="195">
        <v>40</v>
      </c>
      <c r="D59" s="195">
        <v>40</v>
      </c>
      <c r="E59" s="203">
        <f t="shared" si="16"/>
        <v>1600</v>
      </c>
      <c r="F59" s="195">
        <v>48.8</v>
      </c>
      <c r="G59" s="220">
        <f t="shared" si="17"/>
        <v>1.22</v>
      </c>
      <c r="H59" s="214">
        <f t="shared" si="18"/>
        <v>1952</v>
      </c>
      <c r="I59" s="195"/>
      <c r="J59" s="200">
        <f t="shared" si="19"/>
        <v>0.38607594936708856</v>
      </c>
      <c r="K59" s="200">
        <f t="shared" si="20"/>
        <v>617.72151898734171</v>
      </c>
      <c r="L59" s="200">
        <f t="shared" si="21"/>
        <v>0.42082278481012658</v>
      </c>
      <c r="M59" s="200">
        <f t="shared" si="22"/>
        <v>673.31645569620252</v>
      </c>
      <c r="N59" s="198">
        <v>0.8</v>
      </c>
      <c r="O59" s="200">
        <f t="shared" si="23"/>
        <v>1280</v>
      </c>
      <c r="P59" s="200">
        <f t="shared" si="24"/>
        <v>0.37917721518987346</v>
      </c>
      <c r="Q59" s="200">
        <f t="shared" si="25"/>
        <v>606.68354430379759</v>
      </c>
      <c r="R59" s="201">
        <f t="shared" si="26"/>
        <v>0.4739715189873418</v>
      </c>
      <c r="S59" s="207">
        <f t="shared" si="27"/>
        <v>0.8640000000000001</v>
      </c>
      <c r="T59" s="208">
        <f t="shared" si="28"/>
        <v>0.70848</v>
      </c>
      <c r="U59" s="208">
        <f t="shared" si="29"/>
        <v>0.28765721518987342</v>
      </c>
      <c r="V59" s="209">
        <f t="shared" si="30"/>
        <v>0.40602023372554402</v>
      </c>
    </row>
    <row r="60" spans="1:22" s="210" customFormat="1" ht="45" hidden="1" customHeight="1" x14ac:dyDescent="0.25">
      <c r="A60" s="202">
        <v>54</v>
      </c>
      <c r="B60" s="204" t="s">
        <v>171</v>
      </c>
      <c r="C60" s="195">
        <v>3</v>
      </c>
      <c r="D60" s="195">
        <v>270</v>
      </c>
      <c r="E60" s="203">
        <f t="shared" si="16"/>
        <v>810</v>
      </c>
      <c r="F60" s="195">
        <v>374.4</v>
      </c>
      <c r="G60" s="220">
        <f t="shared" si="17"/>
        <v>1.3866666666666665</v>
      </c>
      <c r="H60" s="214">
        <f t="shared" si="18"/>
        <v>1123.1999999999998</v>
      </c>
      <c r="I60" s="195"/>
      <c r="J60" s="200">
        <f t="shared" si="19"/>
        <v>0.4388185654008438</v>
      </c>
      <c r="K60" s="200">
        <f t="shared" si="20"/>
        <v>355.44303797468348</v>
      </c>
      <c r="L60" s="200">
        <f t="shared" si="21"/>
        <v>0.47831223628691977</v>
      </c>
      <c r="M60" s="200">
        <f t="shared" si="22"/>
        <v>387.432911392405</v>
      </c>
      <c r="N60" s="198">
        <v>0.8</v>
      </c>
      <c r="O60" s="200">
        <f t="shared" si="23"/>
        <v>648</v>
      </c>
      <c r="P60" s="200">
        <f t="shared" si="24"/>
        <v>0.32168776371308028</v>
      </c>
      <c r="Q60" s="200">
        <f t="shared" si="25"/>
        <v>260.567088607595</v>
      </c>
      <c r="R60" s="201">
        <f t="shared" si="26"/>
        <v>0.40210970464135032</v>
      </c>
      <c r="S60" s="207">
        <f t="shared" si="27"/>
        <v>0.8640000000000001</v>
      </c>
      <c r="T60" s="208">
        <f t="shared" si="28"/>
        <v>0.70848</v>
      </c>
      <c r="U60" s="208">
        <f t="shared" si="29"/>
        <v>0.23016776371308023</v>
      </c>
      <c r="V60" s="209">
        <f t="shared" si="30"/>
        <v>0.3248754569120938</v>
      </c>
    </row>
    <row r="61" spans="1:22" s="210" customFormat="1" ht="45" hidden="1" customHeight="1" x14ac:dyDescent="0.25">
      <c r="A61" s="195">
        <v>55</v>
      </c>
      <c r="B61" s="204" t="s">
        <v>172</v>
      </c>
      <c r="C61" s="195">
        <v>3</v>
      </c>
      <c r="D61" s="195">
        <v>270</v>
      </c>
      <c r="E61" s="203">
        <f t="shared" si="16"/>
        <v>810</v>
      </c>
      <c r="F61" s="195">
        <v>374.4</v>
      </c>
      <c r="G61" s="220">
        <f t="shared" si="17"/>
        <v>1.3866666666666665</v>
      </c>
      <c r="H61" s="214">
        <f t="shared" si="18"/>
        <v>1123.1999999999998</v>
      </c>
      <c r="I61" s="195"/>
      <c r="J61" s="200">
        <f t="shared" si="19"/>
        <v>0.4388185654008438</v>
      </c>
      <c r="K61" s="200">
        <f t="shared" si="20"/>
        <v>355.44303797468348</v>
      </c>
      <c r="L61" s="200">
        <f t="shared" si="21"/>
        <v>0.47831223628691977</v>
      </c>
      <c r="M61" s="200">
        <f t="shared" si="22"/>
        <v>387.432911392405</v>
      </c>
      <c r="N61" s="198">
        <v>0.8</v>
      </c>
      <c r="O61" s="200">
        <f t="shared" si="23"/>
        <v>648</v>
      </c>
      <c r="P61" s="200">
        <f t="shared" si="24"/>
        <v>0.32168776371308028</v>
      </c>
      <c r="Q61" s="200">
        <f t="shared" si="25"/>
        <v>260.567088607595</v>
      </c>
      <c r="R61" s="201">
        <f t="shared" si="26"/>
        <v>0.40210970464135032</v>
      </c>
      <c r="S61" s="207">
        <f t="shared" si="27"/>
        <v>0.8640000000000001</v>
      </c>
      <c r="T61" s="208">
        <f t="shared" si="28"/>
        <v>0.70848</v>
      </c>
      <c r="U61" s="208">
        <f t="shared" si="29"/>
        <v>0.23016776371308023</v>
      </c>
      <c r="V61" s="209">
        <f t="shared" si="30"/>
        <v>0.3248754569120938</v>
      </c>
    </row>
    <row r="62" spans="1:22" s="210" customFormat="1" ht="45" hidden="1" customHeight="1" x14ac:dyDescent="0.25">
      <c r="A62" s="202">
        <v>56</v>
      </c>
      <c r="B62" s="204" t="s">
        <v>173</v>
      </c>
      <c r="C62" s="195">
        <v>3</v>
      </c>
      <c r="D62" s="195">
        <v>270</v>
      </c>
      <c r="E62" s="203">
        <f t="shared" si="16"/>
        <v>810</v>
      </c>
      <c r="F62" s="195">
        <v>374.4</v>
      </c>
      <c r="G62" s="220">
        <f t="shared" si="17"/>
        <v>1.3866666666666665</v>
      </c>
      <c r="H62" s="214">
        <f t="shared" si="18"/>
        <v>1123.1999999999998</v>
      </c>
      <c r="I62" s="195"/>
      <c r="J62" s="200">
        <f t="shared" si="19"/>
        <v>0.4388185654008438</v>
      </c>
      <c r="K62" s="200">
        <f t="shared" si="20"/>
        <v>355.44303797468348</v>
      </c>
      <c r="L62" s="200">
        <f t="shared" si="21"/>
        <v>0.47831223628691977</v>
      </c>
      <c r="M62" s="200">
        <f t="shared" si="22"/>
        <v>387.432911392405</v>
      </c>
      <c r="N62" s="198">
        <v>0.8</v>
      </c>
      <c r="O62" s="200">
        <f t="shared" si="23"/>
        <v>648</v>
      </c>
      <c r="P62" s="200">
        <f t="shared" si="24"/>
        <v>0.32168776371308028</v>
      </c>
      <c r="Q62" s="200">
        <f t="shared" si="25"/>
        <v>260.567088607595</v>
      </c>
      <c r="R62" s="201">
        <f t="shared" si="26"/>
        <v>0.40210970464135032</v>
      </c>
      <c r="S62" s="207">
        <f t="shared" si="27"/>
        <v>0.8640000000000001</v>
      </c>
      <c r="T62" s="208">
        <f t="shared" si="28"/>
        <v>0.70848</v>
      </c>
      <c r="U62" s="208">
        <f t="shared" si="29"/>
        <v>0.23016776371308023</v>
      </c>
      <c r="V62" s="209">
        <f t="shared" si="30"/>
        <v>0.3248754569120938</v>
      </c>
    </row>
    <row r="63" spans="1:22" s="210" customFormat="1" ht="45" hidden="1" customHeight="1" x14ac:dyDescent="0.25">
      <c r="A63" s="195">
        <v>57</v>
      </c>
      <c r="B63" s="204" t="s">
        <v>174</v>
      </c>
      <c r="C63" s="195">
        <v>3</v>
      </c>
      <c r="D63" s="195">
        <v>270</v>
      </c>
      <c r="E63" s="203">
        <f t="shared" si="16"/>
        <v>810</v>
      </c>
      <c r="F63" s="195">
        <v>374.4</v>
      </c>
      <c r="G63" s="220">
        <f t="shared" si="17"/>
        <v>1.3866666666666665</v>
      </c>
      <c r="H63" s="214">
        <f t="shared" si="18"/>
        <v>1123.1999999999998</v>
      </c>
      <c r="I63" s="195"/>
      <c r="J63" s="200">
        <f t="shared" si="19"/>
        <v>0.4388185654008438</v>
      </c>
      <c r="K63" s="200">
        <f t="shared" si="20"/>
        <v>355.44303797468348</v>
      </c>
      <c r="L63" s="200">
        <f t="shared" si="21"/>
        <v>0.47831223628691977</v>
      </c>
      <c r="M63" s="200">
        <f t="shared" si="22"/>
        <v>387.432911392405</v>
      </c>
      <c r="N63" s="198">
        <v>0.8</v>
      </c>
      <c r="O63" s="200">
        <f t="shared" si="23"/>
        <v>648</v>
      </c>
      <c r="P63" s="200">
        <f t="shared" si="24"/>
        <v>0.32168776371308028</v>
      </c>
      <c r="Q63" s="200">
        <f t="shared" si="25"/>
        <v>260.567088607595</v>
      </c>
      <c r="R63" s="201">
        <f t="shared" si="26"/>
        <v>0.40210970464135032</v>
      </c>
      <c r="S63" s="207">
        <f t="shared" si="27"/>
        <v>0.8640000000000001</v>
      </c>
      <c r="T63" s="208">
        <f t="shared" si="28"/>
        <v>0.70848</v>
      </c>
      <c r="U63" s="208">
        <f t="shared" si="29"/>
        <v>0.23016776371308023</v>
      </c>
      <c r="V63" s="209">
        <f t="shared" si="30"/>
        <v>0.3248754569120938</v>
      </c>
    </row>
    <row r="64" spans="1:22" ht="49" hidden="1" customHeight="1" thickBot="1" x14ac:dyDescent="0.25">
      <c r="A64" s="90" t="s">
        <v>99</v>
      </c>
      <c r="B64" s="37"/>
      <c r="C64" s="37"/>
      <c r="D64" s="38"/>
      <c r="E64" s="39"/>
      <c r="F64" s="40"/>
      <c r="G64" s="41" t="s">
        <v>100</v>
      </c>
      <c r="H64" s="42">
        <f>SUM(H7:H63)</f>
        <v>134371.20000000001</v>
      </c>
      <c r="I64" s="43"/>
      <c r="J64" s="69" t="s">
        <v>101</v>
      </c>
      <c r="K64" s="70">
        <f>SUM(K7:K63)</f>
        <v>42522.531645569623</v>
      </c>
      <c r="L64" s="71" t="s">
        <v>102</v>
      </c>
      <c r="M64" s="72"/>
      <c r="N64" s="44">
        <f>SUM(O7:O63)</f>
        <v>77659</v>
      </c>
      <c r="O64" s="45"/>
      <c r="P64" s="73" t="s">
        <v>103</v>
      </c>
      <c r="Q64" s="74"/>
      <c r="R64" s="46">
        <f>N64-K67</f>
        <v>31309.440506329112</v>
      </c>
      <c r="S64" s="33"/>
      <c r="T64" s="91"/>
      <c r="U64" s="91"/>
    </row>
    <row r="65" spans="1:21" ht="31" customHeight="1" thickBot="1" x14ac:dyDescent="0.25">
      <c r="A65" s="47"/>
      <c r="B65" s="37"/>
      <c r="C65" s="37"/>
      <c r="D65" s="38"/>
      <c r="E65" s="39"/>
      <c r="F65" s="40"/>
      <c r="G65" s="48"/>
      <c r="H65" s="49"/>
      <c r="I65" s="50"/>
      <c r="J65" s="75" t="s">
        <v>104</v>
      </c>
      <c r="K65" s="76">
        <f>K64*0.09</f>
        <v>3827.027848101266</v>
      </c>
      <c r="L65" s="77"/>
      <c r="M65" s="77"/>
      <c r="N65" s="77"/>
      <c r="O65" s="77"/>
      <c r="P65" s="78"/>
      <c r="Q65" s="79"/>
      <c r="R65" s="51"/>
      <c r="S65" s="33"/>
      <c r="T65" s="91"/>
      <c r="U65" s="91"/>
    </row>
    <row r="66" spans="1:21" ht="32" customHeight="1" thickBot="1" x14ac:dyDescent="0.25">
      <c r="A66" s="52"/>
      <c r="B66" s="53"/>
      <c r="C66" s="53"/>
      <c r="D66" s="54"/>
      <c r="E66" s="55"/>
      <c r="F66" s="56"/>
      <c r="G66" s="57" t="s">
        <v>105</v>
      </c>
      <c r="H66" s="58" t="s">
        <v>106</v>
      </c>
      <c r="I66" s="50"/>
      <c r="J66" s="80" t="s">
        <v>107</v>
      </c>
      <c r="K66" s="59">
        <v>0</v>
      </c>
      <c r="L66" s="77"/>
      <c r="M66" s="77"/>
      <c r="N66" s="77"/>
      <c r="O66" s="77"/>
      <c r="P66" s="81" t="s">
        <v>108</v>
      </c>
      <c r="Q66" s="82"/>
      <c r="R66" s="89">
        <f>R64/N64</f>
        <v>0.40316564089582807</v>
      </c>
      <c r="S66" s="33"/>
      <c r="T66" s="91"/>
      <c r="U66" s="91"/>
    </row>
    <row r="67" spans="1:21" ht="60" customHeight="1" thickBot="1" x14ac:dyDescent="0.25">
      <c r="A67" s="60"/>
      <c r="B67" s="61"/>
      <c r="C67" s="61"/>
      <c r="D67" s="62"/>
      <c r="E67" s="63"/>
      <c r="F67" s="64"/>
      <c r="G67" s="65" t="s">
        <v>109</v>
      </c>
      <c r="H67" s="66">
        <f>SUM(H64:H66)</f>
        <v>134371.20000000001</v>
      </c>
      <c r="I67" s="50"/>
      <c r="J67" s="83" t="s">
        <v>109</v>
      </c>
      <c r="K67" s="67">
        <f>SUM(K64:K66)</f>
        <v>46349.559493670888</v>
      </c>
      <c r="L67" s="84" t="s">
        <v>110</v>
      </c>
      <c r="M67" s="85">
        <f>K66/K64</f>
        <v>0</v>
      </c>
      <c r="N67" s="86"/>
      <c r="O67" s="87"/>
      <c r="P67" s="88"/>
      <c r="Q67" s="88"/>
      <c r="R67" s="88"/>
      <c r="S67" s="68"/>
    </row>
    <row r="68" spans="1:21" x14ac:dyDescent="0.2">
      <c r="C68" s="34"/>
    </row>
    <row r="69" spans="1:21" x14ac:dyDescent="0.2">
      <c r="C69" s="34"/>
    </row>
    <row r="73" spans="1:21" x14ac:dyDescent="0.2">
      <c r="A73" s="35" t="s">
        <v>175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</row>
    <row r="74" spans="1:21" x14ac:dyDescent="0.2">
      <c r="A74" s="36" t="s">
        <v>176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</row>
  </sheetData>
  <autoFilter ref="A6:S64" xr:uid="{00000000-0001-0000-0000-000000000000}">
    <filterColumn colId="1">
      <filters>
        <filter val="KHY Mini Latiao 72g × 12 (Not Returnable)"/>
      </filters>
    </filterColumn>
  </autoFilter>
  <mergeCells count="5">
    <mergeCell ref="A4:H4"/>
    <mergeCell ref="A2:O2"/>
    <mergeCell ref="Q1:R1"/>
    <mergeCell ref="J4:S4"/>
    <mergeCell ref="A1:O1"/>
  </mergeCells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Consolidated_SKUs</vt:lpstr>
      <vt:lpstr>PRICE CHANGE</vt:lpstr>
      <vt:lpstr>GRAB PANDAMART CAL</vt:lpstr>
      <vt:lpstr>26-02453</vt:lpstr>
      <vt:lpstr>25-15580</vt:lpstr>
      <vt:lpstr>'25-15580'!Print_Area</vt:lpstr>
      <vt:lpstr>Consolidated_SKUs!Print_Area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Agarwal</dc:creator>
  <cp:lastModifiedBy>Viraj Agarwal</cp:lastModifiedBy>
  <cp:lastPrinted>2026-04-17T04:09:20Z</cp:lastPrinted>
  <dcterms:created xsi:type="dcterms:W3CDTF">2026-01-09T02:41:21Z</dcterms:created>
  <dcterms:modified xsi:type="dcterms:W3CDTF">2026-05-05T10:36:10Z</dcterms:modified>
</cp:coreProperties>
</file>