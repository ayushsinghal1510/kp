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SEPT PROFIT LISTING\"/>
    </mc:Choice>
  </mc:AlternateContent>
  <xr:revisionPtr revIDLastSave="0" documentId="13_ncr:1_{B83A2247-DDDE-4F7D-A63B-B45ED32BD504}" xr6:coauthVersionLast="47" xr6:coauthVersionMax="47" xr10:uidLastSave="{00000000-0000-0000-0000-000000000000}"/>
  <bookViews>
    <workbookView xWindow="20370" yWindow="-120" windowWidth="29040" windowHeight="15840" tabRatio="588" xr2:uid="{00000000-000D-0000-FFFF-FFFF00000000}"/>
  </bookViews>
  <sheets>
    <sheet name="INV131537" sheetId="12" r:id="rId1"/>
  </sheets>
  <definedNames>
    <definedName name="_xlnm.Print_Titles" localSheetId="0">'INV131537'!$1:$6</definedName>
  </definedNames>
  <calcPr calcId="181029"/>
</workbook>
</file>

<file path=xl/calcChain.xml><?xml version="1.0" encoding="utf-8"?>
<calcChain xmlns="http://schemas.openxmlformats.org/spreadsheetml/2006/main">
  <c r="G30" i="12" l="1"/>
  <c r="G29" i="12"/>
  <c r="G27" i="12"/>
  <c r="G26" i="12"/>
  <c r="G25" i="12"/>
  <c r="G24" i="12"/>
  <c r="G23" i="12"/>
  <c r="G22" i="12"/>
  <c r="E30" i="12"/>
  <c r="O30" i="12" s="1"/>
  <c r="E29" i="12"/>
  <c r="O29" i="12" s="1"/>
  <c r="E27" i="12"/>
  <c r="O27" i="12" s="1"/>
  <c r="E26" i="12"/>
  <c r="O26" i="12" s="1"/>
  <c r="E25" i="12"/>
  <c r="O25" i="12" s="1"/>
  <c r="E24" i="12"/>
  <c r="O24" i="12" s="1"/>
  <c r="E23" i="12"/>
  <c r="O23" i="12" s="1"/>
  <c r="E22" i="12"/>
  <c r="O22" i="12" s="1"/>
  <c r="H29" i="12" l="1"/>
  <c r="K29" i="12" s="1"/>
  <c r="H25" i="12"/>
  <c r="K25" i="12" s="1"/>
  <c r="H30" i="12"/>
  <c r="K30" i="12" s="1"/>
  <c r="H22" i="12"/>
  <c r="K22" i="12" s="1"/>
  <c r="H26" i="12"/>
  <c r="K26" i="12" s="1"/>
  <c r="H24" i="12"/>
  <c r="K24" i="12" s="1"/>
  <c r="H23" i="12"/>
  <c r="K23" i="12" s="1"/>
  <c r="H27" i="12"/>
  <c r="K27" i="12" s="1"/>
  <c r="J30" i="12"/>
  <c r="J29" i="12"/>
  <c r="J27" i="12"/>
  <c r="J26" i="12"/>
  <c r="J25" i="12"/>
  <c r="J24" i="12"/>
  <c r="J23" i="12"/>
  <c r="J22" i="12"/>
  <c r="G32" i="12"/>
  <c r="J32" i="12" s="1"/>
  <c r="E32" i="12"/>
  <c r="O32" i="12" s="1"/>
  <c r="E17" i="12"/>
  <c r="O17" i="12" s="1"/>
  <c r="G17" i="12"/>
  <c r="J17" i="12" s="1"/>
  <c r="H32" i="12" l="1"/>
  <c r="K32" i="12" s="1"/>
  <c r="H17" i="12"/>
  <c r="K17" i="12" s="1"/>
  <c r="G21" i="12"/>
  <c r="G20" i="12"/>
  <c r="G19" i="12"/>
  <c r="E21" i="12"/>
  <c r="O21" i="12" s="1"/>
  <c r="E20" i="12"/>
  <c r="O20" i="12" s="1"/>
  <c r="E19" i="12"/>
  <c r="O19" i="12" s="1"/>
  <c r="G31" i="12"/>
  <c r="J31" i="12" s="1"/>
  <c r="E31" i="12"/>
  <c r="O31" i="12" s="1"/>
  <c r="G28" i="12"/>
  <c r="J28" i="12" s="1"/>
  <c r="E28" i="12"/>
  <c r="O28" i="12" s="1"/>
  <c r="G18" i="12"/>
  <c r="J18" i="12" s="1"/>
  <c r="E18" i="12"/>
  <c r="O18" i="12" s="1"/>
  <c r="G16" i="12"/>
  <c r="J16" i="12" s="1"/>
  <c r="E16" i="12"/>
  <c r="O16" i="12" s="1"/>
  <c r="G15" i="12"/>
  <c r="E15" i="12"/>
  <c r="O15" i="12" s="1"/>
  <c r="G14" i="12"/>
  <c r="J14" i="12" s="1"/>
  <c r="E14" i="12"/>
  <c r="O14" i="12" s="1"/>
  <c r="G13" i="12"/>
  <c r="E13" i="12"/>
  <c r="O13" i="12" s="1"/>
  <c r="G12" i="12"/>
  <c r="J12" i="12" s="1"/>
  <c r="E12" i="12"/>
  <c r="O12" i="12" s="1"/>
  <c r="G11" i="12"/>
  <c r="E11" i="12"/>
  <c r="O11" i="12" s="1"/>
  <c r="G10" i="12"/>
  <c r="J10" i="12" s="1"/>
  <c r="E10" i="12"/>
  <c r="O10" i="12" s="1"/>
  <c r="G9" i="12"/>
  <c r="E9" i="12"/>
  <c r="O9" i="12" s="1"/>
  <c r="G8" i="12"/>
  <c r="J8" i="12" s="1"/>
  <c r="E8" i="12"/>
  <c r="O8" i="12" s="1"/>
  <c r="G7" i="12"/>
  <c r="J7" i="12" s="1"/>
  <c r="E7" i="12"/>
  <c r="O7" i="12" s="1"/>
  <c r="N33" i="12" l="1"/>
  <c r="H21" i="12"/>
  <c r="K21" i="12" s="1"/>
  <c r="H19" i="12"/>
  <c r="K19" i="12" s="1"/>
  <c r="H9" i="12"/>
  <c r="K9" i="12" s="1"/>
  <c r="H13" i="12"/>
  <c r="K13" i="12" s="1"/>
  <c r="H20" i="12"/>
  <c r="K20" i="12" s="1"/>
  <c r="J21" i="12"/>
  <c r="J20" i="12"/>
  <c r="J19" i="12"/>
  <c r="H28" i="12"/>
  <c r="K28" i="12" s="1"/>
  <c r="J13" i="12"/>
  <c r="J9" i="12"/>
  <c r="H7" i="12"/>
  <c r="H31" i="12"/>
  <c r="K31" i="12" s="1"/>
  <c r="H12" i="12"/>
  <c r="K12" i="12" s="1"/>
  <c r="J15" i="12"/>
  <c r="H15" i="12"/>
  <c r="K15" i="12" s="1"/>
  <c r="H8" i="12"/>
  <c r="K8" i="12" s="1"/>
  <c r="J11" i="12"/>
  <c r="H11" i="12"/>
  <c r="K11" i="12" s="1"/>
  <c r="H14" i="12"/>
  <c r="K14" i="12" s="1"/>
  <c r="H18" i="12"/>
  <c r="K18" i="12" s="1"/>
  <c r="H10" i="12"/>
  <c r="K10" i="12" s="1"/>
  <c r="H16" i="12"/>
  <c r="K16" i="12" s="1"/>
  <c r="H33" i="12" l="1"/>
  <c r="H36" i="12" s="1"/>
  <c r="K7" i="12"/>
  <c r="K33" i="12" l="1"/>
  <c r="M36" i="12" s="1"/>
  <c r="L30" i="12" s="1"/>
  <c r="P30" i="12" l="1"/>
  <c r="M30" i="12"/>
  <c r="L27" i="12"/>
  <c r="M27" i="12" s="1"/>
  <c r="L29" i="12"/>
  <c r="L25" i="12"/>
  <c r="P25" i="12" s="1"/>
  <c r="L26" i="12"/>
  <c r="L23" i="12"/>
  <c r="P23" i="12" s="1"/>
  <c r="L24" i="12"/>
  <c r="L32" i="12"/>
  <c r="M32" i="12" s="1"/>
  <c r="L22" i="12"/>
  <c r="K34" i="12"/>
  <c r="K36" i="12" s="1"/>
  <c r="R33" i="12" s="1"/>
  <c r="R35" i="12" s="1"/>
  <c r="L28" i="12"/>
  <c r="M28" i="12" s="1"/>
  <c r="L8" i="12"/>
  <c r="P8" i="12" s="1"/>
  <c r="L17" i="12"/>
  <c r="M17" i="12" s="1"/>
  <c r="L13" i="12"/>
  <c r="M13" i="12" s="1"/>
  <c r="L9" i="12"/>
  <c r="P9" i="12" s="1"/>
  <c r="L16" i="12"/>
  <c r="P16" i="12" s="1"/>
  <c r="L19" i="12"/>
  <c r="P19" i="12" s="1"/>
  <c r="L15" i="12"/>
  <c r="P15" i="12" s="1"/>
  <c r="R15" i="12" s="1"/>
  <c r="L21" i="12"/>
  <c r="P21" i="12" s="1"/>
  <c r="R21" i="12" s="1"/>
  <c r="L7" i="12"/>
  <c r="P7" i="12" s="1"/>
  <c r="L14" i="12"/>
  <c r="M14" i="12" s="1"/>
  <c r="L31" i="12"/>
  <c r="M31" i="12" s="1"/>
  <c r="L11" i="12"/>
  <c r="M11" i="12" s="1"/>
  <c r="L18" i="12"/>
  <c r="P18" i="12" s="1"/>
  <c r="L10" i="12"/>
  <c r="M10" i="12" s="1"/>
  <c r="L12" i="12"/>
  <c r="P12" i="12" s="1"/>
  <c r="L20" i="12"/>
  <c r="M20" i="12" s="1"/>
  <c r="P27" i="12" l="1"/>
  <c r="R30" i="12"/>
  <c r="Q30" i="12"/>
  <c r="P29" i="12"/>
  <c r="M29" i="12"/>
  <c r="R27" i="12"/>
  <c r="Q27" i="12"/>
  <c r="M25" i="12"/>
  <c r="P26" i="12"/>
  <c r="M26" i="12"/>
  <c r="Q25" i="12"/>
  <c r="R25" i="12"/>
  <c r="M23" i="12"/>
  <c r="P24" i="12"/>
  <c r="M24" i="12"/>
  <c r="R23" i="12"/>
  <c r="Q23" i="12"/>
  <c r="P32" i="12"/>
  <c r="Q32" i="12" s="1"/>
  <c r="P22" i="12"/>
  <c r="M22" i="12"/>
  <c r="P28" i="12"/>
  <c r="Q28" i="12" s="1"/>
  <c r="M18" i="12"/>
  <c r="M7" i="12"/>
  <c r="M16" i="12"/>
  <c r="M8" i="12"/>
  <c r="M19" i="12"/>
  <c r="Q21" i="12"/>
  <c r="P13" i="12"/>
  <c r="Q13" i="12" s="1"/>
  <c r="P10" i="12"/>
  <c r="R10" i="12" s="1"/>
  <c r="P17" i="12"/>
  <c r="R17" i="12" s="1"/>
  <c r="P11" i="12"/>
  <c r="Q11" i="12" s="1"/>
  <c r="P20" i="12"/>
  <c r="Q20" i="12" s="1"/>
  <c r="M21" i="12"/>
  <c r="Q15" i="12"/>
  <c r="P31" i="12"/>
  <c r="R31" i="12" s="1"/>
  <c r="M9" i="12"/>
  <c r="P14" i="12"/>
  <c r="R14" i="12" s="1"/>
  <c r="M12" i="12"/>
  <c r="M15" i="12"/>
  <c r="R19" i="12"/>
  <c r="Q19" i="12"/>
  <c r="Q9" i="12"/>
  <c r="R9" i="12"/>
  <c r="R8" i="12"/>
  <c r="Q8" i="12"/>
  <c r="Q16" i="12"/>
  <c r="R16" i="12"/>
  <c r="R18" i="12"/>
  <c r="Q18" i="12"/>
  <c r="R12" i="12"/>
  <c r="Q12" i="12"/>
  <c r="Q7" i="12"/>
  <c r="R7" i="12"/>
  <c r="R29" i="12" l="1"/>
  <c r="Q29" i="12"/>
  <c r="R26" i="12"/>
  <c r="Q26" i="12"/>
  <c r="Q17" i="12"/>
  <c r="R24" i="12"/>
  <c r="Q24" i="12"/>
  <c r="R32" i="12"/>
  <c r="R22" i="12"/>
  <c r="Q22" i="12"/>
  <c r="R28" i="12"/>
  <c r="R11" i="12"/>
  <c r="R20" i="12"/>
  <c r="R13" i="12"/>
  <c r="Q10" i="12"/>
  <c r="Q31" i="12"/>
  <c r="Q14" i="12"/>
</calcChain>
</file>

<file path=xl/sharedStrings.xml><?xml version="1.0" encoding="utf-8"?>
<sst xmlns="http://schemas.openxmlformats.org/spreadsheetml/2006/main" count="94" uniqueCount="70">
  <si>
    <t>Tian Ma Group Holdings Pte Ltd</t>
  </si>
  <si>
    <t xml:space="preserve">Date: </t>
  </si>
  <si>
    <t>Rate :</t>
  </si>
  <si>
    <t>PURCHASE ORDER</t>
  </si>
  <si>
    <t>Cost with Freight &amp; GST, Selling with GST</t>
  </si>
  <si>
    <t>No.</t>
  </si>
  <si>
    <t>Product Name</t>
  </si>
  <si>
    <t>Qty 
(CTN)</t>
  </si>
  <si>
    <t>Total Ordered Qty</t>
  </si>
  <si>
    <t>Total</t>
  </si>
  <si>
    <t>Total Cost 
(RAW)</t>
  </si>
  <si>
    <t>TMG Selling Price</t>
  </si>
  <si>
    <t>Total Selling</t>
  </si>
  <si>
    <t>UNIT PROFIT ($)</t>
  </si>
  <si>
    <t>TOTAL PROFIT($)</t>
  </si>
  <si>
    <t xml:space="preserve">Profit Margin - % </t>
  </si>
  <si>
    <t>SUB TOTAL:</t>
  </si>
  <si>
    <t>Total Cost:
(SGD)</t>
  </si>
  <si>
    <t>Total Selling: 
(SGD)</t>
  </si>
  <si>
    <t>Total Profit:</t>
  </si>
  <si>
    <t>Freight (CNF) Charge:</t>
  </si>
  <si>
    <t>Freight Charge:</t>
  </si>
  <si>
    <t>Profit over SP</t>
  </si>
  <si>
    <t>TOTAL AMT:</t>
  </si>
  <si>
    <t xml:space="preserve">Freight Charge Percentage  
(W/out GST)                                                  </t>
  </si>
  <si>
    <r>
      <rPr>
        <b/>
        <u/>
        <sz val="11"/>
        <color indexed="8"/>
        <rFont val="Calibri"/>
        <family val="2"/>
      </rPr>
      <t xml:space="preserve">
</t>
    </r>
    <r>
      <rPr>
        <b/>
        <u/>
        <sz val="11"/>
        <color indexed="8"/>
        <rFont val="Calibri"/>
        <family val="2"/>
      </rPr>
      <t>REMARKS:</t>
    </r>
    <r>
      <rPr>
        <sz val="11"/>
        <color indexed="8"/>
        <rFont val="Calibri"/>
        <family val="2"/>
      </rPr>
      <t xml:space="preserve">
</t>
    </r>
    <r>
      <rPr>
        <sz val="11"/>
        <color indexed="8"/>
        <rFont val="Calibri"/>
        <family val="2"/>
      </rPr>
      <t/>
    </r>
  </si>
  <si>
    <t>9 Changi South Street 3 #07-02/03 Singapore 486361</t>
  </si>
  <si>
    <t>Packing Size
(PC)</t>
  </si>
  <si>
    <t>NA</t>
  </si>
  <si>
    <t>TMG
Promotion
Price</t>
  </si>
  <si>
    <t>Unit Cost 
(SGD - PC)
(W/O GST)</t>
  </si>
  <si>
    <t>Total Cost 
(SGD)
(W GST)</t>
  </si>
  <si>
    <t>Ctn Price
(SGD)
(W/O GST)</t>
  </si>
  <si>
    <t>Unit Price
(SGD)
(W/O GST)</t>
  </si>
  <si>
    <t>12</t>
  </si>
  <si>
    <t>9% GST</t>
  </si>
  <si>
    <t>Unit Cost (9%)
(SGD - PC)</t>
  </si>
  <si>
    <t>Supplier: BISCOTTI TRADING PTE LTD</t>
  </si>
  <si>
    <t xml:space="preserve">SHOONFATT GRAND BUTTER CRKS 200G            </t>
  </si>
  <si>
    <t xml:space="preserve">SHOONFATT LIGHTTREAT CR CRKS SP 200G                  </t>
  </si>
  <si>
    <t xml:space="preserve">SHOONFATT PNUTBUTTER SWICH 175G              </t>
  </si>
  <si>
    <t xml:space="preserve">SHOONFATT LAVISH VEGETABLE CRKS 200G         </t>
  </si>
  <si>
    <t>24</t>
  </si>
  <si>
    <t xml:space="preserve">SHOONFATT CREAM CRKS SP 88G         </t>
  </si>
  <si>
    <t>1 for $0.70
3 for $2.00</t>
  </si>
  <si>
    <t xml:space="preserve">SHOONFATT SWEETIES SUGAR CRKS 200G           </t>
  </si>
  <si>
    <t xml:space="preserve">SHOONFATT LAVISH CHEESE SWICH 190G      </t>
  </si>
  <si>
    <t xml:space="preserve">SHOONFATT LAVISH CHOCOLATE SWICH 190G      </t>
  </si>
  <si>
    <t xml:space="preserve">SHOONFATT LAVISH PNUTBUTTER SWICH 190G                </t>
  </si>
  <si>
    <t xml:space="preserve">SHOONFATT PINEAPPLE JAM BIS 120G              </t>
  </si>
  <si>
    <t xml:space="preserve">CAKE CHEESE POUND 150G            </t>
  </si>
  <si>
    <t xml:space="preserve">CAKE PANDAN POUND 150G               </t>
  </si>
  <si>
    <t xml:space="preserve">CAKE MARBLE POUND 150G              </t>
  </si>
  <si>
    <t xml:space="preserve">CAKE CHOCOLATE POUND 150G                </t>
  </si>
  <si>
    <t xml:space="preserve">SHOONFATT MEFAR COFFEE 120G             </t>
  </si>
  <si>
    <t xml:space="preserve">SHOONFATT MEFAR COCOA 111G             </t>
  </si>
  <si>
    <t xml:space="preserve">SHOONFATT CHEESE CRKS 100G    </t>
  </si>
  <si>
    <t xml:space="preserve">SHOONFATT CORNIVAL NAIYU CRKS 240G          </t>
  </si>
  <si>
    <t xml:space="preserve">SHOONFATT LEMON PUFF 114G           </t>
  </si>
  <si>
    <t xml:space="preserve">  </t>
  </si>
  <si>
    <t>CAKE FRUIT POUND 150GM</t>
  </si>
  <si>
    <t xml:space="preserve">____________________     ____________________     ____________________     ____________________     ____________________     </t>
  </si>
  <si>
    <t xml:space="preserve">                   ORDER BY                          CHECKED BY                       SUBMITTED BY                 ACKNOWLEDGE BY              PRICE CHECKED BY</t>
  </si>
  <si>
    <t xml:space="preserve">SHOONFATT CHOC SWICH 114G   </t>
  </si>
  <si>
    <t xml:space="preserve">SHOONFATT CORN SWICH 120G  </t>
  </si>
  <si>
    <t xml:space="preserve">SHOONFATT POPCORN CRKS 200G           </t>
  </si>
  <si>
    <t xml:space="preserve">SHOONFATT SP BUTTER CRKS 180G           </t>
  </si>
  <si>
    <t xml:space="preserve">SHOONFATT CREAM CRKS SP 180G      </t>
  </si>
  <si>
    <t xml:space="preserve">SHOONFATT SUGAR CRKS 180G          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</si>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</sst>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&quot;$&quot;* #,##0.00_-;\-&quot;$&quot;* #,##0.00_-;_-&quot;$&quot;* &quot;-&quot;??_-;_-@_-"/>
    <numFmt numFmtId="165" formatCode="&quot;$&quot;#,##0.0000"/>
    <numFmt numFmtId="166" formatCode="&quot;$&quot;#,##0.00"/>
    <numFmt numFmtId="167" formatCode="&quot;$&quot;&quot; &quot;#,##0.0000"/>
    <numFmt numFmtId="168" formatCode="&quot;$&quot;&quot; &quot;#,##0.00"/>
    <numFmt numFmtId="169" formatCode="0.000%"/>
    <numFmt numFmtId="170" formatCode="&quot; &quot;&quot;$&quot;* #,##0.00&quot; &quot;;&quot;-&quot;&quot;$&quot;* #,##0.00&quot; &quot;;&quot; &quot;&quot;$&quot;* &quot;-&quot;??&quot; &quot;"/>
    <numFmt numFmtId="171" formatCode="0.000"/>
    <numFmt numFmtId="172" formatCode="0.0000"/>
    <numFmt numFmtId="173" formatCode="_-&quot;$&quot;* #,##0.000_-;\-&quot;$&quot;* #,##0.000_-;_-&quot;$&quot;* &quot;-&quot;???_-;_-@_-"/>
  </numFmts>
  <fonts count="22">
    <font>
      <sz val="11"/>
      <color indexed="8"/>
      <name val="Calibri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b/>
      <sz val="25"/>
      <color indexed="8"/>
      <name val="Calibri"/>
      <family val="2"/>
    </font>
    <font>
      <b/>
      <sz val="20"/>
      <color indexed="8"/>
      <name val="Calibri"/>
      <family val="2"/>
    </font>
    <font>
      <sz val="15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u/>
      <sz val="14"/>
      <color indexed="8"/>
      <name val="Calibri"/>
      <family val="2"/>
    </font>
    <font>
      <sz val="12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9"/>
      <color indexed="8"/>
      <name val="Calibri"/>
      <family val="2"/>
    </font>
    <font>
      <b/>
      <u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indexed="8"/>
      <name val="Calibri"/>
      <family val="2"/>
    </font>
    <font>
      <sz val="10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dotted">
        <color indexed="8"/>
      </right>
      <top/>
      <bottom/>
      <diagonal/>
    </border>
    <border>
      <left style="dotted">
        <color indexed="8"/>
      </left>
      <right style="dotted">
        <color indexed="8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/>
      <bottom/>
      <diagonal/>
    </border>
    <border>
      <left style="thin">
        <color indexed="10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thin">
        <color indexed="10"/>
      </top>
      <bottom/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 applyNumberFormat="0" applyFill="0" applyBorder="0" applyProtection="0"/>
    <xf numFmtId="43" fontId="2" fillId="0" borderId="0" applyFont="0" applyFill="0" applyBorder="0" applyAlignment="0" applyProtection="0"/>
    <xf numFmtId="0" fontId="19" fillId="0" borderId="0" applyNumberFormat="0" applyFill="0" applyBorder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>
      <alignment vertical="center"/>
    </xf>
    <xf numFmtId="0" fontId="19" fillId="0" borderId="0" applyNumberFormat="0" applyFill="0" applyBorder="0" applyProtection="0"/>
    <xf numFmtId="164" fontId="21" fillId="0" borderId="0" applyFont="0" applyFill="0" applyBorder="0" applyAlignment="0" applyProtection="0"/>
  </cellStyleXfs>
  <cellXfs count="125">
    <xf numFmtId="0" fontId="0" fillId="0" borderId="0" xfId="0"/>
    <xf numFmtId="0" fontId="0" fillId="0" borderId="0" xfId="0" applyNumberFormat="1"/>
    <xf numFmtId="0" fontId="0" fillId="2" borderId="7" xfId="0" applyFill="1" applyBorder="1"/>
    <xf numFmtId="165" fontId="0" fillId="2" borderId="7" xfId="0" applyNumberFormat="1" applyFill="1" applyBorder="1"/>
    <xf numFmtId="166" fontId="0" fillId="2" borderId="7" xfId="0" applyNumberFormat="1" applyFill="1" applyBorder="1"/>
    <xf numFmtId="0" fontId="0" fillId="2" borderId="2" xfId="0" applyFill="1" applyBorder="1"/>
    <xf numFmtId="0" fontId="0" fillId="2" borderId="11" xfId="0" applyFill="1" applyBorder="1"/>
    <xf numFmtId="166" fontId="0" fillId="2" borderId="8" xfId="0" applyNumberFormat="1" applyFill="1" applyBorder="1"/>
    <xf numFmtId="0" fontId="0" fillId="2" borderId="20" xfId="0" applyFill="1" applyBorder="1"/>
    <xf numFmtId="165" fontId="14" fillId="3" borderId="15" xfId="0" applyNumberFormat="1" applyFont="1" applyFill="1" applyBorder="1" applyAlignment="1">
      <alignment horizontal="right" vertical="center" wrapText="1"/>
    </xf>
    <xf numFmtId="49" fontId="14" fillId="3" borderId="23" xfId="0" applyNumberFormat="1" applyFont="1" applyFill="1" applyBorder="1" applyAlignment="1">
      <alignment horizontal="right" vertical="center" wrapText="1"/>
    </xf>
    <xf numFmtId="49" fontId="15" fillId="3" borderId="14" xfId="0" applyNumberFormat="1" applyFont="1" applyFill="1" applyBorder="1" applyAlignment="1">
      <alignment horizontal="right" vertical="center" wrapText="1"/>
    </xf>
    <xf numFmtId="169" fontId="17" fillId="2" borderId="13" xfId="0" applyNumberFormat="1" applyFont="1" applyFill="1" applyBorder="1" applyAlignment="1">
      <alignment horizontal="center" vertical="center" wrapText="1"/>
    </xf>
    <xf numFmtId="165" fontId="14" fillId="3" borderId="18" xfId="0" applyNumberFormat="1" applyFont="1" applyFill="1" applyBorder="1" applyAlignment="1">
      <alignment horizontal="right" vertical="center" wrapText="1"/>
    </xf>
    <xf numFmtId="49" fontId="14" fillId="3" borderId="25" xfId="0" applyNumberFormat="1" applyFont="1" applyFill="1" applyBorder="1" applyAlignment="1">
      <alignment horizontal="right" vertical="center" wrapText="1"/>
    </xf>
    <xf numFmtId="49" fontId="15" fillId="3" borderId="16" xfId="0" applyNumberFormat="1" applyFont="1" applyFill="1" applyBorder="1" applyAlignment="1">
      <alignment horizontal="right" vertical="center" wrapText="1"/>
    </xf>
    <xf numFmtId="168" fontId="9" fillId="2" borderId="17" xfId="0" applyNumberFormat="1" applyFont="1" applyFill="1" applyBorder="1" applyAlignment="1">
      <alignment horizontal="center" vertical="center"/>
    </xf>
    <xf numFmtId="0" fontId="0" fillId="0" borderId="0" xfId="0" applyNumberFormat="1" applyFill="1"/>
    <xf numFmtId="165" fontId="14" fillId="3" borderId="30" xfId="0" applyNumberFormat="1" applyFont="1" applyFill="1" applyBorder="1" applyAlignment="1">
      <alignment horizontal="right" vertical="center" wrapText="1"/>
    </xf>
    <xf numFmtId="49" fontId="14" fillId="3" borderId="32" xfId="0" applyNumberFormat="1" applyFont="1" applyFill="1" applyBorder="1" applyAlignment="1">
      <alignment horizontal="right" vertical="center" wrapText="1"/>
    </xf>
    <xf numFmtId="168" fontId="9" fillId="2" borderId="39" xfId="0" applyNumberFormat="1" applyFont="1" applyFill="1" applyBorder="1" applyAlignment="1">
      <alignment horizontal="center" vertical="center"/>
    </xf>
    <xf numFmtId="49" fontId="0" fillId="2" borderId="40" xfId="0" applyNumberFormat="1" applyFill="1" applyBorder="1" applyAlignment="1">
      <alignment horizontal="center" vertical="center" wrapText="1"/>
    </xf>
    <xf numFmtId="9" fontId="12" fillId="2" borderId="43" xfId="0" applyNumberFormat="1" applyFont="1" applyFill="1" applyBorder="1" applyAlignment="1">
      <alignment horizontal="left" vertical="center"/>
    </xf>
    <xf numFmtId="0" fontId="9" fillId="2" borderId="8" xfId="0" applyFont="1" applyFill="1" applyBorder="1"/>
    <xf numFmtId="170" fontId="9" fillId="2" borderId="12" xfId="0" applyNumberFormat="1" applyFont="1" applyFill="1" applyBorder="1" applyAlignment="1">
      <alignment horizontal="center" vertical="center" wrapText="1"/>
    </xf>
    <xf numFmtId="0" fontId="9" fillId="0" borderId="0" xfId="0" applyNumberFormat="1" applyFont="1"/>
    <xf numFmtId="49" fontId="10" fillId="3" borderId="49" xfId="0" applyNumberFormat="1" applyFont="1" applyFill="1" applyBorder="1" applyAlignment="1">
      <alignment horizontal="center" vertical="center" wrapText="1"/>
    </xf>
    <xf numFmtId="49" fontId="10" fillId="3" borderId="50" xfId="0" applyNumberFormat="1" applyFont="1" applyFill="1" applyBorder="1" applyAlignment="1">
      <alignment horizontal="center" vertical="center"/>
    </xf>
    <xf numFmtId="3" fontId="0" fillId="0" borderId="26" xfId="0" applyNumberFormat="1" applyFill="1" applyBorder="1" applyAlignment="1">
      <alignment horizontal="center" vertical="center"/>
    </xf>
    <xf numFmtId="0" fontId="9" fillId="0" borderId="12" xfId="0" applyFont="1" applyFill="1" applyBorder="1"/>
    <xf numFmtId="164" fontId="0" fillId="2" borderId="19" xfId="0" applyNumberFormat="1" applyFill="1" applyBorder="1" applyAlignment="1">
      <alignment vertical="center"/>
    </xf>
    <xf numFmtId="165" fontId="14" fillId="3" borderId="51" xfId="0" applyNumberFormat="1" applyFont="1" applyFill="1" applyBorder="1" applyAlignment="1">
      <alignment horizontal="right" vertical="center" wrapText="1"/>
    </xf>
    <xf numFmtId="165" fontId="14" fillId="3" borderId="52" xfId="0" applyNumberFormat="1" applyFont="1" applyFill="1" applyBorder="1" applyAlignment="1">
      <alignment horizontal="right" vertical="center" wrapText="1"/>
    </xf>
    <xf numFmtId="165" fontId="14" fillId="3" borderId="53" xfId="0" applyNumberFormat="1" applyFont="1" applyFill="1" applyBorder="1" applyAlignment="1">
      <alignment horizontal="right" vertical="center" wrapText="1"/>
    </xf>
    <xf numFmtId="165" fontId="14" fillId="3" borderId="54" xfId="0" applyNumberFormat="1" applyFont="1" applyFill="1" applyBorder="1" applyAlignment="1">
      <alignment horizontal="right" vertical="center" wrapText="1"/>
    </xf>
    <xf numFmtId="173" fontId="0" fillId="0" borderId="26" xfId="1" applyNumberFormat="1" applyFont="1" applyFill="1" applyBorder="1" applyAlignment="1">
      <alignment vertical="center"/>
    </xf>
    <xf numFmtId="164" fontId="0" fillId="0" borderId="26" xfId="10" applyFont="1" applyFill="1" applyBorder="1" applyAlignment="1">
      <alignment horizontal="center" vertical="center"/>
    </xf>
    <xf numFmtId="0" fontId="19" fillId="0" borderId="0" xfId="0" applyNumberFormat="1" applyFont="1"/>
    <xf numFmtId="164" fontId="19" fillId="5" borderId="19" xfId="0" applyNumberFormat="1" applyFont="1" applyFill="1" applyBorder="1" applyAlignment="1">
      <alignment vertical="center"/>
    </xf>
    <xf numFmtId="0" fontId="6" fillId="2" borderId="7" xfId="0" applyFont="1" applyFill="1" applyBorder="1"/>
    <xf numFmtId="0" fontId="9" fillId="0" borderId="43" xfId="0" applyFont="1" applyFill="1" applyBorder="1"/>
    <xf numFmtId="0" fontId="0" fillId="2" borderId="57" xfId="0" applyFill="1" applyBorder="1"/>
    <xf numFmtId="0" fontId="8" fillId="2" borderId="57" xfId="0" applyFont="1" applyFill="1" applyBorder="1" applyAlignment="1">
      <alignment vertical="center"/>
    </xf>
    <xf numFmtId="0" fontId="8" fillId="0" borderId="57" xfId="0" applyFont="1" applyFill="1" applyBorder="1" applyAlignment="1">
      <alignment vertical="center"/>
    </xf>
    <xf numFmtId="49" fontId="14" fillId="3" borderId="40" xfId="0" applyNumberFormat="1" applyFont="1" applyFill="1" applyBorder="1" applyAlignment="1">
      <alignment horizontal="right" vertical="center" wrapText="1"/>
    </xf>
    <xf numFmtId="168" fontId="15" fillId="2" borderId="42" xfId="0" applyNumberFormat="1" applyFont="1" applyFill="1" applyBorder="1" applyAlignment="1">
      <alignment horizontal="right" vertical="center"/>
    </xf>
    <xf numFmtId="168" fontId="0" fillId="0" borderId="26" xfId="0" applyNumberFormat="1" applyFill="1" applyBorder="1" applyAlignment="1">
      <alignment horizontal="center" vertical="center"/>
    </xf>
    <xf numFmtId="164" fontId="9" fillId="6" borderId="26" xfId="9" applyNumberFormat="1" applyFont="1" applyFill="1" applyBorder="1" applyAlignment="1">
      <alignment horizontal="center" vertical="center"/>
    </xf>
    <xf numFmtId="10" fontId="0" fillId="0" borderId="26" xfId="0" applyNumberFormat="1" applyFill="1" applyBorder="1" applyAlignment="1">
      <alignment horizontal="center" vertical="center"/>
    </xf>
    <xf numFmtId="0" fontId="0" fillId="2" borderId="63" xfId="0" applyFill="1" applyBorder="1"/>
    <xf numFmtId="0" fontId="0" fillId="0" borderId="63" xfId="0" applyFill="1" applyBorder="1"/>
    <xf numFmtId="0" fontId="9" fillId="2" borderId="63" xfId="0" applyFont="1" applyFill="1" applyBorder="1"/>
    <xf numFmtId="0" fontId="8" fillId="2" borderId="63" xfId="0" applyFont="1" applyFill="1" applyBorder="1" applyAlignment="1">
      <alignment vertical="center"/>
    </xf>
    <xf numFmtId="49" fontId="4" fillId="2" borderId="36" xfId="0" applyNumberFormat="1" applyFont="1" applyFill="1" applyBorder="1" applyAlignment="1">
      <alignment horizontal="right" vertical="center"/>
    </xf>
    <xf numFmtId="0" fontId="9" fillId="2" borderId="33" xfId="0" applyFont="1" applyFill="1" applyBorder="1"/>
    <xf numFmtId="49" fontId="4" fillId="2" borderId="64" xfId="0" applyNumberFormat="1" applyFont="1" applyFill="1" applyBorder="1" applyAlignment="1">
      <alignment horizontal="right"/>
    </xf>
    <xf numFmtId="171" fontId="6" fillId="2" borderId="44" xfId="0" applyNumberFormat="1" applyFont="1" applyFill="1" applyBorder="1" applyAlignment="1">
      <alignment horizontal="center"/>
    </xf>
    <xf numFmtId="172" fontId="7" fillId="2" borderId="44" xfId="0" applyNumberFormat="1" applyFont="1" applyFill="1" applyBorder="1" applyAlignment="1">
      <alignment horizontal="center"/>
    </xf>
    <xf numFmtId="0" fontId="15" fillId="2" borderId="45" xfId="0" applyFont="1" applyFill="1" applyBorder="1" applyAlignment="1">
      <alignment horizontal="center"/>
    </xf>
    <xf numFmtId="49" fontId="10" fillId="3" borderId="49" xfId="0" applyNumberFormat="1" applyFont="1" applyFill="1" applyBorder="1" applyAlignment="1">
      <alignment horizontal="center" vertical="center"/>
    </xf>
    <xf numFmtId="49" fontId="10" fillId="3" borderId="32" xfId="0" applyNumberFormat="1" applyFont="1" applyFill="1" applyBorder="1" applyAlignment="1">
      <alignment horizontal="center" vertical="center"/>
    </xf>
    <xf numFmtId="166" fontId="15" fillId="2" borderId="38" xfId="0" applyNumberFormat="1" applyFont="1" applyFill="1" applyBorder="1" applyAlignment="1">
      <alignment horizontal="right" vertical="center"/>
    </xf>
    <xf numFmtId="10" fontId="14" fillId="0" borderId="26" xfId="0" applyNumberFormat="1" applyFont="1" applyFill="1" applyBorder="1" applyAlignment="1">
      <alignment horizontal="center" vertical="center" wrapText="1"/>
    </xf>
    <xf numFmtId="164" fontId="9" fillId="0" borderId="26" xfId="9" applyNumberFormat="1" applyFont="1" applyFill="1" applyBorder="1" applyAlignment="1">
      <alignment horizontal="center" vertical="center"/>
    </xf>
    <xf numFmtId="0" fontId="0" fillId="2" borderId="66" xfId="0" applyFill="1" applyBorder="1"/>
    <xf numFmtId="0" fontId="0" fillId="0" borderId="26" xfId="0" applyNumberFormat="1" applyFill="1" applyBorder="1" applyAlignment="1">
      <alignment horizontal="center" vertical="center"/>
    </xf>
    <xf numFmtId="49" fontId="19" fillId="0" borderId="26" xfId="0" applyNumberFormat="1" applyFont="1" applyBorder="1" applyAlignment="1">
      <alignment vertical="center" wrapText="1"/>
    </xf>
    <xf numFmtId="49" fontId="19" fillId="0" borderId="26" xfId="0" applyNumberFormat="1" applyFont="1" applyBorder="1" applyAlignment="1">
      <alignment horizontal="center" vertical="center" wrapText="1"/>
    </xf>
    <xf numFmtId="164" fontId="0" fillId="0" borderId="26" xfId="0" applyNumberFormat="1" applyFill="1" applyBorder="1" applyAlignment="1">
      <alignment vertical="center"/>
    </xf>
    <xf numFmtId="1" fontId="11" fillId="0" borderId="26" xfId="0" applyNumberFormat="1" applyFont="1" applyFill="1" applyBorder="1" applyAlignment="1">
      <alignment horizontal="center" vertical="center"/>
    </xf>
    <xf numFmtId="167" fontId="0" fillId="0" borderId="26" xfId="0" applyNumberFormat="1" applyFill="1" applyBorder="1" applyAlignment="1">
      <alignment horizontal="center" vertical="center"/>
    </xf>
    <xf numFmtId="166" fontId="10" fillId="2" borderId="65" xfId="0" applyNumberFormat="1" applyFont="1" applyFill="1" applyBorder="1" applyAlignment="1">
      <alignment horizontal="center" vertical="center"/>
    </xf>
    <xf numFmtId="49" fontId="10" fillId="3" borderId="67" xfId="0" applyNumberFormat="1" applyFont="1" applyFill="1" applyBorder="1" applyAlignment="1">
      <alignment horizontal="center" vertical="center" wrapText="1"/>
    </xf>
    <xf numFmtId="49" fontId="10" fillId="3" borderId="68" xfId="0" applyNumberFormat="1" applyFont="1" applyFill="1" applyBorder="1" applyAlignment="1">
      <alignment horizontal="center" vertical="center" wrapText="1"/>
    </xf>
    <xf numFmtId="49" fontId="10" fillId="4" borderId="68" xfId="0" applyNumberFormat="1" applyFont="1" applyFill="1" applyBorder="1" applyAlignment="1">
      <alignment horizontal="center" vertical="center" wrapText="1"/>
    </xf>
    <xf numFmtId="49" fontId="10" fillId="3" borderId="69" xfId="0" applyNumberFormat="1" applyFont="1" applyFill="1" applyBorder="1" applyAlignment="1">
      <alignment horizontal="center" vertical="center" wrapText="1"/>
    </xf>
    <xf numFmtId="49" fontId="19" fillId="0" borderId="26" xfId="0" applyNumberFormat="1" applyFont="1" applyFill="1" applyBorder="1" applyAlignment="1">
      <alignment vertical="center" wrapText="1"/>
    </xf>
    <xf numFmtId="49" fontId="19" fillId="0" borderId="26" xfId="9" applyNumberFormat="1" applyFill="1" applyBorder="1" applyAlignment="1">
      <alignment horizontal="left" vertical="center" wrapText="1"/>
    </xf>
    <xf numFmtId="49" fontId="19" fillId="0" borderId="26" xfId="0" applyNumberFormat="1" applyFont="1" applyFill="1" applyBorder="1" applyAlignment="1">
      <alignment horizontal="center" vertical="center" wrapText="1"/>
    </xf>
    <xf numFmtId="0" fontId="14" fillId="0" borderId="0" xfId="0" applyNumberFormat="1" applyFont="1"/>
    <xf numFmtId="0" fontId="14" fillId="0" borderId="0" xfId="0" applyNumberFormat="1" applyFont="1" applyFill="1"/>
    <xf numFmtId="0" fontId="15" fillId="0" borderId="0" xfId="0" applyNumberFormat="1" applyFont="1"/>
    <xf numFmtId="0" fontId="14" fillId="0" borderId="0" xfId="0" applyNumberFormat="1" applyFont="1" applyAlignment="1">
      <alignment horizontal="left" vertical="center"/>
    </xf>
    <xf numFmtId="49" fontId="3" fillId="2" borderId="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4" fillId="2" borderId="37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9" fontId="4" fillId="2" borderId="55" xfId="0" applyNumberFormat="1" applyFont="1" applyFill="1" applyBorder="1" applyAlignment="1">
      <alignment horizontal="center" vertical="center"/>
    </xf>
    <xf numFmtId="49" fontId="4" fillId="2" borderId="56" xfId="0" applyNumberFormat="1" applyFont="1" applyFill="1" applyBorder="1" applyAlignment="1">
      <alignment horizontal="center" vertical="center"/>
    </xf>
    <xf numFmtId="49" fontId="4" fillId="2" borderId="35" xfId="0" applyNumberFormat="1" applyFont="1" applyFill="1" applyBorder="1" applyAlignment="1">
      <alignment horizontal="center" vertical="center"/>
    </xf>
    <xf numFmtId="49" fontId="19" fillId="2" borderId="27" xfId="0" applyNumberFormat="1" applyFont="1" applyFill="1" applyBorder="1" applyAlignment="1">
      <alignment horizontal="left" vertical="top" wrapText="1"/>
    </xf>
    <xf numFmtId="0" fontId="0" fillId="2" borderId="28" xfId="0" applyFill="1" applyBorder="1" applyAlignment="1">
      <alignment horizontal="left" vertical="top" wrapText="1"/>
    </xf>
    <xf numFmtId="0" fontId="0" fillId="2" borderId="29" xfId="0" applyFill="1" applyBorder="1" applyAlignment="1">
      <alignment horizontal="left" vertical="top" wrapText="1"/>
    </xf>
    <xf numFmtId="49" fontId="0" fillId="2" borderId="27" xfId="0" applyNumberFormat="1" applyFill="1" applyBorder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22" xfId="0" applyFill="1" applyBorder="1" applyAlignment="1">
      <alignment horizontal="left" vertical="top" wrapText="1"/>
    </xf>
    <xf numFmtId="0" fontId="0" fillId="2" borderId="2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49" fontId="14" fillId="3" borderId="47" xfId="0" applyNumberFormat="1" applyFont="1" applyFill="1" applyBorder="1" applyAlignment="1">
      <alignment horizontal="center" vertical="center" wrapText="1"/>
    </xf>
    <xf numFmtId="49" fontId="14" fillId="3" borderId="31" xfId="0" applyNumberFormat="1" applyFont="1" applyFill="1" applyBorder="1" applyAlignment="1">
      <alignment horizontal="center" vertical="center" wrapText="1"/>
    </xf>
    <xf numFmtId="164" fontId="0" fillId="2" borderId="48" xfId="0" applyNumberFormat="1" applyFill="1" applyBorder="1" applyAlignment="1">
      <alignment horizontal="center" vertical="center"/>
    </xf>
    <xf numFmtId="164" fontId="0" fillId="2" borderId="34" xfId="0" applyNumberFormat="1" applyFill="1" applyBorder="1" applyAlignment="1">
      <alignment horizontal="center" vertical="center"/>
    </xf>
    <xf numFmtId="49" fontId="14" fillId="3" borderId="51" xfId="0" applyNumberFormat="1" applyFont="1" applyFill="1" applyBorder="1" applyAlignment="1">
      <alignment horizontal="center" vertical="center" wrapText="1"/>
    </xf>
    <xf numFmtId="0" fontId="14" fillId="3" borderId="58" xfId="0" applyFont="1" applyFill="1" applyBorder="1" applyAlignment="1">
      <alignment horizontal="center" vertical="center" wrapText="1"/>
    </xf>
    <xf numFmtId="168" fontId="10" fillId="2" borderId="59" xfId="0" applyNumberFormat="1" applyFont="1" applyFill="1" applyBorder="1" applyAlignment="1">
      <alignment horizontal="center" vertical="center"/>
    </xf>
    <xf numFmtId="168" fontId="10" fillId="2" borderId="60" xfId="0" applyNumberFormat="1" applyFont="1" applyFill="1" applyBorder="1" applyAlignment="1">
      <alignment horizontal="center" vertical="center"/>
    </xf>
    <xf numFmtId="49" fontId="14" fillId="3" borderId="0" xfId="0" applyNumberFormat="1" applyFont="1" applyFill="1" applyBorder="1" applyAlignment="1">
      <alignment horizontal="center" vertical="center"/>
    </xf>
    <xf numFmtId="49" fontId="14" fillId="3" borderId="61" xfId="0" applyNumberFormat="1" applyFont="1" applyFill="1" applyBorder="1" applyAlignment="1">
      <alignment horizontal="center" vertical="center"/>
    </xf>
    <xf numFmtId="49" fontId="14" fillId="3" borderId="44" xfId="0" applyNumberFormat="1" applyFont="1" applyFill="1" applyBorder="1" applyAlignment="1">
      <alignment horizontal="center" vertical="center"/>
    </xf>
    <xf numFmtId="49" fontId="14" fillId="3" borderId="45" xfId="0" applyNumberFormat="1" applyFont="1" applyFill="1" applyBorder="1" applyAlignment="1">
      <alignment horizontal="center" vertical="center"/>
    </xf>
    <xf numFmtId="168" fontId="9" fillId="2" borderId="62" xfId="0" applyNumberFormat="1" applyFont="1" applyFill="1" applyBorder="1" applyAlignment="1">
      <alignment horizontal="center" vertical="center"/>
    </xf>
    <xf numFmtId="168" fontId="9" fillId="2" borderId="46" xfId="0" applyNumberFormat="1" applyFont="1" applyFill="1" applyBorder="1" applyAlignment="1">
      <alignment horizontal="center" vertical="center"/>
    </xf>
    <xf numFmtId="49" fontId="16" fillId="2" borderId="26" xfId="0" applyNumberFormat="1" applyFont="1" applyFill="1" applyBorder="1" applyAlignment="1">
      <alignment horizontal="center" vertical="center" wrapText="1"/>
    </xf>
    <xf numFmtId="49" fontId="4" fillId="3" borderId="35" xfId="0" applyNumberFormat="1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169" fontId="18" fillId="2" borderId="41" xfId="0" applyNumberFormat="1" applyFont="1" applyFill="1" applyBorder="1" applyAlignment="1">
      <alignment horizontal="center" vertical="center"/>
    </xf>
    <xf numFmtId="169" fontId="18" fillId="2" borderId="42" xfId="0" applyNumberFormat="1" applyFont="1" applyFill="1" applyBorder="1" applyAlignment="1">
      <alignment horizontal="center" vertical="center"/>
    </xf>
  </cellXfs>
  <cellStyles count="11">
    <cellStyle name=" 3]_x000d__x000a_Zoomed=1_x000d__x000a_Row=0_x000d__x000a_Column=0_x000d__x000a_Height=300_x000d__x000a_Width=300_x000d__x000a_FontName=細明體_x000d__x000a_FontStyle=0_x000d__x000a_FontSize=9_x000d__x000a_PrtFontName=Co" xfId="8" xr:uid="{00000000-0005-0000-0000-000000000000}"/>
    <cellStyle name="Comma 2" xfId="1" xr:uid="{00000000-0005-0000-0000-000001000000}"/>
    <cellStyle name="Comma 2 2" xfId="5" xr:uid="{00000000-0005-0000-0000-000002000000}"/>
    <cellStyle name="Comma 2 3" xfId="3" xr:uid="{00000000-0005-0000-0000-000003000000}"/>
    <cellStyle name="Currency" xfId="10" builtinId="4"/>
    <cellStyle name="Currency 2" xfId="6" xr:uid="{00000000-0005-0000-0000-000005000000}"/>
    <cellStyle name="Normal" xfId="0" builtinId="0"/>
    <cellStyle name="Normal 2" xfId="9" xr:uid="{00000000-0005-0000-0000-000007000000}"/>
    <cellStyle name="Normal 3" xfId="4" xr:uid="{00000000-0005-0000-0000-000008000000}"/>
    <cellStyle name="Normal 4" xfId="2" xr:uid="{00000000-0005-0000-0000-000009000000}"/>
    <cellStyle name="Percent 2" xfId="7" xr:uid="{00000000-0005-0000-0000-00000A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BD4B4"/>
      <rgbColor rgb="FFFFC000"/>
      <rgbColor rgb="FFFF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S44"/>
  <sheetViews>
    <sheetView tabSelected="1" topLeftCell="A7" zoomScale="80" zoomScaleNormal="80" workbookViewId="0">
      <selection activeCell="C14" sqref="C14"/>
    </sheetView>
  </sheetViews>
  <sheetFormatPr defaultColWidth="14.42578125" defaultRowHeight="15.75"/>
  <cols>
    <col min="1" max="1" width="6" style="1" customWidth="1"/>
    <col min="2" max="2" width="55.140625" style="1" bestFit="1" customWidth="1"/>
    <col min="3" max="3" width="7.42578125" style="1" bestFit="1" customWidth="1"/>
    <col min="4" max="4" width="9.5703125" style="1" bestFit="1" customWidth="1"/>
    <col min="5" max="5" width="10.5703125" style="1" bestFit="1" customWidth="1"/>
    <col min="6" max="7" width="13.140625" style="1" bestFit="1" customWidth="1"/>
    <col min="8" max="8" width="14.5703125" style="1" customWidth="1"/>
    <col min="9" max="9" width="2.5703125" style="1" customWidth="1"/>
    <col min="10" max="10" width="13.140625" style="1" bestFit="1" customWidth="1"/>
    <col min="11" max="11" width="12.85546875" style="1" customWidth="1"/>
    <col min="12" max="12" width="15.28515625" style="1" bestFit="1" customWidth="1"/>
    <col min="13" max="13" width="12.140625" style="1" bestFit="1" customWidth="1"/>
    <col min="14" max="14" width="13.5703125" style="17" bestFit="1" customWidth="1"/>
    <col min="15" max="15" width="10.140625" style="1" customWidth="1"/>
    <col min="16" max="16" width="12.7109375" style="1" bestFit="1" customWidth="1"/>
    <col min="17" max="17" width="12.140625" style="1" bestFit="1" customWidth="1"/>
    <col min="18" max="18" width="13" style="1" bestFit="1" customWidth="1"/>
    <col min="19" max="19" width="15.140625" style="25" customWidth="1"/>
    <col min="20" max="16384" width="14.42578125" style="1"/>
  </cols>
  <sheetData>
    <row r="1" spans="1:19" ht="32.450000000000003" customHeight="1">
      <c r="A1" s="83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5"/>
      <c r="P1" s="53" t="s">
        <v>1</v>
      </c>
      <c r="Q1" s="86">
        <v>45918</v>
      </c>
      <c r="R1" s="86"/>
      <c r="S1" s="54"/>
    </row>
    <row r="2" spans="1:19" ht="31.7" customHeight="1" thickBot="1">
      <c r="A2" s="87" t="s">
        <v>26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9"/>
      <c r="P2" s="55" t="s">
        <v>2</v>
      </c>
      <c r="Q2" s="56">
        <v>1</v>
      </c>
      <c r="R2" s="57"/>
      <c r="S2" s="58"/>
    </row>
    <row r="3" spans="1:19" ht="22.7" customHeight="1" thickBot="1">
      <c r="A3" s="2"/>
      <c r="B3" s="39" t="s">
        <v>37</v>
      </c>
      <c r="C3" s="2"/>
      <c r="D3" s="2"/>
      <c r="E3" s="3"/>
      <c r="F3" s="3"/>
      <c r="G3" s="3"/>
      <c r="H3" s="4"/>
      <c r="I3" s="5"/>
      <c r="J3" s="41"/>
      <c r="K3" s="42"/>
      <c r="L3" s="42"/>
      <c r="M3" s="42"/>
      <c r="N3" s="43"/>
      <c r="O3" s="42"/>
      <c r="P3" s="52"/>
      <c r="Q3" s="52"/>
      <c r="R3" s="52"/>
      <c r="S3" s="51"/>
    </row>
    <row r="4" spans="1:19" ht="22.7" customHeight="1" thickBot="1">
      <c r="A4" s="90" t="s">
        <v>3</v>
      </c>
      <c r="B4" s="91"/>
      <c r="C4" s="91"/>
      <c r="D4" s="91"/>
      <c r="E4" s="91"/>
      <c r="F4" s="91"/>
      <c r="G4" s="91"/>
      <c r="H4" s="92"/>
      <c r="I4" s="6"/>
      <c r="J4" s="93" t="s">
        <v>4</v>
      </c>
      <c r="K4" s="94"/>
      <c r="L4" s="94"/>
      <c r="M4" s="94"/>
      <c r="N4" s="94"/>
      <c r="O4" s="94"/>
      <c r="P4" s="94"/>
      <c r="Q4" s="94"/>
      <c r="R4" s="94"/>
      <c r="S4" s="95"/>
    </row>
    <row r="5" spans="1:19" ht="15" customHeight="1" thickBot="1">
      <c r="A5" s="2"/>
      <c r="B5" s="2"/>
      <c r="C5" s="2"/>
      <c r="D5" s="2"/>
      <c r="E5" s="3"/>
      <c r="F5" s="3"/>
      <c r="G5" s="3"/>
      <c r="H5" s="4"/>
      <c r="I5" s="7"/>
      <c r="J5" s="49"/>
      <c r="K5" s="49"/>
      <c r="L5" s="49"/>
      <c r="M5" s="49"/>
      <c r="N5" s="50"/>
      <c r="O5" s="49"/>
      <c r="P5" s="49"/>
      <c r="Q5" s="49"/>
      <c r="R5" s="49"/>
      <c r="S5" s="51"/>
    </row>
    <row r="6" spans="1:19" ht="75">
      <c r="A6" s="60" t="s">
        <v>5</v>
      </c>
      <c r="B6" s="59" t="s">
        <v>6</v>
      </c>
      <c r="C6" s="26" t="s">
        <v>7</v>
      </c>
      <c r="D6" s="26" t="s">
        <v>27</v>
      </c>
      <c r="E6" s="26" t="s">
        <v>8</v>
      </c>
      <c r="F6" s="26" t="s">
        <v>32</v>
      </c>
      <c r="G6" s="26" t="s">
        <v>33</v>
      </c>
      <c r="H6" s="27" t="s">
        <v>9</v>
      </c>
      <c r="I6" s="71"/>
      <c r="J6" s="72" t="s">
        <v>30</v>
      </c>
      <c r="K6" s="73" t="s">
        <v>10</v>
      </c>
      <c r="L6" s="73" t="s">
        <v>36</v>
      </c>
      <c r="M6" s="73" t="s">
        <v>31</v>
      </c>
      <c r="N6" s="74" t="s">
        <v>11</v>
      </c>
      <c r="O6" s="73" t="s">
        <v>12</v>
      </c>
      <c r="P6" s="73" t="s">
        <v>13</v>
      </c>
      <c r="Q6" s="73" t="s">
        <v>14</v>
      </c>
      <c r="R6" s="73" t="s">
        <v>15</v>
      </c>
      <c r="S6" s="75" t="s">
        <v>29</v>
      </c>
    </row>
    <row r="7" spans="1:19" s="17" customFormat="1" ht="45" customHeight="1">
      <c r="A7" s="65">
        <v>1</v>
      </c>
      <c r="B7" s="76" t="s">
        <v>56</v>
      </c>
      <c r="C7" s="28">
        <v>45</v>
      </c>
      <c r="D7" s="67" t="s">
        <v>34</v>
      </c>
      <c r="E7" s="28">
        <f>D7*C7</f>
        <v>540</v>
      </c>
      <c r="F7" s="36">
        <v>7</v>
      </c>
      <c r="G7" s="35">
        <f t="shared" ref="G7:G31" si="0">F7/D7</f>
        <v>0.58333333333333337</v>
      </c>
      <c r="H7" s="68">
        <f t="shared" ref="H7:H31" si="1">G7*E7</f>
        <v>315</v>
      </c>
      <c r="I7" s="69"/>
      <c r="J7" s="70">
        <f>G7/$Q$2</f>
        <v>0.58333333333333337</v>
      </c>
      <c r="K7" s="70">
        <f t="shared" ref="K7:K31" si="2">H7/$Q$2</f>
        <v>315</v>
      </c>
      <c r="L7" s="70">
        <f t="shared" ref="L7:L32" si="3">J7*(1+$M$36+9%)</f>
        <v>0.63583333333333347</v>
      </c>
      <c r="M7" s="70">
        <f>L7*E7</f>
        <v>343.35000000000008</v>
      </c>
      <c r="N7" s="47">
        <v>1</v>
      </c>
      <c r="O7" s="46">
        <f t="shared" ref="O7:O32" si="4">N7*E7</f>
        <v>540</v>
      </c>
      <c r="P7" s="46">
        <f t="shared" ref="P7:P31" si="5">N7-L7</f>
        <v>0.36416666666666653</v>
      </c>
      <c r="Q7" s="46">
        <f t="shared" ref="Q7:Q31" si="6">P7*E7</f>
        <v>196.64999999999992</v>
      </c>
      <c r="R7" s="48">
        <f t="shared" ref="R7:R31" si="7">P7/N7</f>
        <v>0.36416666666666653</v>
      </c>
      <c r="S7" s="48"/>
    </row>
    <row r="8" spans="1:19" s="17" customFormat="1" ht="45" customHeight="1">
      <c r="A8" s="65">
        <v>2</v>
      </c>
      <c r="B8" s="77" t="s">
        <v>57</v>
      </c>
      <c r="C8" s="28">
        <v>20</v>
      </c>
      <c r="D8" s="67" t="s">
        <v>42</v>
      </c>
      <c r="E8" s="28">
        <f t="shared" ref="E8:E32" si="8">D8*C8</f>
        <v>480</v>
      </c>
      <c r="F8" s="36">
        <v>26.8</v>
      </c>
      <c r="G8" s="35">
        <f t="shared" si="0"/>
        <v>1.1166666666666667</v>
      </c>
      <c r="H8" s="68">
        <f t="shared" si="1"/>
        <v>536</v>
      </c>
      <c r="I8" s="69"/>
      <c r="J8" s="70">
        <f t="shared" ref="J8:J31" si="9">G8/$Q$2</f>
        <v>1.1166666666666667</v>
      </c>
      <c r="K8" s="70">
        <f t="shared" si="2"/>
        <v>536</v>
      </c>
      <c r="L8" s="70">
        <f t="shared" si="3"/>
        <v>1.2171666666666667</v>
      </c>
      <c r="M8" s="70">
        <f t="shared" ref="M8:M31" si="10">L8*E8</f>
        <v>584.24</v>
      </c>
      <c r="N8" s="47">
        <v>1.75</v>
      </c>
      <c r="O8" s="46">
        <f t="shared" si="4"/>
        <v>840</v>
      </c>
      <c r="P8" s="46">
        <f t="shared" si="5"/>
        <v>0.53283333333333327</v>
      </c>
      <c r="Q8" s="46">
        <f t="shared" si="6"/>
        <v>255.75999999999996</v>
      </c>
      <c r="R8" s="48">
        <f t="shared" si="7"/>
        <v>0.30447619047619046</v>
      </c>
      <c r="S8" s="48"/>
    </row>
    <row r="9" spans="1:19" s="17" customFormat="1" ht="45" customHeight="1">
      <c r="A9" s="65">
        <v>3</v>
      </c>
      <c r="B9" s="76" t="s">
        <v>43</v>
      </c>
      <c r="C9" s="28">
        <v>45</v>
      </c>
      <c r="D9" s="67" t="s">
        <v>42</v>
      </c>
      <c r="E9" s="28">
        <f t="shared" si="8"/>
        <v>1080</v>
      </c>
      <c r="F9" s="36">
        <v>8.1</v>
      </c>
      <c r="G9" s="35">
        <f t="shared" si="0"/>
        <v>0.33749999999999997</v>
      </c>
      <c r="H9" s="68">
        <f t="shared" si="1"/>
        <v>364.49999999999994</v>
      </c>
      <c r="I9" s="69"/>
      <c r="J9" s="70">
        <f t="shared" si="9"/>
        <v>0.33749999999999997</v>
      </c>
      <c r="K9" s="70">
        <f t="shared" si="2"/>
        <v>364.49999999999994</v>
      </c>
      <c r="L9" s="70">
        <f t="shared" si="3"/>
        <v>0.36787500000000001</v>
      </c>
      <c r="M9" s="70">
        <f t="shared" si="10"/>
        <v>397.30500000000001</v>
      </c>
      <c r="N9" s="47">
        <v>0.66659999999999997</v>
      </c>
      <c r="O9" s="46">
        <f t="shared" si="4"/>
        <v>719.928</v>
      </c>
      <c r="P9" s="46">
        <f t="shared" si="5"/>
        <v>0.29872499999999996</v>
      </c>
      <c r="Q9" s="46">
        <f t="shared" si="6"/>
        <v>322.62299999999993</v>
      </c>
      <c r="R9" s="48">
        <f t="shared" si="7"/>
        <v>0.44813231323132308</v>
      </c>
      <c r="S9" s="62" t="s">
        <v>44</v>
      </c>
    </row>
    <row r="10" spans="1:19" s="17" customFormat="1" ht="45" customHeight="1">
      <c r="A10" s="65">
        <v>4</v>
      </c>
      <c r="B10" s="66" t="s">
        <v>38</v>
      </c>
      <c r="C10" s="28">
        <v>45</v>
      </c>
      <c r="D10" s="67" t="s">
        <v>34</v>
      </c>
      <c r="E10" s="28">
        <f t="shared" si="8"/>
        <v>540</v>
      </c>
      <c r="F10" s="36">
        <v>13.4</v>
      </c>
      <c r="G10" s="35">
        <f t="shared" si="0"/>
        <v>1.1166666666666667</v>
      </c>
      <c r="H10" s="68">
        <f t="shared" si="1"/>
        <v>603</v>
      </c>
      <c r="I10" s="69"/>
      <c r="J10" s="70">
        <f t="shared" si="9"/>
        <v>1.1166666666666667</v>
      </c>
      <c r="K10" s="70">
        <f t="shared" si="2"/>
        <v>603</v>
      </c>
      <c r="L10" s="70">
        <f t="shared" si="3"/>
        <v>1.2171666666666667</v>
      </c>
      <c r="M10" s="70">
        <f t="shared" si="10"/>
        <v>657.27</v>
      </c>
      <c r="N10" s="47">
        <v>1.75</v>
      </c>
      <c r="O10" s="46">
        <f t="shared" si="4"/>
        <v>945</v>
      </c>
      <c r="P10" s="46">
        <f t="shared" si="5"/>
        <v>0.53283333333333327</v>
      </c>
      <c r="Q10" s="46">
        <f t="shared" si="6"/>
        <v>287.72999999999996</v>
      </c>
      <c r="R10" s="48">
        <f t="shared" si="7"/>
        <v>0.30447619047619046</v>
      </c>
      <c r="S10" s="48"/>
    </row>
    <row r="11" spans="1:19" s="17" customFormat="1" ht="45" customHeight="1">
      <c r="A11" s="65">
        <v>5</v>
      </c>
      <c r="B11" s="66" t="s">
        <v>58</v>
      </c>
      <c r="C11" s="28">
        <v>30</v>
      </c>
      <c r="D11" s="67" t="s">
        <v>34</v>
      </c>
      <c r="E11" s="28">
        <f t="shared" si="8"/>
        <v>360</v>
      </c>
      <c r="F11" s="36">
        <v>9.1</v>
      </c>
      <c r="G11" s="35">
        <f t="shared" si="0"/>
        <v>0.7583333333333333</v>
      </c>
      <c r="H11" s="68">
        <f t="shared" si="1"/>
        <v>273</v>
      </c>
      <c r="I11" s="69"/>
      <c r="J11" s="70">
        <f t="shared" si="9"/>
        <v>0.7583333333333333</v>
      </c>
      <c r="K11" s="70">
        <f t="shared" si="2"/>
        <v>273</v>
      </c>
      <c r="L11" s="70">
        <f t="shared" si="3"/>
        <v>0.82658333333333334</v>
      </c>
      <c r="M11" s="70">
        <f t="shared" si="10"/>
        <v>297.57</v>
      </c>
      <c r="N11" s="47">
        <v>1.25</v>
      </c>
      <c r="O11" s="46">
        <f t="shared" si="4"/>
        <v>450</v>
      </c>
      <c r="P11" s="46">
        <f t="shared" si="5"/>
        <v>0.42341666666666666</v>
      </c>
      <c r="Q11" s="46">
        <f t="shared" si="6"/>
        <v>152.43</v>
      </c>
      <c r="R11" s="48">
        <f t="shared" si="7"/>
        <v>0.33873333333333333</v>
      </c>
      <c r="S11" s="48"/>
    </row>
    <row r="12" spans="1:19" s="17" customFormat="1" ht="45" customHeight="1">
      <c r="A12" s="65">
        <v>6</v>
      </c>
      <c r="B12" s="66" t="s">
        <v>39</v>
      </c>
      <c r="C12" s="28">
        <v>30</v>
      </c>
      <c r="D12" s="67" t="s">
        <v>34</v>
      </c>
      <c r="E12" s="28">
        <f t="shared" si="8"/>
        <v>360</v>
      </c>
      <c r="F12" s="36">
        <v>13.4</v>
      </c>
      <c r="G12" s="35">
        <f t="shared" si="0"/>
        <v>1.1166666666666667</v>
      </c>
      <c r="H12" s="68">
        <f t="shared" si="1"/>
        <v>402</v>
      </c>
      <c r="I12" s="69"/>
      <c r="J12" s="70">
        <f t="shared" si="9"/>
        <v>1.1166666666666667</v>
      </c>
      <c r="K12" s="70">
        <f t="shared" si="2"/>
        <v>402</v>
      </c>
      <c r="L12" s="70">
        <f t="shared" si="3"/>
        <v>1.2171666666666667</v>
      </c>
      <c r="M12" s="70">
        <f t="shared" si="10"/>
        <v>438.18</v>
      </c>
      <c r="N12" s="47">
        <v>1.75</v>
      </c>
      <c r="O12" s="46">
        <f t="shared" si="4"/>
        <v>630</v>
      </c>
      <c r="P12" s="46">
        <f t="shared" si="5"/>
        <v>0.53283333333333327</v>
      </c>
      <c r="Q12" s="46">
        <f t="shared" si="6"/>
        <v>191.81999999999996</v>
      </c>
      <c r="R12" s="48">
        <f t="shared" si="7"/>
        <v>0.30447619047619046</v>
      </c>
      <c r="S12" s="48"/>
    </row>
    <row r="13" spans="1:19" s="17" customFormat="1" ht="45" customHeight="1">
      <c r="A13" s="65">
        <v>7</v>
      </c>
      <c r="B13" s="76" t="s">
        <v>55</v>
      </c>
      <c r="C13" s="28">
        <v>30</v>
      </c>
      <c r="D13" s="78" t="s">
        <v>34</v>
      </c>
      <c r="E13" s="28">
        <f t="shared" si="8"/>
        <v>360</v>
      </c>
      <c r="F13" s="36">
        <v>9.1</v>
      </c>
      <c r="G13" s="35">
        <f t="shared" si="0"/>
        <v>0.7583333333333333</v>
      </c>
      <c r="H13" s="68">
        <f t="shared" si="1"/>
        <v>273</v>
      </c>
      <c r="I13" s="69"/>
      <c r="J13" s="70">
        <f t="shared" si="9"/>
        <v>0.7583333333333333</v>
      </c>
      <c r="K13" s="70">
        <f t="shared" si="2"/>
        <v>273</v>
      </c>
      <c r="L13" s="70">
        <f t="shared" si="3"/>
        <v>0.82658333333333334</v>
      </c>
      <c r="M13" s="70">
        <f t="shared" si="10"/>
        <v>297.57</v>
      </c>
      <c r="N13" s="63">
        <v>1.25</v>
      </c>
      <c r="O13" s="46">
        <f t="shared" si="4"/>
        <v>450</v>
      </c>
      <c r="P13" s="46">
        <f t="shared" si="5"/>
        <v>0.42341666666666666</v>
      </c>
      <c r="Q13" s="46">
        <f t="shared" si="6"/>
        <v>152.43</v>
      </c>
      <c r="R13" s="48">
        <f t="shared" si="7"/>
        <v>0.33873333333333333</v>
      </c>
      <c r="S13" s="48"/>
    </row>
    <row r="14" spans="1:19" s="17" customFormat="1" ht="45" customHeight="1">
      <c r="A14" s="65">
        <v>8</v>
      </c>
      <c r="B14" s="76" t="s">
        <v>54</v>
      </c>
      <c r="C14" s="28">
        <v>30</v>
      </c>
      <c r="D14" s="78" t="s">
        <v>34</v>
      </c>
      <c r="E14" s="28">
        <f t="shared" si="8"/>
        <v>360</v>
      </c>
      <c r="F14" s="36">
        <v>9.1</v>
      </c>
      <c r="G14" s="35">
        <f t="shared" si="0"/>
        <v>0.7583333333333333</v>
      </c>
      <c r="H14" s="68">
        <f t="shared" si="1"/>
        <v>273</v>
      </c>
      <c r="I14" s="69"/>
      <c r="J14" s="70">
        <f t="shared" si="9"/>
        <v>0.7583333333333333</v>
      </c>
      <c r="K14" s="70">
        <f t="shared" si="2"/>
        <v>273</v>
      </c>
      <c r="L14" s="70">
        <f t="shared" si="3"/>
        <v>0.82658333333333334</v>
      </c>
      <c r="M14" s="70">
        <f t="shared" si="10"/>
        <v>297.57</v>
      </c>
      <c r="N14" s="47">
        <v>1.25</v>
      </c>
      <c r="O14" s="46">
        <f t="shared" si="4"/>
        <v>450</v>
      </c>
      <c r="P14" s="46">
        <f t="shared" si="5"/>
        <v>0.42341666666666666</v>
      </c>
      <c r="Q14" s="46">
        <f t="shared" si="6"/>
        <v>152.43</v>
      </c>
      <c r="R14" s="48">
        <f t="shared" si="7"/>
        <v>0.33873333333333333</v>
      </c>
      <c r="S14" s="48"/>
    </row>
    <row r="15" spans="1:19" s="17" customFormat="1" ht="45" customHeight="1">
      <c r="A15" s="65">
        <v>9</v>
      </c>
      <c r="B15" s="77" t="s">
        <v>40</v>
      </c>
      <c r="C15" s="28">
        <v>50</v>
      </c>
      <c r="D15" s="67" t="s">
        <v>34</v>
      </c>
      <c r="E15" s="28">
        <f t="shared" si="8"/>
        <v>600</v>
      </c>
      <c r="F15" s="36">
        <v>13.8</v>
      </c>
      <c r="G15" s="35">
        <f t="shared" si="0"/>
        <v>1.1500000000000001</v>
      </c>
      <c r="H15" s="68">
        <f t="shared" si="1"/>
        <v>690.00000000000011</v>
      </c>
      <c r="I15" s="69"/>
      <c r="J15" s="70">
        <f t="shared" si="9"/>
        <v>1.1500000000000001</v>
      </c>
      <c r="K15" s="70">
        <f t="shared" si="2"/>
        <v>690.00000000000011</v>
      </c>
      <c r="L15" s="70">
        <f t="shared" si="3"/>
        <v>1.2535000000000003</v>
      </c>
      <c r="M15" s="70">
        <f t="shared" si="10"/>
        <v>752.10000000000014</v>
      </c>
      <c r="N15" s="47">
        <v>1.75</v>
      </c>
      <c r="O15" s="46">
        <f t="shared" si="4"/>
        <v>1050</v>
      </c>
      <c r="P15" s="46">
        <f t="shared" si="5"/>
        <v>0.49649999999999972</v>
      </c>
      <c r="Q15" s="46">
        <f t="shared" si="6"/>
        <v>297.89999999999981</v>
      </c>
      <c r="R15" s="48">
        <f t="shared" si="7"/>
        <v>0.28371428571428553</v>
      </c>
      <c r="S15" s="48"/>
    </row>
    <row r="16" spans="1:19" s="17" customFormat="1" ht="45" customHeight="1">
      <c r="A16" s="65">
        <v>10</v>
      </c>
      <c r="B16" s="77" t="s">
        <v>49</v>
      </c>
      <c r="C16" s="28">
        <v>30</v>
      </c>
      <c r="D16" s="67" t="s">
        <v>34</v>
      </c>
      <c r="E16" s="28">
        <f t="shared" si="8"/>
        <v>360</v>
      </c>
      <c r="F16" s="36">
        <v>7</v>
      </c>
      <c r="G16" s="35">
        <f t="shared" si="0"/>
        <v>0.58333333333333337</v>
      </c>
      <c r="H16" s="68">
        <f t="shared" si="1"/>
        <v>210</v>
      </c>
      <c r="I16" s="69"/>
      <c r="J16" s="70">
        <f t="shared" si="9"/>
        <v>0.58333333333333337</v>
      </c>
      <c r="K16" s="70">
        <f t="shared" si="2"/>
        <v>210</v>
      </c>
      <c r="L16" s="70">
        <f t="shared" si="3"/>
        <v>0.63583333333333347</v>
      </c>
      <c r="M16" s="70">
        <f t="shared" si="10"/>
        <v>228.90000000000006</v>
      </c>
      <c r="N16" s="47">
        <v>1</v>
      </c>
      <c r="O16" s="46">
        <f t="shared" si="4"/>
        <v>360</v>
      </c>
      <c r="P16" s="46">
        <f t="shared" si="5"/>
        <v>0.36416666666666653</v>
      </c>
      <c r="Q16" s="46">
        <f t="shared" si="6"/>
        <v>131.09999999999994</v>
      </c>
      <c r="R16" s="48">
        <f t="shared" si="7"/>
        <v>0.36416666666666653</v>
      </c>
      <c r="S16" s="48"/>
    </row>
    <row r="17" spans="1:19" s="17" customFormat="1" ht="45" customHeight="1">
      <c r="A17" s="65">
        <v>11</v>
      </c>
      <c r="B17" s="76" t="s">
        <v>45</v>
      </c>
      <c r="C17" s="28">
        <v>50</v>
      </c>
      <c r="D17" s="67" t="s">
        <v>34</v>
      </c>
      <c r="E17" s="28">
        <f t="shared" si="8"/>
        <v>600</v>
      </c>
      <c r="F17" s="36">
        <v>13.4</v>
      </c>
      <c r="G17" s="35">
        <f t="shared" si="0"/>
        <v>1.1166666666666667</v>
      </c>
      <c r="H17" s="68">
        <f t="shared" si="1"/>
        <v>670</v>
      </c>
      <c r="I17" s="69"/>
      <c r="J17" s="70">
        <f t="shared" si="9"/>
        <v>1.1166666666666667</v>
      </c>
      <c r="K17" s="70">
        <f t="shared" si="2"/>
        <v>670</v>
      </c>
      <c r="L17" s="70">
        <f t="shared" si="3"/>
        <v>1.2171666666666667</v>
      </c>
      <c r="M17" s="70">
        <f t="shared" si="10"/>
        <v>730.30000000000007</v>
      </c>
      <c r="N17" s="47">
        <v>1.75</v>
      </c>
      <c r="O17" s="46">
        <f t="shared" si="4"/>
        <v>1050</v>
      </c>
      <c r="P17" s="46">
        <f t="shared" si="5"/>
        <v>0.53283333333333327</v>
      </c>
      <c r="Q17" s="46">
        <f t="shared" si="6"/>
        <v>319.7</v>
      </c>
      <c r="R17" s="48">
        <f t="shared" si="7"/>
        <v>0.30447619047619046</v>
      </c>
      <c r="S17" s="48"/>
    </row>
    <row r="18" spans="1:19" s="17" customFormat="1" ht="45" customHeight="1">
      <c r="A18" s="65">
        <v>12</v>
      </c>
      <c r="B18" s="66" t="s">
        <v>46</v>
      </c>
      <c r="C18" s="28">
        <v>30</v>
      </c>
      <c r="D18" s="67" t="s">
        <v>34</v>
      </c>
      <c r="E18" s="28">
        <f t="shared" si="8"/>
        <v>360</v>
      </c>
      <c r="F18" s="36">
        <v>13.4</v>
      </c>
      <c r="G18" s="35">
        <f t="shared" si="0"/>
        <v>1.1166666666666667</v>
      </c>
      <c r="H18" s="68">
        <f t="shared" si="1"/>
        <v>402</v>
      </c>
      <c r="I18" s="69"/>
      <c r="J18" s="70">
        <f t="shared" si="9"/>
        <v>1.1166666666666667</v>
      </c>
      <c r="K18" s="70">
        <f t="shared" si="2"/>
        <v>402</v>
      </c>
      <c r="L18" s="70">
        <f t="shared" si="3"/>
        <v>1.2171666666666667</v>
      </c>
      <c r="M18" s="70">
        <f t="shared" si="10"/>
        <v>438.18</v>
      </c>
      <c r="N18" s="47">
        <v>1.75</v>
      </c>
      <c r="O18" s="46">
        <f t="shared" si="4"/>
        <v>630</v>
      </c>
      <c r="P18" s="46">
        <f t="shared" si="5"/>
        <v>0.53283333333333327</v>
      </c>
      <c r="Q18" s="46">
        <f t="shared" si="6"/>
        <v>191.81999999999996</v>
      </c>
      <c r="R18" s="48">
        <f t="shared" si="7"/>
        <v>0.30447619047619046</v>
      </c>
      <c r="S18" s="48"/>
    </row>
    <row r="19" spans="1:19" s="17" customFormat="1" ht="45" customHeight="1">
      <c r="A19" s="65">
        <v>13</v>
      </c>
      <c r="B19" s="66" t="s">
        <v>47</v>
      </c>
      <c r="C19" s="28">
        <v>30</v>
      </c>
      <c r="D19" s="67" t="s">
        <v>34</v>
      </c>
      <c r="E19" s="28">
        <f t="shared" si="8"/>
        <v>360</v>
      </c>
      <c r="F19" s="36">
        <v>13.4</v>
      </c>
      <c r="G19" s="35">
        <f t="shared" si="0"/>
        <v>1.1166666666666667</v>
      </c>
      <c r="H19" s="68">
        <f t="shared" si="1"/>
        <v>402</v>
      </c>
      <c r="I19" s="69"/>
      <c r="J19" s="70">
        <f t="shared" si="9"/>
        <v>1.1166666666666667</v>
      </c>
      <c r="K19" s="70">
        <f t="shared" si="2"/>
        <v>402</v>
      </c>
      <c r="L19" s="70">
        <f t="shared" si="3"/>
        <v>1.2171666666666667</v>
      </c>
      <c r="M19" s="70">
        <f t="shared" si="10"/>
        <v>438.18</v>
      </c>
      <c r="N19" s="47">
        <v>1.75</v>
      </c>
      <c r="O19" s="46">
        <f t="shared" si="4"/>
        <v>630</v>
      </c>
      <c r="P19" s="46">
        <f t="shared" si="5"/>
        <v>0.53283333333333327</v>
      </c>
      <c r="Q19" s="46">
        <f t="shared" si="6"/>
        <v>191.81999999999996</v>
      </c>
      <c r="R19" s="48">
        <f t="shared" si="7"/>
        <v>0.30447619047619046</v>
      </c>
      <c r="S19" s="48"/>
    </row>
    <row r="20" spans="1:19" s="17" customFormat="1" ht="45" customHeight="1">
      <c r="A20" s="65">
        <v>14</v>
      </c>
      <c r="B20" s="77" t="s">
        <v>48</v>
      </c>
      <c r="C20" s="28">
        <v>35</v>
      </c>
      <c r="D20" s="67" t="s">
        <v>34</v>
      </c>
      <c r="E20" s="28">
        <f t="shared" si="8"/>
        <v>420</v>
      </c>
      <c r="F20" s="36">
        <v>13.4</v>
      </c>
      <c r="G20" s="35">
        <f t="shared" si="0"/>
        <v>1.1166666666666667</v>
      </c>
      <c r="H20" s="68">
        <f t="shared" si="1"/>
        <v>469</v>
      </c>
      <c r="I20" s="69"/>
      <c r="J20" s="70">
        <f t="shared" si="9"/>
        <v>1.1166666666666667</v>
      </c>
      <c r="K20" s="70">
        <f t="shared" si="2"/>
        <v>469</v>
      </c>
      <c r="L20" s="70">
        <f t="shared" si="3"/>
        <v>1.2171666666666667</v>
      </c>
      <c r="M20" s="70">
        <f t="shared" si="10"/>
        <v>511.21000000000004</v>
      </c>
      <c r="N20" s="47">
        <v>1.75</v>
      </c>
      <c r="O20" s="46">
        <f t="shared" si="4"/>
        <v>735</v>
      </c>
      <c r="P20" s="46">
        <f t="shared" si="5"/>
        <v>0.53283333333333327</v>
      </c>
      <c r="Q20" s="46">
        <f t="shared" si="6"/>
        <v>223.78999999999996</v>
      </c>
      <c r="R20" s="48">
        <f t="shared" si="7"/>
        <v>0.30447619047619046</v>
      </c>
      <c r="S20" s="48"/>
    </row>
    <row r="21" spans="1:19" s="17" customFormat="1" ht="45" customHeight="1">
      <c r="A21" s="65">
        <v>15</v>
      </c>
      <c r="B21" s="66" t="s">
        <v>41</v>
      </c>
      <c r="C21" s="28">
        <v>35</v>
      </c>
      <c r="D21" s="67" t="s">
        <v>34</v>
      </c>
      <c r="E21" s="28">
        <f t="shared" si="8"/>
        <v>420</v>
      </c>
      <c r="F21" s="36">
        <v>12.4</v>
      </c>
      <c r="G21" s="35">
        <f t="shared" si="0"/>
        <v>1.0333333333333334</v>
      </c>
      <c r="H21" s="68">
        <f t="shared" si="1"/>
        <v>434.00000000000006</v>
      </c>
      <c r="I21" s="69"/>
      <c r="J21" s="70">
        <f t="shared" si="9"/>
        <v>1.0333333333333334</v>
      </c>
      <c r="K21" s="70">
        <f t="shared" si="2"/>
        <v>434.00000000000006</v>
      </c>
      <c r="L21" s="70">
        <f t="shared" si="3"/>
        <v>1.1263333333333336</v>
      </c>
      <c r="M21" s="70">
        <f t="shared" si="10"/>
        <v>473.06000000000012</v>
      </c>
      <c r="N21" s="47">
        <v>1.75</v>
      </c>
      <c r="O21" s="46">
        <f t="shared" si="4"/>
        <v>735</v>
      </c>
      <c r="P21" s="46">
        <f t="shared" si="5"/>
        <v>0.62366666666666637</v>
      </c>
      <c r="Q21" s="46">
        <f t="shared" si="6"/>
        <v>261.93999999999988</v>
      </c>
      <c r="R21" s="48">
        <f t="shared" si="7"/>
        <v>0.35638095238095219</v>
      </c>
      <c r="S21" s="48"/>
    </row>
    <row r="22" spans="1:19" s="17" customFormat="1" ht="45" customHeight="1">
      <c r="A22" s="65">
        <v>16</v>
      </c>
      <c r="B22" s="66" t="s">
        <v>63</v>
      </c>
      <c r="C22" s="28">
        <v>30</v>
      </c>
      <c r="D22" s="67" t="s">
        <v>34</v>
      </c>
      <c r="E22" s="28">
        <f t="shared" si="8"/>
        <v>360</v>
      </c>
      <c r="F22" s="36">
        <v>9.1</v>
      </c>
      <c r="G22" s="35">
        <f t="shared" si="0"/>
        <v>0.7583333333333333</v>
      </c>
      <c r="H22" s="68">
        <f t="shared" si="1"/>
        <v>273</v>
      </c>
      <c r="I22" s="69"/>
      <c r="J22" s="70">
        <f t="shared" si="9"/>
        <v>0.7583333333333333</v>
      </c>
      <c r="K22" s="70">
        <f t="shared" si="2"/>
        <v>273</v>
      </c>
      <c r="L22" s="70">
        <f t="shared" si="3"/>
        <v>0.82658333333333334</v>
      </c>
      <c r="M22" s="70">
        <f t="shared" si="10"/>
        <v>297.57</v>
      </c>
      <c r="N22" s="47">
        <v>1.25</v>
      </c>
      <c r="O22" s="46">
        <f t="shared" si="4"/>
        <v>450</v>
      </c>
      <c r="P22" s="46">
        <f t="shared" si="5"/>
        <v>0.42341666666666666</v>
      </c>
      <c r="Q22" s="46">
        <f t="shared" si="6"/>
        <v>152.43</v>
      </c>
      <c r="R22" s="48">
        <f t="shared" si="7"/>
        <v>0.33873333333333333</v>
      </c>
      <c r="S22" s="48"/>
    </row>
    <row r="23" spans="1:19" s="17" customFormat="1" ht="45" customHeight="1">
      <c r="A23" s="65">
        <v>17</v>
      </c>
      <c r="B23" s="66" t="s">
        <v>64</v>
      </c>
      <c r="C23" s="28">
        <v>45</v>
      </c>
      <c r="D23" s="67" t="s">
        <v>34</v>
      </c>
      <c r="E23" s="28">
        <f t="shared" si="8"/>
        <v>540</v>
      </c>
      <c r="F23" s="36">
        <v>9.1</v>
      </c>
      <c r="G23" s="35">
        <f t="shared" si="0"/>
        <v>0.7583333333333333</v>
      </c>
      <c r="H23" s="68">
        <f t="shared" si="1"/>
        <v>409.5</v>
      </c>
      <c r="I23" s="69"/>
      <c r="J23" s="70">
        <f t="shared" si="9"/>
        <v>0.7583333333333333</v>
      </c>
      <c r="K23" s="70">
        <f t="shared" si="2"/>
        <v>409.5</v>
      </c>
      <c r="L23" s="70">
        <f t="shared" si="3"/>
        <v>0.82658333333333334</v>
      </c>
      <c r="M23" s="70">
        <f t="shared" si="10"/>
        <v>446.35500000000002</v>
      </c>
      <c r="N23" s="47">
        <v>1.25</v>
      </c>
      <c r="O23" s="46">
        <f t="shared" si="4"/>
        <v>675</v>
      </c>
      <c r="P23" s="46">
        <f t="shared" si="5"/>
        <v>0.42341666666666666</v>
      </c>
      <c r="Q23" s="46">
        <f t="shared" si="6"/>
        <v>228.64500000000001</v>
      </c>
      <c r="R23" s="48">
        <f t="shared" si="7"/>
        <v>0.33873333333333333</v>
      </c>
      <c r="S23" s="48"/>
    </row>
    <row r="24" spans="1:19" s="17" customFormat="1" ht="45" customHeight="1">
      <c r="A24" s="65">
        <v>18</v>
      </c>
      <c r="B24" s="66" t="s">
        <v>65</v>
      </c>
      <c r="C24" s="28">
        <v>50</v>
      </c>
      <c r="D24" s="67" t="s">
        <v>69</v>
      </c>
      <c r="E24" s="28">
        <f t="shared" si="8"/>
        <v>500</v>
      </c>
      <c r="F24" s="36">
        <v>7.2</v>
      </c>
      <c r="G24" s="35">
        <f t="shared" si="0"/>
        <v>0.72</v>
      </c>
      <c r="H24" s="68">
        <f t="shared" si="1"/>
        <v>360</v>
      </c>
      <c r="I24" s="69"/>
      <c r="J24" s="70">
        <f t="shared" si="9"/>
        <v>0.72</v>
      </c>
      <c r="K24" s="70">
        <f t="shared" si="2"/>
        <v>360</v>
      </c>
      <c r="L24" s="70">
        <f t="shared" si="3"/>
        <v>0.78480000000000005</v>
      </c>
      <c r="M24" s="70">
        <f t="shared" si="10"/>
        <v>392.40000000000003</v>
      </c>
      <c r="N24" s="47">
        <v>1.25</v>
      </c>
      <c r="O24" s="46">
        <f t="shared" si="4"/>
        <v>625</v>
      </c>
      <c r="P24" s="46">
        <f t="shared" si="5"/>
        <v>0.46519999999999995</v>
      </c>
      <c r="Q24" s="46">
        <f t="shared" si="6"/>
        <v>232.59999999999997</v>
      </c>
      <c r="R24" s="48">
        <f t="shared" si="7"/>
        <v>0.37215999999999994</v>
      </c>
      <c r="S24" s="48"/>
    </row>
    <row r="25" spans="1:19" s="17" customFormat="1" ht="45" customHeight="1">
      <c r="A25" s="65">
        <v>19</v>
      </c>
      <c r="B25" s="66" t="s">
        <v>66</v>
      </c>
      <c r="C25" s="28">
        <v>50</v>
      </c>
      <c r="D25" s="67" t="s">
        <v>69</v>
      </c>
      <c r="E25" s="28">
        <f t="shared" si="8"/>
        <v>500</v>
      </c>
      <c r="F25" s="36">
        <v>7.2</v>
      </c>
      <c r="G25" s="35">
        <f t="shared" si="0"/>
        <v>0.72</v>
      </c>
      <c r="H25" s="68">
        <f t="shared" si="1"/>
        <v>360</v>
      </c>
      <c r="I25" s="69"/>
      <c r="J25" s="70">
        <f t="shared" si="9"/>
        <v>0.72</v>
      </c>
      <c r="K25" s="70">
        <f t="shared" si="2"/>
        <v>360</v>
      </c>
      <c r="L25" s="70">
        <f t="shared" si="3"/>
        <v>0.78480000000000005</v>
      </c>
      <c r="M25" s="70">
        <f t="shared" si="10"/>
        <v>392.40000000000003</v>
      </c>
      <c r="N25" s="47">
        <v>1.25</v>
      </c>
      <c r="O25" s="46">
        <f t="shared" si="4"/>
        <v>625</v>
      </c>
      <c r="P25" s="46">
        <f t="shared" si="5"/>
        <v>0.46519999999999995</v>
      </c>
      <c r="Q25" s="46">
        <f t="shared" si="6"/>
        <v>232.59999999999997</v>
      </c>
      <c r="R25" s="48">
        <f t="shared" si="7"/>
        <v>0.37215999999999994</v>
      </c>
      <c r="S25" s="48"/>
    </row>
    <row r="26" spans="1:19" s="17" customFormat="1" ht="45" customHeight="1">
      <c r="A26" s="65">
        <v>20</v>
      </c>
      <c r="B26" s="66" t="s">
        <v>67</v>
      </c>
      <c r="C26" s="28">
        <v>45</v>
      </c>
      <c r="D26" s="67" t="s">
        <v>69</v>
      </c>
      <c r="E26" s="28">
        <f t="shared" si="8"/>
        <v>450</v>
      </c>
      <c r="F26" s="36">
        <v>6.8</v>
      </c>
      <c r="G26" s="35">
        <f t="shared" si="0"/>
        <v>0.67999999999999994</v>
      </c>
      <c r="H26" s="68">
        <f t="shared" si="1"/>
        <v>306</v>
      </c>
      <c r="I26" s="69"/>
      <c r="J26" s="70">
        <f t="shared" si="9"/>
        <v>0.67999999999999994</v>
      </c>
      <c r="K26" s="70">
        <f t="shared" si="2"/>
        <v>306</v>
      </c>
      <c r="L26" s="70">
        <f t="shared" si="3"/>
        <v>0.74119999999999997</v>
      </c>
      <c r="M26" s="70">
        <f t="shared" si="10"/>
        <v>333.53999999999996</v>
      </c>
      <c r="N26" s="47">
        <v>1.25</v>
      </c>
      <c r="O26" s="46">
        <f t="shared" si="4"/>
        <v>562.5</v>
      </c>
      <c r="P26" s="46">
        <f t="shared" si="5"/>
        <v>0.50880000000000003</v>
      </c>
      <c r="Q26" s="46">
        <f t="shared" si="6"/>
        <v>228.96</v>
      </c>
      <c r="R26" s="48">
        <f t="shared" si="7"/>
        <v>0.40704000000000001</v>
      </c>
      <c r="S26" s="48"/>
    </row>
    <row r="27" spans="1:19" s="17" customFormat="1" ht="45" customHeight="1">
      <c r="A27" s="65">
        <v>21</v>
      </c>
      <c r="B27" s="66" t="s">
        <v>68</v>
      </c>
      <c r="C27" s="28">
        <v>50</v>
      </c>
      <c r="D27" s="67" t="s">
        <v>69</v>
      </c>
      <c r="E27" s="28">
        <f t="shared" si="8"/>
        <v>500</v>
      </c>
      <c r="F27" s="36">
        <v>6.8</v>
      </c>
      <c r="G27" s="35">
        <f t="shared" si="0"/>
        <v>0.67999999999999994</v>
      </c>
      <c r="H27" s="68">
        <f t="shared" si="1"/>
        <v>339.99999999999994</v>
      </c>
      <c r="I27" s="69"/>
      <c r="J27" s="70">
        <f t="shared" si="9"/>
        <v>0.67999999999999994</v>
      </c>
      <c r="K27" s="70">
        <f t="shared" si="2"/>
        <v>339.99999999999994</v>
      </c>
      <c r="L27" s="70">
        <f t="shared" si="3"/>
        <v>0.74119999999999997</v>
      </c>
      <c r="M27" s="70">
        <f t="shared" si="10"/>
        <v>370.59999999999997</v>
      </c>
      <c r="N27" s="47">
        <v>1.25</v>
      </c>
      <c r="O27" s="46">
        <f t="shared" si="4"/>
        <v>625</v>
      </c>
      <c r="P27" s="46">
        <f t="shared" si="5"/>
        <v>0.50880000000000003</v>
      </c>
      <c r="Q27" s="46">
        <f t="shared" si="6"/>
        <v>254.4</v>
      </c>
      <c r="R27" s="48">
        <f t="shared" si="7"/>
        <v>0.40704000000000001</v>
      </c>
      <c r="S27" s="48"/>
    </row>
    <row r="28" spans="1:19" s="17" customFormat="1" ht="45" customHeight="1">
      <c r="A28" s="65">
        <v>22</v>
      </c>
      <c r="B28" s="66" t="s">
        <v>50</v>
      </c>
      <c r="C28" s="28">
        <v>22</v>
      </c>
      <c r="D28" s="67" t="s">
        <v>42</v>
      </c>
      <c r="E28" s="28">
        <f t="shared" si="8"/>
        <v>528</v>
      </c>
      <c r="F28" s="36">
        <v>18.3</v>
      </c>
      <c r="G28" s="35">
        <f t="shared" si="0"/>
        <v>0.76250000000000007</v>
      </c>
      <c r="H28" s="68">
        <f t="shared" si="1"/>
        <v>402.6</v>
      </c>
      <c r="I28" s="69"/>
      <c r="J28" s="70">
        <f t="shared" si="9"/>
        <v>0.76250000000000007</v>
      </c>
      <c r="K28" s="70">
        <f t="shared" si="2"/>
        <v>402.6</v>
      </c>
      <c r="L28" s="70">
        <f t="shared" si="3"/>
        <v>0.83112500000000011</v>
      </c>
      <c r="M28" s="70">
        <f t="shared" si="10"/>
        <v>438.83400000000006</v>
      </c>
      <c r="N28" s="47">
        <v>1.5</v>
      </c>
      <c r="O28" s="46">
        <f t="shared" si="4"/>
        <v>792</v>
      </c>
      <c r="P28" s="46">
        <f t="shared" si="5"/>
        <v>0.66887499999999989</v>
      </c>
      <c r="Q28" s="46">
        <f t="shared" si="6"/>
        <v>353.16599999999994</v>
      </c>
      <c r="R28" s="48">
        <f t="shared" si="7"/>
        <v>0.44591666666666657</v>
      </c>
      <c r="S28" s="48"/>
    </row>
    <row r="29" spans="1:19" s="17" customFormat="1" ht="45" customHeight="1">
      <c r="A29" s="65">
        <v>23</v>
      </c>
      <c r="B29" s="66" t="s">
        <v>53</v>
      </c>
      <c r="C29" s="28">
        <v>22</v>
      </c>
      <c r="D29" s="67" t="s">
        <v>42</v>
      </c>
      <c r="E29" s="28">
        <f t="shared" si="8"/>
        <v>528</v>
      </c>
      <c r="F29" s="36">
        <v>18.3</v>
      </c>
      <c r="G29" s="35">
        <f t="shared" si="0"/>
        <v>0.76250000000000007</v>
      </c>
      <c r="H29" s="68">
        <f t="shared" si="1"/>
        <v>402.6</v>
      </c>
      <c r="I29" s="69"/>
      <c r="J29" s="70">
        <f t="shared" si="9"/>
        <v>0.76250000000000007</v>
      </c>
      <c r="K29" s="70">
        <f t="shared" si="2"/>
        <v>402.6</v>
      </c>
      <c r="L29" s="70">
        <f t="shared" si="3"/>
        <v>0.83112500000000011</v>
      </c>
      <c r="M29" s="70">
        <f t="shared" si="10"/>
        <v>438.83400000000006</v>
      </c>
      <c r="N29" s="47">
        <v>1.5</v>
      </c>
      <c r="O29" s="46">
        <f t="shared" si="4"/>
        <v>792</v>
      </c>
      <c r="P29" s="46">
        <f t="shared" si="5"/>
        <v>0.66887499999999989</v>
      </c>
      <c r="Q29" s="46">
        <f t="shared" si="6"/>
        <v>353.16599999999994</v>
      </c>
      <c r="R29" s="48">
        <f t="shared" si="7"/>
        <v>0.44591666666666657</v>
      </c>
      <c r="S29" s="48"/>
    </row>
    <row r="30" spans="1:19" s="17" customFormat="1" ht="45" customHeight="1">
      <c r="A30" s="65">
        <v>24</v>
      </c>
      <c r="B30" s="66" t="s">
        <v>52</v>
      </c>
      <c r="C30" s="28">
        <v>22</v>
      </c>
      <c r="D30" s="67" t="s">
        <v>42</v>
      </c>
      <c r="E30" s="28">
        <f t="shared" si="8"/>
        <v>528</v>
      </c>
      <c r="F30" s="36">
        <v>18.3</v>
      </c>
      <c r="G30" s="35">
        <f t="shared" si="0"/>
        <v>0.76250000000000007</v>
      </c>
      <c r="H30" s="68">
        <f t="shared" si="1"/>
        <v>402.6</v>
      </c>
      <c r="I30" s="69"/>
      <c r="J30" s="70">
        <f t="shared" si="9"/>
        <v>0.76250000000000007</v>
      </c>
      <c r="K30" s="70">
        <f t="shared" si="2"/>
        <v>402.6</v>
      </c>
      <c r="L30" s="70">
        <f t="shared" si="3"/>
        <v>0.83112500000000011</v>
      </c>
      <c r="M30" s="70">
        <f t="shared" si="10"/>
        <v>438.83400000000006</v>
      </c>
      <c r="N30" s="47">
        <v>1.5</v>
      </c>
      <c r="O30" s="46">
        <f t="shared" si="4"/>
        <v>792</v>
      </c>
      <c r="P30" s="46">
        <f t="shared" si="5"/>
        <v>0.66887499999999989</v>
      </c>
      <c r="Q30" s="46">
        <f t="shared" si="6"/>
        <v>353.16599999999994</v>
      </c>
      <c r="R30" s="48">
        <f t="shared" si="7"/>
        <v>0.44591666666666657</v>
      </c>
      <c r="S30" s="48"/>
    </row>
    <row r="31" spans="1:19" s="17" customFormat="1" ht="45" customHeight="1">
      <c r="A31" s="65">
        <v>25</v>
      </c>
      <c r="B31" s="66" t="s">
        <v>51</v>
      </c>
      <c r="C31" s="28">
        <v>22</v>
      </c>
      <c r="D31" s="67" t="s">
        <v>42</v>
      </c>
      <c r="E31" s="28">
        <f t="shared" si="8"/>
        <v>528</v>
      </c>
      <c r="F31" s="36">
        <v>18.3</v>
      </c>
      <c r="G31" s="35">
        <f t="shared" si="0"/>
        <v>0.76250000000000007</v>
      </c>
      <c r="H31" s="68">
        <f t="shared" si="1"/>
        <v>402.6</v>
      </c>
      <c r="I31" s="69"/>
      <c r="J31" s="70">
        <f t="shared" si="9"/>
        <v>0.76250000000000007</v>
      </c>
      <c r="K31" s="70">
        <f t="shared" si="2"/>
        <v>402.6</v>
      </c>
      <c r="L31" s="70">
        <f t="shared" si="3"/>
        <v>0.83112500000000011</v>
      </c>
      <c r="M31" s="70">
        <f t="shared" si="10"/>
        <v>438.83400000000006</v>
      </c>
      <c r="N31" s="47">
        <v>1.5</v>
      </c>
      <c r="O31" s="46">
        <f t="shared" si="4"/>
        <v>792</v>
      </c>
      <c r="P31" s="46">
        <f t="shared" si="5"/>
        <v>0.66887499999999989</v>
      </c>
      <c r="Q31" s="46">
        <f t="shared" si="6"/>
        <v>353.16599999999994</v>
      </c>
      <c r="R31" s="48">
        <f t="shared" si="7"/>
        <v>0.44591666666666657</v>
      </c>
      <c r="S31" s="48"/>
    </row>
    <row r="32" spans="1:19" s="17" customFormat="1" ht="45" customHeight="1">
      <c r="A32" s="65">
        <v>26</v>
      </c>
      <c r="B32" s="66" t="s">
        <v>60</v>
      </c>
      <c r="C32" s="28">
        <v>21</v>
      </c>
      <c r="D32" s="67" t="s">
        <v>42</v>
      </c>
      <c r="E32" s="28">
        <f t="shared" si="8"/>
        <v>504</v>
      </c>
      <c r="F32" s="36">
        <v>18.3</v>
      </c>
      <c r="G32" s="35">
        <f t="shared" ref="G32" si="11">F32/D32</f>
        <v>0.76250000000000007</v>
      </c>
      <c r="H32" s="68">
        <f t="shared" ref="H32" si="12">G32*E32</f>
        <v>384.3</v>
      </c>
      <c r="I32" s="69"/>
      <c r="J32" s="70">
        <f t="shared" ref="J32" si="13">G32/$Q$2</f>
        <v>0.76250000000000007</v>
      </c>
      <c r="K32" s="70">
        <f t="shared" ref="K32" si="14">H32/$Q$2</f>
        <v>384.3</v>
      </c>
      <c r="L32" s="70">
        <f t="shared" si="3"/>
        <v>0.83112500000000011</v>
      </c>
      <c r="M32" s="70">
        <f t="shared" ref="M32" si="15">L32*E32</f>
        <v>418.88700000000006</v>
      </c>
      <c r="N32" s="47">
        <v>1.5</v>
      </c>
      <c r="O32" s="46">
        <f t="shared" si="4"/>
        <v>756</v>
      </c>
      <c r="P32" s="46">
        <f t="shared" ref="P32" si="16">N32-L32</f>
        <v>0.66887499999999989</v>
      </c>
      <c r="Q32" s="46">
        <f t="shared" ref="Q32" si="17">P32*E32</f>
        <v>337.11299999999994</v>
      </c>
      <c r="R32" s="48">
        <f t="shared" ref="R32" si="18">P32/N32</f>
        <v>0.44591666666666657</v>
      </c>
      <c r="S32" s="48"/>
    </row>
    <row r="33" spans="1:19" ht="48" customHeight="1" thickBot="1">
      <c r="A33" s="96" t="s">
        <v>25</v>
      </c>
      <c r="B33" s="97"/>
      <c r="C33" s="97"/>
      <c r="D33" s="98"/>
      <c r="E33" s="18"/>
      <c r="F33" s="31"/>
      <c r="G33" s="106" t="s">
        <v>16</v>
      </c>
      <c r="H33" s="108">
        <f>SUM(H7:H32)</f>
        <v>10359.700000000001</v>
      </c>
      <c r="I33" s="64"/>
      <c r="J33" s="44" t="s">
        <v>17</v>
      </c>
      <c r="K33" s="45">
        <f>SUM(K7:K32)</f>
        <v>10359.700000000001</v>
      </c>
      <c r="L33" s="110" t="s">
        <v>18</v>
      </c>
      <c r="M33" s="111"/>
      <c r="N33" s="112">
        <f>SUM(O7:O32)</f>
        <v>17701.428</v>
      </c>
      <c r="O33" s="113"/>
      <c r="P33" s="114" t="s">
        <v>19</v>
      </c>
      <c r="Q33" s="115"/>
      <c r="R33" s="118">
        <f>N33-K36</f>
        <v>6409.3549999999996</v>
      </c>
      <c r="S33" s="40"/>
    </row>
    <row r="34" spans="1:19" ht="48" customHeight="1" thickBot="1">
      <c r="A34" s="99"/>
      <c r="B34" s="97"/>
      <c r="C34" s="97"/>
      <c r="D34" s="98"/>
      <c r="E34" s="18"/>
      <c r="F34" s="32"/>
      <c r="G34" s="107"/>
      <c r="H34" s="109"/>
      <c r="I34" s="8"/>
      <c r="J34" s="19" t="s">
        <v>35</v>
      </c>
      <c r="K34" s="61">
        <f>K33*0.09</f>
        <v>932.37300000000005</v>
      </c>
      <c r="L34" s="120"/>
      <c r="M34" s="120"/>
      <c r="N34" s="120"/>
      <c r="O34" s="120"/>
      <c r="P34" s="116"/>
      <c r="Q34" s="117"/>
      <c r="R34" s="119"/>
      <c r="S34" s="29"/>
    </row>
    <row r="35" spans="1:19" ht="46.5" customHeight="1" thickBot="1">
      <c r="A35" s="100"/>
      <c r="B35" s="101"/>
      <c r="C35" s="101"/>
      <c r="D35" s="102"/>
      <c r="E35" s="9"/>
      <c r="F35" s="33"/>
      <c r="G35" s="10" t="s">
        <v>20</v>
      </c>
      <c r="H35" s="38" t="s">
        <v>28</v>
      </c>
      <c r="I35" s="8"/>
      <c r="J35" s="11" t="s">
        <v>21</v>
      </c>
      <c r="K35" s="20">
        <v>0</v>
      </c>
      <c r="L35" s="120"/>
      <c r="M35" s="120"/>
      <c r="N35" s="120"/>
      <c r="O35" s="120"/>
      <c r="P35" s="121" t="s">
        <v>22</v>
      </c>
      <c r="Q35" s="122"/>
      <c r="R35" s="12">
        <f>R33/N33</f>
        <v>0.3620812399993944</v>
      </c>
      <c r="S35" s="24"/>
    </row>
    <row r="36" spans="1:19" ht="62.85" customHeight="1" thickBot="1">
      <c r="A36" s="103"/>
      <c r="B36" s="104"/>
      <c r="C36" s="104"/>
      <c r="D36" s="105"/>
      <c r="E36" s="13"/>
      <c r="F36" s="34"/>
      <c r="G36" s="14" t="s">
        <v>23</v>
      </c>
      <c r="H36" s="30">
        <f>SUM(H33:H35)</f>
        <v>10359.700000000001</v>
      </c>
      <c r="I36" s="8"/>
      <c r="J36" s="15" t="s">
        <v>23</v>
      </c>
      <c r="K36" s="16">
        <f>SUM(K33:K35)</f>
        <v>11292.073</v>
      </c>
      <c r="L36" s="21" t="s">
        <v>24</v>
      </c>
      <c r="M36" s="123">
        <f>K35/K33</f>
        <v>0</v>
      </c>
      <c r="N36" s="124"/>
      <c r="O36" s="22"/>
      <c r="P36" s="5"/>
      <c r="Q36" s="5"/>
      <c r="R36" s="5" t="s">
        <v>59</v>
      </c>
      <c r="S36" s="23"/>
    </row>
    <row r="37" spans="1:19">
      <c r="C37" s="37"/>
    </row>
    <row r="38" spans="1:19">
      <c r="C38" s="37"/>
    </row>
    <row r="42" spans="1:19" s="79" customFormat="1">
      <c r="A42" s="79" t="s">
        <v>61</v>
      </c>
      <c r="N42" s="80"/>
      <c r="S42" s="81"/>
    </row>
    <row r="43" spans="1:19" s="82" customFormat="1" ht="15.75" customHeight="1">
      <c r="A43" s="82" t="s">
        <v>62</v>
      </c>
    </row>
    <row r="44" spans="1:19" s="79" customFormat="1">
      <c r="N44" s="80"/>
      <c r="S44" s="81"/>
    </row>
  </sheetData>
  <mergeCells count="16">
    <mergeCell ref="A43:XFD43"/>
    <mergeCell ref="A1:O1"/>
    <mergeCell ref="Q1:R1"/>
    <mergeCell ref="A2:O2"/>
    <mergeCell ref="A4:H4"/>
    <mergeCell ref="J4:S4"/>
    <mergeCell ref="A33:D36"/>
    <mergeCell ref="G33:G34"/>
    <mergeCell ref="H33:H34"/>
    <mergeCell ref="L33:M33"/>
    <mergeCell ref="N33:O33"/>
    <mergeCell ref="P33:Q34"/>
    <mergeCell ref="R33:R34"/>
    <mergeCell ref="L34:O35"/>
    <mergeCell ref="P35:Q35"/>
    <mergeCell ref="M36:N36"/>
  </mergeCells>
  <pageMargins left="0.23622047244094491" right="0.23622047244094491" top="0.74803149606299213" bottom="0.74803149606299213" header="0.31496062992125984" footer="0.31496062992125984"/>
  <pageSetup paperSize="9" scale="5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INV131537</vt:lpstr>
      <vt:lpstr>'INV131537'!Print_Titles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suna</dc:creator>
  <cp:lastModifiedBy>banpreet.saluja@gmail.com</cp:lastModifiedBy>
  <cp:lastPrinted>2025-07-22T10:23:30Z</cp:lastPrinted>
  <dcterms:created xsi:type="dcterms:W3CDTF">2023-12-14T08:09:44Z</dcterms:created>
  <dcterms:modified xsi:type="dcterms:W3CDTF">2025-11-25T10:28:29Z</dcterms:modified>
</cp:coreProperties>
</file>