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SEPT PROFIT LISTING\"/>
    </mc:Choice>
  </mc:AlternateContent>
  <xr:revisionPtr revIDLastSave="0" documentId="13_ncr:1_{6A253ECB-8058-497D-AEE0-728F2710B83B}" xr6:coauthVersionLast="47" xr6:coauthVersionMax="47" xr10:uidLastSave="{00000000-0000-0000-0000-000000000000}"/>
  <bookViews>
    <workbookView xWindow="20370" yWindow="-120" windowWidth="29040" windowHeight="15840" tabRatio="588" xr2:uid="{00000000-000D-0000-FFFF-FFFF00000000}"/>
  </bookViews>
  <sheets>
    <sheet name="8000034707" sheetId="25" r:id="rId1"/>
  </sheets>
  <calcPr calcId="181029"/>
</workbook>
</file>

<file path=xl/calcChain.xml><?xml version="1.0" encoding="utf-8"?>
<calcChain xmlns="http://schemas.openxmlformats.org/spreadsheetml/2006/main">
  <c r="O8" i="25" l="1"/>
  <c r="J8" i="25"/>
  <c r="L8" i="25" s="1"/>
  <c r="G8" i="25"/>
  <c r="H8" i="25" s="1"/>
  <c r="K8" i="25" s="1"/>
  <c r="E8" i="25"/>
  <c r="E11" i="25"/>
  <c r="O11" i="25" s="1"/>
  <c r="G11" i="25"/>
  <c r="J11" i="25" s="1"/>
  <c r="E10" i="25"/>
  <c r="O10" i="25" s="1"/>
  <c r="G10" i="25"/>
  <c r="J10" i="25" s="1"/>
  <c r="E7" i="25"/>
  <c r="G7" i="25"/>
  <c r="J7" i="25" s="1"/>
  <c r="M8" i="25" l="1"/>
  <c r="P8" i="25"/>
  <c r="H11" i="25"/>
  <c r="K11" i="25" s="1"/>
  <c r="H10" i="25"/>
  <c r="K10" i="25" s="1"/>
  <c r="H7" i="25"/>
  <c r="O7" i="25"/>
  <c r="K7" i="25" l="1"/>
  <c r="R8" i="25"/>
  <c r="Q8" i="25"/>
  <c r="G9" i="25" l="1"/>
  <c r="G12" i="25"/>
  <c r="E9" i="25"/>
  <c r="O9" i="25" s="1"/>
  <c r="E12" i="25"/>
  <c r="O12" i="25" s="1"/>
  <c r="N13" i="25" l="1"/>
  <c r="H9" i="25"/>
  <c r="H12" i="25"/>
  <c r="K12" i="25" s="1"/>
  <c r="J12" i="25"/>
  <c r="J9" i="25"/>
  <c r="K9" i="25" l="1"/>
  <c r="H13" i="25"/>
  <c r="L11" i="25"/>
  <c r="P11" i="25" s="1"/>
  <c r="M11" i="25"/>
  <c r="L7" i="25"/>
  <c r="P7" i="25" s="1"/>
  <c r="L10" i="25"/>
  <c r="H16" i="25"/>
  <c r="K13" i="25"/>
  <c r="M7" i="25" l="1"/>
  <c r="Q11" i="25"/>
  <c r="R11" i="25"/>
  <c r="M10" i="25"/>
  <c r="P10" i="25"/>
  <c r="R7" i="25"/>
  <c r="Q7" i="25"/>
  <c r="M16" i="25"/>
  <c r="K14" i="25"/>
  <c r="K16" i="25" s="1"/>
  <c r="R13" i="25" s="1"/>
  <c r="Q10" i="25" l="1"/>
  <c r="R10" i="25"/>
  <c r="L9" i="25"/>
  <c r="L12" i="25"/>
  <c r="R15" i="25"/>
  <c r="M9" i="25" l="1"/>
  <c r="P9" i="25"/>
  <c r="M12" i="25"/>
  <c r="P12" i="25"/>
  <c r="R12" i="25" l="1"/>
  <c r="Q12" i="25"/>
  <c r="R9" i="25"/>
  <c r="Q9" i="25"/>
</calcChain>
</file>

<file path=xl/sharedStrings.xml><?xml version="1.0" encoding="utf-8"?>
<sst xmlns="http://schemas.openxmlformats.org/spreadsheetml/2006/main" count="51" uniqueCount="47">
  <si>
    <t>Tian Ma Group Holdings Pte Ltd</t>
  </si>
  <si>
    <t xml:space="preserve">Date: </t>
  </si>
  <si>
    <t>Rate :</t>
  </si>
  <si>
    <t>PURCHASE ORDER</t>
  </si>
  <si>
    <t>Cost with Freight &amp; GST, Selling with GST</t>
  </si>
  <si>
    <t>No.</t>
  </si>
  <si>
    <t>Product Name</t>
  </si>
  <si>
    <t>Qty 
(CTN)</t>
  </si>
  <si>
    <t>Total Ordered Qty</t>
  </si>
  <si>
    <t>Total</t>
  </si>
  <si>
    <t>Total Cost 
(RAW)</t>
  </si>
  <si>
    <t>TMG Selling Price</t>
  </si>
  <si>
    <t>Total Selling</t>
  </si>
  <si>
    <t>UNIT PROFIT ($)</t>
  </si>
  <si>
    <t xml:space="preserve">Profit Margin - % </t>
  </si>
  <si>
    <t>SUB TOTAL:</t>
  </si>
  <si>
    <t>Total Cost:
(SGD)</t>
  </si>
  <si>
    <t>Total Selling: 
(SGD)</t>
  </si>
  <si>
    <t>Total Profit:</t>
  </si>
  <si>
    <t>Freight (CNF) Charge:</t>
  </si>
  <si>
    <t>Freight Charge:</t>
  </si>
  <si>
    <t>Profit over SP</t>
  </si>
  <si>
    <t>TOTAL AMT:</t>
  </si>
  <si>
    <t xml:space="preserve">Freight Charge Percentage  
(W/out GST)                                                  </t>
  </si>
  <si>
    <t>9 Changi South Street 3 #07-02/03 Singapore 486361</t>
  </si>
  <si>
    <t>Packing Size
(PC)</t>
  </si>
  <si>
    <t>NA</t>
  </si>
  <si>
    <t>TMG
Promotion
Price</t>
  </si>
  <si>
    <t>Unit Cost 
(SGD - PC)
(W/O GST)</t>
  </si>
  <si>
    <t>Total Cost 
(SGD)
(W GST)</t>
  </si>
  <si>
    <t>Unit Price
(SGD)
(W/O GST)</t>
  </si>
  <si>
    <t>10</t>
  </si>
  <si>
    <t>9% GST</t>
  </si>
  <si>
    <t>Unit Cost (9%)
(SGD - PC)</t>
  </si>
  <si>
    <t>Supplier: URC FOODS (SINGAPORE) PTE LTD</t>
  </si>
  <si>
    <t>TOTAL PROFIT ($)</t>
  </si>
  <si>
    <t>Ctn Price
(SGD)          (-10%)
(W/O GST)</t>
  </si>
  <si>
    <t xml:space="preserve">JACKJILL P.CHIPS BBQ 15Gx8         </t>
  </si>
  <si>
    <t xml:space="preserve">ROLLER COASTER CHEESE 18Gx8                </t>
  </si>
  <si>
    <t xml:space="preserve">JACKJILL P.CHIPS SALSACHILLI 15Gx8               </t>
  </si>
  <si>
    <t>20</t>
  </si>
  <si>
    <t xml:space="preserve">____________________     ____________________     ____________________     ____________________     ____________________     </t>
  </si>
  <si>
    <t xml:space="preserve">              ORDER BY                          CHECKED BY                       SUBMITTED BY                 ACKNOWLEDGE BY              PRICE CHECKED BY</t>
  </si>
  <si>
    <t>30</t>
  </si>
  <si>
    <t xml:space="preserve">PIATTOS SOURCRM 85G            </t>
  </si>
  <si>
    <t xml:space="preserve">ROLLER COASTER BBQ 18Gx8                </t>
  </si>
  <si>
    <t xml:space="preserve">JACKJILL P.CHIPS SEAWEED 70G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</si>
</sst>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&quot;$&quot;#,##0.0000"/>
    <numFmt numFmtId="166" formatCode="&quot;$&quot;#,##0.00"/>
    <numFmt numFmtId="167" formatCode="&quot;$&quot;&quot; &quot;#,##0.00"/>
    <numFmt numFmtId="168" formatCode="0.000%"/>
    <numFmt numFmtId="169" formatCode="&quot; &quot;&quot;$&quot;* #,##0.00&quot; &quot;;&quot;-&quot;&quot;$&quot;* #,##0.00&quot; &quot;;&quot; &quot;&quot;$&quot;* &quot;-&quot;??&quot; &quot;"/>
    <numFmt numFmtId="170" formatCode="0.000"/>
    <numFmt numFmtId="171" formatCode="0.0000"/>
  </numFmts>
  <fonts count="22">
    <font>
      <sz val="11"/>
      <color indexed="8"/>
      <name val="Calibri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b/>
      <sz val="25"/>
      <color indexed="8"/>
      <name val="Calibri"/>
      <family val="2"/>
    </font>
    <font>
      <b/>
      <sz val="20"/>
      <color indexed="8"/>
      <name val="Calibri"/>
      <family val="2"/>
    </font>
    <font>
      <sz val="15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indexed="8"/>
      <name val="Calibri"/>
      <family val="2"/>
    </font>
    <font>
      <u/>
      <sz val="14"/>
      <color indexed="8"/>
      <name val="Calibri"/>
      <family val="2"/>
    </font>
    <font>
      <sz val="12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sz val="9"/>
      <color indexed="8"/>
      <name val="Calibri"/>
      <family val="2"/>
    </font>
    <font>
      <b/>
      <u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10"/>
      <color indexed="8"/>
      <name val="Calibri"/>
      <family val="2"/>
    </font>
    <font>
      <b/>
      <sz val="16"/>
      <color indexed="8"/>
      <name val="Calibri"/>
      <family val="2"/>
    </font>
    <font>
      <sz val="16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宋体"/>
      <family val="3"/>
      <charset val="134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dotted">
        <color indexed="8"/>
      </left>
      <right style="dotted">
        <color indexed="8"/>
      </right>
      <top style="medium">
        <color indexed="8"/>
      </top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dotted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dotted">
        <color indexed="8"/>
      </left>
      <right style="dotted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dotted">
        <color indexed="8"/>
      </right>
      <top/>
      <bottom/>
      <diagonal/>
    </border>
    <border>
      <left style="dotted">
        <color indexed="8"/>
      </left>
      <right style="dotted">
        <color indexed="8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 style="thin">
        <color indexed="1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8"/>
      </left>
      <right style="medium">
        <color indexed="8"/>
      </right>
      <top/>
      <bottom style="thin">
        <color indexed="10"/>
      </bottom>
      <diagonal/>
    </border>
  </borders>
  <cellStyleXfs count="11">
    <xf numFmtId="0" fontId="0" fillId="0" borderId="0" applyNumberFormat="0" applyFill="0" applyBorder="0" applyProtection="0"/>
    <xf numFmtId="43" fontId="2" fillId="0" borderId="0" applyFont="0" applyFill="0" applyBorder="0" applyAlignment="0" applyProtection="0"/>
    <xf numFmtId="0" fontId="19" fillId="0" borderId="0" applyNumberFormat="0" applyFill="0" applyBorder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>
      <alignment vertical="center"/>
    </xf>
    <xf numFmtId="0" fontId="19" fillId="0" borderId="0" applyNumberFormat="0" applyFill="0" applyBorder="0" applyProtection="0"/>
    <xf numFmtId="164" fontId="21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 applyNumberFormat="1"/>
    <xf numFmtId="0" fontId="0" fillId="2" borderId="7" xfId="0" applyFill="1" applyBorder="1"/>
    <xf numFmtId="165" fontId="0" fillId="2" borderId="7" xfId="0" applyNumberFormat="1" applyFill="1" applyBorder="1"/>
    <xf numFmtId="0" fontId="0" fillId="2" borderId="2" xfId="0" applyFill="1" applyBorder="1"/>
    <xf numFmtId="0" fontId="0" fillId="2" borderId="11" xfId="0" applyFill="1" applyBorder="1"/>
    <xf numFmtId="166" fontId="0" fillId="2" borderId="8" xfId="0" applyNumberFormat="1" applyFill="1" applyBorder="1"/>
    <xf numFmtId="0" fontId="0" fillId="2" borderId="20" xfId="0" applyFill="1" applyBorder="1"/>
    <xf numFmtId="165" fontId="14" fillId="3" borderId="15" xfId="0" applyNumberFormat="1" applyFont="1" applyFill="1" applyBorder="1" applyAlignment="1">
      <alignment horizontal="right" vertical="center" wrapText="1"/>
    </xf>
    <xf numFmtId="49" fontId="15" fillId="3" borderId="14" xfId="0" applyNumberFormat="1" applyFont="1" applyFill="1" applyBorder="1" applyAlignment="1">
      <alignment horizontal="right" vertical="center" wrapText="1"/>
    </xf>
    <xf numFmtId="168" fontId="17" fillId="2" borderId="13" xfId="0" applyNumberFormat="1" applyFont="1" applyFill="1" applyBorder="1" applyAlignment="1">
      <alignment horizontal="center" vertical="center" wrapText="1"/>
    </xf>
    <xf numFmtId="165" fontId="14" fillId="3" borderId="18" xfId="0" applyNumberFormat="1" applyFont="1" applyFill="1" applyBorder="1" applyAlignment="1">
      <alignment horizontal="right" vertical="center" wrapText="1"/>
    </xf>
    <xf numFmtId="49" fontId="15" fillId="3" borderId="16" xfId="0" applyNumberFormat="1" applyFont="1" applyFill="1" applyBorder="1" applyAlignment="1">
      <alignment horizontal="right" vertical="center" wrapText="1"/>
    </xf>
    <xf numFmtId="167" fontId="9" fillId="2" borderId="17" xfId="0" applyNumberFormat="1" applyFont="1" applyFill="1" applyBorder="1" applyAlignment="1">
      <alignment horizontal="center" vertical="center"/>
    </xf>
    <xf numFmtId="0" fontId="0" fillId="0" borderId="0" xfId="0" applyNumberFormat="1" applyFill="1"/>
    <xf numFmtId="165" fontId="14" fillId="3" borderId="30" xfId="0" applyNumberFormat="1" applyFont="1" applyFill="1" applyBorder="1" applyAlignment="1">
      <alignment horizontal="right" vertical="center" wrapText="1"/>
    </xf>
    <xf numFmtId="49" fontId="14" fillId="3" borderId="32" xfId="0" applyNumberFormat="1" applyFont="1" applyFill="1" applyBorder="1" applyAlignment="1">
      <alignment horizontal="right" vertical="center" wrapText="1"/>
    </xf>
    <xf numFmtId="167" fontId="9" fillId="2" borderId="39" xfId="0" applyNumberFormat="1" applyFont="1" applyFill="1" applyBorder="1" applyAlignment="1">
      <alignment horizontal="center" vertical="center"/>
    </xf>
    <xf numFmtId="49" fontId="0" fillId="2" borderId="40" xfId="0" applyNumberFormat="1" applyFill="1" applyBorder="1" applyAlignment="1">
      <alignment horizontal="center" vertical="center" wrapText="1"/>
    </xf>
    <xf numFmtId="9" fontId="12" fillId="2" borderId="43" xfId="0" applyNumberFormat="1" applyFont="1" applyFill="1" applyBorder="1" applyAlignment="1">
      <alignment horizontal="left" vertical="center"/>
    </xf>
    <xf numFmtId="0" fontId="9" fillId="2" borderId="8" xfId="0" applyFont="1" applyFill="1" applyBorder="1"/>
    <xf numFmtId="169" fontId="9" fillId="2" borderId="12" xfId="0" applyNumberFormat="1" applyFont="1" applyFill="1" applyBorder="1" applyAlignment="1">
      <alignment horizontal="center" vertical="center" wrapText="1"/>
    </xf>
    <xf numFmtId="0" fontId="9" fillId="0" borderId="0" xfId="0" applyNumberFormat="1" applyFont="1"/>
    <xf numFmtId="49" fontId="10" fillId="3" borderId="49" xfId="0" applyNumberFormat="1" applyFont="1" applyFill="1" applyBorder="1" applyAlignment="1">
      <alignment horizontal="center" vertical="center" wrapText="1"/>
    </xf>
    <xf numFmtId="49" fontId="10" fillId="3" borderId="50" xfId="0" applyNumberFormat="1" applyFont="1" applyFill="1" applyBorder="1" applyAlignment="1">
      <alignment horizontal="center" vertical="center"/>
    </xf>
    <xf numFmtId="3" fontId="0" fillId="0" borderId="26" xfId="0" applyNumberFormat="1" applyFill="1" applyBorder="1" applyAlignment="1">
      <alignment horizontal="center" vertical="center"/>
    </xf>
    <xf numFmtId="0" fontId="9" fillId="0" borderId="12" xfId="0" applyFont="1" applyFill="1" applyBorder="1"/>
    <xf numFmtId="165" fontId="14" fillId="3" borderId="51" xfId="0" applyNumberFormat="1" applyFont="1" applyFill="1" applyBorder="1" applyAlignment="1">
      <alignment horizontal="right" vertical="center" wrapText="1"/>
    </xf>
    <xf numFmtId="165" fontId="14" fillId="3" borderId="52" xfId="0" applyNumberFormat="1" applyFont="1" applyFill="1" applyBorder="1" applyAlignment="1">
      <alignment horizontal="right" vertical="center" wrapText="1"/>
    </xf>
    <xf numFmtId="165" fontId="14" fillId="3" borderId="53" xfId="0" applyNumberFormat="1" applyFont="1" applyFill="1" applyBorder="1" applyAlignment="1">
      <alignment horizontal="right" vertical="center" wrapText="1"/>
    </xf>
    <xf numFmtId="165" fontId="14" fillId="3" borderId="54" xfId="0" applyNumberFormat="1" applyFont="1" applyFill="1" applyBorder="1" applyAlignment="1">
      <alignment horizontal="right" vertical="center" wrapText="1"/>
    </xf>
    <xf numFmtId="164" fontId="0" fillId="0" borderId="26" xfId="10" applyFont="1" applyFill="1" applyBorder="1" applyAlignment="1">
      <alignment horizontal="center" vertical="center"/>
    </xf>
    <xf numFmtId="0" fontId="19" fillId="0" borderId="0" xfId="0" applyNumberFormat="1" applyFont="1"/>
    <xf numFmtId="0" fontId="6" fillId="2" borderId="7" xfId="0" applyFont="1" applyFill="1" applyBorder="1"/>
    <xf numFmtId="0" fontId="9" fillId="0" borderId="43" xfId="0" applyFont="1" applyFill="1" applyBorder="1"/>
    <xf numFmtId="0" fontId="0" fillId="2" borderId="57" xfId="0" applyFill="1" applyBorder="1"/>
    <xf numFmtId="0" fontId="8" fillId="2" borderId="57" xfId="0" applyFont="1" applyFill="1" applyBorder="1" applyAlignment="1">
      <alignment vertical="center"/>
    </xf>
    <xf numFmtId="0" fontId="8" fillId="0" borderId="57" xfId="0" applyFont="1" applyFill="1" applyBorder="1" applyAlignment="1">
      <alignment vertical="center"/>
    </xf>
    <xf numFmtId="49" fontId="14" fillId="3" borderId="40" xfId="0" applyNumberFormat="1" applyFont="1" applyFill="1" applyBorder="1" applyAlignment="1">
      <alignment horizontal="right" vertical="center" wrapText="1"/>
    </xf>
    <xf numFmtId="167" fontId="15" fillId="2" borderId="42" xfId="0" applyNumberFormat="1" applyFont="1" applyFill="1" applyBorder="1" applyAlignment="1">
      <alignment horizontal="right" vertical="center"/>
    </xf>
    <xf numFmtId="167" fontId="0" fillId="0" borderId="26" xfId="0" applyNumberFormat="1" applyFill="1" applyBorder="1" applyAlignment="1">
      <alignment horizontal="center" vertical="center"/>
    </xf>
    <xf numFmtId="164" fontId="9" fillId="6" borderId="26" xfId="9" applyNumberFormat="1" applyFont="1" applyFill="1" applyBorder="1" applyAlignment="1">
      <alignment horizontal="center" vertical="center"/>
    </xf>
    <xf numFmtId="10" fontId="0" fillId="0" borderId="26" xfId="0" applyNumberFormat="1" applyFill="1" applyBorder="1" applyAlignment="1">
      <alignment horizontal="center" vertical="center"/>
    </xf>
    <xf numFmtId="0" fontId="0" fillId="2" borderId="63" xfId="0" applyFill="1" applyBorder="1"/>
    <xf numFmtId="0" fontId="0" fillId="0" borderId="63" xfId="0" applyFill="1" applyBorder="1"/>
    <xf numFmtId="0" fontId="9" fillId="2" borderId="63" xfId="0" applyFont="1" applyFill="1" applyBorder="1"/>
    <xf numFmtId="0" fontId="8" fillId="2" borderId="63" xfId="0" applyFont="1" applyFill="1" applyBorder="1" applyAlignment="1">
      <alignment vertical="center"/>
    </xf>
    <xf numFmtId="49" fontId="4" fillId="2" borderId="36" xfId="0" applyNumberFormat="1" applyFont="1" applyFill="1" applyBorder="1" applyAlignment="1">
      <alignment horizontal="right" vertical="center"/>
    </xf>
    <xf numFmtId="0" fontId="9" fillId="2" borderId="33" xfId="0" applyFont="1" applyFill="1" applyBorder="1"/>
    <xf numFmtId="49" fontId="4" fillId="2" borderId="64" xfId="0" applyNumberFormat="1" applyFont="1" applyFill="1" applyBorder="1" applyAlignment="1">
      <alignment horizontal="right"/>
    </xf>
    <xf numFmtId="170" fontId="6" fillId="2" borderId="44" xfId="0" applyNumberFormat="1" applyFont="1" applyFill="1" applyBorder="1" applyAlignment="1">
      <alignment horizontal="center"/>
    </xf>
    <xf numFmtId="171" fontId="7" fillId="2" borderId="44" xfId="0" applyNumberFormat="1" applyFont="1" applyFill="1" applyBorder="1" applyAlignment="1">
      <alignment horizontal="center"/>
    </xf>
    <xf numFmtId="0" fontId="15" fillId="2" borderId="45" xfId="0" applyFont="1" applyFill="1" applyBorder="1" applyAlignment="1">
      <alignment horizontal="center"/>
    </xf>
    <xf numFmtId="49" fontId="10" fillId="3" borderId="49" xfId="0" applyNumberFormat="1" applyFont="1" applyFill="1" applyBorder="1" applyAlignment="1">
      <alignment horizontal="center" vertical="center"/>
    </xf>
    <xf numFmtId="49" fontId="10" fillId="3" borderId="32" xfId="0" applyNumberFormat="1" applyFont="1" applyFill="1" applyBorder="1" applyAlignment="1">
      <alignment horizontal="center" vertical="center"/>
    </xf>
    <xf numFmtId="166" fontId="15" fillId="2" borderId="38" xfId="0" applyNumberFormat="1" applyFont="1" applyFill="1" applyBorder="1" applyAlignment="1">
      <alignment horizontal="right" vertical="center"/>
    </xf>
    <xf numFmtId="166" fontId="10" fillId="2" borderId="65" xfId="0" applyNumberFormat="1" applyFont="1" applyFill="1" applyBorder="1" applyAlignment="1">
      <alignment horizontal="center" vertical="center"/>
    </xf>
    <xf numFmtId="49" fontId="10" fillId="3" borderId="66" xfId="0" applyNumberFormat="1" applyFont="1" applyFill="1" applyBorder="1" applyAlignment="1">
      <alignment horizontal="center" vertical="center" wrapText="1"/>
    </xf>
    <xf numFmtId="49" fontId="10" fillId="3" borderId="67" xfId="0" applyNumberFormat="1" applyFont="1" applyFill="1" applyBorder="1" applyAlignment="1">
      <alignment horizontal="center" vertical="center" wrapText="1"/>
    </xf>
    <xf numFmtId="49" fontId="10" fillId="4" borderId="67" xfId="0" applyNumberFormat="1" applyFont="1" applyFill="1" applyBorder="1" applyAlignment="1">
      <alignment horizontal="center" vertical="center" wrapText="1"/>
    </xf>
    <xf numFmtId="49" fontId="10" fillId="3" borderId="68" xfId="0" applyNumberFormat="1" applyFont="1" applyFill="1" applyBorder="1" applyAlignment="1">
      <alignment horizontal="center" vertical="center" wrapText="1"/>
    </xf>
    <xf numFmtId="0" fontId="0" fillId="2" borderId="69" xfId="0" applyFill="1" applyBorder="1"/>
    <xf numFmtId="0" fontId="0" fillId="0" borderId="26" xfId="0" applyNumberFormat="1" applyFill="1" applyBorder="1" applyAlignment="1">
      <alignment horizontal="center" vertical="center"/>
    </xf>
    <xf numFmtId="49" fontId="19" fillId="0" borderId="26" xfId="0" applyNumberFormat="1" applyFont="1" applyBorder="1" applyAlignment="1">
      <alignment vertical="center" wrapText="1"/>
    </xf>
    <xf numFmtId="49" fontId="19" fillId="0" borderId="26" xfId="0" applyNumberFormat="1" applyFont="1" applyBorder="1" applyAlignment="1">
      <alignment horizontal="center" vertical="center" wrapText="1"/>
    </xf>
    <xf numFmtId="1" fontId="11" fillId="0" borderId="26" xfId="0" applyNumberFormat="1" applyFont="1" applyFill="1" applyBorder="1" applyAlignment="1">
      <alignment horizontal="center" vertical="center"/>
    </xf>
    <xf numFmtId="171" fontId="0" fillId="0" borderId="26" xfId="0" applyNumberFormat="1" applyFill="1" applyBorder="1" applyAlignment="1">
      <alignment horizontal="center" vertical="center"/>
    </xf>
    <xf numFmtId="165" fontId="0" fillId="2" borderId="7" xfId="0" applyNumberFormat="1" applyFill="1" applyBorder="1" applyAlignment="1">
      <alignment horizontal="center" vertical="center"/>
    </xf>
    <xf numFmtId="166" fontId="0" fillId="2" borderId="7" xfId="0" applyNumberFormat="1" applyFill="1" applyBorder="1" applyAlignment="1">
      <alignment horizontal="center" vertical="center"/>
    </xf>
    <xf numFmtId="164" fontId="0" fillId="0" borderId="26" xfId="0" applyNumberFormat="1" applyFill="1" applyBorder="1" applyAlignment="1">
      <alignment horizontal="center" vertical="center"/>
    </xf>
    <xf numFmtId="49" fontId="14" fillId="3" borderId="23" xfId="0" applyNumberFormat="1" applyFont="1" applyFill="1" applyBorder="1" applyAlignment="1">
      <alignment horizontal="center" vertical="center" wrapText="1"/>
    </xf>
    <xf numFmtId="164" fontId="19" fillId="5" borderId="19" xfId="0" applyNumberFormat="1" applyFont="1" applyFill="1" applyBorder="1" applyAlignment="1">
      <alignment horizontal="center" vertical="center"/>
    </xf>
    <xf numFmtId="49" fontId="14" fillId="3" borderId="25" xfId="0" applyNumberFormat="1" applyFont="1" applyFill="1" applyBorder="1" applyAlignment="1">
      <alignment horizontal="center" vertical="center" wrapText="1"/>
    </xf>
    <xf numFmtId="164" fontId="0" fillId="2" borderId="19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4" fillId="0" borderId="0" xfId="0" applyNumberFormat="1" applyFont="1"/>
    <xf numFmtId="0" fontId="14" fillId="0" borderId="0" xfId="0" applyNumberFormat="1" applyFont="1" applyFill="1"/>
    <xf numFmtId="0" fontId="15" fillId="0" borderId="0" xfId="0" applyNumberFormat="1" applyFont="1"/>
    <xf numFmtId="0" fontId="14" fillId="0" borderId="0" xfId="0" applyNumberFormat="1" applyFont="1" applyAlignment="1">
      <alignment horizontal="left" vertical="center"/>
    </xf>
    <xf numFmtId="49" fontId="3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4" fillId="2" borderId="37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49" fontId="4" fillId="2" borderId="9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49" fontId="4" fillId="2" borderId="55" xfId="0" applyNumberFormat="1" applyFont="1" applyFill="1" applyBorder="1" applyAlignment="1">
      <alignment horizontal="center" vertical="center"/>
    </xf>
    <xf numFmtId="49" fontId="4" fillId="2" borderId="56" xfId="0" applyNumberFormat="1" applyFont="1" applyFill="1" applyBorder="1" applyAlignment="1">
      <alignment horizontal="center" vertical="center"/>
    </xf>
    <xf numFmtId="49" fontId="4" fillId="2" borderId="35" xfId="0" applyNumberFormat="1" applyFont="1" applyFill="1" applyBorder="1" applyAlignment="1">
      <alignment horizontal="center" vertical="center"/>
    </xf>
    <xf numFmtId="49" fontId="13" fillId="2" borderId="27" xfId="0" applyNumberFormat="1" applyFont="1" applyFill="1" applyBorder="1" applyAlignment="1">
      <alignment horizontal="left" vertical="top" wrapText="1"/>
    </xf>
    <xf numFmtId="0" fontId="0" fillId="2" borderId="28" xfId="0" applyFill="1" applyBorder="1" applyAlignment="1">
      <alignment horizontal="left" vertical="top" wrapText="1"/>
    </xf>
    <xf numFmtId="0" fontId="0" fillId="2" borderId="29" xfId="0" applyFill="1" applyBorder="1" applyAlignment="1">
      <alignment horizontal="left" vertical="top" wrapText="1"/>
    </xf>
    <xf numFmtId="49" fontId="0" fillId="2" borderId="27" xfId="0" applyNumberFormat="1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22" xfId="0" applyFill="1" applyBorder="1" applyAlignment="1">
      <alignment horizontal="left" vertical="top" wrapText="1"/>
    </xf>
    <xf numFmtId="0" fontId="0" fillId="2" borderId="2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49" fontId="14" fillId="3" borderId="47" xfId="0" applyNumberFormat="1" applyFont="1" applyFill="1" applyBorder="1" applyAlignment="1">
      <alignment horizontal="center" vertical="center" wrapText="1"/>
    </xf>
    <xf numFmtId="49" fontId="14" fillId="3" borderId="31" xfId="0" applyNumberFormat="1" applyFont="1" applyFill="1" applyBorder="1" applyAlignment="1">
      <alignment horizontal="center" vertical="center" wrapText="1"/>
    </xf>
    <xf numFmtId="164" fontId="0" fillId="2" borderId="48" xfId="0" applyNumberFormat="1" applyFill="1" applyBorder="1" applyAlignment="1">
      <alignment horizontal="center" vertical="center"/>
    </xf>
    <xf numFmtId="164" fontId="0" fillId="2" borderId="34" xfId="0" applyNumberFormat="1" applyFill="1" applyBorder="1" applyAlignment="1">
      <alignment horizontal="center" vertical="center"/>
    </xf>
    <xf numFmtId="49" fontId="14" fillId="3" borderId="51" xfId="0" applyNumberFormat="1" applyFont="1" applyFill="1" applyBorder="1" applyAlignment="1">
      <alignment horizontal="center" vertical="center" wrapText="1"/>
    </xf>
    <xf numFmtId="0" fontId="14" fillId="3" borderId="58" xfId="0" applyFont="1" applyFill="1" applyBorder="1" applyAlignment="1">
      <alignment horizontal="center" vertical="center" wrapText="1"/>
    </xf>
    <xf numFmtId="167" fontId="10" fillId="2" borderId="59" xfId="0" applyNumberFormat="1" applyFont="1" applyFill="1" applyBorder="1" applyAlignment="1">
      <alignment horizontal="center" vertical="center"/>
    </xf>
    <xf numFmtId="167" fontId="10" fillId="2" borderId="60" xfId="0" applyNumberFormat="1" applyFont="1" applyFill="1" applyBorder="1" applyAlignment="1">
      <alignment horizontal="center" vertical="center"/>
    </xf>
    <xf numFmtId="49" fontId="14" fillId="3" borderId="0" xfId="0" applyNumberFormat="1" applyFont="1" applyFill="1" applyBorder="1" applyAlignment="1">
      <alignment horizontal="center" vertical="center"/>
    </xf>
    <xf numFmtId="49" fontId="14" fillId="3" borderId="61" xfId="0" applyNumberFormat="1" applyFont="1" applyFill="1" applyBorder="1" applyAlignment="1">
      <alignment horizontal="center" vertical="center"/>
    </xf>
    <xf numFmtId="49" fontId="14" fillId="3" borderId="44" xfId="0" applyNumberFormat="1" applyFont="1" applyFill="1" applyBorder="1" applyAlignment="1">
      <alignment horizontal="center" vertical="center"/>
    </xf>
    <xf numFmtId="49" fontId="14" fillId="3" borderId="45" xfId="0" applyNumberFormat="1" applyFont="1" applyFill="1" applyBorder="1" applyAlignment="1">
      <alignment horizontal="center" vertical="center"/>
    </xf>
    <xf numFmtId="167" fontId="9" fillId="2" borderId="62" xfId="0" applyNumberFormat="1" applyFont="1" applyFill="1" applyBorder="1" applyAlignment="1">
      <alignment horizontal="center" vertical="center"/>
    </xf>
    <xf numFmtId="167" fontId="9" fillId="2" borderId="46" xfId="0" applyNumberFormat="1" applyFont="1" applyFill="1" applyBorder="1" applyAlignment="1">
      <alignment horizontal="center" vertical="center"/>
    </xf>
    <xf numFmtId="49" fontId="16" fillId="2" borderId="26" xfId="0" applyNumberFormat="1" applyFont="1" applyFill="1" applyBorder="1" applyAlignment="1">
      <alignment horizontal="center" vertical="center" wrapText="1"/>
    </xf>
    <xf numFmtId="49" fontId="4" fillId="3" borderId="35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168" fontId="18" fillId="2" borderId="41" xfId="0" applyNumberFormat="1" applyFont="1" applyFill="1" applyBorder="1" applyAlignment="1">
      <alignment horizontal="center" vertical="center"/>
    </xf>
    <xf numFmtId="168" fontId="18" fillId="2" borderId="42" xfId="0" applyNumberFormat="1" applyFont="1" applyFill="1" applyBorder="1" applyAlignment="1">
      <alignment horizontal="center" vertical="center"/>
    </xf>
  </cellXfs>
  <cellStyles count="11">
    <cellStyle name=" 3]_x000d__x000a_Zoomed=1_x000d__x000a_Row=0_x000d__x000a_Column=0_x000d__x000a_Height=300_x000d__x000a_Width=300_x000d__x000a_FontName=細明體_x000d__x000a_FontStyle=0_x000d__x000a_FontSize=9_x000d__x000a_PrtFontName=Co" xfId="8" xr:uid="{00000000-0005-0000-0000-000000000000}"/>
    <cellStyle name="Comma 2" xfId="1" xr:uid="{00000000-0005-0000-0000-000001000000}"/>
    <cellStyle name="Comma 2 2" xfId="5" xr:uid="{00000000-0005-0000-0000-000002000000}"/>
    <cellStyle name="Comma 2 3" xfId="3" xr:uid="{00000000-0005-0000-0000-000003000000}"/>
    <cellStyle name="Currency" xfId="10" builtinId="4"/>
    <cellStyle name="Currency 2" xfId="6" xr:uid="{00000000-0005-0000-0000-000005000000}"/>
    <cellStyle name="Normal" xfId="0" builtinId="0"/>
    <cellStyle name="Normal 2" xfId="9" xr:uid="{00000000-0005-0000-0000-000007000000}"/>
    <cellStyle name="Normal 3" xfId="4" xr:uid="{00000000-0005-0000-0000-000008000000}"/>
    <cellStyle name="Normal 4" xfId="2" xr:uid="{00000000-0005-0000-0000-000009000000}"/>
    <cellStyle name="Percent 2" xfId="7" xr:uid="{00000000-0005-0000-0000-00000A000000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BD4B4"/>
      <rgbColor rgb="FFFFC000"/>
      <rgbColor rgb="FF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9"/>
  <sheetViews>
    <sheetView tabSelected="1" topLeftCell="A5" zoomScale="80" zoomScaleNormal="80" workbookViewId="0">
      <selection activeCell="A8" sqref="A8:XFD8"/>
    </sheetView>
  </sheetViews>
  <sheetFormatPr defaultColWidth="14.42578125" defaultRowHeight="15.75"/>
  <cols>
    <col min="1" max="1" width="6" style="1" customWidth="1"/>
    <col min="2" max="2" width="58" style="1" customWidth="1"/>
    <col min="3" max="3" width="7.42578125" style="1" bestFit="1" customWidth="1"/>
    <col min="4" max="4" width="9.5703125" style="1" bestFit="1" customWidth="1"/>
    <col min="5" max="5" width="10.5703125" style="1" bestFit="1" customWidth="1"/>
    <col min="6" max="6" width="13.140625" style="1" bestFit="1" customWidth="1"/>
    <col min="7" max="7" width="13.140625" style="74" bestFit="1" customWidth="1"/>
    <col min="8" max="8" width="11.28515625" style="74" bestFit="1" customWidth="1"/>
    <col min="9" max="9" width="2.5703125" style="1" customWidth="1"/>
    <col min="10" max="10" width="13.140625" style="1" bestFit="1" customWidth="1"/>
    <col min="11" max="11" width="12.85546875" style="1" customWidth="1"/>
    <col min="12" max="12" width="12.85546875" style="1" bestFit="1" customWidth="1"/>
    <col min="13" max="13" width="12.140625" style="1" bestFit="1" customWidth="1"/>
    <col min="14" max="14" width="12" style="14" customWidth="1"/>
    <col min="15" max="15" width="10.28515625" style="1" bestFit="1" customWidth="1"/>
    <col min="16" max="16" width="13" style="1" customWidth="1"/>
    <col min="17" max="17" width="12.7109375" style="1" bestFit="1" customWidth="1"/>
    <col min="18" max="18" width="16" style="1" bestFit="1" customWidth="1"/>
    <col min="19" max="19" width="15.140625" style="22" customWidth="1"/>
    <col min="20" max="16384" width="14.42578125" style="1"/>
  </cols>
  <sheetData>
    <row r="1" spans="1:19" ht="32.450000000000003" customHeight="1">
      <c r="A1" s="79" t="s">
        <v>0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1"/>
      <c r="P1" s="47" t="s">
        <v>1</v>
      </c>
      <c r="Q1" s="82">
        <v>45877</v>
      </c>
      <c r="R1" s="82"/>
      <c r="S1" s="48"/>
    </row>
    <row r="2" spans="1:19" ht="31.7" customHeight="1" thickBot="1">
      <c r="A2" s="83" t="s">
        <v>24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5"/>
      <c r="P2" s="49" t="s">
        <v>2</v>
      </c>
      <c r="Q2" s="50">
        <v>1</v>
      </c>
      <c r="R2" s="51"/>
      <c r="S2" s="52"/>
    </row>
    <row r="3" spans="1:19" ht="22.7" customHeight="1" thickBot="1">
      <c r="A3" s="2"/>
      <c r="B3" s="33" t="s">
        <v>34</v>
      </c>
      <c r="C3" s="2"/>
      <c r="D3" s="2"/>
      <c r="E3" s="3"/>
      <c r="F3" s="3"/>
      <c r="G3" s="67"/>
      <c r="H3" s="68"/>
      <c r="I3" s="4"/>
      <c r="J3" s="35"/>
      <c r="K3" s="36"/>
      <c r="L3" s="36"/>
      <c r="M3" s="36"/>
      <c r="N3" s="37"/>
      <c r="O3" s="36"/>
      <c r="P3" s="46"/>
      <c r="Q3" s="46"/>
      <c r="R3" s="46"/>
      <c r="S3" s="45"/>
    </row>
    <row r="4" spans="1:19" ht="22.7" customHeight="1" thickBot="1">
      <c r="A4" s="86" t="s">
        <v>3</v>
      </c>
      <c r="B4" s="87"/>
      <c r="C4" s="87"/>
      <c r="D4" s="87"/>
      <c r="E4" s="87"/>
      <c r="F4" s="87"/>
      <c r="G4" s="87"/>
      <c r="H4" s="88"/>
      <c r="I4" s="5"/>
      <c r="J4" s="89" t="s">
        <v>4</v>
      </c>
      <c r="K4" s="90"/>
      <c r="L4" s="90"/>
      <c r="M4" s="90"/>
      <c r="N4" s="90"/>
      <c r="O4" s="90"/>
      <c r="P4" s="90"/>
      <c r="Q4" s="90"/>
      <c r="R4" s="90"/>
      <c r="S4" s="91"/>
    </row>
    <row r="5" spans="1:19" ht="15" customHeight="1" thickBot="1">
      <c r="A5" s="2"/>
      <c r="B5" s="2"/>
      <c r="C5" s="2"/>
      <c r="D5" s="2"/>
      <c r="E5" s="3"/>
      <c r="F5" s="3"/>
      <c r="G5" s="67"/>
      <c r="H5" s="68"/>
      <c r="I5" s="6"/>
      <c r="J5" s="43"/>
      <c r="K5" s="43"/>
      <c r="L5" s="43"/>
      <c r="M5" s="43"/>
      <c r="N5" s="44"/>
      <c r="O5" s="43"/>
      <c r="P5" s="43"/>
      <c r="Q5" s="43"/>
      <c r="R5" s="43"/>
      <c r="S5" s="45"/>
    </row>
    <row r="6" spans="1:19" ht="93.75">
      <c r="A6" s="54" t="s">
        <v>5</v>
      </c>
      <c r="B6" s="53" t="s">
        <v>6</v>
      </c>
      <c r="C6" s="23" t="s">
        <v>7</v>
      </c>
      <c r="D6" s="23" t="s">
        <v>25</v>
      </c>
      <c r="E6" s="23" t="s">
        <v>8</v>
      </c>
      <c r="F6" s="23" t="s">
        <v>36</v>
      </c>
      <c r="G6" s="23" t="s">
        <v>30</v>
      </c>
      <c r="H6" s="24" t="s">
        <v>9</v>
      </c>
      <c r="I6" s="56"/>
      <c r="J6" s="57" t="s">
        <v>28</v>
      </c>
      <c r="K6" s="58" t="s">
        <v>10</v>
      </c>
      <c r="L6" s="58" t="s">
        <v>33</v>
      </c>
      <c r="M6" s="58" t="s">
        <v>29</v>
      </c>
      <c r="N6" s="59" t="s">
        <v>11</v>
      </c>
      <c r="O6" s="58" t="s">
        <v>12</v>
      </c>
      <c r="P6" s="58" t="s">
        <v>13</v>
      </c>
      <c r="Q6" s="58" t="s">
        <v>35</v>
      </c>
      <c r="R6" s="58" t="s">
        <v>14</v>
      </c>
      <c r="S6" s="60" t="s">
        <v>27</v>
      </c>
    </row>
    <row r="7" spans="1:19" s="14" customFormat="1" ht="45" customHeight="1">
      <c r="A7" s="62">
        <v>2</v>
      </c>
      <c r="B7" s="63" t="s">
        <v>39</v>
      </c>
      <c r="C7" s="25">
        <v>32</v>
      </c>
      <c r="D7" s="64" t="s">
        <v>31</v>
      </c>
      <c r="E7" s="25">
        <f>D7*C7</f>
        <v>320</v>
      </c>
      <c r="F7" s="31">
        <v>20.399999999999999</v>
      </c>
      <c r="G7" s="31">
        <f>F7/D7</f>
        <v>2.04</v>
      </c>
      <c r="H7" s="69">
        <f>G7*E7</f>
        <v>652.79999999999995</v>
      </c>
      <c r="I7" s="65"/>
      <c r="J7" s="66" t="e">
        <f>G7/#REF!</f>
        <v>#REF!</v>
      </c>
      <c r="K7" s="66" t="e">
        <f>H7/#REF!</f>
        <v>#REF!</v>
      </c>
      <c r="L7" s="66" t="e">
        <f>J7*(1+#REF!+9%)</f>
        <v>#REF!</v>
      </c>
      <c r="M7" s="66" t="e">
        <f>L7*E7</f>
        <v>#REF!</v>
      </c>
      <c r="N7" s="41">
        <v>3</v>
      </c>
      <c r="O7" s="40">
        <f>N7*E7</f>
        <v>960</v>
      </c>
      <c r="P7" s="40" t="e">
        <f>N7-L7</f>
        <v>#REF!</v>
      </c>
      <c r="Q7" s="40" t="e">
        <f>P7*E7</f>
        <v>#REF!</v>
      </c>
      <c r="R7" s="42" t="e">
        <f>P7/N7</f>
        <v>#REF!</v>
      </c>
      <c r="S7" s="42"/>
    </row>
    <row r="8" spans="1:19" s="14" customFormat="1" ht="45" customHeight="1">
      <c r="A8" s="62">
        <v>1</v>
      </c>
      <c r="B8" s="63" t="s">
        <v>46</v>
      </c>
      <c r="C8" s="25">
        <v>12</v>
      </c>
      <c r="D8" s="64" t="s">
        <v>40</v>
      </c>
      <c r="E8" s="25">
        <f>D8*C8</f>
        <v>240</v>
      </c>
      <c r="F8" s="31">
        <v>22.5</v>
      </c>
      <c r="G8" s="31">
        <f>F8/D8</f>
        <v>1.125</v>
      </c>
      <c r="H8" s="69">
        <f>G8*E8</f>
        <v>270</v>
      </c>
      <c r="I8" s="65"/>
      <c r="J8" s="66" t="e">
        <f>G8/#REF!</f>
        <v>#REF!</v>
      </c>
      <c r="K8" s="66" t="e">
        <f>H8/#REF!</f>
        <v>#REF!</v>
      </c>
      <c r="L8" s="66" t="e">
        <f>J8*(1+#REF!+9%)</f>
        <v>#REF!</v>
      </c>
      <c r="M8" s="66" t="e">
        <f>L8*E8</f>
        <v>#REF!</v>
      </c>
      <c r="N8" s="41">
        <v>1.8</v>
      </c>
      <c r="O8" s="40">
        <f>N8*E8</f>
        <v>432</v>
      </c>
      <c r="P8" s="40" t="e">
        <f>N8-L8</f>
        <v>#REF!</v>
      </c>
      <c r="Q8" s="40" t="e">
        <f>P8*E8</f>
        <v>#REF!</v>
      </c>
      <c r="R8" s="42" t="e">
        <f>P8/N8</f>
        <v>#REF!</v>
      </c>
      <c r="S8" s="42"/>
    </row>
    <row r="9" spans="1:19" s="14" customFormat="1" ht="45" customHeight="1">
      <c r="A9" s="62">
        <v>3</v>
      </c>
      <c r="B9" s="63" t="s">
        <v>37</v>
      </c>
      <c r="C9" s="25">
        <v>32</v>
      </c>
      <c r="D9" s="64" t="s">
        <v>31</v>
      </c>
      <c r="E9" s="25">
        <f>D9*C9</f>
        <v>320</v>
      </c>
      <c r="F9" s="31">
        <v>20.399999999999999</v>
      </c>
      <c r="G9" s="31">
        <f>F9/D9</f>
        <v>2.04</v>
      </c>
      <c r="H9" s="69">
        <f>G9*E9</f>
        <v>652.79999999999995</v>
      </c>
      <c r="I9" s="65"/>
      <c r="J9" s="66">
        <f>G9/$Q$2</f>
        <v>2.04</v>
      </c>
      <c r="K9" s="66">
        <f>H9/$Q$2</f>
        <v>652.79999999999995</v>
      </c>
      <c r="L9" s="66">
        <f>J9*(1+$M$16+9%)</f>
        <v>2.2236000000000002</v>
      </c>
      <c r="M9" s="66">
        <f>L9*E9</f>
        <v>711.55200000000013</v>
      </c>
      <c r="N9" s="41">
        <v>3</v>
      </c>
      <c r="O9" s="40">
        <f>N9*E9</f>
        <v>960</v>
      </c>
      <c r="P9" s="40">
        <f>N9-L9</f>
        <v>0.77639999999999976</v>
      </c>
      <c r="Q9" s="40">
        <f>P9*E9</f>
        <v>248.44799999999992</v>
      </c>
      <c r="R9" s="42">
        <f>P9/N9</f>
        <v>0.25879999999999992</v>
      </c>
      <c r="S9" s="42"/>
    </row>
    <row r="10" spans="1:19" s="14" customFormat="1" ht="45" customHeight="1">
      <c r="A10" s="62">
        <v>4</v>
      </c>
      <c r="B10" s="63" t="s">
        <v>38</v>
      </c>
      <c r="C10" s="25">
        <v>32</v>
      </c>
      <c r="D10" s="64" t="s">
        <v>31</v>
      </c>
      <c r="E10" s="25">
        <f>D10*C10</f>
        <v>320</v>
      </c>
      <c r="F10" s="31">
        <v>16.9816</v>
      </c>
      <c r="G10" s="31">
        <f>F10/D10</f>
        <v>1.6981600000000001</v>
      </c>
      <c r="H10" s="69">
        <f>G10*E10</f>
        <v>543.41120000000001</v>
      </c>
      <c r="I10" s="65"/>
      <c r="J10" s="66" t="e">
        <f>G10/#REF!</f>
        <v>#REF!</v>
      </c>
      <c r="K10" s="66" t="e">
        <f>H10/#REF!</f>
        <v>#REF!</v>
      </c>
      <c r="L10" s="66" t="e">
        <f>J10*(1+#REF!+9%)</f>
        <v>#REF!</v>
      </c>
      <c r="M10" s="66" t="e">
        <f>L10*E10</f>
        <v>#REF!</v>
      </c>
      <c r="N10" s="41">
        <v>3</v>
      </c>
      <c r="O10" s="40">
        <f>N10*E10</f>
        <v>960</v>
      </c>
      <c r="P10" s="40" t="e">
        <f>N10-L10</f>
        <v>#REF!</v>
      </c>
      <c r="Q10" s="40" t="e">
        <f>P10*E10</f>
        <v>#REF!</v>
      </c>
      <c r="R10" s="42" t="e">
        <f>P10/N10</f>
        <v>#REF!</v>
      </c>
      <c r="S10" s="42"/>
    </row>
    <row r="11" spans="1:19" s="14" customFormat="1" ht="45" customHeight="1">
      <c r="A11" s="62">
        <v>5</v>
      </c>
      <c r="B11" s="63" t="s">
        <v>45</v>
      </c>
      <c r="C11" s="25">
        <v>32</v>
      </c>
      <c r="D11" s="64" t="s">
        <v>31</v>
      </c>
      <c r="E11" s="25">
        <f>D11*C11</f>
        <v>320</v>
      </c>
      <c r="F11" s="31">
        <v>16.9817</v>
      </c>
      <c r="G11" s="31">
        <f>F11/D11</f>
        <v>1.69817</v>
      </c>
      <c r="H11" s="69">
        <f>G11*E11</f>
        <v>543.4144</v>
      </c>
      <c r="I11" s="65"/>
      <c r="J11" s="66" t="e">
        <f>G11/#REF!</f>
        <v>#REF!</v>
      </c>
      <c r="K11" s="66" t="e">
        <f>H11/#REF!</f>
        <v>#REF!</v>
      </c>
      <c r="L11" s="66" t="e">
        <f>J11*(1+#REF!+9%)</f>
        <v>#REF!</v>
      </c>
      <c r="M11" s="66" t="e">
        <f>L11*E11</f>
        <v>#REF!</v>
      </c>
      <c r="N11" s="41">
        <v>3</v>
      </c>
      <c r="O11" s="40">
        <f>N11*E11</f>
        <v>960</v>
      </c>
      <c r="P11" s="40" t="e">
        <f>N11-L11</f>
        <v>#REF!</v>
      </c>
      <c r="Q11" s="40" t="e">
        <f>P11*E11</f>
        <v>#REF!</v>
      </c>
      <c r="R11" s="42" t="e">
        <f>P11/N11</f>
        <v>#REF!</v>
      </c>
      <c r="S11" s="42"/>
    </row>
    <row r="12" spans="1:19" s="14" customFormat="1" ht="45" customHeight="1">
      <c r="A12" s="62">
        <v>5</v>
      </c>
      <c r="B12" s="63" t="s">
        <v>44</v>
      </c>
      <c r="C12" s="25">
        <v>5</v>
      </c>
      <c r="D12" s="64" t="s">
        <v>43</v>
      </c>
      <c r="E12" s="25">
        <f>D12*C12</f>
        <v>150</v>
      </c>
      <c r="F12" s="31">
        <v>22.707000000000001</v>
      </c>
      <c r="G12" s="31">
        <f>F12/D12</f>
        <v>0.75690000000000002</v>
      </c>
      <c r="H12" s="69">
        <f>G12*E12</f>
        <v>113.535</v>
      </c>
      <c r="I12" s="65"/>
      <c r="J12" s="66">
        <f>G12/$Q$2</f>
        <v>0.75690000000000002</v>
      </c>
      <c r="K12" s="66">
        <f>H12/$Q$2</f>
        <v>113.535</v>
      </c>
      <c r="L12" s="66">
        <f>J12*(1+$M$16+9%)</f>
        <v>0.82502100000000012</v>
      </c>
      <c r="M12" s="66">
        <f>L12*E12</f>
        <v>123.75315000000002</v>
      </c>
      <c r="N12" s="41">
        <v>1.25</v>
      </c>
      <c r="O12" s="40">
        <f>N12*E12</f>
        <v>187.5</v>
      </c>
      <c r="P12" s="40">
        <f>N12-L12</f>
        <v>0.42497899999999988</v>
      </c>
      <c r="Q12" s="40">
        <f>P12*E12</f>
        <v>63.746849999999981</v>
      </c>
      <c r="R12" s="42">
        <f>P12/N12</f>
        <v>0.33998319999999993</v>
      </c>
      <c r="S12" s="42"/>
    </row>
    <row r="13" spans="1:19" ht="48" customHeight="1" thickBot="1">
      <c r="A13" s="92"/>
      <c r="B13" s="93"/>
      <c r="C13" s="93"/>
      <c r="D13" s="94"/>
      <c r="E13" s="15"/>
      <c r="F13" s="27"/>
      <c r="G13" s="102" t="s">
        <v>15</v>
      </c>
      <c r="H13" s="104">
        <f>SUM(H7:H12)</f>
        <v>2775.9605999999999</v>
      </c>
      <c r="I13" s="61"/>
      <c r="J13" s="38" t="s">
        <v>16</v>
      </c>
      <c r="K13" s="39">
        <f>SUM(K12:K12)</f>
        <v>113.535</v>
      </c>
      <c r="L13" s="106" t="s">
        <v>17</v>
      </c>
      <c r="M13" s="107"/>
      <c r="N13" s="108">
        <f>SUM(O12:O12)</f>
        <v>187.5</v>
      </c>
      <c r="O13" s="109"/>
      <c r="P13" s="110" t="s">
        <v>18</v>
      </c>
      <c r="Q13" s="111"/>
      <c r="R13" s="114">
        <f>N13-K16</f>
        <v>63.746850000000009</v>
      </c>
      <c r="S13" s="34"/>
    </row>
    <row r="14" spans="1:19" ht="48" customHeight="1" thickBot="1">
      <c r="A14" s="95"/>
      <c r="B14" s="93"/>
      <c r="C14" s="93"/>
      <c r="D14" s="94"/>
      <c r="E14" s="15"/>
      <c r="F14" s="28"/>
      <c r="G14" s="103"/>
      <c r="H14" s="105"/>
      <c r="I14" s="7"/>
      <c r="J14" s="16" t="s">
        <v>32</v>
      </c>
      <c r="K14" s="55">
        <f>K13*0.09</f>
        <v>10.21815</v>
      </c>
      <c r="L14" s="116"/>
      <c r="M14" s="116"/>
      <c r="N14" s="116"/>
      <c r="O14" s="116"/>
      <c r="P14" s="112"/>
      <c r="Q14" s="113"/>
      <c r="R14" s="115"/>
      <c r="S14" s="26"/>
    </row>
    <row r="15" spans="1:19" ht="46.5" customHeight="1" thickBot="1">
      <c r="A15" s="96"/>
      <c r="B15" s="97"/>
      <c r="C15" s="97"/>
      <c r="D15" s="98"/>
      <c r="E15" s="8"/>
      <c r="F15" s="29"/>
      <c r="G15" s="70" t="s">
        <v>19</v>
      </c>
      <c r="H15" s="71" t="s">
        <v>26</v>
      </c>
      <c r="I15" s="7"/>
      <c r="J15" s="9" t="s">
        <v>20</v>
      </c>
      <c r="K15" s="17">
        <v>0</v>
      </c>
      <c r="L15" s="116"/>
      <c r="M15" s="116"/>
      <c r="N15" s="116"/>
      <c r="O15" s="116"/>
      <c r="P15" s="117" t="s">
        <v>21</v>
      </c>
      <c r="Q15" s="118"/>
      <c r="R15" s="10">
        <f>R13/N13</f>
        <v>0.33998320000000004</v>
      </c>
      <c r="S15" s="21"/>
    </row>
    <row r="16" spans="1:19" ht="62.85" customHeight="1" thickBot="1">
      <c r="A16" s="99"/>
      <c r="B16" s="100"/>
      <c r="C16" s="100"/>
      <c r="D16" s="101"/>
      <c r="E16" s="11"/>
      <c r="F16" s="30"/>
      <c r="G16" s="72" t="s">
        <v>22</v>
      </c>
      <c r="H16" s="73">
        <f>SUM(H13:H15)</f>
        <v>2775.9605999999999</v>
      </c>
      <c r="I16" s="7"/>
      <c r="J16" s="12" t="s">
        <v>22</v>
      </c>
      <c r="K16" s="13">
        <f>SUM(K13:K15)</f>
        <v>123.75314999999999</v>
      </c>
      <c r="L16" s="18" t="s">
        <v>23</v>
      </c>
      <c r="M16" s="119">
        <f>K15/K13</f>
        <v>0</v>
      </c>
      <c r="N16" s="120"/>
      <c r="O16" s="19"/>
      <c r="P16" s="4"/>
      <c r="Q16" s="4"/>
      <c r="R16" s="4"/>
      <c r="S16" s="20"/>
    </row>
    <row r="17" spans="1:19">
      <c r="C17" s="32"/>
      <c r="G17" s="1"/>
      <c r="H17" s="1"/>
    </row>
    <row r="18" spans="1:19">
      <c r="C18" s="32"/>
      <c r="G18" s="1"/>
      <c r="H18" s="1"/>
    </row>
    <row r="19" spans="1:19">
      <c r="G19" s="1"/>
      <c r="H19" s="1"/>
    </row>
    <row r="20" spans="1:19">
      <c r="G20" s="1"/>
      <c r="H20" s="1"/>
    </row>
    <row r="21" spans="1:19">
      <c r="G21" s="1"/>
      <c r="H21" s="1"/>
    </row>
    <row r="22" spans="1:19" s="75" customFormat="1">
      <c r="A22" s="75" t="s">
        <v>41</v>
      </c>
      <c r="N22" s="76"/>
      <c r="S22" s="77"/>
    </row>
    <row r="23" spans="1:19" s="78" customFormat="1" ht="15.75" customHeight="1">
      <c r="A23" s="78" t="s">
        <v>42</v>
      </c>
    </row>
    <row r="28" spans="1:19">
      <c r="C28" s="32"/>
    </row>
    <row r="29" spans="1:19">
      <c r="C29" s="32"/>
    </row>
  </sheetData>
  <mergeCells count="16">
    <mergeCell ref="A23:XFD23"/>
    <mergeCell ref="A1:O1"/>
    <mergeCell ref="Q1:R1"/>
    <mergeCell ref="A2:O2"/>
    <mergeCell ref="A4:H4"/>
    <mergeCell ref="J4:S4"/>
    <mergeCell ref="A13:D16"/>
    <mergeCell ref="G13:G14"/>
    <mergeCell ref="H13:H14"/>
    <mergeCell ref="L13:M13"/>
    <mergeCell ref="N13:O13"/>
    <mergeCell ref="P13:Q14"/>
    <mergeCell ref="R13:R14"/>
    <mergeCell ref="L14:O15"/>
    <mergeCell ref="P15:Q15"/>
    <mergeCell ref="M16:N16"/>
  </mergeCells>
  <pageMargins left="0.25" right="0.25" top="0.75" bottom="0.75" header="0.3" footer="0.3"/>
  <pageSetup paperSize="9"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8000034707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</dc:creator>
  <cp:lastModifiedBy>banpreet.saluja@gmail.com</cp:lastModifiedBy>
  <cp:lastPrinted>2025-07-16T11:42:58Z</cp:lastPrinted>
  <dcterms:created xsi:type="dcterms:W3CDTF">2023-12-14T08:09:44Z</dcterms:created>
  <dcterms:modified xsi:type="dcterms:W3CDTF">2026-05-05T06:53:26Z</dcterms:modified>
</cp:coreProperties>
</file>