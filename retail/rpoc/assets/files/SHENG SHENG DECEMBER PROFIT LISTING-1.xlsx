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h\AppData\Local\Packages\5319275A.WhatsAppDesktop_cv1g1gvanyjgm\LocalState\sessions\6A2D26BECDA04BD982CB34C2797DECE5D5BC2EC2\transfers\2026-16\"/>
    </mc:Choice>
  </mc:AlternateContent>
  <xr:revisionPtr revIDLastSave="0" documentId="13_ncr:1_{6CE1E3AD-9E59-493C-A41D-BBE0DDBC7374}" xr6:coauthVersionLast="47" xr6:coauthVersionMax="47" xr10:uidLastSave="{00000000-0000-0000-0000-000000000000}"/>
  <bookViews>
    <workbookView xWindow="-98" yWindow="-98" windowWidth="21795" windowHeight="12975" firstSheet="8" activeTab="11" xr2:uid="{4B3D84F3-D7D2-AD4F-974B-3D68E3A52E8E}"/>
  </bookViews>
  <sheets>
    <sheet name="SS355407" sheetId="1" r:id="rId1"/>
    <sheet name="SS355943" sheetId="3" r:id="rId2"/>
    <sheet name="SS354658" sheetId="2" r:id="rId3"/>
    <sheet name="SS362578" sheetId="4" r:id="rId4"/>
    <sheet name="SS361287" sheetId="5" r:id="rId5"/>
    <sheet name="SS360763" sheetId="6" r:id="rId6"/>
    <sheet name="SS360123" sheetId="7" r:id="rId7"/>
    <sheet name="SS359594" sheetId="8" r:id="rId8"/>
    <sheet name="SS359571" sheetId="9" r:id="rId9"/>
    <sheet name="SS358160" sheetId="11" r:id="rId10"/>
    <sheet name="SS357727" sheetId="12" r:id="rId11"/>
    <sheet name="SS356924" sheetId="13" r:id="rId12"/>
    <sheet name="SS357153" sheetId="14" r:id="rId13"/>
    <sheet name="SS356473" sheetId="15" r:id="rId14"/>
    <sheet name="Master List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6" l="1"/>
  <c r="E14" i="16"/>
  <c r="G17" i="16"/>
  <c r="J17" i="16" s="1"/>
  <c r="F17" i="16"/>
  <c r="E17" i="16"/>
  <c r="O17" i="16" s="1"/>
  <c r="E12" i="8"/>
  <c r="F12" i="8"/>
  <c r="G12" i="8"/>
  <c r="H12" i="8"/>
  <c r="J12" i="8"/>
  <c r="K12" i="8"/>
  <c r="L12" i="8"/>
  <c r="M12" i="8"/>
  <c r="O12" i="8"/>
  <c r="G19" i="16"/>
  <c r="J19" i="16" s="1"/>
  <c r="E19" i="16"/>
  <c r="F22" i="16"/>
  <c r="G22" i="16" s="1"/>
  <c r="E22" i="16"/>
  <c r="O22" i="16" s="1"/>
  <c r="F21" i="16"/>
  <c r="G21" i="16" s="1"/>
  <c r="E21" i="16"/>
  <c r="O21" i="16" s="1"/>
  <c r="F20" i="16"/>
  <c r="G20" i="16" s="1"/>
  <c r="E20" i="16"/>
  <c r="O20" i="16" s="1"/>
  <c r="G8" i="16"/>
  <c r="J8" i="16" s="1"/>
  <c r="E8" i="16"/>
  <c r="O8" i="16" s="1"/>
  <c r="H23" i="16"/>
  <c r="H26" i="16" s="1"/>
  <c r="F18" i="16"/>
  <c r="G18" i="16" s="1"/>
  <c r="E18" i="16"/>
  <c r="O18" i="16" s="1"/>
  <c r="F16" i="16"/>
  <c r="G16" i="16" s="1"/>
  <c r="E16" i="16"/>
  <c r="O16" i="16" s="1"/>
  <c r="G15" i="16"/>
  <c r="J15" i="16" s="1"/>
  <c r="E15" i="16"/>
  <c r="O15" i="16" s="1"/>
  <c r="G14" i="16"/>
  <c r="J14" i="16" s="1"/>
  <c r="O14" i="16"/>
  <c r="G13" i="16"/>
  <c r="J13" i="16" s="1"/>
  <c r="E13" i="16"/>
  <c r="G12" i="16"/>
  <c r="J12" i="16" s="1"/>
  <c r="E12" i="16"/>
  <c r="O12" i="16" s="1"/>
  <c r="G11" i="16"/>
  <c r="J11" i="16" s="1"/>
  <c r="E11" i="16"/>
  <c r="G10" i="16"/>
  <c r="J10" i="16" s="1"/>
  <c r="E10" i="16"/>
  <c r="G9" i="16"/>
  <c r="J9" i="16" s="1"/>
  <c r="E9" i="16"/>
  <c r="O9" i="16" s="1"/>
  <c r="G7" i="16"/>
  <c r="J7" i="16" s="1"/>
  <c r="E7" i="16"/>
  <c r="O7" i="16" s="1"/>
  <c r="H11" i="15"/>
  <c r="H14" i="15" s="1"/>
  <c r="F10" i="15"/>
  <c r="G10" i="15" s="1"/>
  <c r="E10" i="15"/>
  <c r="O10" i="15" s="1"/>
  <c r="F9" i="15"/>
  <c r="G9" i="15" s="1"/>
  <c r="E9" i="15"/>
  <c r="O9" i="15" s="1"/>
  <c r="G8" i="15"/>
  <c r="J8" i="15" s="1"/>
  <c r="E8" i="15"/>
  <c r="O8" i="15" s="1"/>
  <c r="G7" i="15"/>
  <c r="J7" i="15" s="1"/>
  <c r="E7" i="15"/>
  <c r="O7" i="15" s="1"/>
  <c r="G9" i="14"/>
  <c r="E9" i="14"/>
  <c r="O9" i="14" s="1"/>
  <c r="H12" i="14"/>
  <c r="H15" i="14" s="1"/>
  <c r="F11" i="14"/>
  <c r="G11" i="14" s="1"/>
  <c r="E11" i="14"/>
  <c r="O11" i="14" s="1"/>
  <c r="F10" i="14"/>
  <c r="G10" i="14" s="1"/>
  <c r="E10" i="14"/>
  <c r="O10" i="14" s="1"/>
  <c r="O8" i="14"/>
  <c r="G8" i="14"/>
  <c r="J8" i="14" s="1"/>
  <c r="E8" i="14"/>
  <c r="G7" i="14"/>
  <c r="J7" i="14" s="1"/>
  <c r="E7" i="14"/>
  <c r="O7" i="14" s="1"/>
  <c r="G8" i="13"/>
  <c r="H8" i="13" s="1"/>
  <c r="E8" i="13"/>
  <c r="G7" i="13"/>
  <c r="E7" i="13"/>
  <c r="H10" i="13"/>
  <c r="H13" i="13" s="1"/>
  <c r="G9" i="13"/>
  <c r="J9" i="13" s="1"/>
  <c r="E9" i="13"/>
  <c r="J8" i="13"/>
  <c r="O8" i="13"/>
  <c r="O7" i="13"/>
  <c r="N10" i="13" s="1"/>
  <c r="J7" i="13"/>
  <c r="K7" i="12"/>
  <c r="G12" i="12"/>
  <c r="J12" i="12"/>
  <c r="E12" i="12"/>
  <c r="H12" i="12" s="1"/>
  <c r="K12" i="12" s="1"/>
  <c r="G11" i="12"/>
  <c r="J11" i="12" s="1"/>
  <c r="E11" i="12"/>
  <c r="O11" i="12" s="1"/>
  <c r="G9" i="12"/>
  <c r="J9" i="12" s="1"/>
  <c r="E9" i="12"/>
  <c r="H17" i="12"/>
  <c r="H20" i="12" s="1"/>
  <c r="F16" i="12"/>
  <c r="G16" i="12" s="1"/>
  <c r="E16" i="12"/>
  <c r="O16" i="12" s="1"/>
  <c r="F15" i="12"/>
  <c r="G15" i="12" s="1"/>
  <c r="E15" i="12"/>
  <c r="O15" i="12" s="1"/>
  <c r="G14" i="12"/>
  <c r="J14" i="12" s="1"/>
  <c r="E14" i="12"/>
  <c r="O14" i="12" s="1"/>
  <c r="G13" i="12"/>
  <c r="E13" i="12"/>
  <c r="O13" i="12" s="1"/>
  <c r="G10" i="12"/>
  <c r="J10" i="12" s="1"/>
  <c r="E10" i="12"/>
  <c r="G8" i="12"/>
  <c r="E8" i="12"/>
  <c r="O8" i="12" s="1"/>
  <c r="G7" i="12"/>
  <c r="E7" i="12"/>
  <c r="O7" i="12" s="1"/>
  <c r="H13" i="11"/>
  <c r="H16" i="11" s="1"/>
  <c r="F12" i="11"/>
  <c r="G12" i="11" s="1"/>
  <c r="E12" i="11"/>
  <c r="O12" i="11" s="1"/>
  <c r="F11" i="11"/>
  <c r="G11" i="11" s="1"/>
  <c r="E11" i="11"/>
  <c r="O11" i="11" s="1"/>
  <c r="F10" i="11"/>
  <c r="G10" i="11" s="1"/>
  <c r="E10" i="11"/>
  <c r="O10" i="11" s="1"/>
  <c r="G9" i="11"/>
  <c r="J9" i="11" s="1"/>
  <c r="E9" i="11"/>
  <c r="G8" i="11"/>
  <c r="J8" i="11" s="1"/>
  <c r="E8" i="11"/>
  <c r="G7" i="11"/>
  <c r="J7" i="11" s="1"/>
  <c r="E7" i="11"/>
  <c r="O7" i="11" s="1"/>
  <c r="K9" i="9"/>
  <c r="H9" i="9"/>
  <c r="K7" i="5"/>
  <c r="G9" i="9"/>
  <c r="E9" i="9"/>
  <c r="G8" i="9"/>
  <c r="H8" i="9" s="1"/>
  <c r="E8" i="9"/>
  <c r="G7" i="9"/>
  <c r="E7" i="9"/>
  <c r="O8" i="9"/>
  <c r="H10" i="9"/>
  <c r="H13" i="9" s="1"/>
  <c r="O7" i="9"/>
  <c r="J7" i="9"/>
  <c r="K9" i="8"/>
  <c r="J9" i="8"/>
  <c r="G9" i="8"/>
  <c r="E9" i="8"/>
  <c r="G8" i="8"/>
  <c r="E8" i="8"/>
  <c r="O8" i="8" s="1"/>
  <c r="H14" i="8"/>
  <c r="H17" i="8" s="1"/>
  <c r="O13" i="8"/>
  <c r="F13" i="8"/>
  <c r="G13" i="8" s="1"/>
  <c r="E13" i="8"/>
  <c r="F11" i="8"/>
  <c r="G11" i="8" s="1"/>
  <c r="E11" i="8"/>
  <c r="O11" i="8" s="1"/>
  <c r="G10" i="8"/>
  <c r="J10" i="8" s="1"/>
  <c r="E10" i="8"/>
  <c r="G7" i="8"/>
  <c r="E7" i="8"/>
  <c r="O7" i="8" s="1"/>
  <c r="K7" i="7"/>
  <c r="H7" i="7"/>
  <c r="H14" i="7"/>
  <c r="H17" i="7" s="1"/>
  <c r="F13" i="7"/>
  <c r="G13" i="7" s="1"/>
  <c r="E13" i="7"/>
  <c r="O13" i="7" s="1"/>
  <c r="F12" i="7"/>
  <c r="G12" i="7" s="1"/>
  <c r="E12" i="7"/>
  <c r="O12" i="7" s="1"/>
  <c r="F11" i="7"/>
  <c r="G11" i="7" s="1"/>
  <c r="E11" i="7"/>
  <c r="O11" i="7" s="1"/>
  <c r="G10" i="7"/>
  <c r="J10" i="7" s="1"/>
  <c r="E10" i="7"/>
  <c r="O10" i="7" s="1"/>
  <c r="G9" i="7"/>
  <c r="J9" i="7" s="1"/>
  <c r="E9" i="7"/>
  <c r="G8" i="7"/>
  <c r="J8" i="7" s="1"/>
  <c r="E8" i="7"/>
  <c r="O8" i="7" s="1"/>
  <c r="G7" i="7"/>
  <c r="J7" i="7" s="1"/>
  <c r="E7" i="7"/>
  <c r="O7" i="7" s="1"/>
  <c r="K8" i="6"/>
  <c r="K7" i="6"/>
  <c r="H7" i="6"/>
  <c r="E10" i="4"/>
  <c r="H10" i="4" s="1"/>
  <c r="K10" i="4" s="1"/>
  <c r="G10" i="4"/>
  <c r="J10" i="4"/>
  <c r="E11" i="4"/>
  <c r="G11" i="4"/>
  <c r="H11" i="4"/>
  <c r="J11" i="4"/>
  <c r="K11" i="4"/>
  <c r="O11" i="4"/>
  <c r="E12" i="4"/>
  <c r="H12" i="4" s="1"/>
  <c r="K12" i="4" s="1"/>
  <c r="G12" i="4"/>
  <c r="J12" i="4"/>
  <c r="O12" i="4"/>
  <c r="E13" i="4"/>
  <c r="O13" i="4" s="1"/>
  <c r="G13" i="4"/>
  <c r="H13" i="4"/>
  <c r="J13" i="4"/>
  <c r="K13" i="4"/>
  <c r="E14" i="4"/>
  <c r="F14" i="4"/>
  <c r="G14" i="4"/>
  <c r="H14" i="4"/>
  <c r="J14" i="4"/>
  <c r="K14" i="4"/>
  <c r="O14" i="4"/>
  <c r="E15" i="4"/>
  <c r="O15" i="4" s="1"/>
  <c r="F15" i="4"/>
  <c r="G15" i="4" s="1"/>
  <c r="E16" i="4"/>
  <c r="O16" i="4" s="1"/>
  <c r="F16" i="4"/>
  <c r="G16" i="4"/>
  <c r="H16" i="4"/>
  <c r="J16" i="4"/>
  <c r="K16" i="4"/>
  <c r="E17" i="4"/>
  <c r="F17" i="4"/>
  <c r="G17" i="4"/>
  <c r="H17" i="4"/>
  <c r="J17" i="4"/>
  <c r="K17" i="4"/>
  <c r="O17" i="4"/>
  <c r="H10" i="6"/>
  <c r="H13" i="6" s="1"/>
  <c r="G9" i="6"/>
  <c r="J9" i="6" s="1"/>
  <c r="E9" i="6"/>
  <c r="G8" i="6"/>
  <c r="J8" i="6" s="1"/>
  <c r="E8" i="6"/>
  <c r="O8" i="6" s="1"/>
  <c r="G7" i="6"/>
  <c r="J7" i="6" s="1"/>
  <c r="E7" i="6"/>
  <c r="O7" i="6" s="1"/>
  <c r="M16" i="5"/>
  <c r="M15" i="5"/>
  <c r="L17" i="5"/>
  <c r="L16" i="5"/>
  <c r="L15" i="5"/>
  <c r="K17" i="5"/>
  <c r="K16" i="5"/>
  <c r="K15" i="5"/>
  <c r="J16" i="5"/>
  <c r="J15" i="5"/>
  <c r="H7" i="5"/>
  <c r="G8" i="5"/>
  <c r="G9" i="5"/>
  <c r="G10" i="5"/>
  <c r="G11" i="5"/>
  <c r="G12" i="5"/>
  <c r="G13" i="5"/>
  <c r="G14" i="5"/>
  <c r="G15" i="5"/>
  <c r="G16" i="5"/>
  <c r="G17" i="5"/>
  <c r="H10" i="5"/>
  <c r="H11" i="5"/>
  <c r="H12" i="5"/>
  <c r="H13" i="5"/>
  <c r="H14" i="5"/>
  <c r="H15" i="5"/>
  <c r="H16" i="5"/>
  <c r="H17" i="5"/>
  <c r="H18" i="5"/>
  <c r="F17" i="5"/>
  <c r="F16" i="5"/>
  <c r="F15" i="5"/>
  <c r="E16" i="5"/>
  <c r="O16" i="5"/>
  <c r="E15" i="5"/>
  <c r="O15" i="5" s="1"/>
  <c r="H21" i="5"/>
  <c r="E17" i="5"/>
  <c r="O17" i="5" s="1"/>
  <c r="F14" i="5"/>
  <c r="E14" i="5"/>
  <c r="O14" i="5" s="1"/>
  <c r="F13" i="5"/>
  <c r="E13" i="5"/>
  <c r="O13" i="5" s="1"/>
  <c r="F12" i="5"/>
  <c r="E12" i="5"/>
  <c r="O12" i="5" s="1"/>
  <c r="J11" i="5"/>
  <c r="E11" i="5"/>
  <c r="O11" i="5" s="1"/>
  <c r="J10" i="5"/>
  <c r="E10" i="5"/>
  <c r="O10" i="5" s="1"/>
  <c r="J9" i="5"/>
  <c r="E9" i="5"/>
  <c r="J8" i="5"/>
  <c r="E8" i="5"/>
  <c r="O8" i="5" s="1"/>
  <c r="G7" i="5"/>
  <c r="J7" i="5" s="1"/>
  <c r="E7" i="5"/>
  <c r="O7" i="5" s="1"/>
  <c r="J7" i="2"/>
  <c r="H18" i="4"/>
  <c r="G9" i="4"/>
  <c r="E9" i="4"/>
  <c r="E8" i="4"/>
  <c r="O8" i="4" s="1"/>
  <c r="G8" i="4"/>
  <c r="J8" i="4" s="1"/>
  <c r="G7" i="4"/>
  <c r="J7" i="4" s="1"/>
  <c r="E7" i="4"/>
  <c r="O7" i="4" s="1"/>
  <c r="E7" i="3"/>
  <c r="G7" i="3"/>
  <c r="H7" i="3" s="1"/>
  <c r="J7" i="3"/>
  <c r="O7" i="3"/>
  <c r="E8" i="3"/>
  <c r="O8" i="3" s="1"/>
  <c r="G8" i="3"/>
  <c r="J8" i="3" s="1"/>
  <c r="H8" i="3"/>
  <c r="K8" i="3" s="1"/>
  <c r="E9" i="3"/>
  <c r="O9" i="3" s="1"/>
  <c r="G9" i="3"/>
  <c r="E10" i="3"/>
  <c r="G10" i="3"/>
  <c r="H10" i="3"/>
  <c r="J10" i="3"/>
  <c r="K10" i="3"/>
  <c r="O10" i="3"/>
  <c r="E11" i="3"/>
  <c r="O11" i="3" s="1"/>
  <c r="G11" i="3"/>
  <c r="H11" i="3" s="1"/>
  <c r="K11" i="3" s="1"/>
  <c r="E12" i="3"/>
  <c r="F12" i="3"/>
  <c r="G12" i="3" s="1"/>
  <c r="O12" i="3"/>
  <c r="E13" i="3"/>
  <c r="O13" i="3" s="1"/>
  <c r="F13" i="3"/>
  <c r="G13" i="3" s="1"/>
  <c r="H13" i="3" s="1"/>
  <c r="K13" i="3" s="1"/>
  <c r="E14" i="3"/>
  <c r="F14" i="3"/>
  <c r="G14" i="3" s="1"/>
  <c r="E7" i="2"/>
  <c r="O7" i="2" s="1"/>
  <c r="G7" i="2"/>
  <c r="H7" i="2" s="1"/>
  <c r="E8" i="2"/>
  <c r="O8" i="2" s="1"/>
  <c r="G8" i="2"/>
  <c r="H8" i="2" s="1"/>
  <c r="K8" i="2" s="1"/>
  <c r="E9" i="2"/>
  <c r="G9" i="2"/>
  <c r="J9" i="2" s="1"/>
  <c r="O9" i="2"/>
  <c r="E10" i="2"/>
  <c r="O10" i="2" s="1"/>
  <c r="F10" i="2"/>
  <c r="G10" i="2" s="1"/>
  <c r="E11" i="2"/>
  <c r="F11" i="2"/>
  <c r="G11" i="2" s="1"/>
  <c r="O11" i="2"/>
  <c r="E12" i="2"/>
  <c r="F12" i="2"/>
  <c r="G12" i="2" s="1"/>
  <c r="O12" i="2"/>
  <c r="E13" i="2"/>
  <c r="O13" i="2" s="1"/>
  <c r="F13" i="2"/>
  <c r="G13" i="2" s="1"/>
  <c r="E7" i="1"/>
  <c r="O7" i="1" s="1"/>
  <c r="G7" i="1"/>
  <c r="J7" i="1" s="1"/>
  <c r="H7" i="1"/>
  <c r="K7" i="1" s="1"/>
  <c r="E8" i="1"/>
  <c r="O8" i="1" s="1"/>
  <c r="G8" i="1"/>
  <c r="J8" i="1" s="1"/>
  <c r="E9" i="1"/>
  <c r="G9" i="1"/>
  <c r="J9" i="1"/>
  <c r="E10" i="1"/>
  <c r="F10" i="1"/>
  <c r="G10" i="1"/>
  <c r="H10" i="1" s="1"/>
  <c r="K10" i="1" s="1"/>
  <c r="O10" i="1"/>
  <c r="E11" i="1"/>
  <c r="O11" i="1" s="1"/>
  <c r="F11" i="1"/>
  <c r="G11" i="1" s="1"/>
  <c r="E12" i="1"/>
  <c r="O12" i="1" s="1"/>
  <c r="F12" i="1"/>
  <c r="G12" i="1"/>
  <c r="E13" i="1"/>
  <c r="O13" i="1" s="1"/>
  <c r="G13" i="1"/>
  <c r="H17" i="16" l="1"/>
  <c r="K17" i="16" s="1"/>
  <c r="H19" i="16"/>
  <c r="K19" i="16" s="1"/>
  <c r="J20" i="16"/>
  <c r="H20" i="16"/>
  <c r="K20" i="16" s="1"/>
  <c r="J21" i="16"/>
  <c r="H21" i="16"/>
  <c r="K21" i="16" s="1"/>
  <c r="J22" i="16"/>
  <c r="H22" i="16"/>
  <c r="K22" i="16" s="1"/>
  <c r="J18" i="16"/>
  <c r="H18" i="16"/>
  <c r="K18" i="16" s="1"/>
  <c r="H8" i="16"/>
  <c r="K8" i="16" s="1"/>
  <c r="N23" i="16"/>
  <c r="J16" i="16"/>
  <c r="H16" i="16"/>
  <c r="K16" i="16" s="1"/>
  <c r="H7" i="16"/>
  <c r="K7" i="16" s="1"/>
  <c r="H12" i="16"/>
  <c r="K12" i="16" s="1"/>
  <c r="H14" i="16"/>
  <c r="K14" i="16" s="1"/>
  <c r="H10" i="16"/>
  <c r="K10" i="16" s="1"/>
  <c r="H9" i="16"/>
  <c r="K9" i="16" s="1"/>
  <c r="H11" i="16"/>
  <c r="K11" i="16" s="1"/>
  <c r="H13" i="16"/>
  <c r="K13" i="16" s="1"/>
  <c r="H15" i="16"/>
  <c r="K15" i="16" s="1"/>
  <c r="N11" i="15"/>
  <c r="J9" i="15"/>
  <c r="H9" i="15"/>
  <c r="K9" i="15" s="1"/>
  <c r="H10" i="15"/>
  <c r="K10" i="15" s="1"/>
  <c r="J10" i="15"/>
  <c r="H8" i="15"/>
  <c r="K8" i="15" s="1"/>
  <c r="H7" i="15"/>
  <c r="K7" i="15" s="1"/>
  <c r="H9" i="14"/>
  <c r="K9" i="14" s="1"/>
  <c r="J9" i="14"/>
  <c r="N12" i="14"/>
  <c r="J10" i="14"/>
  <c r="H10" i="14"/>
  <c r="K10" i="14" s="1"/>
  <c r="J11" i="14"/>
  <c r="H11" i="14"/>
  <c r="K11" i="14" s="1"/>
  <c r="H7" i="14"/>
  <c r="K7" i="14" s="1"/>
  <c r="H8" i="14"/>
  <c r="K8" i="14" s="1"/>
  <c r="H7" i="13"/>
  <c r="K7" i="13"/>
  <c r="H9" i="13"/>
  <c r="K9" i="13" s="1"/>
  <c r="K8" i="13"/>
  <c r="H7" i="12"/>
  <c r="H11" i="12"/>
  <c r="K11" i="12" s="1"/>
  <c r="H9" i="12"/>
  <c r="K9" i="12" s="1"/>
  <c r="H8" i="12"/>
  <c r="K8" i="12" s="1"/>
  <c r="H13" i="12"/>
  <c r="K13" i="12" s="1"/>
  <c r="J16" i="12"/>
  <c r="H16" i="12"/>
  <c r="K16" i="12" s="1"/>
  <c r="N17" i="12"/>
  <c r="J15" i="12"/>
  <c r="H15" i="12"/>
  <c r="K15" i="12" s="1"/>
  <c r="J7" i="12"/>
  <c r="J8" i="12"/>
  <c r="J13" i="12"/>
  <c r="H10" i="12"/>
  <c r="K10" i="12" s="1"/>
  <c r="H14" i="12"/>
  <c r="K14" i="12" s="1"/>
  <c r="H7" i="11"/>
  <c r="K7" i="11" s="1"/>
  <c r="N13" i="11"/>
  <c r="J10" i="11"/>
  <c r="H10" i="11"/>
  <c r="K10" i="11" s="1"/>
  <c r="J11" i="11"/>
  <c r="H11" i="11"/>
  <c r="K11" i="11" s="1"/>
  <c r="J12" i="11"/>
  <c r="H12" i="11"/>
  <c r="K12" i="11" s="1"/>
  <c r="H8" i="11"/>
  <c r="K8" i="11" s="1"/>
  <c r="H9" i="11"/>
  <c r="K9" i="11" s="1"/>
  <c r="H7" i="9"/>
  <c r="K7" i="9" s="1"/>
  <c r="J8" i="9"/>
  <c r="J9" i="9"/>
  <c r="N10" i="9"/>
  <c r="K8" i="9"/>
  <c r="H9" i="8"/>
  <c r="H8" i="8"/>
  <c r="K8" i="8" s="1"/>
  <c r="H7" i="8"/>
  <c r="K7" i="8" s="1"/>
  <c r="J8" i="8"/>
  <c r="N14" i="8"/>
  <c r="H11" i="8"/>
  <c r="K11" i="8" s="1"/>
  <c r="J11" i="8"/>
  <c r="J13" i="8"/>
  <c r="H13" i="8"/>
  <c r="K13" i="8" s="1"/>
  <c r="J7" i="8"/>
  <c r="H10" i="8"/>
  <c r="K10" i="8" s="1"/>
  <c r="H9" i="1"/>
  <c r="K9" i="1" s="1"/>
  <c r="H12" i="1"/>
  <c r="K12" i="1" s="1"/>
  <c r="N14" i="7"/>
  <c r="J11" i="7"/>
  <c r="H11" i="7"/>
  <c r="K11" i="7" s="1"/>
  <c r="H12" i="7"/>
  <c r="K12" i="7" s="1"/>
  <c r="J12" i="7"/>
  <c r="J13" i="7"/>
  <c r="H13" i="7"/>
  <c r="K13" i="7" s="1"/>
  <c r="H8" i="7"/>
  <c r="K8" i="7" s="1"/>
  <c r="H9" i="7"/>
  <c r="K9" i="7" s="1"/>
  <c r="H10" i="7"/>
  <c r="K10" i="7" s="1"/>
  <c r="N10" i="6"/>
  <c r="H15" i="4"/>
  <c r="K15" i="4" s="1"/>
  <c r="J15" i="4"/>
  <c r="H7" i="4"/>
  <c r="K7" i="4" s="1"/>
  <c r="H9" i="4"/>
  <c r="K9" i="4" s="1"/>
  <c r="H8" i="4"/>
  <c r="K8" i="4" s="1"/>
  <c r="J9" i="4"/>
  <c r="H9" i="6"/>
  <c r="K9" i="6" s="1"/>
  <c r="H8" i="6"/>
  <c r="K12" i="5"/>
  <c r="J12" i="5"/>
  <c r="N18" i="5"/>
  <c r="J13" i="5"/>
  <c r="K13" i="5"/>
  <c r="J14" i="5"/>
  <c r="K14" i="5"/>
  <c r="J17" i="5"/>
  <c r="H8" i="5"/>
  <c r="K8" i="5" s="1"/>
  <c r="H9" i="5"/>
  <c r="K9" i="5" s="1"/>
  <c r="K10" i="5"/>
  <c r="K11" i="5"/>
  <c r="N18" i="4"/>
  <c r="J12" i="2"/>
  <c r="H12" i="2"/>
  <c r="K12" i="2" s="1"/>
  <c r="H10" i="2"/>
  <c r="K10" i="2" s="1"/>
  <c r="J10" i="2"/>
  <c r="H13" i="1"/>
  <c r="K13" i="1" s="1"/>
  <c r="H9" i="2"/>
  <c r="K9" i="2" s="1"/>
  <c r="J8" i="2"/>
  <c r="H9" i="3"/>
  <c r="K9" i="3" s="1"/>
  <c r="J12" i="3"/>
  <c r="H12" i="3"/>
  <c r="K12" i="3" s="1"/>
  <c r="N15" i="3"/>
  <c r="J14" i="3"/>
  <c r="H14" i="3"/>
  <c r="K14" i="3" s="1"/>
  <c r="K7" i="3"/>
  <c r="J13" i="3"/>
  <c r="J11" i="3"/>
  <c r="J9" i="3"/>
  <c r="J11" i="1"/>
  <c r="H11" i="1"/>
  <c r="K11" i="1" s="1"/>
  <c r="H13" i="2"/>
  <c r="K13" i="2" s="1"/>
  <c r="J13" i="2"/>
  <c r="H11" i="2"/>
  <c r="K11" i="2" s="1"/>
  <c r="J11" i="2"/>
  <c r="K7" i="2"/>
  <c r="N14" i="2"/>
  <c r="J12" i="1"/>
  <c r="J10" i="1"/>
  <c r="O9" i="1"/>
  <c r="N14" i="1" s="1"/>
  <c r="H8" i="1"/>
  <c r="K8" i="1" s="1"/>
  <c r="J13" i="1"/>
  <c r="K23" i="16" l="1"/>
  <c r="K11" i="15"/>
  <c r="K12" i="14"/>
  <c r="K10" i="13"/>
  <c r="K17" i="12"/>
  <c r="M20" i="12" s="1"/>
  <c r="K13" i="11"/>
  <c r="K10" i="9"/>
  <c r="M13" i="9"/>
  <c r="K11" i="9"/>
  <c r="K13" i="9" s="1"/>
  <c r="R10" i="9" s="1"/>
  <c r="R12" i="9" s="1"/>
  <c r="K14" i="8"/>
  <c r="M17" i="8" s="1"/>
  <c r="K14" i="1"/>
  <c r="M17" i="1" s="1"/>
  <c r="K14" i="7"/>
  <c r="K10" i="6"/>
  <c r="K18" i="5"/>
  <c r="H21" i="4"/>
  <c r="K18" i="4"/>
  <c r="H14" i="1"/>
  <c r="H17" i="1" s="1"/>
  <c r="K15" i="3"/>
  <c r="H15" i="3"/>
  <c r="H18" i="3" s="1"/>
  <c r="K14" i="2"/>
  <c r="H14" i="2"/>
  <c r="H17" i="2" s="1"/>
  <c r="M26" i="16" l="1"/>
  <c r="L17" i="16" s="1"/>
  <c r="K24" i="16"/>
  <c r="K26" i="16" s="1"/>
  <c r="R23" i="16" s="1"/>
  <c r="R25" i="16" s="1"/>
  <c r="M14" i="15"/>
  <c r="K12" i="15"/>
  <c r="K14" i="15"/>
  <c r="R11" i="15" s="1"/>
  <c r="R13" i="15" s="1"/>
  <c r="M15" i="14"/>
  <c r="L9" i="14" s="1"/>
  <c r="K13" i="14"/>
  <c r="K15" i="14" s="1"/>
  <c r="R12" i="14" s="1"/>
  <c r="R14" i="14" s="1"/>
  <c r="K11" i="13"/>
  <c r="K13" i="13" s="1"/>
  <c r="R10" i="13" s="1"/>
  <c r="R12" i="13" s="1"/>
  <c r="M13" i="13"/>
  <c r="L13" i="12"/>
  <c r="M13" i="12" s="1"/>
  <c r="L9" i="12"/>
  <c r="L7" i="12"/>
  <c r="L12" i="12"/>
  <c r="M12" i="12" s="1"/>
  <c r="L11" i="12"/>
  <c r="L8" i="12"/>
  <c r="M8" i="12" s="1"/>
  <c r="P7" i="12"/>
  <c r="L15" i="12"/>
  <c r="M15" i="12" s="1"/>
  <c r="M9" i="12" s="1"/>
  <c r="L16" i="12"/>
  <c r="P16" i="12" s="1"/>
  <c r="K18" i="12"/>
  <c r="K20" i="12" s="1"/>
  <c r="R17" i="12" s="1"/>
  <c r="R19" i="12" s="1"/>
  <c r="L10" i="12"/>
  <c r="M10" i="12" s="1"/>
  <c r="L14" i="12"/>
  <c r="M16" i="11"/>
  <c r="K14" i="11"/>
  <c r="K16" i="11" s="1"/>
  <c r="R13" i="11" s="1"/>
  <c r="R15" i="11" s="1"/>
  <c r="L7" i="9"/>
  <c r="L8" i="9"/>
  <c r="L9" i="9"/>
  <c r="M9" i="9" s="1"/>
  <c r="L8" i="8"/>
  <c r="L9" i="8"/>
  <c r="M9" i="8" s="1"/>
  <c r="K15" i="8"/>
  <c r="K17" i="8" s="1"/>
  <c r="R14" i="8" s="1"/>
  <c r="R16" i="8" s="1"/>
  <c r="L10" i="8"/>
  <c r="M10" i="8" s="1"/>
  <c r="L7" i="8"/>
  <c r="L11" i="8"/>
  <c r="M11" i="8" s="1"/>
  <c r="L13" i="8"/>
  <c r="L10" i="1"/>
  <c r="P10" i="1" s="1"/>
  <c r="L11" i="1"/>
  <c r="P11" i="1" s="1"/>
  <c r="K15" i="1"/>
  <c r="K17" i="1" s="1"/>
  <c r="R14" i="1" s="1"/>
  <c r="R16" i="1" s="1"/>
  <c r="L13" i="1"/>
  <c r="M13" i="1" s="1"/>
  <c r="M17" i="7"/>
  <c r="K15" i="7"/>
  <c r="K17" i="7" s="1"/>
  <c r="R14" i="7" s="1"/>
  <c r="R16" i="7" s="1"/>
  <c r="M13" i="6"/>
  <c r="K11" i="6"/>
  <c r="K13" i="6" s="1"/>
  <c r="R10" i="6" s="1"/>
  <c r="R12" i="6" s="1"/>
  <c r="M21" i="5"/>
  <c r="K19" i="5"/>
  <c r="K21" i="5" s="1"/>
  <c r="R18" i="5" s="1"/>
  <c r="R20" i="5" s="1"/>
  <c r="K19" i="4"/>
  <c r="K21" i="4" s="1"/>
  <c r="R18" i="4" s="1"/>
  <c r="R20" i="4" s="1"/>
  <c r="M21" i="4"/>
  <c r="K16" i="3"/>
  <c r="K18" i="3"/>
  <c r="R15" i="3" s="1"/>
  <c r="R17" i="3" s="1"/>
  <c r="M18" i="3"/>
  <c r="M11" i="1"/>
  <c r="L9" i="1"/>
  <c r="L8" i="1"/>
  <c r="L7" i="1"/>
  <c r="M17" i="2"/>
  <c r="K15" i="2"/>
  <c r="K17" i="2" s="1"/>
  <c r="R14" i="2" s="1"/>
  <c r="R16" i="2" s="1"/>
  <c r="L12" i="1"/>
  <c r="P17" i="16" l="1"/>
  <c r="M17" i="16"/>
  <c r="L12" i="16"/>
  <c r="L13" i="16"/>
  <c r="M13" i="16" s="1"/>
  <c r="L19" i="16" s="1"/>
  <c r="M19" i="16" s="1"/>
  <c r="L14" i="16"/>
  <c r="L15" i="16"/>
  <c r="L7" i="16"/>
  <c r="L9" i="16"/>
  <c r="L10" i="16"/>
  <c r="M10" i="16" s="1"/>
  <c r="L18" i="16"/>
  <c r="L11" i="16"/>
  <c r="M11" i="16" s="1"/>
  <c r="L16" i="16"/>
  <c r="M16" i="16" s="1"/>
  <c r="L7" i="15"/>
  <c r="L8" i="15"/>
  <c r="L10" i="15"/>
  <c r="L9" i="15"/>
  <c r="M9" i="15" s="1"/>
  <c r="P9" i="14"/>
  <c r="M9" i="14"/>
  <c r="L7" i="14"/>
  <c r="L8" i="14"/>
  <c r="L11" i="14"/>
  <c r="L10" i="14"/>
  <c r="M10" i="14" s="1"/>
  <c r="L7" i="13"/>
  <c r="L8" i="13"/>
  <c r="L9" i="13"/>
  <c r="M9" i="13" s="1"/>
  <c r="P11" i="12"/>
  <c r="M11" i="12"/>
  <c r="P8" i="12"/>
  <c r="R8" i="12" s="1"/>
  <c r="M16" i="12"/>
  <c r="P13" i="12"/>
  <c r="Q13" i="12" s="1"/>
  <c r="M7" i="12"/>
  <c r="P14" i="12"/>
  <c r="M14" i="12"/>
  <c r="Q7" i="12"/>
  <c r="R7" i="12"/>
  <c r="R16" i="12"/>
  <c r="Q16" i="12"/>
  <c r="L8" i="11"/>
  <c r="M8" i="11" s="1"/>
  <c r="L9" i="11"/>
  <c r="M9" i="11" s="1"/>
  <c r="L7" i="11"/>
  <c r="L12" i="11"/>
  <c r="L11" i="11"/>
  <c r="L10" i="11"/>
  <c r="P8" i="9"/>
  <c r="M8" i="9"/>
  <c r="P7" i="9"/>
  <c r="M7" i="9"/>
  <c r="P13" i="8"/>
  <c r="M13" i="8"/>
  <c r="P7" i="8"/>
  <c r="M7" i="8"/>
  <c r="M8" i="8"/>
  <c r="P8" i="8"/>
  <c r="P13" i="1"/>
  <c r="M10" i="1"/>
  <c r="L10" i="7"/>
  <c r="L7" i="7"/>
  <c r="L8" i="7"/>
  <c r="L9" i="7"/>
  <c r="M9" i="7" s="1"/>
  <c r="L13" i="7"/>
  <c r="L12" i="7"/>
  <c r="M12" i="7" s="1"/>
  <c r="L11" i="7"/>
  <c r="M11" i="7" s="1"/>
  <c r="L14" i="4"/>
  <c r="L17" i="4"/>
  <c r="L12" i="4"/>
  <c r="L13" i="4"/>
  <c r="L10" i="4"/>
  <c r="M10" i="4" s="1"/>
  <c r="L11" i="4"/>
  <c r="L16" i="4"/>
  <c r="L15" i="4"/>
  <c r="L8" i="4"/>
  <c r="M8" i="4" s="1"/>
  <c r="L9" i="4"/>
  <c r="M9" i="4" s="1"/>
  <c r="L7" i="6"/>
  <c r="L8" i="6"/>
  <c r="L9" i="6"/>
  <c r="M9" i="6" s="1"/>
  <c r="L7" i="5"/>
  <c r="L8" i="5"/>
  <c r="L9" i="5"/>
  <c r="M9" i="5" s="1"/>
  <c r="L10" i="5"/>
  <c r="L11" i="5"/>
  <c r="L14" i="5"/>
  <c r="L13" i="5"/>
  <c r="L12" i="5"/>
  <c r="L7" i="4"/>
  <c r="L7" i="3"/>
  <c r="L10" i="3"/>
  <c r="L8" i="3"/>
  <c r="L12" i="3"/>
  <c r="L13" i="3"/>
  <c r="L9" i="3"/>
  <c r="L11" i="3"/>
  <c r="L14" i="3"/>
  <c r="M14" i="3" s="1"/>
  <c r="M7" i="1"/>
  <c r="P7" i="1"/>
  <c r="P9" i="1"/>
  <c r="M9" i="1"/>
  <c r="M8" i="1"/>
  <c r="P8" i="1"/>
  <c r="P12" i="1"/>
  <c r="M12" i="1"/>
  <c r="L7" i="2"/>
  <c r="L9" i="2"/>
  <c r="L10" i="2"/>
  <c r="L8" i="2"/>
  <c r="L12" i="2"/>
  <c r="L11" i="2"/>
  <c r="L13" i="2"/>
  <c r="Q11" i="1"/>
  <c r="R11" i="1"/>
  <c r="Q13" i="1"/>
  <c r="R13" i="1"/>
  <c r="Q10" i="1"/>
  <c r="R10" i="1"/>
  <c r="R17" i="16" l="1"/>
  <c r="Q17" i="16"/>
  <c r="L22" i="16"/>
  <c r="L21" i="16"/>
  <c r="L20" i="16"/>
  <c r="P7" i="16"/>
  <c r="M7" i="16"/>
  <c r="P15" i="16"/>
  <c r="M15" i="16"/>
  <c r="P14" i="16"/>
  <c r="M14" i="16"/>
  <c r="P18" i="16"/>
  <c r="M18" i="16"/>
  <c r="P9" i="16"/>
  <c r="M9" i="16"/>
  <c r="P12" i="16"/>
  <c r="M12" i="16"/>
  <c r="M10" i="15"/>
  <c r="P10" i="15"/>
  <c r="P8" i="15"/>
  <c r="M8" i="15"/>
  <c r="P7" i="15"/>
  <c r="M7" i="15"/>
  <c r="R9" i="14"/>
  <c r="Q9" i="14"/>
  <c r="P11" i="14"/>
  <c r="M11" i="14"/>
  <c r="P8" i="14"/>
  <c r="M8" i="14"/>
  <c r="P7" i="14"/>
  <c r="M7" i="14"/>
  <c r="P8" i="13"/>
  <c r="M8" i="13"/>
  <c r="P7" i="13"/>
  <c r="M7" i="13"/>
  <c r="R13" i="12"/>
  <c r="R11" i="12"/>
  <c r="Q11" i="12"/>
  <c r="Q8" i="12"/>
  <c r="Q14" i="12"/>
  <c r="R14" i="12"/>
  <c r="P10" i="11"/>
  <c r="M10" i="11"/>
  <c r="M11" i="11"/>
  <c r="P11" i="11"/>
  <c r="P12" i="11"/>
  <c r="M12" i="11"/>
  <c r="P7" i="11"/>
  <c r="M7" i="11"/>
  <c r="R7" i="9"/>
  <c r="Q7" i="9"/>
  <c r="R8" i="9"/>
  <c r="Q8" i="9"/>
  <c r="R8" i="8"/>
  <c r="Q8" i="8"/>
  <c r="Q7" i="8"/>
  <c r="R7" i="8"/>
  <c r="R13" i="8"/>
  <c r="Q13" i="8"/>
  <c r="P13" i="7"/>
  <c r="M13" i="7"/>
  <c r="M8" i="7"/>
  <c r="P8" i="7"/>
  <c r="M7" i="7"/>
  <c r="P7" i="7"/>
  <c r="P10" i="7"/>
  <c r="M10" i="7"/>
  <c r="M15" i="4"/>
  <c r="P15" i="4"/>
  <c r="M16" i="4"/>
  <c r="P16" i="4"/>
  <c r="M11" i="4"/>
  <c r="P11" i="4"/>
  <c r="M13" i="4"/>
  <c r="P13" i="4"/>
  <c r="P12" i="4"/>
  <c r="M12" i="4"/>
  <c r="M17" i="4"/>
  <c r="P17" i="4"/>
  <c r="M14" i="4"/>
  <c r="P14" i="4"/>
  <c r="M8" i="6"/>
  <c r="P8" i="6"/>
  <c r="P7" i="6"/>
  <c r="M7" i="6"/>
  <c r="M8" i="5"/>
  <c r="P8" i="5"/>
  <c r="P7" i="5"/>
  <c r="M7" i="5"/>
  <c r="P12" i="5"/>
  <c r="M12" i="5"/>
  <c r="M13" i="5"/>
  <c r="P13" i="5"/>
  <c r="M14" i="5"/>
  <c r="P14" i="5"/>
  <c r="P17" i="5"/>
  <c r="M17" i="5"/>
  <c r="P11" i="5"/>
  <c r="M11" i="5"/>
  <c r="M10" i="5"/>
  <c r="P10" i="5"/>
  <c r="P7" i="4"/>
  <c r="M7" i="4"/>
  <c r="P8" i="4"/>
  <c r="P11" i="3"/>
  <c r="M11" i="3"/>
  <c r="P13" i="3"/>
  <c r="M13" i="3"/>
  <c r="M8" i="3"/>
  <c r="P8" i="3"/>
  <c r="P10" i="3"/>
  <c r="M10" i="3"/>
  <c r="M9" i="3"/>
  <c r="P9" i="3"/>
  <c r="P12" i="3"/>
  <c r="M12" i="3"/>
  <c r="P7" i="3"/>
  <c r="M7" i="3"/>
  <c r="M13" i="2"/>
  <c r="P13" i="2"/>
  <c r="Q12" i="1"/>
  <c r="R12" i="1"/>
  <c r="M11" i="2"/>
  <c r="P11" i="2"/>
  <c r="Q8" i="1"/>
  <c r="R8" i="1"/>
  <c r="M12" i="2"/>
  <c r="P12" i="2"/>
  <c r="P8" i="2"/>
  <c r="M8" i="2"/>
  <c r="Q9" i="1"/>
  <c r="R9" i="1"/>
  <c r="M9" i="2"/>
  <c r="P9" i="2"/>
  <c r="Q7" i="1"/>
  <c r="R7" i="1"/>
  <c r="M10" i="2"/>
  <c r="P10" i="2"/>
  <c r="P7" i="2"/>
  <c r="M7" i="2"/>
  <c r="P22" i="16" l="1"/>
  <c r="M22" i="16"/>
  <c r="P20" i="16"/>
  <c r="M20" i="16"/>
  <c r="P21" i="16"/>
  <c r="M21" i="16"/>
  <c r="P8" i="16"/>
  <c r="M8" i="16"/>
  <c r="R15" i="16"/>
  <c r="Q15" i="16"/>
  <c r="R7" i="16"/>
  <c r="Q7" i="16"/>
  <c r="R12" i="16"/>
  <c r="Q12" i="16"/>
  <c r="Q9" i="16"/>
  <c r="R9" i="16"/>
  <c r="R18" i="16"/>
  <c r="Q18" i="16"/>
  <c r="R14" i="16"/>
  <c r="Q14" i="16"/>
  <c r="R7" i="15"/>
  <c r="Q7" i="15"/>
  <c r="R8" i="15"/>
  <c r="Q8" i="15"/>
  <c r="R10" i="15"/>
  <c r="Q10" i="15"/>
  <c r="R7" i="14"/>
  <c r="Q7" i="14"/>
  <c r="R8" i="14"/>
  <c r="Q8" i="14"/>
  <c r="R11" i="14"/>
  <c r="Q11" i="14"/>
  <c r="R7" i="13"/>
  <c r="Q7" i="13"/>
  <c r="R8" i="13"/>
  <c r="Q8" i="13"/>
  <c r="R7" i="11"/>
  <c r="Q7" i="11"/>
  <c r="R12" i="11"/>
  <c r="Q12" i="11"/>
  <c r="R11" i="11"/>
  <c r="Q11" i="11"/>
  <c r="R10" i="11"/>
  <c r="Q10" i="11"/>
  <c r="R10" i="7"/>
  <c r="Q10" i="7"/>
  <c r="R7" i="7"/>
  <c r="Q7" i="7"/>
  <c r="R8" i="7"/>
  <c r="Q8" i="7"/>
  <c r="Q13" i="7"/>
  <c r="R13" i="7"/>
  <c r="Q14" i="4"/>
  <c r="R14" i="4"/>
  <c r="Q17" i="4"/>
  <c r="R17" i="4"/>
  <c r="Q12" i="4"/>
  <c r="R12" i="4"/>
  <c r="Q13" i="4"/>
  <c r="R13" i="4"/>
  <c r="Q11" i="4"/>
  <c r="R11" i="4"/>
  <c r="Q16" i="4"/>
  <c r="R16" i="4"/>
  <c r="Q15" i="4"/>
  <c r="R15" i="4"/>
  <c r="Q7" i="6"/>
  <c r="R7" i="6"/>
  <c r="R8" i="6"/>
  <c r="Q8" i="6"/>
  <c r="Q7" i="5"/>
  <c r="R7" i="5"/>
  <c r="Q8" i="5"/>
  <c r="R8" i="5"/>
  <c r="Q10" i="5"/>
  <c r="R10" i="5"/>
  <c r="R11" i="5"/>
  <c r="Q11" i="5"/>
  <c r="R17" i="5"/>
  <c r="Q17" i="5"/>
  <c r="R14" i="5"/>
  <c r="Q14" i="5"/>
  <c r="R13" i="5"/>
  <c r="Q13" i="5"/>
  <c r="R12" i="5"/>
  <c r="Q12" i="5"/>
  <c r="R7" i="4"/>
  <c r="Q7" i="4"/>
  <c r="R8" i="4"/>
  <c r="Q8" i="4"/>
  <c r="Q10" i="3"/>
  <c r="R10" i="3"/>
  <c r="Q7" i="3"/>
  <c r="R7" i="3"/>
  <c r="Q12" i="3"/>
  <c r="R12" i="3"/>
  <c r="Q13" i="3"/>
  <c r="R13" i="3"/>
  <c r="R9" i="3"/>
  <c r="Q9" i="3"/>
  <c r="R8" i="3"/>
  <c r="Q8" i="3"/>
  <c r="Q11" i="3"/>
  <c r="R11" i="3"/>
  <c r="R9" i="2"/>
  <c r="Q9" i="2"/>
  <c r="Q10" i="2"/>
  <c r="R10" i="2"/>
  <c r="R11" i="2"/>
  <c r="Q11" i="2"/>
  <c r="Q8" i="2"/>
  <c r="R8" i="2"/>
  <c r="Q7" i="2"/>
  <c r="R7" i="2"/>
  <c r="Q12" i="2"/>
  <c r="R12" i="2"/>
  <c r="R13" i="2"/>
  <c r="Q13" i="2"/>
  <c r="R21" i="16" l="1"/>
  <c r="Q21" i="16"/>
  <c r="R20" i="16"/>
  <c r="Q20" i="16"/>
  <c r="R22" i="16"/>
  <c r="Q22" i="16"/>
  <c r="R8" i="16"/>
  <c r="Q8" i="16"/>
</calcChain>
</file>

<file path=xl/sharedStrings.xml><?xml version="1.0" encoding="utf-8"?>
<sst xmlns="http://schemas.openxmlformats.org/spreadsheetml/2006/main" count="689" uniqueCount="83">
  <si>
    <t xml:space="preserve">              ORDER BY                          CHECKED BY                       SUBMITTED BY                 ACKNOWLEDGE BY              PRICE CHECKED BY</t>
  </si>
  <si>
    <t xml:space="preserve">____________________     ____________________     ____________________     ____________________     ____________________     </t>
  </si>
  <si>
    <t xml:space="preserve">Freight Charge Percentage  
(W/out GST)                                                  </t>
  </si>
  <si>
    <t>TOTAL AMT:</t>
  </si>
  <si>
    <t>Profit over SP</t>
  </si>
  <si>
    <t>Freight Charge:</t>
  </si>
  <si>
    <t>NA</t>
  </si>
  <si>
    <t>Freight (CNF) Charge:</t>
  </si>
  <si>
    <t>9% GST</t>
  </si>
  <si>
    <t>Total Profit:</t>
  </si>
  <si>
    <t>Total Selling: 
(SGD)</t>
  </si>
  <si>
    <t>Total Cost:
(SGD)</t>
  </si>
  <si>
    <t>SUB TOTAL:</t>
  </si>
  <si>
    <r>
      <rPr>
        <b/>
        <u/>
        <sz val="11"/>
        <color indexed="8"/>
        <rFont val="Calibri"/>
        <family val="2"/>
      </rPr>
      <t xml:space="preserve">
</t>
    </r>
    <r>
      <rPr>
        <b/>
        <u/>
        <sz val="11"/>
        <color indexed="8"/>
        <rFont val="Calibri"/>
        <family val="2"/>
      </rPr>
      <t>REMARKS: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/>
    </r>
  </si>
  <si>
    <t>Cha Pai Grapefruit Jasmine Tea</t>
  </si>
  <si>
    <t>Kangshifu Honey Pomelo Drink</t>
  </si>
  <si>
    <t>Kangshifu Pear Juice with Rock Sugar</t>
  </si>
  <si>
    <t>Kangshifu Ice Black Tea Lemon Flavour</t>
  </si>
  <si>
    <t>Ice Cool Rose Bandung Drink</t>
  </si>
  <si>
    <t>Ice Cool Bird’s Nest Flavour Drink</t>
  </si>
  <si>
    <t>Ice Cool Young Coconut with Pulp</t>
  </si>
  <si>
    <t>TMG
Promotion
Price</t>
  </si>
  <si>
    <t xml:space="preserve">Profit Margin - % </t>
  </si>
  <si>
    <t>TOTAL PROFIT($)</t>
  </si>
  <si>
    <t>UNIT PROFIT ($)</t>
  </si>
  <si>
    <t>Total Selling</t>
  </si>
  <si>
    <t>TMG Selling Price</t>
  </si>
  <si>
    <t>Total Cost 
(SGD)
(W GST)</t>
  </si>
  <si>
    <t>Unit Cost (9%)
(SGD - PC)</t>
  </si>
  <si>
    <t>Total Cost 
(RAW)</t>
  </si>
  <si>
    <t>Unit Cost 
(SGD - PC)
(W/O GST)</t>
  </si>
  <si>
    <t>Total</t>
  </si>
  <si>
    <t>Unit Price
(SGD)
(W/O GST)</t>
  </si>
  <si>
    <t>Ctn Price
(SGD)
(W/O GST)</t>
  </si>
  <si>
    <t>Total Ordered Qty</t>
  </si>
  <si>
    <t>Packing Size
(PC)</t>
  </si>
  <si>
    <t>Qty 
(CTN)</t>
  </si>
  <si>
    <t>Product Name</t>
  </si>
  <si>
    <t>No.</t>
  </si>
  <si>
    <t>Cost with Freight &amp; GST, Selling with GST</t>
  </si>
  <si>
    <t>PURCHASE ORDER</t>
  </si>
  <si>
    <t>Supplier: SHENG SHENG F&amp;B INDUSTRIES PTE LTD</t>
  </si>
  <si>
    <t>Rate :</t>
  </si>
  <si>
    <t>9 Changi South Street 3 #07-02/03 Singapore 486361</t>
  </si>
  <si>
    <t xml:space="preserve">Date: </t>
  </si>
  <si>
    <t>Tian Ma Group Holdings Pte Ltd</t>
  </si>
  <si>
    <t>Cha Pai Pomelo Green Tea 500ML</t>
  </si>
  <si>
    <t>Cha Pai Peach Oolong Tea 500ML</t>
  </si>
  <si>
    <t>Kangshifu Honey Pomelo Drink 500ML</t>
  </si>
  <si>
    <t>Kangshifu Pear Juice (Rock Sugar)</t>
  </si>
  <si>
    <t>Apollo Chocolate Wafer Cream</t>
  </si>
  <si>
    <t>CHA PAI Pomelo Green Tea (15×500ml)</t>
  </si>
  <si>
    <t>CHA PAI Grapefruit Jasmine Tea (15×500ml)</t>
  </si>
  <si>
    <t>CHA PAI Peach Oolong Tea (15×500ml)</t>
  </si>
  <si>
    <t>APOLLO Chocolate Wafer Cream (1011BC)</t>
  </si>
  <si>
    <t>APOLLO Milk Wafer Cream (1016BC)</t>
  </si>
  <si>
    <t>APOLLO Choc Stick Wafer (1044A)</t>
  </si>
  <si>
    <t>THUMBS Menglembu Groundnut 115g</t>
  </si>
  <si>
    <t>Ice Cool Young Coconut with Pulp (24×310ml)</t>
  </si>
  <si>
    <t>Ice Cool Young Coconut with Pulp (310ML)</t>
  </si>
  <si>
    <t>Ice Cool Rose Bandung Drink (310ML)</t>
  </si>
  <si>
    <t>Hand Brand Groundnut(115G)</t>
  </si>
  <si>
    <t>Hand Brand Groundnut Partypack(30Gx6)</t>
  </si>
  <si>
    <t>Apollo Choco Stick Wafer(11G)</t>
  </si>
  <si>
    <t>Apollo Milk Wafer Cream(12G)</t>
  </si>
  <si>
    <t>Apollo Chocolate Wafer Cream(12G)</t>
  </si>
  <si>
    <t>Cha Pai Grapefruit Jasmine Tea (500ML)</t>
  </si>
  <si>
    <t>Cha Pai Peach Oolong Tea (500ML)</t>
  </si>
  <si>
    <t>Cha Pai Pomelo Green Tea (500ML)</t>
  </si>
  <si>
    <t>Kangshifu Honey Pomelo Drink (500ML)</t>
  </si>
  <si>
    <t>3/19/2026</t>
  </si>
  <si>
    <t>Kangshifu Ice Black Tea Lemon Flavour Drink (500ML)</t>
  </si>
  <si>
    <t>Kangshifu Pear Juice With Rock Sugar Drink (500ML)</t>
  </si>
  <si>
    <t>Ice Cool Birds Nest FlavourDrink (300ML)</t>
  </si>
  <si>
    <t>Apollo Choc Stick Wafer (11G)</t>
  </si>
  <si>
    <t>2/23/2026</t>
  </si>
  <si>
    <t>Ice Cool Birds Nest Flavour Drink (300ML)</t>
  </si>
  <si>
    <t>Apollo Choc Stick Wafer(11G)</t>
  </si>
  <si>
    <t>Apollo Strawberry Stick Wafer(11G)</t>
  </si>
  <si>
    <t>1/22/2026</t>
  </si>
  <si>
    <t>Mint Plus-Original Mint(120g)</t>
  </si>
  <si>
    <t>1/13/2026</t>
  </si>
  <si>
    <t>Kangshifu Pear Juice With Rock Sugar  Drink (500ML)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</si>
</sst>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0.000%"/>
    <numFmt numFmtId="166" formatCode="&quot;$&quot;&quot; &quot;#,##0.00"/>
    <numFmt numFmtId="167" formatCode="&quot;$&quot;#,##0.0000"/>
    <numFmt numFmtId="168" formatCode="&quot; &quot;&quot;$&quot;* #,##0.00&quot; &quot;;&quot;-&quot;&quot;$&quot;* #,##0.00&quot; &quot;;&quot; &quot;&quot;$&quot;* &quot;-&quot;??&quot; &quot;"/>
    <numFmt numFmtId="169" formatCode="&quot;$&quot;#,##0.00"/>
    <numFmt numFmtId="170" formatCode="&quot;$&quot;&quot; &quot;#,##0.0000"/>
    <numFmt numFmtId="171" formatCode="_-&quot;$&quot;* #,##0.000_-;\-&quot;$&quot;* #,##0.000_-;_-&quot;$&quot;* &quot;-&quot;???_-;_-@_-"/>
    <numFmt numFmtId="172" formatCode="0.0000"/>
    <numFmt numFmtId="173" formatCode="0.000"/>
    <numFmt numFmtId="174" formatCode="&quot;$&quot;&quot; &quot;#,##0"/>
  </numFmts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b/>
      <sz val="20"/>
      <color indexed="8"/>
      <name val="Calibri"/>
      <family val="2"/>
    </font>
    <font>
      <sz val="10"/>
      <color indexed="8"/>
      <name val="Calibri"/>
      <family val="2"/>
    </font>
    <font>
      <b/>
      <sz val="14"/>
      <color indexed="8"/>
      <name val="Calibri"/>
      <family val="2"/>
    </font>
    <font>
      <b/>
      <u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u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sz val="15"/>
      <color indexed="8"/>
      <name val="Calibri"/>
      <family val="2"/>
    </font>
    <font>
      <b/>
      <sz val="25"/>
      <color indexed="8"/>
      <name val="Calibr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/>
      <right style="thin">
        <color indexed="8"/>
      </right>
      <top/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medium">
        <color indexed="8"/>
      </left>
      <right style="dotted">
        <color indexed="8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</borders>
  <cellStyleXfs count="4">
    <xf numFmtId="0" fontId="0" fillId="0" borderId="0"/>
    <xf numFmtId="164" fontId="13" fillId="0" borderId="0" applyFont="0" applyFill="0" applyBorder="0" applyAlignment="0" applyProtection="0"/>
    <xf numFmtId="0" fontId="5" fillId="0" borderId="0" applyNumberFormat="0" applyFill="0" applyBorder="0" applyProtection="0"/>
    <xf numFmtId="44" fontId="20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2" fillId="2" borderId="1" xfId="0" applyFont="1" applyFill="1" applyBorder="1"/>
    <xf numFmtId="0" fontId="0" fillId="2" borderId="2" xfId="0" applyFill="1" applyBorder="1"/>
    <xf numFmtId="9" fontId="6" fillId="2" borderId="3" xfId="0" applyNumberFormat="1" applyFont="1" applyFill="1" applyBorder="1" applyAlignment="1">
      <alignment horizontal="left" vertical="center"/>
    </xf>
    <xf numFmtId="165" fontId="7" fillId="2" borderId="4" xfId="0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 wrapText="1"/>
    </xf>
    <xf numFmtId="166" fontId="2" fillId="2" borderId="7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right" vertical="center" wrapText="1"/>
    </xf>
    <xf numFmtId="0" fontId="0" fillId="2" borderId="9" xfId="0" applyFill="1" applyBorder="1"/>
    <xf numFmtId="44" fontId="0" fillId="2" borderId="10" xfId="0" applyNumberFormat="1" applyFill="1" applyBorder="1" applyAlignment="1">
      <alignment vertical="center"/>
    </xf>
    <xf numFmtId="49" fontId="3" fillId="3" borderId="11" xfId="0" applyNumberFormat="1" applyFont="1" applyFill="1" applyBorder="1" applyAlignment="1">
      <alignment horizontal="right" vertical="center" wrapText="1"/>
    </xf>
    <xf numFmtId="167" fontId="3" fillId="3" borderId="12" xfId="0" applyNumberFormat="1" applyFont="1" applyFill="1" applyBorder="1" applyAlignment="1">
      <alignment horizontal="right" vertical="center" wrapText="1"/>
    </xf>
    <xf numFmtId="167" fontId="3" fillId="3" borderId="13" xfId="0" applyNumberFormat="1" applyFont="1" applyFill="1" applyBorder="1" applyAlignment="1">
      <alignment horizontal="right" vertical="center" wrapText="1"/>
    </xf>
    <xf numFmtId="0" fontId="0" fillId="2" borderId="14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 wrapText="1"/>
    </xf>
    <xf numFmtId="168" fontId="2" fillId="2" borderId="17" xfId="0" applyNumberFormat="1" applyFont="1" applyFill="1" applyBorder="1" applyAlignment="1">
      <alignment horizontal="center" vertical="center" wrapText="1"/>
    </xf>
    <xf numFmtId="165" fontId="8" fillId="2" borderId="18" xfId="0" applyNumberFormat="1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/>
    </xf>
    <xf numFmtId="49" fontId="9" fillId="3" borderId="19" xfId="0" applyNumberFormat="1" applyFont="1" applyFill="1" applyBorder="1" applyAlignment="1">
      <alignment horizontal="center" vertical="center"/>
    </xf>
    <xf numFmtId="49" fontId="10" fillId="2" borderId="20" xfId="0" applyNumberFormat="1" applyFont="1" applyFill="1" applyBorder="1" applyAlignment="1">
      <alignment horizontal="center" vertical="center" wrapText="1"/>
    </xf>
    <xf numFmtId="166" fontId="2" fillId="2" borderId="21" xfId="0" applyNumberFormat="1" applyFont="1" applyFill="1" applyBorder="1" applyAlignment="1">
      <alignment horizontal="center" vertical="center"/>
    </xf>
    <xf numFmtId="49" fontId="4" fillId="3" borderId="22" xfId="0" applyNumberFormat="1" applyFont="1" applyFill="1" applyBorder="1" applyAlignment="1">
      <alignment horizontal="right" vertical="center" wrapText="1"/>
    </xf>
    <xf numFmtId="44" fontId="5" fillId="4" borderId="10" xfId="0" applyNumberFormat="1" applyFont="1" applyFill="1" applyBorder="1" applyAlignment="1">
      <alignment vertical="center"/>
    </xf>
    <xf numFmtId="49" fontId="3" fillId="3" borderId="23" xfId="0" applyNumberFormat="1" applyFont="1" applyFill="1" applyBorder="1" applyAlignment="1">
      <alignment horizontal="right" vertical="center" wrapText="1"/>
    </xf>
    <xf numFmtId="3" fontId="0" fillId="0" borderId="24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0" fontId="0" fillId="2" borderId="26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7" xfId="0" applyFill="1" applyBorder="1" applyAlignment="1">
      <alignment horizontal="left" vertical="top" wrapText="1"/>
    </xf>
    <xf numFmtId="0" fontId="2" fillId="0" borderId="17" xfId="0" applyFont="1" applyBorder="1"/>
    <xf numFmtId="166" fontId="2" fillId="2" borderId="28" xfId="0" applyNumberFormat="1" applyFont="1" applyFill="1" applyBorder="1" applyAlignment="1">
      <alignment horizontal="center" vertical="center"/>
    </xf>
    <xf numFmtId="49" fontId="3" fillId="3" borderId="29" xfId="0" applyNumberFormat="1" applyFont="1" applyFill="1" applyBorder="1" applyAlignment="1">
      <alignment horizontal="center" vertical="center"/>
    </xf>
    <xf numFmtId="49" fontId="3" fillId="3" borderId="30" xfId="0" applyNumberFormat="1" applyFont="1" applyFill="1" applyBorder="1" applyAlignment="1">
      <alignment horizontal="center" vertical="center"/>
    </xf>
    <xf numFmtId="169" fontId="4" fillId="2" borderId="31" xfId="0" applyNumberFormat="1" applyFont="1" applyFill="1" applyBorder="1" applyAlignment="1">
      <alignment horizontal="right" vertical="center"/>
    </xf>
    <xf numFmtId="49" fontId="3" fillId="3" borderId="32" xfId="0" applyNumberFormat="1" applyFont="1" applyFill="1" applyBorder="1" applyAlignment="1">
      <alignment horizontal="right" vertical="center" wrapText="1"/>
    </xf>
    <xf numFmtId="44" fontId="0" fillId="2" borderId="33" xfId="0" applyNumberFormat="1" applyFill="1" applyBorder="1" applyAlignment="1">
      <alignment horizontal="center" vertical="center"/>
    </xf>
    <xf numFmtId="49" fontId="3" fillId="3" borderId="34" xfId="0" applyNumberFormat="1" applyFont="1" applyFill="1" applyBorder="1" applyAlignment="1">
      <alignment horizontal="center" vertical="center" wrapText="1"/>
    </xf>
    <xf numFmtId="3" fontId="0" fillId="0" borderId="35" xfId="0" applyNumberForma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0" fontId="0" fillId="2" borderId="37" xfId="0" applyFill="1" applyBorder="1" applyAlignment="1">
      <alignment horizontal="left" vertical="top" wrapText="1"/>
    </xf>
    <xf numFmtId="0" fontId="0" fillId="2" borderId="38" xfId="0" applyFill="1" applyBorder="1" applyAlignment="1">
      <alignment horizontal="left" vertical="top" wrapText="1"/>
    </xf>
    <xf numFmtId="49" fontId="0" fillId="2" borderId="39" xfId="0" applyNumberFormat="1" applyFill="1" applyBorder="1" applyAlignment="1">
      <alignment horizontal="left" vertical="top" wrapText="1"/>
    </xf>
    <xf numFmtId="0" fontId="2" fillId="0" borderId="3" xfId="0" applyFont="1" applyBorder="1"/>
    <xf numFmtId="166" fontId="2" fillId="2" borderId="40" xfId="0" applyNumberFormat="1" applyFont="1" applyFill="1" applyBorder="1" applyAlignment="1">
      <alignment horizontal="center" vertical="center"/>
    </xf>
    <xf numFmtId="49" fontId="3" fillId="3" borderId="35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6" fontId="11" fillId="2" borderId="41" xfId="0" applyNumberFormat="1" applyFont="1" applyFill="1" applyBorder="1" applyAlignment="1">
      <alignment horizontal="center" vertical="center"/>
    </xf>
    <xf numFmtId="166" fontId="11" fillId="2" borderId="42" xfId="0" applyNumberFormat="1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 wrapText="1"/>
    </xf>
    <xf numFmtId="49" fontId="3" fillId="3" borderId="36" xfId="0" applyNumberFormat="1" applyFont="1" applyFill="1" applyBorder="1" applyAlignment="1">
      <alignment horizontal="center" vertical="center" wrapText="1"/>
    </xf>
    <xf numFmtId="166" fontId="4" fillId="2" borderId="4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right" vertical="center" wrapText="1"/>
    </xf>
    <xf numFmtId="0" fontId="0" fillId="2" borderId="44" xfId="0" applyFill="1" applyBorder="1"/>
    <xf numFmtId="44" fontId="0" fillId="2" borderId="45" xfId="0" applyNumberFormat="1" applyFill="1" applyBorder="1" applyAlignment="1">
      <alignment horizontal="center" vertical="center"/>
    </xf>
    <xf numFmtId="49" fontId="3" fillId="3" borderId="46" xfId="0" applyNumberFormat="1" applyFont="1" applyFill="1" applyBorder="1" applyAlignment="1">
      <alignment horizontal="center" vertical="center" wrapText="1"/>
    </xf>
    <xf numFmtId="49" fontId="5" fillId="2" borderId="39" xfId="0" applyNumberFormat="1" applyFont="1" applyFill="1" applyBorder="1" applyAlignment="1">
      <alignment horizontal="left" vertical="top" wrapText="1"/>
    </xf>
    <xf numFmtId="0" fontId="2" fillId="0" borderId="20" xfId="0" applyFont="1" applyBorder="1"/>
    <xf numFmtId="10" fontId="5" fillId="0" borderId="20" xfId="0" applyNumberFormat="1" applyFont="1" applyBorder="1" applyAlignment="1">
      <alignment horizontal="center" vertical="center"/>
    </xf>
    <xf numFmtId="166" fontId="5" fillId="0" borderId="20" xfId="0" applyNumberFormat="1" applyFont="1" applyBorder="1" applyAlignment="1">
      <alignment horizontal="center" vertical="center"/>
    </xf>
    <xf numFmtId="0" fontId="0" fillId="0" borderId="20" xfId="0" applyBorder="1"/>
    <xf numFmtId="170" fontId="5" fillId="0" borderId="20" xfId="0" applyNumberFormat="1" applyFont="1" applyBorder="1" applyAlignment="1">
      <alignment horizontal="center" vertical="center"/>
    </xf>
    <xf numFmtId="44" fontId="5" fillId="0" borderId="20" xfId="0" applyNumberFormat="1" applyFont="1" applyBorder="1" applyAlignment="1">
      <alignment vertical="center"/>
    </xf>
    <xf numFmtId="171" fontId="5" fillId="0" borderId="20" xfId="1" applyNumberFormat="1" applyFont="1" applyFill="1" applyBorder="1" applyAlignment="1">
      <alignment vertical="center"/>
    </xf>
    <xf numFmtId="3" fontId="5" fillId="0" borderId="20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20" xfId="0" applyFont="1" applyBorder="1"/>
    <xf numFmtId="44" fontId="2" fillId="5" borderId="20" xfId="2" applyNumberFormat="1" applyFont="1" applyFill="1" applyBorder="1" applyAlignment="1">
      <alignment horizontal="center" vertical="center"/>
    </xf>
    <xf numFmtId="1" fontId="14" fillId="0" borderId="20" xfId="0" applyNumberFormat="1" applyFont="1" applyBorder="1" applyAlignment="1">
      <alignment horizontal="center" vertical="center"/>
    </xf>
    <xf numFmtId="170" fontId="0" fillId="0" borderId="20" xfId="0" applyNumberFormat="1" applyBorder="1" applyAlignment="1">
      <alignment horizontal="center" vertical="center"/>
    </xf>
    <xf numFmtId="44" fontId="0" fillId="0" borderId="20" xfId="0" applyNumberFormat="1" applyBorder="1" applyAlignment="1">
      <alignment vertical="center"/>
    </xf>
    <xf numFmtId="171" fontId="0" fillId="0" borderId="20" xfId="1" applyNumberFormat="1" applyFont="1" applyFill="1" applyBorder="1" applyAlignment="1">
      <alignment vertical="center"/>
    </xf>
    <xf numFmtId="3" fontId="0" fillId="0" borderId="20" xfId="0" applyNumberFormat="1" applyBorder="1" applyAlignment="1">
      <alignment horizontal="center" vertical="center"/>
    </xf>
    <xf numFmtId="4" fontId="0" fillId="0" borderId="0" xfId="0" applyNumberFormat="1"/>
    <xf numFmtId="49" fontId="11" fillId="3" borderId="47" xfId="0" applyNumberFormat="1" applyFont="1" applyFill="1" applyBorder="1" applyAlignment="1">
      <alignment horizontal="center" vertical="center" wrapText="1"/>
    </xf>
    <xf numFmtId="49" fontId="11" fillId="3" borderId="48" xfId="0" applyNumberFormat="1" applyFont="1" applyFill="1" applyBorder="1" applyAlignment="1">
      <alignment horizontal="center" vertical="center" wrapText="1"/>
    </xf>
    <xf numFmtId="49" fontId="11" fillId="6" borderId="48" xfId="0" applyNumberFormat="1" applyFont="1" applyFill="1" applyBorder="1" applyAlignment="1">
      <alignment horizontal="center" vertical="center" wrapText="1"/>
    </xf>
    <xf numFmtId="49" fontId="11" fillId="3" borderId="49" xfId="0" applyNumberFormat="1" applyFont="1" applyFill="1" applyBorder="1" applyAlignment="1">
      <alignment horizontal="center" vertical="center" wrapText="1"/>
    </xf>
    <xf numFmtId="169" fontId="11" fillId="2" borderId="50" xfId="0" applyNumberFormat="1" applyFont="1" applyFill="1" applyBorder="1" applyAlignment="1">
      <alignment horizontal="center" vertical="center"/>
    </xf>
    <xf numFmtId="49" fontId="11" fillId="3" borderId="51" xfId="0" applyNumberFormat="1" applyFont="1" applyFill="1" applyBorder="1" applyAlignment="1">
      <alignment horizontal="center" vertical="center"/>
    </xf>
    <xf numFmtId="49" fontId="11" fillId="3" borderId="52" xfId="0" applyNumberFormat="1" applyFont="1" applyFill="1" applyBorder="1" applyAlignment="1">
      <alignment horizontal="center" vertical="center" wrapText="1"/>
    </xf>
    <xf numFmtId="49" fontId="11" fillId="3" borderId="52" xfId="0" applyNumberFormat="1" applyFont="1" applyFill="1" applyBorder="1" applyAlignment="1">
      <alignment horizontal="center" vertical="center"/>
    </xf>
    <xf numFmtId="49" fontId="11" fillId="3" borderId="32" xfId="0" applyNumberFormat="1" applyFont="1" applyFill="1" applyBorder="1" applyAlignment="1">
      <alignment horizontal="center" vertical="center"/>
    </xf>
    <xf numFmtId="0" fontId="2" fillId="2" borderId="53" xfId="0" applyFont="1" applyFill="1" applyBorder="1"/>
    <xf numFmtId="0" fontId="0" fillId="2" borderId="53" xfId="0" applyFill="1" applyBorder="1"/>
    <xf numFmtId="0" fontId="0" fillId="0" borderId="53" xfId="0" applyBorder="1"/>
    <xf numFmtId="169" fontId="0" fillId="2" borderId="1" xfId="0" applyNumberFormat="1" applyFill="1" applyBorder="1"/>
    <xf numFmtId="169" fontId="0" fillId="2" borderId="54" xfId="0" applyNumberFormat="1" applyFill="1" applyBorder="1"/>
    <xf numFmtId="167" fontId="0" fillId="2" borderId="54" xfId="0" applyNumberFormat="1" applyFill="1" applyBorder="1"/>
    <xf numFmtId="0" fontId="0" fillId="2" borderId="54" xfId="0" applyFill="1" applyBorder="1"/>
    <xf numFmtId="0" fontId="0" fillId="2" borderId="57" xfId="0" applyFill="1" applyBorder="1"/>
    <xf numFmtId="0" fontId="1" fillId="0" borderId="0" xfId="0" applyFont="1"/>
    <xf numFmtId="0" fontId="15" fillId="2" borderId="53" xfId="0" applyFont="1" applyFill="1" applyBorder="1" applyAlignment="1">
      <alignment vertical="center"/>
    </xf>
    <xf numFmtId="0" fontId="15" fillId="2" borderId="60" xfId="0" applyFont="1" applyFill="1" applyBorder="1" applyAlignment="1">
      <alignment vertical="center"/>
    </xf>
    <xf numFmtId="0" fontId="15" fillId="0" borderId="60" xfId="0" applyFont="1" applyBorder="1" applyAlignment="1">
      <alignment vertical="center"/>
    </xf>
    <xf numFmtId="0" fontId="0" fillId="2" borderId="60" xfId="0" applyFill="1" applyBorder="1"/>
    <xf numFmtId="0" fontId="16" fillId="2" borderId="54" xfId="0" applyFont="1" applyFill="1" applyBorder="1"/>
    <xf numFmtId="0" fontId="4" fillId="2" borderId="29" xfId="0" applyFont="1" applyFill="1" applyBorder="1" applyAlignment="1">
      <alignment horizontal="center"/>
    </xf>
    <xf numFmtId="172" fontId="17" fillId="2" borderId="30" xfId="0" applyNumberFormat="1" applyFont="1" applyFill="1" applyBorder="1" applyAlignment="1">
      <alignment horizontal="center"/>
    </xf>
    <xf numFmtId="173" fontId="16" fillId="2" borderId="30" xfId="0" applyNumberFormat="1" applyFont="1" applyFill="1" applyBorder="1" applyAlignment="1">
      <alignment horizontal="center"/>
    </xf>
    <xf numFmtId="49" fontId="9" fillId="2" borderId="61" xfId="0" applyNumberFormat="1" applyFont="1" applyFill="1" applyBorder="1" applyAlignment="1">
      <alignment horizontal="right"/>
    </xf>
    <xf numFmtId="0" fontId="2" fillId="2" borderId="63" xfId="0" applyFont="1" applyFill="1" applyBorder="1"/>
    <xf numFmtId="49" fontId="9" fillId="2" borderId="65" xfId="0" applyNumberFormat="1" applyFont="1" applyFill="1" applyBorder="1" applyAlignment="1">
      <alignment horizontal="right" vertical="center"/>
    </xf>
    <xf numFmtId="2" fontId="0" fillId="0" borderId="20" xfId="0" applyNumberFormat="1" applyBorder="1"/>
    <xf numFmtId="2" fontId="0" fillId="0" borderId="0" xfId="0" applyNumberFormat="1"/>
    <xf numFmtId="0" fontId="5" fillId="0" borderId="20" xfId="0" applyFon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74" fontId="0" fillId="0" borderId="20" xfId="0" applyNumberFormat="1" applyBorder="1" applyAlignment="1">
      <alignment horizontal="center" vertical="center"/>
    </xf>
    <xf numFmtId="49" fontId="19" fillId="2" borderId="67" xfId="0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66" xfId="0" applyFont="1" applyFill="1" applyBorder="1" applyAlignment="1">
      <alignment horizontal="center"/>
    </xf>
    <xf numFmtId="14" fontId="9" fillId="2" borderId="64" xfId="0" applyNumberFormat="1" applyFont="1" applyFill="1" applyBorder="1" applyAlignment="1">
      <alignment horizontal="center" vertical="center"/>
    </xf>
    <xf numFmtId="49" fontId="18" fillId="2" borderId="62" xfId="0" applyNumberFormat="1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/>
    </xf>
    <xf numFmtId="49" fontId="9" fillId="2" borderId="59" xfId="0" applyNumberFormat="1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0" fontId="9" fillId="2" borderId="58" xfId="0" applyFont="1" applyFill="1" applyBorder="1" applyAlignment="1">
      <alignment horizontal="center" vertical="center" wrapText="1"/>
    </xf>
    <xf numFmtId="49" fontId="9" fillId="2" borderId="56" xfId="0" applyNumberFormat="1" applyFont="1" applyFill="1" applyBorder="1" applyAlignment="1">
      <alignment horizontal="center" vertical="center"/>
    </xf>
    <xf numFmtId="49" fontId="9" fillId="2" borderId="55" xfId="0" applyNumberFormat="1" applyFont="1" applyFill="1" applyBorder="1" applyAlignment="1">
      <alignment horizontal="center" vertical="center"/>
    </xf>
    <xf numFmtId="49" fontId="9" fillId="2" borderId="1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54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37" xfId="0" applyFill="1" applyBorder="1" applyAlignment="1">
      <alignment horizontal="center" vertical="top" wrapText="1"/>
    </xf>
    <xf numFmtId="0" fontId="0" fillId="2" borderId="26" xfId="0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2" borderId="54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44" fontId="0" fillId="0" borderId="20" xfId="3" applyFont="1" applyBorder="1" applyAlignment="1">
      <alignment horizontal="center" vertical="center"/>
    </xf>
    <xf numFmtId="44" fontId="0" fillId="2" borderId="54" xfId="3" applyFont="1" applyFill="1" applyBorder="1" applyAlignment="1">
      <alignment horizontal="center" vertical="center"/>
    </xf>
    <xf numFmtId="44" fontId="11" fillId="3" borderId="52" xfId="3" applyFont="1" applyFill="1" applyBorder="1" applyAlignment="1">
      <alignment horizontal="center" vertical="center" wrapText="1"/>
    </xf>
    <xf numFmtId="44" fontId="0" fillId="0" borderId="35" xfId="3" applyFont="1" applyBorder="1" applyAlignment="1">
      <alignment horizontal="center" vertical="center"/>
    </xf>
    <xf numFmtId="44" fontId="0" fillId="0" borderId="24" xfId="3" applyFont="1" applyBorder="1" applyAlignment="1">
      <alignment horizontal="center" vertical="center"/>
    </xf>
    <xf numFmtId="44" fontId="3" fillId="3" borderId="12" xfId="3" applyFont="1" applyFill="1" applyBorder="1" applyAlignment="1">
      <alignment horizontal="center" vertical="center" wrapText="1"/>
    </xf>
    <xf numFmtId="44" fontId="0" fillId="0" borderId="0" xfId="3" applyFont="1" applyAlignment="1">
      <alignment horizontal="center" vertical="center"/>
    </xf>
    <xf numFmtId="44" fontId="0" fillId="0" borderId="0" xfId="3" applyFont="1"/>
  </cellXfs>
  <cellStyles count="4">
    <cellStyle name="Comma 2" xfId="1" xr:uid="{BB3C7EFE-6092-6444-AFB8-86BB778AEA67}"/>
    <cellStyle name="Currency" xfId="3" builtinId="4"/>
    <cellStyle name="Normal" xfId="0" builtinId="0"/>
    <cellStyle name="Normal 2" xfId="2" xr:uid="{1FC6C98C-DF85-1743-BF80-FC220178B6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41C4-A848-1C40-93F9-57898CFA6B39}">
  <sheetPr codeName="Sheet17"/>
  <dimension ref="A1:AH24"/>
  <sheetViews>
    <sheetView workbookViewId="0">
      <selection activeCell="B7" sqref="B7"/>
    </sheetView>
  </sheetViews>
  <sheetFormatPr defaultColWidth="14.5" defaultRowHeight="15.75" x14ac:dyDescent="0.5"/>
  <cols>
    <col min="1" max="1" width="29.5" customWidth="1"/>
    <col min="2" max="2" width="32.8125" customWidth="1"/>
    <col min="3" max="3" width="7.5" bestFit="1" customWidth="1"/>
    <col min="4" max="4" width="9.5" bestFit="1" customWidth="1"/>
    <col min="5" max="5" width="10.5" bestFit="1" customWidth="1"/>
    <col min="6" max="7" width="13.1875" bestFit="1" customWidth="1"/>
    <col min="9" max="9" width="2.5" customWidth="1"/>
    <col min="10" max="10" width="13.1875" bestFit="1" customWidth="1"/>
    <col min="11" max="11" width="12.8125" customWidth="1"/>
    <col min="12" max="12" width="15.3125" bestFit="1" customWidth="1"/>
    <col min="13" max="13" width="12.1875" bestFit="1" customWidth="1"/>
    <col min="14" max="14" width="13.5" bestFit="1" customWidth="1"/>
    <col min="15" max="15" width="10.1875" customWidth="1"/>
    <col min="16" max="16" width="12.6875" bestFit="1" customWidth="1"/>
    <col min="17" max="17" width="12.1875" bestFit="1" customWidth="1"/>
    <col min="18" max="18" width="13" bestFit="1" customWidth="1"/>
    <col min="19" max="19" width="15.1875" style="1" customWidth="1"/>
    <col min="27" max="27" width="40.8125" bestFit="1" customWidth="1"/>
  </cols>
  <sheetData>
    <row r="1" spans="1:34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>
        <v>46008</v>
      </c>
      <c r="R1" s="117"/>
      <c r="S1" s="107"/>
    </row>
    <row r="2" spans="1:34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  <c r="Y2" s="97"/>
      <c r="Z2" s="97"/>
      <c r="AA2" s="97"/>
      <c r="AB2" s="97"/>
      <c r="AC2" s="97"/>
      <c r="AD2" s="97"/>
      <c r="AE2" s="97"/>
      <c r="AF2" s="97"/>
      <c r="AG2" s="97"/>
      <c r="AH2" s="97"/>
    </row>
    <row r="3" spans="1:34" ht="23.65" thickBot="1" x14ac:dyDescent="0.75">
      <c r="A3" s="95"/>
      <c r="B3" s="102" t="s">
        <v>41</v>
      </c>
      <c r="C3" s="95"/>
      <c r="D3" s="95"/>
      <c r="E3" s="94"/>
      <c r="F3" s="9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  <c r="U3" s="97"/>
      <c r="V3" s="97"/>
      <c r="W3" s="97"/>
      <c r="X3" s="97"/>
      <c r="Y3" s="97"/>
    </row>
    <row r="4" spans="1:34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34" ht="16.149999999999999" thickBot="1" x14ac:dyDescent="0.55000000000000004">
      <c r="A5" s="95"/>
      <c r="B5" s="95"/>
      <c r="C5" s="95"/>
      <c r="D5" s="95"/>
      <c r="E5" s="94"/>
      <c r="F5" s="9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34" ht="54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86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34" ht="45" customHeight="1" x14ac:dyDescent="0.5">
      <c r="A7" s="71">
        <v>1</v>
      </c>
      <c r="B7" s="66" t="s">
        <v>20</v>
      </c>
      <c r="C7" s="66">
        <v>200</v>
      </c>
      <c r="D7" s="66">
        <v>12</v>
      </c>
      <c r="E7" s="78">
        <f t="shared" ref="E7:E13" si="0">D7*C7</f>
        <v>2400</v>
      </c>
      <c r="F7">
        <v>15</v>
      </c>
      <c r="G7" s="77">
        <f t="shared" ref="G7:G13" si="1">F7/D7</f>
        <v>1.25</v>
      </c>
      <c r="H7" s="76">
        <f t="shared" ref="H7:H13" si="2">G7*E7</f>
        <v>3000</v>
      </c>
      <c r="I7" s="74"/>
      <c r="J7" s="75">
        <f t="shared" ref="J7:K13" si="3">G7/$Q$2</f>
        <v>1.25</v>
      </c>
      <c r="K7" s="75">
        <f t="shared" si="3"/>
        <v>3000</v>
      </c>
      <c r="L7" s="75">
        <f t="shared" ref="L7:L13" si="4">J7*(1+$M$17+9%)</f>
        <v>1.3625</v>
      </c>
      <c r="M7" s="75">
        <f t="shared" ref="M7:M13" si="5">L7*E7</f>
        <v>3270</v>
      </c>
      <c r="N7" s="73"/>
      <c r="O7" s="65">
        <f t="shared" ref="O7:O13" si="6">N7*E7</f>
        <v>0</v>
      </c>
      <c r="P7" s="65">
        <f t="shared" ref="P7:P13" si="7">N7-L7</f>
        <v>-1.3625</v>
      </c>
      <c r="Q7" s="65">
        <f t="shared" ref="Q7:Q13" si="8">P7*E7</f>
        <v>-3270</v>
      </c>
      <c r="R7" s="64" t="e">
        <f t="shared" ref="R7:R13" si="9">P7/N7</f>
        <v>#DIV/0!</v>
      </c>
      <c r="S7" s="66"/>
    </row>
    <row r="8" spans="1:34" ht="45" customHeight="1" x14ac:dyDescent="0.5">
      <c r="A8" s="71">
        <v>2</v>
      </c>
      <c r="B8" s="66" t="s">
        <v>19</v>
      </c>
      <c r="C8" s="66">
        <v>100</v>
      </c>
      <c r="D8" s="66">
        <v>12</v>
      </c>
      <c r="E8" s="78">
        <f t="shared" si="0"/>
        <v>1200</v>
      </c>
      <c r="F8">
        <v>9.5</v>
      </c>
      <c r="G8" s="77">
        <f t="shared" si="1"/>
        <v>0.79166666666666663</v>
      </c>
      <c r="H8" s="76">
        <f t="shared" si="2"/>
        <v>950</v>
      </c>
      <c r="I8" s="74"/>
      <c r="J8" s="75">
        <f t="shared" si="3"/>
        <v>0.79166666666666663</v>
      </c>
      <c r="K8" s="75">
        <f t="shared" si="3"/>
        <v>950</v>
      </c>
      <c r="L8" s="75">
        <f t="shared" si="4"/>
        <v>0.86291666666666667</v>
      </c>
      <c r="M8" s="75">
        <f t="shared" si="5"/>
        <v>1035.5</v>
      </c>
      <c r="N8" s="73"/>
      <c r="O8" s="65">
        <f t="shared" si="6"/>
        <v>0</v>
      </c>
      <c r="P8" s="65">
        <f t="shared" si="7"/>
        <v>-0.86291666666666667</v>
      </c>
      <c r="Q8" s="65">
        <f t="shared" si="8"/>
        <v>-1035.5</v>
      </c>
      <c r="R8" s="64" t="e">
        <f t="shared" si="9"/>
        <v>#DIV/0!</v>
      </c>
      <c r="S8" s="66"/>
    </row>
    <row r="9" spans="1:34" ht="45" customHeight="1" x14ac:dyDescent="0.5">
      <c r="A9" s="71">
        <v>3</v>
      </c>
      <c r="B9" s="66" t="s">
        <v>18</v>
      </c>
      <c r="C9" s="66">
        <v>100</v>
      </c>
      <c r="D9" s="66">
        <v>12</v>
      </c>
      <c r="E9" s="78">
        <f t="shared" si="0"/>
        <v>1200</v>
      </c>
      <c r="F9">
        <v>10</v>
      </c>
      <c r="G9" s="77">
        <f t="shared" si="1"/>
        <v>0.83333333333333337</v>
      </c>
      <c r="H9" s="76">
        <f t="shared" si="2"/>
        <v>1000</v>
      </c>
      <c r="I9" s="74"/>
      <c r="J9" s="75">
        <f t="shared" si="3"/>
        <v>0.83333333333333337</v>
      </c>
      <c r="K9" s="75">
        <f t="shared" si="3"/>
        <v>1000</v>
      </c>
      <c r="L9" s="75">
        <f t="shared" si="4"/>
        <v>0.90833333333333344</v>
      </c>
      <c r="M9" s="75">
        <f t="shared" si="5"/>
        <v>1090.0000000000002</v>
      </c>
      <c r="N9" s="73"/>
      <c r="O9" s="65">
        <f t="shared" si="6"/>
        <v>0</v>
      </c>
      <c r="P9" s="65">
        <f t="shared" si="7"/>
        <v>-0.90833333333333344</v>
      </c>
      <c r="Q9" s="65">
        <f t="shared" si="8"/>
        <v>-1090.0000000000002</v>
      </c>
      <c r="R9" s="64" t="e">
        <f t="shared" si="9"/>
        <v>#DIV/0!</v>
      </c>
      <c r="S9" s="66"/>
    </row>
    <row r="10" spans="1:34" s="5" customFormat="1" ht="45" customHeight="1" x14ac:dyDescent="0.5">
      <c r="A10" s="71">
        <v>4</v>
      </c>
      <c r="B10" s="66" t="s">
        <v>17</v>
      </c>
      <c r="C10" s="66">
        <v>24</v>
      </c>
      <c r="D10" s="66">
        <v>12</v>
      </c>
      <c r="E10" s="70">
        <f t="shared" si="0"/>
        <v>288</v>
      </c>
      <c r="F10">
        <f>20/24*9.8</f>
        <v>8.1666666666666679</v>
      </c>
      <c r="G10" s="69">
        <f t="shared" si="1"/>
        <v>0.68055555555555569</v>
      </c>
      <c r="H10" s="68">
        <f t="shared" si="2"/>
        <v>196.00000000000003</v>
      </c>
      <c r="I10" s="74"/>
      <c r="J10" s="67">
        <f t="shared" si="3"/>
        <v>0.68055555555555569</v>
      </c>
      <c r="K10" s="67">
        <f t="shared" si="3"/>
        <v>196.00000000000003</v>
      </c>
      <c r="L10" s="67">
        <f t="shared" si="4"/>
        <v>0.74180555555555572</v>
      </c>
      <c r="M10" s="67">
        <f t="shared" si="5"/>
        <v>213.64000000000004</v>
      </c>
      <c r="N10" s="73"/>
      <c r="O10" s="65">
        <f t="shared" si="6"/>
        <v>0</v>
      </c>
      <c r="P10" s="65">
        <f t="shared" si="7"/>
        <v>-0.74180555555555572</v>
      </c>
      <c r="Q10" s="65">
        <f t="shared" si="8"/>
        <v>-213.64000000000004</v>
      </c>
      <c r="R10" s="64" t="e">
        <f t="shared" si="9"/>
        <v>#DIV/0!</v>
      </c>
      <c r="S10" s="72"/>
      <c r="U10"/>
      <c r="V10"/>
      <c r="W10"/>
    </row>
    <row r="11" spans="1:34" s="5" customFormat="1" ht="45" customHeight="1" x14ac:dyDescent="0.5">
      <c r="A11" s="71">
        <v>6</v>
      </c>
      <c r="B11" s="66" t="s">
        <v>16</v>
      </c>
      <c r="C11" s="66">
        <v>24</v>
      </c>
      <c r="D11" s="66">
        <v>12</v>
      </c>
      <c r="E11" s="70">
        <f t="shared" si="0"/>
        <v>288</v>
      </c>
      <c r="F11">
        <f>20/24*9.8</f>
        <v>8.1666666666666679</v>
      </c>
      <c r="G11" s="69">
        <f t="shared" si="1"/>
        <v>0.68055555555555569</v>
      </c>
      <c r="H11" s="68">
        <f t="shared" si="2"/>
        <v>196.00000000000003</v>
      </c>
      <c r="I11" s="74"/>
      <c r="J11" s="67">
        <f t="shared" si="3"/>
        <v>0.68055555555555569</v>
      </c>
      <c r="K11" s="67">
        <f t="shared" si="3"/>
        <v>196.00000000000003</v>
      </c>
      <c r="L11" s="67">
        <f t="shared" si="4"/>
        <v>0.74180555555555572</v>
      </c>
      <c r="M11" s="67">
        <f t="shared" si="5"/>
        <v>213.64000000000004</v>
      </c>
      <c r="N11" s="73"/>
      <c r="O11" s="65">
        <f t="shared" si="6"/>
        <v>0</v>
      </c>
      <c r="P11" s="65">
        <f t="shared" si="7"/>
        <v>-0.74180555555555572</v>
      </c>
      <c r="Q11" s="65">
        <f t="shared" si="8"/>
        <v>-213.64000000000004</v>
      </c>
      <c r="R11" s="64" t="e">
        <f t="shared" si="9"/>
        <v>#DIV/0!</v>
      </c>
      <c r="S11" s="72"/>
      <c r="U11"/>
      <c r="X11"/>
      <c r="Y11"/>
    </row>
    <row r="12" spans="1:34" s="5" customFormat="1" ht="45" customHeight="1" x14ac:dyDescent="0.5">
      <c r="A12" s="71">
        <v>7</v>
      </c>
      <c r="B12" s="66" t="s">
        <v>15</v>
      </c>
      <c r="C12" s="66">
        <v>24</v>
      </c>
      <c r="D12" s="66">
        <v>12</v>
      </c>
      <c r="E12" s="70">
        <f t="shared" si="0"/>
        <v>288</v>
      </c>
      <c r="F12">
        <f>20/24*9.8</f>
        <v>8.1666666666666679</v>
      </c>
      <c r="G12" s="69">
        <f t="shared" si="1"/>
        <v>0.68055555555555569</v>
      </c>
      <c r="H12" s="68">
        <f t="shared" si="2"/>
        <v>196.00000000000003</v>
      </c>
      <c r="I12" s="74"/>
      <c r="J12" s="67">
        <f t="shared" si="3"/>
        <v>0.68055555555555569</v>
      </c>
      <c r="K12" s="67">
        <f t="shared" si="3"/>
        <v>196.00000000000003</v>
      </c>
      <c r="L12" s="67">
        <f t="shared" si="4"/>
        <v>0.74180555555555572</v>
      </c>
      <c r="M12" s="67">
        <f t="shared" si="5"/>
        <v>213.64000000000004</v>
      </c>
      <c r="N12" s="73"/>
      <c r="O12" s="65">
        <f t="shared" si="6"/>
        <v>0</v>
      </c>
      <c r="P12" s="65">
        <f t="shared" si="7"/>
        <v>-0.74180555555555572</v>
      </c>
      <c r="Q12" s="65">
        <f t="shared" si="8"/>
        <v>-213.64000000000004</v>
      </c>
      <c r="R12" s="64" t="e">
        <f t="shared" si="9"/>
        <v>#DIV/0!</v>
      </c>
      <c r="S12" s="72"/>
      <c r="X12"/>
      <c r="Y12"/>
    </row>
    <row r="13" spans="1:34" ht="45" customHeight="1" x14ac:dyDescent="0.5">
      <c r="A13" s="71">
        <v>8</v>
      </c>
      <c r="B13" s="66" t="s">
        <v>14</v>
      </c>
      <c r="C13" s="66">
        <v>20</v>
      </c>
      <c r="D13" s="66">
        <v>12</v>
      </c>
      <c r="E13" s="70">
        <f t="shared" si="0"/>
        <v>240</v>
      </c>
      <c r="F13">
        <v>13</v>
      </c>
      <c r="G13" s="69">
        <f t="shared" si="1"/>
        <v>1.0833333333333333</v>
      </c>
      <c r="H13" s="68">
        <f t="shared" si="2"/>
        <v>260</v>
      </c>
      <c r="I13" s="66"/>
      <c r="J13" s="67">
        <f t="shared" si="3"/>
        <v>1.0833333333333333</v>
      </c>
      <c r="K13" s="67">
        <f t="shared" si="3"/>
        <v>260</v>
      </c>
      <c r="L13" s="67">
        <f t="shared" si="4"/>
        <v>1.1808333333333334</v>
      </c>
      <c r="M13" s="67">
        <f t="shared" si="5"/>
        <v>283.40000000000003</v>
      </c>
      <c r="N13" s="66"/>
      <c r="O13" s="65">
        <f t="shared" si="6"/>
        <v>0</v>
      </c>
      <c r="P13" s="65">
        <f t="shared" si="7"/>
        <v>-1.1808333333333334</v>
      </c>
      <c r="Q13" s="65">
        <f t="shared" si="8"/>
        <v>-283.40000000000003</v>
      </c>
      <c r="R13" s="64" t="e">
        <f t="shared" si="9"/>
        <v>#DIV/0!</v>
      </c>
      <c r="S13" s="63"/>
    </row>
    <row r="14" spans="1:34" ht="43.15" thickBot="1" x14ac:dyDescent="0.55000000000000004">
      <c r="A14" s="62" t="s">
        <v>13</v>
      </c>
      <c r="B14" s="47"/>
      <c r="C14" s="47"/>
      <c r="D14" s="46"/>
      <c r="E14" s="45"/>
      <c r="F14" s="44"/>
      <c r="G14" s="61" t="s">
        <v>12</v>
      </c>
      <c r="H14" s="60">
        <f>SUM(H7:H13)</f>
        <v>5798</v>
      </c>
      <c r="I14" s="59"/>
      <c r="J14" s="58" t="s">
        <v>11</v>
      </c>
      <c r="K14" s="57">
        <f>SUM(K7:K13)</f>
        <v>5798</v>
      </c>
      <c r="L14" s="56" t="s">
        <v>10</v>
      </c>
      <c r="M14" s="55"/>
      <c r="N14" s="54">
        <f>SUM(O7:O12)</f>
        <v>0</v>
      </c>
      <c r="O14" s="53"/>
      <c r="P14" s="52" t="s">
        <v>9</v>
      </c>
      <c r="Q14" s="51"/>
      <c r="R14" s="50">
        <f>N14-K17</f>
        <v>-6319.82</v>
      </c>
      <c r="S14" s="49"/>
    </row>
    <row r="15" spans="1:34" ht="16.149999999999999" thickBot="1" x14ac:dyDescent="0.55000000000000004">
      <c r="A15" s="48"/>
      <c r="B15" s="47"/>
      <c r="C15" s="47"/>
      <c r="D15" s="46"/>
      <c r="E15" s="45"/>
      <c r="F15" s="44"/>
      <c r="G15" s="43"/>
      <c r="H15" s="42"/>
      <c r="I15" s="14"/>
      <c r="J15" s="41" t="s">
        <v>8</v>
      </c>
      <c r="K15" s="40">
        <f>K14*0.09</f>
        <v>521.81999999999994</v>
      </c>
      <c r="L15" s="26"/>
      <c r="M15" s="26"/>
      <c r="N15" s="26"/>
      <c r="O15" s="26"/>
      <c r="P15" s="39"/>
      <c r="Q15" s="38"/>
      <c r="R15" s="37"/>
      <c r="S15" s="36"/>
    </row>
    <row r="16" spans="1:34" ht="31.9" thickBot="1" x14ac:dyDescent="0.55000000000000004">
      <c r="A16" s="35"/>
      <c r="B16" s="34"/>
      <c r="C16" s="34"/>
      <c r="D16" s="33"/>
      <c r="E16" s="32"/>
      <c r="F16" s="31"/>
      <c r="G16" s="30" t="s">
        <v>7</v>
      </c>
      <c r="H16" s="29" t="s">
        <v>6</v>
      </c>
      <c r="I16" s="14"/>
      <c r="J16" s="28" t="s">
        <v>5</v>
      </c>
      <c r="K16" s="27">
        <v>0</v>
      </c>
      <c r="L16" s="26"/>
      <c r="M16" s="26"/>
      <c r="N16" s="26"/>
      <c r="O16" s="26"/>
      <c r="P16" s="25" t="s">
        <v>4</v>
      </c>
      <c r="Q16" s="24"/>
      <c r="R16" s="23" t="e">
        <f>R14/N14</f>
        <v>#DIV/0!</v>
      </c>
      <c r="S16" s="22"/>
    </row>
    <row r="17" spans="1:19" ht="47.65" thickBot="1" x14ac:dyDescent="0.55000000000000004">
      <c r="A17" s="21"/>
      <c r="B17" s="20"/>
      <c r="C17" s="20"/>
      <c r="D17" s="19"/>
      <c r="E17" s="18"/>
      <c r="F17" s="17"/>
      <c r="G17" s="16" t="s">
        <v>3</v>
      </c>
      <c r="H17" s="15">
        <f>SUM(H14:H16)</f>
        <v>5798</v>
      </c>
      <c r="I17" s="14"/>
      <c r="J17" s="13" t="s">
        <v>3</v>
      </c>
      <c r="K17" s="12">
        <f>SUM(K14:K16)</f>
        <v>6319.82</v>
      </c>
      <c r="L17" s="11" t="s">
        <v>2</v>
      </c>
      <c r="M17" s="10">
        <f>K16/K14</f>
        <v>0</v>
      </c>
      <c r="N17" s="9"/>
      <c r="O17" s="8"/>
      <c r="P17" s="7"/>
      <c r="Q17" s="7"/>
      <c r="R17" s="7"/>
      <c r="S17" s="6"/>
    </row>
    <row r="18" spans="1:19" x14ac:dyDescent="0.5">
      <c r="C18" s="5"/>
    </row>
    <row r="19" spans="1:19" x14ac:dyDescent="0.5">
      <c r="C19" s="5"/>
    </row>
    <row r="23" spans="1:19" x14ac:dyDescent="0.5">
      <c r="A23" s="4" t="s">
        <v>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3"/>
    </row>
    <row r="24" spans="1:19" x14ac:dyDescent="0.5">
      <c r="A24" s="2" t="s">
        <v>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1068-1571-8541-A123-73E282C2DEFB}">
  <sheetPr codeName="Sheet7"/>
  <dimension ref="A1:AG25"/>
  <sheetViews>
    <sheetView zoomScale="66" workbookViewId="0">
      <selection sqref="A1:O1"/>
    </sheetView>
  </sheetViews>
  <sheetFormatPr defaultColWidth="14.5" defaultRowHeight="15.75" x14ac:dyDescent="0.5"/>
  <cols>
    <col min="1" max="1" width="29.5" customWidth="1"/>
    <col min="2" max="2" width="39.6875" customWidth="1"/>
    <col min="3" max="3" width="7.5" bestFit="1" customWidth="1"/>
    <col min="4" max="4" width="9.5" bestFit="1" customWidth="1"/>
    <col min="5" max="5" width="10.5" bestFit="1" customWidth="1"/>
    <col min="6" max="7" width="13.1875" bestFit="1" customWidth="1"/>
    <col min="9" max="9" width="2.5" customWidth="1"/>
    <col min="10" max="10" width="13.1875" bestFit="1" customWidth="1"/>
    <col min="11" max="11" width="12.8125" customWidth="1"/>
    <col min="12" max="12" width="15.3125" bestFit="1" customWidth="1"/>
    <col min="13" max="13" width="12.1875" bestFit="1" customWidth="1"/>
    <col min="14" max="14" width="13.5" bestFit="1" customWidth="1"/>
    <col min="15" max="15" width="10.1875" customWidth="1"/>
    <col min="16" max="16" width="12.6875" bestFit="1" customWidth="1"/>
    <col min="17" max="17" width="12.1875" bestFit="1" customWidth="1"/>
    <col min="18" max="18" width="13" bestFit="1" customWidth="1"/>
    <col min="19" max="19" width="15.1875" style="1" customWidth="1"/>
    <col min="27" max="27" width="40.8125" bestFit="1" customWidth="1"/>
  </cols>
  <sheetData>
    <row r="1" spans="1:33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>
        <v>46015</v>
      </c>
      <c r="R1" s="117"/>
      <c r="S1" s="107"/>
    </row>
    <row r="2" spans="1:33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33" ht="23.65" thickBot="1" x14ac:dyDescent="0.75">
      <c r="A3" s="95"/>
      <c r="B3" s="102" t="s">
        <v>41</v>
      </c>
      <c r="C3" s="95"/>
      <c r="D3" s="95"/>
      <c r="E3" s="94"/>
      <c r="F3" s="9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  <c r="U3" s="97"/>
      <c r="V3" s="97"/>
      <c r="W3" s="97"/>
      <c r="X3" s="97"/>
      <c r="Y3" s="97"/>
      <c r="Z3" s="97"/>
      <c r="AA3" s="97"/>
      <c r="AB3" s="97"/>
      <c r="AC3" s="97"/>
      <c r="AD3" s="97"/>
    </row>
    <row r="4" spans="1:33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  <c r="AA4" s="79"/>
      <c r="AD4" s="79"/>
    </row>
    <row r="5" spans="1:33" ht="16.149999999999999" thickBot="1" x14ac:dyDescent="0.55000000000000004">
      <c r="A5" s="95"/>
      <c r="B5" s="95"/>
      <c r="C5" s="95"/>
      <c r="D5" s="95"/>
      <c r="E5" s="94"/>
      <c r="F5" s="9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33" ht="54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86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  <c r="AA6" s="79"/>
      <c r="AD6" s="79"/>
    </row>
    <row r="7" spans="1:33" ht="45" customHeight="1" x14ac:dyDescent="0.5">
      <c r="A7" s="71">
        <v>1</v>
      </c>
      <c r="B7" s="66" t="s">
        <v>58</v>
      </c>
      <c r="C7" s="66">
        <v>200</v>
      </c>
      <c r="D7" s="66">
        <v>24</v>
      </c>
      <c r="E7" s="78">
        <f t="shared" ref="E7:E14" si="0">D7*C7</f>
        <v>4800</v>
      </c>
      <c r="F7">
        <v>15</v>
      </c>
      <c r="G7" s="77">
        <f t="shared" ref="G7:G14" si="1">F7/D7</f>
        <v>0.625</v>
      </c>
      <c r="H7" s="76">
        <f t="shared" ref="H7:H14" si="2">G7*E7</f>
        <v>3000</v>
      </c>
      <c r="I7" s="74"/>
      <c r="J7" s="75">
        <f t="shared" ref="J7:K14" si="3">G7/$Q$2</f>
        <v>0.625</v>
      </c>
      <c r="K7" s="75">
        <f t="shared" si="3"/>
        <v>3000</v>
      </c>
      <c r="L7" s="75">
        <f t="shared" ref="L7:L14" si="4">J7*(1+$M$18+9%)</f>
        <v>0.68125000000000002</v>
      </c>
      <c r="M7" s="75">
        <f t="shared" ref="M7:M14" si="5">L7*E7</f>
        <v>3270</v>
      </c>
      <c r="N7" s="73"/>
      <c r="O7" s="65">
        <f t="shared" ref="O7:O13" si="6">N7*E7</f>
        <v>0</v>
      </c>
      <c r="P7" s="65">
        <f t="shared" ref="P7:P13" si="7">N7-L7</f>
        <v>-0.68125000000000002</v>
      </c>
      <c r="Q7" s="65">
        <f t="shared" ref="Q7:Q13" si="8">P7*E7</f>
        <v>-3270</v>
      </c>
      <c r="R7" s="64" t="e">
        <f t="shared" ref="R7:R13" si="9">P7/N7</f>
        <v>#DIV/0!</v>
      </c>
      <c r="S7" s="66"/>
      <c r="AE7" s="97"/>
      <c r="AF7" s="97"/>
      <c r="AG7" s="97"/>
    </row>
    <row r="8" spans="1:33" ht="45" customHeight="1" x14ac:dyDescent="0.5">
      <c r="A8" s="71">
        <v>2</v>
      </c>
      <c r="B8" s="66" t="s">
        <v>57</v>
      </c>
      <c r="C8" s="66">
        <v>10</v>
      </c>
      <c r="D8" s="66">
        <v>20</v>
      </c>
      <c r="E8" s="78">
        <f t="shared" si="0"/>
        <v>200</v>
      </c>
      <c r="F8">
        <v>62.5</v>
      </c>
      <c r="G8" s="77">
        <f t="shared" si="1"/>
        <v>3.125</v>
      </c>
      <c r="H8" s="76">
        <f t="shared" si="2"/>
        <v>625</v>
      </c>
      <c r="I8" s="74"/>
      <c r="J8" s="75">
        <f t="shared" si="3"/>
        <v>3.125</v>
      </c>
      <c r="K8" s="75">
        <f t="shared" si="3"/>
        <v>625</v>
      </c>
      <c r="L8" s="75">
        <f t="shared" si="4"/>
        <v>3.4062500000000004</v>
      </c>
      <c r="M8" s="75">
        <f t="shared" si="5"/>
        <v>681.25000000000011</v>
      </c>
      <c r="N8" s="73"/>
      <c r="O8" s="65">
        <f t="shared" si="6"/>
        <v>0</v>
      </c>
      <c r="P8" s="65">
        <f t="shared" si="7"/>
        <v>-3.4062500000000004</v>
      </c>
      <c r="Q8" s="65">
        <f t="shared" si="8"/>
        <v>-681.25000000000011</v>
      </c>
      <c r="R8" s="64" t="e">
        <f t="shared" si="9"/>
        <v>#DIV/0!</v>
      </c>
      <c r="S8" s="66"/>
      <c r="AD8" s="79"/>
    </row>
    <row r="9" spans="1:33" ht="45" customHeight="1" x14ac:dyDescent="0.5">
      <c r="A9" s="71">
        <v>3</v>
      </c>
      <c r="B9" s="66" t="s">
        <v>56</v>
      </c>
      <c r="C9" s="66">
        <v>30</v>
      </c>
      <c r="D9" s="66">
        <v>24</v>
      </c>
      <c r="E9" s="78">
        <f t="shared" si="0"/>
        <v>720</v>
      </c>
      <c r="F9">
        <v>46</v>
      </c>
      <c r="G9" s="77">
        <f t="shared" si="1"/>
        <v>1.9166666666666667</v>
      </c>
      <c r="H9" s="76">
        <f t="shared" si="2"/>
        <v>1380</v>
      </c>
      <c r="I9" s="74"/>
      <c r="J9" s="75">
        <f t="shared" si="3"/>
        <v>1.9166666666666667</v>
      </c>
      <c r="K9" s="75">
        <f t="shared" si="3"/>
        <v>1380</v>
      </c>
      <c r="L9" s="75">
        <f t="shared" si="4"/>
        <v>2.0891666666666668</v>
      </c>
      <c r="M9" s="75">
        <f t="shared" si="5"/>
        <v>1504.2</v>
      </c>
      <c r="N9" s="73"/>
      <c r="O9" s="65">
        <f t="shared" si="6"/>
        <v>0</v>
      </c>
      <c r="P9" s="65">
        <f t="shared" si="7"/>
        <v>-2.0891666666666668</v>
      </c>
      <c r="Q9" s="65">
        <f t="shared" si="8"/>
        <v>-1504.2</v>
      </c>
      <c r="R9" s="64" t="e">
        <f t="shared" si="9"/>
        <v>#DIV/0!</v>
      </c>
      <c r="S9" s="66"/>
      <c r="AD9" s="79"/>
    </row>
    <row r="10" spans="1:33" s="5" customFormat="1" ht="45" customHeight="1" x14ac:dyDescent="0.5">
      <c r="A10" s="111">
        <v>4</v>
      </c>
      <c r="B10" s="66" t="s">
        <v>55</v>
      </c>
      <c r="C10" s="66">
        <v>5</v>
      </c>
      <c r="D10" s="66">
        <v>20</v>
      </c>
      <c r="E10" s="70">
        <f t="shared" si="0"/>
        <v>100</v>
      </c>
      <c r="F10">
        <v>57.2</v>
      </c>
      <c r="G10" s="69">
        <f t="shared" si="1"/>
        <v>2.8600000000000003</v>
      </c>
      <c r="H10" s="68">
        <f t="shared" si="2"/>
        <v>286.00000000000006</v>
      </c>
      <c r="I10" s="74"/>
      <c r="J10" s="67">
        <f t="shared" si="3"/>
        <v>2.8600000000000003</v>
      </c>
      <c r="K10" s="67">
        <f t="shared" si="3"/>
        <v>286.00000000000006</v>
      </c>
      <c r="L10" s="67">
        <f t="shared" si="4"/>
        <v>3.1174000000000004</v>
      </c>
      <c r="M10" s="67">
        <f t="shared" si="5"/>
        <v>311.74000000000007</v>
      </c>
      <c r="N10" s="73"/>
      <c r="O10" s="65">
        <f t="shared" si="6"/>
        <v>0</v>
      </c>
      <c r="P10" s="65">
        <f t="shared" si="7"/>
        <v>-3.1174000000000004</v>
      </c>
      <c r="Q10" s="65">
        <f t="shared" si="8"/>
        <v>-311.74000000000007</v>
      </c>
      <c r="R10" s="64" t="e">
        <f t="shared" si="9"/>
        <v>#DIV/0!</v>
      </c>
      <c r="S10" s="72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3" s="5" customFormat="1" ht="45" customHeight="1" x14ac:dyDescent="0.5">
      <c r="A11" s="111">
        <v>5</v>
      </c>
      <c r="B11" s="66" t="s">
        <v>54</v>
      </c>
      <c r="C11" s="66">
        <v>10</v>
      </c>
      <c r="D11" s="66">
        <v>20</v>
      </c>
      <c r="E11" s="70">
        <f t="shared" si="0"/>
        <v>200</v>
      </c>
      <c r="F11">
        <v>57.2</v>
      </c>
      <c r="G11" s="69">
        <f t="shared" si="1"/>
        <v>2.8600000000000003</v>
      </c>
      <c r="H11" s="68">
        <f t="shared" si="2"/>
        <v>572.00000000000011</v>
      </c>
      <c r="I11" s="74"/>
      <c r="J11" s="67">
        <f t="shared" si="3"/>
        <v>2.8600000000000003</v>
      </c>
      <c r="K11" s="67">
        <f t="shared" si="3"/>
        <v>572.00000000000011</v>
      </c>
      <c r="L11" s="67">
        <f t="shared" si="4"/>
        <v>3.1174000000000004</v>
      </c>
      <c r="M11" s="67">
        <f t="shared" si="5"/>
        <v>623.48000000000013</v>
      </c>
      <c r="N11" s="73"/>
      <c r="O11" s="65">
        <f t="shared" si="6"/>
        <v>0</v>
      </c>
      <c r="P11" s="65">
        <f t="shared" si="7"/>
        <v>-3.1174000000000004</v>
      </c>
      <c r="Q11" s="65">
        <f t="shared" si="8"/>
        <v>-623.48000000000013</v>
      </c>
      <c r="R11" s="64" t="e">
        <f t="shared" si="9"/>
        <v>#DIV/0!</v>
      </c>
      <c r="S11" s="72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5" customFormat="1" ht="45" customHeight="1" x14ac:dyDescent="0.5">
      <c r="A12" s="111">
        <v>7</v>
      </c>
      <c r="B12" s="66" t="s">
        <v>53</v>
      </c>
      <c r="C12" s="66">
        <v>24</v>
      </c>
      <c r="D12" s="66">
        <v>15</v>
      </c>
      <c r="E12" s="70">
        <f t="shared" si="0"/>
        <v>360</v>
      </c>
      <c r="F12" s="110">
        <f>20/24*13</f>
        <v>10.833333333333334</v>
      </c>
      <c r="G12" s="69">
        <f t="shared" si="1"/>
        <v>0.72222222222222221</v>
      </c>
      <c r="H12" s="68">
        <f t="shared" si="2"/>
        <v>260</v>
      </c>
      <c r="I12" s="74"/>
      <c r="J12" s="67">
        <f t="shared" si="3"/>
        <v>0.72222222222222221</v>
      </c>
      <c r="K12" s="67">
        <f t="shared" si="3"/>
        <v>260</v>
      </c>
      <c r="L12" s="67">
        <f t="shared" si="4"/>
        <v>0.78722222222222227</v>
      </c>
      <c r="M12" s="67">
        <f t="shared" si="5"/>
        <v>283.40000000000003</v>
      </c>
      <c r="N12" s="73"/>
      <c r="O12" s="65">
        <f t="shared" si="6"/>
        <v>0</v>
      </c>
      <c r="P12" s="65">
        <f t="shared" si="7"/>
        <v>-0.78722222222222227</v>
      </c>
      <c r="Q12" s="65">
        <f t="shared" si="8"/>
        <v>-283.40000000000003</v>
      </c>
      <c r="R12" s="64" t="e">
        <f t="shared" si="9"/>
        <v>#DIV/0!</v>
      </c>
      <c r="S12" s="72"/>
      <c r="U12"/>
      <c r="AB12"/>
      <c r="AC12"/>
      <c r="AD12"/>
      <c r="AE12"/>
      <c r="AF12"/>
      <c r="AG12"/>
    </row>
    <row r="13" spans="1:33" s="5" customFormat="1" ht="45" customHeight="1" x14ac:dyDescent="0.5">
      <c r="A13" s="111">
        <v>9</v>
      </c>
      <c r="B13" s="66" t="s">
        <v>52</v>
      </c>
      <c r="C13" s="66">
        <v>24</v>
      </c>
      <c r="D13" s="66">
        <v>15</v>
      </c>
      <c r="E13" s="70">
        <f t="shared" si="0"/>
        <v>360</v>
      </c>
      <c r="F13" s="110">
        <f>20/24*13</f>
        <v>10.833333333333334</v>
      </c>
      <c r="G13" s="69">
        <f t="shared" si="1"/>
        <v>0.72222222222222221</v>
      </c>
      <c r="H13" s="68">
        <f t="shared" si="2"/>
        <v>260</v>
      </c>
      <c r="I13" s="74"/>
      <c r="J13" s="67">
        <f t="shared" si="3"/>
        <v>0.72222222222222221</v>
      </c>
      <c r="K13" s="67">
        <f t="shared" si="3"/>
        <v>260</v>
      </c>
      <c r="L13" s="67">
        <f t="shared" si="4"/>
        <v>0.78722222222222227</v>
      </c>
      <c r="M13" s="67">
        <f t="shared" si="5"/>
        <v>283.40000000000003</v>
      </c>
      <c r="N13" s="73"/>
      <c r="O13" s="65">
        <f t="shared" si="6"/>
        <v>0</v>
      </c>
      <c r="P13" s="65">
        <f t="shared" si="7"/>
        <v>-0.78722222222222227</v>
      </c>
      <c r="Q13" s="65">
        <f t="shared" si="8"/>
        <v>-283.40000000000003</v>
      </c>
      <c r="R13" s="64" t="e">
        <f t="shared" si="9"/>
        <v>#DIV/0!</v>
      </c>
      <c r="S13" s="72"/>
      <c r="X13"/>
      <c r="Y13"/>
      <c r="Z13"/>
      <c r="AA13"/>
      <c r="AB13"/>
      <c r="AC13"/>
      <c r="AD13"/>
      <c r="AE13"/>
      <c r="AF13"/>
      <c r="AG13"/>
    </row>
    <row r="14" spans="1:33" ht="45" customHeight="1" x14ac:dyDescent="0.5">
      <c r="A14" s="111">
        <v>10</v>
      </c>
      <c r="B14" s="66" t="s">
        <v>51</v>
      </c>
      <c r="C14" s="66">
        <v>24</v>
      </c>
      <c r="D14" s="66">
        <v>15</v>
      </c>
      <c r="E14" s="70">
        <f t="shared" si="0"/>
        <v>360</v>
      </c>
      <c r="F14" s="110">
        <f>20/24*13</f>
        <v>10.833333333333334</v>
      </c>
      <c r="G14" s="69">
        <f t="shared" si="1"/>
        <v>0.72222222222222221</v>
      </c>
      <c r="H14" s="68">
        <f t="shared" si="2"/>
        <v>260</v>
      </c>
      <c r="I14" s="66"/>
      <c r="J14" s="67">
        <f t="shared" si="3"/>
        <v>0.72222222222222221</v>
      </c>
      <c r="K14" s="67">
        <f t="shared" si="3"/>
        <v>260</v>
      </c>
      <c r="L14" s="67">
        <f t="shared" si="4"/>
        <v>0.78722222222222227</v>
      </c>
      <c r="M14" s="67">
        <f t="shared" si="5"/>
        <v>283.40000000000003</v>
      </c>
      <c r="N14" s="66"/>
      <c r="O14" s="66"/>
      <c r="P14" s="66"/>
      <c r="Q14" s="66"/>
      <c r="R14" s="66"/>
      <c r="S14" s="63"/>
    </row>
    <row r="15" spans="1:33" ht="43.15" thickBot="1" x14ac:dyDescent="0.55000000000000004">
      <c r="A15" s="62" t="s">
        <v>13</v>
      </c>
      <c r="B15" s="47"/>
      <c r="C15" s="47"/>
      <c r="D15" s="46"/>
      <c r="E15" s="45"/>
      <c r="F15" s="44"/>
      <c r="G15" s="61" t="s">
        <v>12</v>
      </c>
      <c r="H15" s="60">
        <f>SUM(H7:H14)</f>
        <v>6643</v>
      </c>
      <c r="I15" s="59"/>
      <c r="J15" s="58" t="s">
        <v>11</v>
      </c>
      <c r="K15" s="57">
        <f>SUM(K7:K14)</f>
        <v>6643</v>
      </c>
      <c r="L15" s="56" t="s">
        <v>10</v>
      </c>
      <c r="M15" s="55"/>
      <c r="N15" s="54">
        <f>SUM(O7:O13)</f>
        <v>0</v>
      </c>
      <c r="O15" s="53"/>
      <c r="P15" s="52" t="s">
        <v>9</v>
      </c>
      <c r="Q15" s="51"/>
      <c r="R15" s="50">
        <f>N15-K18</f>
        <v>-7240.87</v>
      </c>
      <c r="S15" s="49"/>
    </row>
    <row r="16" spans="1:33" ht="16.149999999999999" thickBot="1" x14ac:dyDescent="0.55000000000000004">
      <c r="A16" s="48"/>
      <c r="B16" s="47"/>
      <c r="C16" s="47"/>
      <c r="D16" s="46"/>
      <c r="E16" s="45"/>
      <c r="F16" s="44"/>
      <c r="G16" s="43"/>
      <c r="H16" s="42"/>
      <c r="I16" s="14"/>
      <c r="J16" s="41" t="s">
        <v>8</v>
      </c>
      <c r="K16" s="40">
        <f>K15*0.09</f>
        <v>597.87</v>
      </c>
      <c r="L16" s="26"/>
      <c r="M16" s="26"/>
      <c r="N16" s="26"/>
      <c r="O16" s="26"/>
      <c r="P16" s="39"/>
      <c r="Q16" s="38"/>
      <c r="R16" s="37"/>
      <c r="S16" s="36"/>
    </row>
    <row r="17" spans="1:19" ht="31.9" thickBot="1" x14ac:dyDescent="0.55000000000000004">
      <c r="A17" s="35"/>
      <c r="B17" s="34"/>
      <c r="C17" s="34"/>
      <c r="D17" s="33"/>
      <c r="E17" s="32"/>
      <c r="F17" s="31"/>
      <c r="G17" s="30" t="s">
        <v>7</v>
      </c>
      <c r="H17" s="29" t="s">
        <v>6</v>
      </c>
      <c r="I17" s="14"/>
      <c r="J17" s="28" t="s">
        <v>5</v>
      </c>
      <c r="K17" s="27">
        <v>0</v>
      </c>
      <c r="L17" s="26"/>
      <c r="M17" s="26"/>
      <c r="N17" s="26"/>
      <c r="O17" s="26"/>
      <c r="P17" s="25" t="s">
        <v>4</v>
      </c>
      <c r="Q17" s="24"/>
      <c r="R17" s="23" t="e">
        <f>R15/N15</f>
        <v>#DIV/0!</v>
      </c>
      <c r="S17" s="22"/>
    </row>
    <row r="18" spans="1:19" ht="47.65" thickBot="1" x14ac:dyDescent="0.55000000000000004">
      <c r="A18" s="21"/>
      <c r="B18" s="20"/>
      <c r="C18" s="20"/>
      <c r="D18" s="19"/>
      <c r="E18" s="18"/>
      <c r="F18" s="17"/>
      <c r="G18" s="16" t="s">
        <v>3</v>
      </c>
      <c r="H18" s="15">
        <f>SUM(H15:H17)</f>
        <v>6643</v>
      </c>
      <c r="I18" s="14"/>
      <c r="J18" s="13" t="s">
        <v>3</v>
      </c>
      <c r="K18" s="12">
        <f>SUM(K15:K17)</f>
        <v>7240.87</v>
      </c>
      <c r="L18" s="11" t="s">
        <v>2</v>
      </c>
      <c r="M18" s="10">
        <f>K17/K15</f>
        <v>0</v>
      </c>
      <c r="N18" s="9"/>
      <c r="O18" s="8"/>
      <c r="P18" s="7"/>
      <c r="Q18" s="7"/>
      <c r="R18" s="7"/>
      <c r="S18" s="6"/>
    </row>
    <row r="19" spans="1:19" x14ac:dyDescent="0.5">
      <c r="C19" s="5"/>
    </row>
    <row r="20" spans="1:19" s="4" customFormat="1" x14ac:dyDescent="0.5">
      <c r="A20"/>
      <c r="B20"/>
      <c r="C20" s="5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 s="1"/>
    </row>
    <row r="21" spans="1:19" s="2" customFormat="1" x14ac:dyDescent="0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 s="1"/>
    </row>
    <row r="24" spans="1:19" x14ac:dyDescent="0.5">
      <c r="A24" s="4" t="s">
        <v>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3"/>
    </row>
    <row r="25" spans="1:19" x14ac:dyDescent="0.5">
      <c r="A25" s="2" t="s">
        <v>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6C66-1194-0640-8C61-538F8A47414B}">
  <sheetPr codeName="Sheet26"/>
  <dimension ref="A1:Y24"/>
  <sheetViews>
    <sheetView zoomScale="90" zoomScaleNormal="90" workbookViewId="0">
      <selection activeCell="A7" sqref="A7:XFD7"/>
    </sheetView>
  </sheetViews>
  <sheetFormatPr defaultColWidth="14.5" defaultRowHeight="15.75" x14ac:dyDescent="0.5"/>
  <cols>
    <col min="1" max="1" width="7.5" customWidth="1"/>
    <col min="2" max="2" width="32.6875" customWidth="1"/>
    <col min="3" max="3" width="7.5" bestFit="1" customWidth="1"/>
    <col min="4" max="4" width="9.5" bestFit="1" customWidth="1"/>
    <col min="5" max="5" width="10.5" bestFit="1" customWidth="1"/>
    <col min="6" max="7" width="13.1875" bestFit="1" customWidth="1"/>
    <col min="9" max="9" width="2.5" customWidth="1"/>
    <col min="10" max="10" width="13.1875" bestFit="1" customWidth="1"/>
    <col min="11" max="11" width="12.8125" customWidth="1"/>
    <col min="12" max="12" width="15.3125" bestFit="1" customWidth="1"/>
    <col min="13" max="13" width="12.8125" bestFit="1" customWidth="1"/>
    <col min="14" max="14" width="12.5" customWidth="1"/>
    <col min="15" max="15" width="10.1875" customWidth="1"/>
    <col min="16" max="16" width="12.6875" bestFit="1" customWidth="1"/>
    <col min="17" max="17" width="12.1875" bestFit="1" customWidth="1"/>
    <col min="18" max="18" width="13" bestFit="1" customWidth="1"/>
    <col min="19" max="19" width="13" style="1" customWidth="1"/>
    <col min="26" max="26" width="41" bestFit="1" customWidth="1"/>
    <col min="27" max="27" width="40.8125" bestFit="1" customWidth="1"/>
  </cols>
  <sheetData>
    <row r="1" spans="1:25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>
        <v>45995</v>
      </c>
      <c r="R1" s="117"/>
      <c r="S1" s="107"/>
      <c r="W1" s="97"/>
      <c r="X1" s="97"/>
      <c r="Y1" s="97"/>
    </row>
    <row r="2" spans="1:25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  <c r="Y2" s="79"/>
    </row>
    <row r="3" spans="1:25" ht="23.65" thickBot="1" x14ac:dyDescent="0.75">
      <c r="A3" s="95"/>
      <c r="B3" s="102" t="s">
        <v>41</v>
      </c>
      <c r="C3" s="95"/>
      <c r="D3" s="95"/>
      <c r="E3" s="94"/>
      <c r="F3" s="9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  <c r="U3" s="97"/>
      <c r="V3" s="97"/>
    </row>
    <row r="4" spans="1:25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25" ht="16.149999999999999" thickBot="1" x14ac:dyDescent="0.55000000000000004">
      <c r="A5" s="95"/>
      <c r="B5" s="95"/>
      <c r="C5" s="95"/>
      <c r="D5" s="95"/>
      <c r="E5" s="94"/>
      <c r="F5" s="9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25" ht="54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86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  <c r="Y6" s="79"/>
    </row>
    <row r="7" spans="1:25" ht="45" customHeight="1" x14ac:dyDescent="0.5">
      <c r="A7" s="71">
        <v>1</v>
      </c>
      <c r="B7" s="66" t="s">
        <v>20</v>
      </c>
      <c r="C7" s="66">
        <v>200</v>
      </c>
      <c r="D7" s="66">
        <v>24</v>
      </c>
      <c r="E7" s="78">
        <f t="shared" ref="E7:E13" si="0">D7*C7</f>
        <v>4800</v>
      </c>
      <c r="F7" s="66">
        <v>15</v>
      </c>
      <c r="G7" s="77">
        <f t="shared" ref="G7:G13" si="1">F7/D7</f>
        <v>0.625</v>
      </c>
      <c r="H7" s="76">
        <f t="shared" ref="H7:H13" si="2">G7*E7</f>
        <v>3000</v>
      </c>
      <c r="I7" s="74"/>
      <c r="J7" s="75">
        <f>'SS362578'!B20</f>
        <v>0</v>
      </c>
      <c r="K7" s="75">
        <f t="shared" ref="J7:K13" si="3">H7/$Q$2</f>
        <v>3000</v>
      </c>
      <c r="L7" s="75">
        <f t="shared" ref="L7:L13" si="4">J7*(1+$M$17+9%)</f>
        <v>0</v>
      </c>
      <c r="M7" s="113">
        <f t="shared" ref="M7:M13" si="5">L7*E7</f>
        <v>0</v>
      </c>
      <c r="N7" s="73"/>
      <c r="O7" s="65">
        <f t="shared" ref="O7:O13" si="6">N7*E7</f>
        <v>0</v>
      </c>
      <c r="P7" s="65">
        <f t="shared" ref="P7:P13" si="7">N7-L7</f>
        <v>0</v>
      </c>
      <c r="Q7" s="65">
        <f t="shared" ref="Q7:Q13" si="8">P7*E7</f>
        <v>0</v>
      </c>
      <c r="R7" s="64" t="e">
        <f t="shared" ref="R7:R13" si="9">P7/N7</f>
        <v>#DIV/0!</v>
      </c>
      <c r="S7" s="66"/>
      <c r="Y7" s="79"/>
    </row>
    <row r="8" spans="1:25" ht="45" customHeight="1" x14ac:dyDescent="0.5">
      <c r="A8" s="71">
        <v>2</v>
      </c>
      <c r="B8" s="66" t="s">
        <v>18</v>
      </c>
      <c r="C8" s="66">
        <v>50</v>
      </c>
      <c r="D8" s="66">
        <v>12</v>
      </c>
      <c r="E8" s="78">
        <f t="shared" si="0"/>
        <v>600</v>
      </c>
      <c r="F8" s="66">
        <v>10</v>
      </c>
      <c r="G8" s="77">
        <f t="shared" si="1"/>
        <v>0.83333333333333337</v>
      </c>
      <c r="H8" s="76">
        <f t="shared" si="2"/>
        <v>500</v>
      </c>
      <c r="I8" s="74"/>
      <c r="J8" s="75">
        <f t="shared" si="3"/>
        <v>0.83333333333333337</v>
      </c>
      <c r="K8" s="75">
        <f t="shared" si="3"/>
        <v>500</v>
      </c>
      <c r="L8" s="75">
        <f t="shared" si="4"/>
        <v>0.90833333333333344</v>
      </c>
      <c r="M8" s="112">
        <f t="shared" si="5"/>
        <v>545.00000000000011</v>
      </c>
      <c r="N8" s="73"/>
      <c r="O8" s="65">
        <f t="shared" si="6"/>
        <v>0</v>
      </c>
      <c r="P8" s="65">
        <f t="shared" si="7"/>
        <v>-0.90833333333333344</v>
      </c>
      <c r="Q8" s="65">
        <f t="shared" si="8"/>
        <v>-545.00000000000011</v>
      </c>
      <c r="R8" s="64" t="e">
        <f t="shared" si="9"/>
        <v>#DIV/0!</v>
      </c>
      <c r="S8" s="66"/>
      <c r="Y8" s="79"/>
    </row>
    <row r="9" spans="1:25" ht="45" customHeight="1" x14ac:dyDescent="0.5">
      <c r="A9" s="71">
        <v>3</v>
      </c>
      <c r="B9" s="66" t="s">
        <v>50</v>
      </c>
      <c r="C9" s="66">
        <v>10</v>
      </c>
      <c r="D9" s="66">
        <v>15</v>
      </c>
      <c r="E9" s="78">
        <f t="shared" si="0"/>
        <v>150</v>
      </c>
      <c r="F9" s="66">
        <v>57.2</v>
      </c>
      <c r="G9" s="77">
        <f t="shared" si="1"/>
        <v>3.8133333333333335</v>
      </c>
      <c r="H9" s="76">
        <f t="shared" si="2"/>
        <v>572</v>
      </c>
      <c r="I9" s="74"/>
      <c r="J9" s="75">
        <f t="shared" si="3"/>
        <v>3.8133333333333335</v>
      </c>
      <c r="K9" s="75">
        <f t="shared" si="3"/>
        <v>572</v>
      </c>
      <c r="L9" s="75">
        <f t="shared" si="4"/>
        <v>4.1565333333333339</v>
      </c>
      <c r="M9" s="112">
        <f t="shared" si="5"/>
        <v>623.48000000000013</v>
      </c>
      <c r="N9" s="73"/>
      <c r="O9" s="65">
        <f t="shared" si="6"/>
        <v>0</v>
      </c>
      <c r="P9" s="65">
        <f t="shared" si="7"/>
        <v>-4.1565333333333339</v>
      </c>
      <c r="Q9" s="65">
        <f t="shared" si="8"/>
        <v>-623.48000000000013</v>
      </c>
      <c r="R9" s="64" t="e">
        <f t="shared" si="9"/>
        <v>#DIV/0!</v>
      </c>
      <c r="S9" s="66"/>
      <c r="Y9" s="79"/>
    </row>
    <row r="10" spans="1:25" s="5" customFormat="1" ht="45" customHeight="1" x14ac:dyDescent="0.5">
      <c r="A10" s="71">
        <v>4</v>
      </c>
      <c r="B10" s="66" t="s">
        <v>49</v>
      </c>
      <c r="C10" s="66">
        <v>24</v>
      </c>
      <c r="D10" s="66">
        <v>15</v>
      </c>
      <c r="E10" s="70">
        <f t="shared" si="0"/>
        <v>360</v>
      </c>
      <c r="F10" s="109">
        <f>20/24*9.8</f>
        <v>8.1666666666666679</v>
      </c>
      <c r="G10" s="69">
        <f t="shared" si="1"/>
        <v>0.54444444444444451</v>
      </c>
      <c r="H10" s="68">
        <f t="shared" si="2"/>
        <v>196.00000000000003</v>
      </c>
      <c r="I10" s="74"/>
      <c r="J10" s="67">
        <f t="shared" si="3"/>
        <v>0.54444444444444451</v>
      </c>
      <c r="K10" s="67">
        <f t="shared" si="3"/>
        <v>196.00000000000003</v>
      </c>
      <c r="L10" s="67">
        <f t="shared" si="4"/>
        <v>0.59344444444444455</v>
      </c>
      <c r="M10" s="65">
        <f t="shared" si="5"/>
        <v>213.64000000000004</v>
      </c>
      <c r="N10" s="73"/>
      <c r="O10" s="65">
        <f t="shared" si="6"/>
        <v>0</v>
      </c>
      <c r="P10" s="65">
        <f t="shared" si="7"/>
        <v>-0.59344444444444455</v>
      </c>
      <c r="Q10" s="65">
        <f t="shared" si="8"/>
        <v>-213.64000000000004</v>
      </c>
      <c r="R10" s="64" t="e">
        <f t="shared" si="9"/>
        <v>#DIV/0!</v>
      </c>
      <c r="S10" s="72"/>
      <c r="U10"/>
      <c r="V10"/>
      <c r="W10"/>
      <c r="X10"/>
      <c r="Y10"/>
    </row>
    <row r="11" spans="1:25" s="5" customFormat="1" ht="45" customHeight="1" x14ac:dyDescent="0.5">
      <c r="A11" s="71">
        <v>6</v>
      </c>
      <c r="B11" s="66" t="s">
        <v>48</v>
      </c>
      <c r="C11" s="66">
        <v>26</v>
      </c>
      <c r="D11" s="66">
        <v>15</v>
      </c>
      <c r="E11" s="70">
        <f t="shared" si="0"/>
        <v>390</v>
      </c>
      <c r="F11" s="109">
        <f>(20/26)*9.8</f>
        <v>7.5384615384615392</v>
      </c>
      <c r="G11" s="69">
        <f t="shared" si="1"/>
        <v>0.50256410256410267</v>
      </c>
      <c r="H11" s="68">
        <f t="shared" si="2"/>
        <v>196.00000000000003</v>
      </c>
      <c r="I11" s="74"/>
      <c r="J11" s="67">
        <f t="shared" si="3"/>
        <v>0.50256410256410267</v>
      </c>
      <c r="K11" s="67">
        <f t="shared" si="3"/>
        <v>196.00000000000003</v>
      </c>
      <c r="L11" s="67">
        <f t="shared" si="4"/>
        <v>0.54779487179487196</v>
      </c>
      <c r="M11" s="65">
        <f t="shared" si="5"/>
        <v>213.64000000000007</v>
      </c>
      <c r="N11" s="73"/>
      <c r="O11" s="65">
        <f t="shared" si="6"/>
        <v>0</v>
      </c>
      <c r="P11" s="65">
        <f t="shared" si="7"/>
        <v>-0.54779487179487196</v>
      </c>
      <c r="Q11" s="65">
        <f t="shared" si="8"/>
        <v>-213.64000000000007</v>
      </c>
      <c r="R11" s="64" t="e">
        <f t="shared" si="9"/>
        <v>#DIV/0!</v>
      </c>
      <c r="S11" s="72"/>
      <c r="U11"/>
      <c r="W11"/>
      <c r="X11"/>
      <c r="Y11"/>
    </row>
    <row r="12" spans="1:25" ht="45" customHeight="1" x14ac:dyDescent="0.5">
      <c r="A12" s="71">
        <v>8</v>
      </c>
      <c r="B12" s="66" t="s">
        <v>47</v>
      </c>
      <c r="C12" s="66">
        <v>24</v>
      </c>
      <c r="D12" s="66">
        <v>15</v>
      </c>
      <c r="E12" s="70">
        <f t="shared" si="0"/>
        <v>360</v>
      </c>
      <c r="F12" s="109">
        <f>(20/24)*13</f>
        <v>10.833333333333334</v>
      </c>
      <c r="G12" s="69">
        <f t="shared" si="1"/>
        <v>0.72222222222222221</v>
      </c>
      <c r="H12" s="68">
        <f t="shared" si="2"/>
        <v>260</v>
      </c>
      <c r="I12" s="66"/>
      <c r="J12" s="67">
        <f t="shared" si="3"/>
        <v>0.72222222222222221</v>
      </c>
      <c r="K12" s="67">
        <f t="shared" si="3"/>
        <v>260</v>
      </c>
      <c r="L12" s="67">
        <f t="shared" si="4"/>
        <v>0.78722222222222227</v>
      </c>
      <c r="M12" s="65">
        <f t="shared" si="5"/>
        <v>283.40000000000003</v>
      </c>
      <c r="N12" s="66"/>
      <c r="O12" s="65">
        <f t="shared" si="6"/>
        <v>0</v>
      </c>
      <c r="P12" s="65">
        <f t="shared" si="7"/>
        <v>-0.78722222222222227</v>
      </c>
      <c r="Q12" s="65">
        <f t="shared" si="8"/>
        <v>-283.40000000000003</v>
      </c>
      <c r="R12" s="64" t="e">
        <f t="shared" si="9"/>
        <v>#DIV/0!</v>
      </c>
      <c r="S12" s="63"/>
    </row>
    <row r="13" spans="1:25" ht="45" customHeight="1" x14ac:dyDescent="0.5">
      <c r="A13" s="71">
        <v>10</v>
      </c>
      <c r="B13" s="66" t="s">
        <v>46</v>
      </c>
      <c r="C13" s="66">
        <v>24</v>
      </c>
      <c r="D13" s="66">
        <v>15</v>
      </c>
      <c r="E13" s="70">
        <f t="shared" si="0"/>
        <v>360</v>
      </c>
      <c r="F13" s="109">
        <f>20/24*13</f>
        <v>10.833333333333334</v>
      </c>
      <c r="G13" s="69">
        <f t="shared" si="1"/>
        <v>0.72222222222222221</v>
      </c>
      <c r="H13" s="68">
        <f t="shared" si="2"/>
        <v>260</v>
      </c>
      <c r="I13" s="66"/>
      <c r="J13" s="67">
        <f t="shared" si="3"/>
        <v>0.72222222222222221</v>
      </c>
      <c r="K13" s="67">
        <f t="shared" si="3"/>
        <v>260</v>
      </c>
      <c r="L13" s="67">
        <f t="shared" si="4"/>
        <v>0.78722222222222227</v>
      </c>
      <c r="M13" s="65">
        <f t="shared" si="5"/>
        <v>283.40000000000003</v>
      </c>
      <c r="N13" s="66"/>
      <c r="O13" s="65">
        <f t="shared" si="6"/>
        <v>0</v>
      </c>
      <c r="P13" s="65">
        <f t="shared" si="7"/>
        <v>-0.78722222222222227</v>
      </c>
      <c r="Q13" s="65">
        <f t="shared" si="8"/>
        <v>-283.40000000000003</v>
      </c>
      <c r="R13" s="64" t="e">
        <f t="shared" si="9"/>
        <v>#DIV/0!</v>
      </c>
      <c r="S13" s="63"/>
    </row>
    <row r="14" spans="1:25" ht="57.4" thickBot="1" x14ac:dyDescent="0.55000000000000004">
      <c r="A14" s="62" t="s">
        <v>13</v>
      </c>
      <c r="B14" s="47"/>
      <c r="C14" s="47"/>
      <c r="D14" s="46"/>
      <c r="E14" s="45"/>
      <c r="F14" s="44"/>
      <c r="G14" s="61" t="s">
        <v>12</v>
      </c>
      <c r="H14" s="60">
        <f>SUM(H7:H13)</f>
        <v>4984</v>
      </c>
      <c r="I14" s="59"/>
      <c r="J14" s="58" t="s">
        <v>11</v>
      </c>
      <c r="K14" s="57">
        <f>SUM(K7:K13)</f>
        <v>4984</v>
      </c>
      <c r="L14" s="56" t="s">
        <v>10</v>
      </c>
      <c r="M14" s="55"/>
      <c r="N14" s="54">
        <f>SUM(O7:O11)</f>
        <v>0</v>
      </c>
      <c r="O14" s="53"/>
      <c r="P14" s="52" t="s">
        <v>9</v>
      </c>
      <c r="Q14" s="51"/>
      <c r="R14" s="50">
        <f>N14-K17</f>
        <v>-5432.56</v>
      </c>
      <c r="S14" s="49"/>
    </row>
    <row r="15" spans="1:25" ht="16.149999999999999" thickBot="1" x14ac:dyDescent="0.55000000000000004">
      <c r="A15" s="48"/>
      <c r="B15" s="47"/>
      <c r="C15" s="47"/>
      <c r="D15" s="46"/>
      <c r="E15" s="45"/>
      <c r="F15" s="44"/>
      <c r="G15" s="43"/>
      <c r="H15" s="42"/>
      <c r="I15" s="14"/>
      <c r="J15" s="41" t="s">
        <v>8</v>
      </c>
      <c r="K15" s="40">
        <f>K14*0.09</f>
        <v>448.56</v>
      </c>
      <c r="L15" s="26"/>
      <c r="M15" s="26"/>
      <c r="N15" s="26"/>
      <c r="O15" s="26"/>
      <c r="P15" s="39"/>
      <c r="Q15" s="38"/>
      <c r="R15" s="37"/>
      <c r="S15" s="36"/>
    </row>
    <row r="16" spans="1:25" ht="31.9" thickBot="1" x14ac:dyDescent="0.55000000000000004">
      <c r="A16" s="35"/>
      <c r="B16" s="34"/>
      <c r="C16" s="34"/>
      <c r="D16" s="33"/>
      <c r="E16" s="32"/>
      <c r="F16" s="31"/>
      <c r="G16" s="30" t="s">
        <v>7</v>
      </c>
      <c r="H16" s="29" t="s">
        <v>6</v>
      </c>
      <c r="I16" s="14"/>
      <c r="J16" s="28" t="s">
        <v>5</v>
      </c>
      <c r="K16" s="27">
        <v>0</v>
      </c>
      <c r="L16" s="26"/>
      <c r="M16" s="26"/>
      <c r="N16" s="26"/>
      <c r="O16" s="26"/>
      <c r="P16" s="25" t="s">
        <v>4</v>
      </c>
      <c r="Q16" s="24"/>
      <c r="R16" s="23" t="e">
        <f>R14/N14</f>
        <v>#DIV/0!</v>
      </c>
      <c r="S16" s="22"/>
    </row>
    <row r="17" spans="1:19" ht="47.65" thickBot="1" x14ac:dyDescent="0.55000000000000004">
      <c r="A17" s="21"/>
      <c r="B17" s="20"/>
      <c r="C17" s="20"/>
      <c r="D17" s="19"/>
      <c r="E17" s="18"/>
      <c r="F17" s="17"/>
      <c r="G17" s="16" t="s">
        <v>3</v>
      </c>
      <c r="H17" s="15">
        <f>SUM(H14:H16)</f>
        <v>4984</v>
      </c>
      <c r="I17" s="14"/>
      <c r="J17" s="13" t="s">
        <v>3</v>
      </c>
      <c r="K17" s="12">
        <f>SUM(K14:K16)</f>
        <v>5432.56</v>
      </c>
      <c r="L17" s="11" t="s">
        <v>2</v>
      </c>
      <c r="M17" s="10">
        <f>K16/K14</f>
        <v>0</v>
      </c>
      <c r="N17" s="9"/>
      <c r="O17" s="8"/>
      <c r="P17" s="7"/>
      <c r="Q17" s="7"/>
      <c r="R17" s="7"/>
      <c r="S17" s="6"/>
    </row>
    <row r="18" spans="1:19" x14ac:dyDescent="0.5">
      <c r="C18" s="5"/>
    </row>
    <row r="19" spans="1:19" x14ac:dyDescent="0.5">
      <c r="C19" s="5"/>
    </row>
    <row r="23" spans="1:19" x14ac:dyDescent="0.5">
      <c r="A23" s="4" t="s">
        <v>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3"/>
    </row>
    <row r="24" spans="1:19" x14ac:dyDescent="0.5">
      <c r="A24" s="2" t="s">
        <v>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8E0-58A8-42E8-A6A9-DE3C27F9D9BB}">
  <dimension ref="A1:S23"/>
  <sheetViews>
    <sheetView topLeftCell="B1" workbookViewId="0">
      <selection activeCell="F3" sqref="F1:F1048576"/>
    </sheetView>
  </sheetViews>
  <sheetFormatPr defaultRowHeight="15.75" x14ac:dyDescent="0.5"/>
  <cols>
    <col min="2" max="2" width="38.3125" customWidth="1"/>
    <col min="3" max="4" width="9" style="127"/>
    <col min="6" max="6" width="9" style="149"/>
    <col min="8" max="8" width="9.9375" bestFit="1" customWidth="1"/>
    <col min="11" max="11" width="10.437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>
        <v>46299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B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71">
        <v>1</v>
      </c>
      <c r="B7" s="66" t="s">
        <v>59</v>
      </c>
      <c r="C7" s="71">
        <v>100</v>
      </c>
      <c r="D7" s="71">
        <v>24</v>
      </c>
      <c r="E7" s="78">
        <f t="shared" ref="E7:E17" si="0">D7*C7</f>
        <v>2400</v>
      </c>
      <c r="F7" s="143">
        <v>15</v>
      </c>
      <c r="G7" s="77">
        <f t="shared" ref="G7:G17" si="1">F7/D7</f>
        <v>0.625</v>
      </c>
      <c r="H7" s="76">
        <f>G7*E7</f>
        <v>1500</v>
      </c>
      <c r="I7" s="74"/>
      <c r="J7" s="75">
        <f t="shared" ref="J7:K17" si="2">G7/$Q$2</f>
        <v>0.625</v>
      </c>
      <c r="K7" s="67">
        <f>H7/$Q$2</f>
        <v>1500</v>
      </c>
      <c r="L7" s="75">
        <f>J7*(1+$M$21+9%)</f>
        <v>0.68125000000000002</v>
      </c>
      <c r="M7" s="113">
        <f t="shared" ref="M7:M17" si="3">L7*E7</f>
        <v>1635</v>
      </c>
      <c r="N7" s="73"/>
      <c r="O7" s="65">
        <f t="shared" ref="O7:O17" si="4">N7*E7</f>
        <v>0</v>
      </c>
      <c r="P7" s="65">
        <f t="shared" ref="P7:P17" si="5">N7-L7</f>
        <v>-0.68125000000000002</v>
      </c>
      <c r="Q7" s="65">
        <f t="shared" ref="Q7:Q17" si="6">P7*E7</f>
        <v>-1635</v>
      </c>
      <c r="R7" s="64" t="e">
        <f t="shared" ref="R7:R17" si="7">P7/N7</f>
        <v>#DIV/0!</v>
      </c>
      <c r="S7" s="66"/>
    </row>
    <row r="8" spans="1:19" ht="40.049999999999997" customHeight="1" x14ac:dyDescent="0.5">
      <c r="A8" s="71">
        <v>2</v>
      </c>
      <c r="B8" s="66" t="s">
        <v>60</v>
      </c>
      <c r="C8" s="71">
        <v>100</v>
      </c>
      <c r="D8" s="71">
        <v>24</v>
      </c>
      <c r="E8" s="78">
        <f>D8*C8</f>
        <v>2400</v>
      </c>
      <c r="F8" s="143">
        <v>10</v>
      </c>
      <c r="G8" s="77">
        <f t="shared" si="1"/>
        <v>0.41666666666666669</v>
      </c>
      <c r="H8" s="76">
        <f t="shared" ref="H8:H18" si="8">G8*E8</f>
        <v>1000</v>
      </c>
      <c r="I8" s="74"/>
      <c r="J8" s="75">
        <f t="shared" si="2"/>
        <v>0.41666666666666669</v>
      </c>
      <c r="K8" s="67">
        <f t="shared" si="2"/>
        <v>1000</v>
      </c>
      <c r="L8" s="75">
        <f>J8*(1+$M$21+9%)</f>
        <v>0.45416666666666672</v>
      </c>
      <c r="M8" s="113">
        <f t="shared" si="3"/>
        <v>1090.0000000000002</v>
      </c>
      <c r="N8" s="73"/>
      <c r="O8" s="65">
        <f t="shared" si="4"/>
        <v>0</v>
      </c>
      <c r="P8" s="65">
        <f t="shared" si="5"/>
        <v>-0.45416666666666672</v>
      </c>
      <c r="Q8" s="65">
        <f t="shared" si="6"/>
        <v>-1090.0000000000002</v>
      </c>
      <c r="R8" s="64" t="e">
        <f t="shared" si="7"/>
        <v>#DIV/0!</v>
      </c>
      <c r="S8" s="66"/>
    </row>
    <row r="9" spans="1:19" ht="40.049999999999997" customHeight="1" x14ac:dyDescent="0.5">
      <c r="A9" s="71">
        <v>3</v>
      </c>
      <c r="B9" s="66" t="s">
        <v>61</v>
      </c>
      <c r="C9" s="71">
        <v>20</v>
      </c>
      <c r="D9" s="71">
        <v>60</v>
      </c>
      <c r="E9" s="78">
        <f>C9*D9</f>
        <v>1200</v>
      </c>
      <c r="F9" s="143">
        <v>62.5</v>
      </c>
      <c r="G9" s="77">
        <f>F9/D9</f>
        <v>1.0416666666666667</v>
      </c>
      <c r="H9" s="76">
        <f t="shared" si="8"/>
        <v>1250</v>
      </c>
      <c r="I9" s="74"/>
      <c r="J9" s="75">
        <f t="shared" si="2"/>
        <v>1.0416666666666667</v>
      </c>
      <c r="K9" s="67">
        <f t="shared" si="2"/>
        <v>1250</v>
      </c>
      <c r="L9" s="75">
        <f>J9*(1+$M$21+9%)</f>
        <v>1.1354166666666667</v>
      </c>
      <c r="M9" s="113">
        <f t="shared" si="3"/>
        <v>1362.5</v>
      </c>
      <c r="N9" s="73"/>
      <c r="O9" s="65"/>
      <c r="P9" s="65"/>
      <c r="Q9" s="65"/>
      <c r="R9" s="64"/>
      <c r="S9" s="66"/>
    </row>
    <row r="10" spans="1:19" ht="40.049999999999997" customHeight="1" x14ac:dyDescent="0.5">
      <c r="A10" s="71">
        <v>4</v>
      </c>
      <c r="B10" s="66" t="s">
        <v>62</v>
      </c>
      <c r="C10" s="71">
        <v>20</v>
      </c>
      <c r="D10" s="71">
        <v>25</v>
      </c>
      <c r="E10" s="78">
        <f>C10*D10</f>
        <v>500</v>
      </c>
      <c r="F10" s="143">
        <v>47.3</v>
      </c>
      <c r="G10" s="77">
        <f>F10/D10</f>
        <v>1.8919999999999999</v>
      </c>
      <c r="H10" s="76">
        <f t="shared" si="8"/>
        <v>946</v>
      </c>
      <c r="I10" s="74"/>
      <c r="J10" s="75">
        <f t="shared" si="2"/>
        <v>1.8919999999999999</v>
      </c>
      <c r="K10" s="67">
        <f t="shared" si="2"/>
        <v>946</v>
      </c>
      <c r="L10" s="75">
        <f t="shared" ref="L10:L17" si="9">J10*(1+$M$21+9%)</f>
        <v>2.0622799999999999</v>
      </c>
      <c r="M10" s="113">
        <f t="shared" si="3"/>
        <v>1031.1399999999999</v>
      </c>
      <c r="N10" s="73"/>
      <c r="O10" s="65"/>
      <c r="P10" s="65"/>
      <c r="Q10" s="65"/>
      <c r="R10" s="64"/>
      <c r="S10" s="66"/>
    </row>
    <row r="11" spans="1:19" ht="40.049999999999997" customHeight="1" x14ac:dyDescent="0.5">
      <c r="A11" s="71">
        <v>5</v>
      </c>
      <c r="B11" s="66" t="s">
        <v>63</v>
      </c>
      <c r="C11" s="71">
        <v>20</v>
      </c>
      <c r="D11" s="71">
        <v>24</v>
      </c>
      <c r="E11" s="78">
        <f t="shared" si="0"/>
        <v>480</v>
      </c>
      <c r="F11" s="143">
        <v>46</v>
      </c>
      <c r="G11" s="77">
        <f t="shared" si="1"/>
        <v>1.9166666666666667</v>
      </c>
      <c r="H11" s="76">
        <f t="shared" si="8"/>
        <v>920</v>
      </c>
      <c r="I11" s="74"/>
      <c r="J11" s="75">
        <f t="shared" si="2"/>
        <v>1.9166666666666667</v>
      </c>
      <c r="K11" s="67">
        <f t="shared" si="2"/>
        <v>920</v>
      </c>
      <c r="L11" s="75">
        <f t="shared" si="9"/>
        <v>2.0891666666666668</v>
      </c>
      <c r="M11" s="113">
        <f t="shared" si="3"/>
        <v>1002.8000000000001</v>
      </c>
      <c r="N11" s="73"/>
      <c r="O11" s="65">
        <f t="shared" si="4"/>
        <v>0</v>
      </c>
      <c r="P11" s="65">
        <f t="shared" si="5"/>
        <v>-2.0891666666666668</v>
      </c>
      <c r="Q11" s="65">
        <f t="shared" si="6"/>
        <v>-1002.8000000000001</v>
      </c>
      <c r="R11" s="64" t="e">
        <f t="shared" si="7"/>
        <v>#DIV/0!</v>
      </c>
      <c r="S11" s="66"/>
    </row>
    <row r="12" spans="1:19" ht="40.049999999999997" customHeight="1" x14ac:dyDescent="0.5">
      <c r="A12" s="71">
        <v>6</v>
      </c>
      <c r="B12" s="66" t="s">
        <v>64</v>
      </c>
      <c r="C12" s="71">
        <v>10</v>
      </c>
      <c r="D12" s="71">
        <v>20</v>
      </c>
      <c r="E12" s="70">
        <f t="shared" si="0"/>
        <v>200</v>
      </c>
      <c r="F12" s="143">
        <v>57.2</v>
      </c>
      <c r="G12" s="69">
        <f t="shared" si="1"/>
        <v>2.8600000000000003</v>
      </c>
      <c r="H12" s="76">
        <f t="shared" si="8"/>
        <v>572.00000000000011</v>
      </c>
      <c r="I12" s="74"/>
      <c r="J12" s="75">
        <f t="shared" si="2"/>
        <v>2.8600000000000003</v>
      </c>
      <c r="K12" s="67">
        <f t="shared" si="2"/>
        <v>572.00000000000011</v>
      </c>
      <c r="L12" s="75">
        <f t="shared" si="9"/>
        <v>3.1174000000000004</v>
      </c>
      <c r="M12" s="113">
        <f t="shared" si="3"/>
        <v>623.48000000000013</v>
      </c>
      <c r="N12" s="73"/>
      <c r="O12" s="65">
        <f t="shared" si="4"/>
        <v>0</v>
      </c>
      <c r="P12" s="65">
        <f t="shared" si="5"/>
        <v>-3.1174000000000004</v>
      </c>
      <c r="Q12" s="65">
        <f t="shared" si="6"/>
        <v>-623.48000000000013</v>
      </c>
      <c r="R12" s="64" t="e">
        <f t="shared" si="7"/>
        <v>#DIV/0!</v>
      </c>
      <c r="S12" s="72"/>
    </row>
    <row r="13" spans="1:19" ht="40.049999999999997" customHeight="1" x14ac:dyDescent="0.5">
      <c r="A13" s="71">
        <v>7</v>
      </c>
      <c r="B13" s="66" t="s">
        <v>65</v>
      </c>
      <c r="C13" s="71">
        <v>10</v>
      </c>
      <c r="D13" s="71">
        <v>20</v>
      </c>
      <c r="E13" s="70">
        <f t="shared" si="0"/>
        <v>200</v>
      </c>
      <c r="F13" s="143">
        <v>57.2</v>
      </c>
      <c r="G13" s="69">
        <f t="shared" si="1"/>
        <v>2.8600000000000003</v>
      </c>
      <c r="H13" s="76">
        <f t="shared" si="8"/>
        <v>572.00000000000011</v>
      </c>
      <c r="I13" s="74"/>
      <c r="J13" s="75">
        <f t="shared" si="2"/>
        <v>2.8600000000000003</v>
      </c>
      <c r="K13" s="67">
        <f t="shared" si="2"/>
        <v>572.00000000000011</v>
      </c>
      <c r="L13" s="75">
        <f t="shared" si="9"/>
        <v>3.1174000000000004</v>
      </c>
      <c r="M13" s="113">
        <f t="shared" si="3"/>
        <v>623.48000000000013</v>
      </c>
      <c r="N13" s="73"/>
      <c r="O13" s="65">
        <f t="shared" si="4"/>
        <v>0</v>
      </c>
      <c r="P13" s="65">
        <f t="shared" si="5"/>
        <v>-3.1174000000000004</v>
      </c>
      <c r="Q13" s="65">
        <f t="shared" si="6"/>
        <v>-623.48000000000013</v>
      </c>
      <c r="R13" s="64" t="e">
        <f t="shared" si="7"/>
        <v>#DIV/0!</v>
      </c>
      <c r="S13" s="72"/>
    </row>
    <row r="14" spans="1:19" ht="40.049999999999997" customHeight="1" x14ac:dyDescent="0.5">
      <c r="A14" s="71">
        <v>8</v>
      </c>
      <c r="B14" s="66" t="s">
        <v>66</v>
      </c>
      <c r="C14" s="71">
        <v>24</v>
      </c>
      <c r="D14" s="71">
        <v>15</v>
      </c>
      <c r="E14" s="70">
        <f t="shared" si="0"/>
        <v>360</v>
      </c>
      <c r="F14" s="143">
        <f>(20/24)*13</f>
        <v>10.833333333333334</v>
      </c>
      <c r="G14" s="69">
        <f t="shared" si="1"/>
        <v>0.72222222222222221</v>
      </c>
      <c r="H14" s="76">
        <f t="shared" si="8"/>
        <v>260</v>
      </c>
      <c r="I14" s="66"/>
      <c r="J14" s="75">
        <f t="shared" si="2"/>
        <v>0.72222222222222221</v>
      </c>
      <c r="K14" s="67">
        <f t="shared" si="2"/>
        <v>260</v>
      </c>
      <c r="L14" s="75">
        <f t="shared" si="9"/>
        <v>0.78722222222222227</v>
      </c>
      <c r="M14" s="113">
        <f t="shared" si="3"/>
        <v>283.40000000000003</v>
      </c>
      <c r="N14" s="66"/>
      <c r="O14" s="65">
        <f t="shared" si="4"/>
        <v>0</v>
      </c>
      <c r="P14" s="65">
        <f t="shared" si="5"/>
        <v>-0.78722222222222227</v>
      </c>
      <c r="Q14" s="65">
        <f t="shared" si="6"/>
        <v>-283.40000000000003</v>
      </c>
      <c r="R14" s="64" t="e">
        <f t="shared" si="7"/>
        <v>#DIV/0!</v>
      </c>
      <c r="S14" s="63"/>
    </row>
    <row r="15" spans="1:19" ht="40.049999999999997" customHeight="1" x14ac:dyDescent="0.5">
      <c r="A15" s="71">
        <v>9</v>
      </c>
      <c r="B15" s="66" t="s">
        <v>67</v>
      </c>
      <c r="C15" s="71">
        <v>24</v>
      </c>
      <c r="D15" s="71">
        <v>15</v>
      </c>
      <c r="E15" s="70">
        <f t="shared" si="0"/>
        <v>360</v>
      </c>
      <c r="F15" s="143">
        <f t="shared" ref="F15:F16" si="10">(20/24)*13</f>
        <v>10.833333333333334</v>
      </c>
      <c r="G15" s="69">
        <f t="shared" si="1"/>
        <v>0.72222222222222221</v>
      </c>
      <c r="H15" s="76">
        <f t="shared" si="8"/>
        <v>260</v>
      </c>
      <c r="I15" s="66"/>
      <c r="J15" s="75">
        <f t="shared" si="2"/>
        <v>0.72222222222222221</v>
      </c>
      <c r="K15" s="67">
        <f t="shared" si="2"/>
        <v>260</v>
      </c>
      <c r="L15" s="75">
        <f t="shared" si="9"/>
        <v>0.78722222222222227</v>
      </c>
      <c r="M15" s="113">
        <f t="shared" si="3"/>
        <v>283.40000000000003</v>
      </c>
      <c r="N15" s="66"/>
      <c r="O15" s="65">
        <f t="shared" si="4"/>
        <v>0</v>
      </c>
      <c r="P15" s="65">
        <f t="shared" si="5"/>
        <v>-0.78722222222222227</v>
      </c>
      <c r="Q15" s="65">
        <f t="shared" si="6"/>
        <v>-283.40000000000003</v>
      </c>
      <c r="R15" s="64" t="e">
        <f t="shared" si="7"/>
        <v>#DIV/0!</v>
      </c>
      <c r="S15" s="63"/>
    </row>
    <row r="16" spans="1:19" ht="40.049999999999997" customHeight="1" x14ac:dyDescent="0.5">
      <c r="A16" s="71">
        <v>10</v>
      </c>
      <c r="B16" s="66" t="s">
        <v>68</v>
      </c>
      <c r="C16" s="71">
        <v>24</v>
      </c>
      <c r="D16" s="71">
        <v>15</v>
      </c>
      <c r="E16" s="70">
        <f t="shared" si="0"/>
        <v>360</v>
      </c>
      <c r="F16" s="143">
        <f t="shared" si="10"/>
        <v>10.833333333333334</v>
      </c>
      <c r="G16" s="69">
        <f t="shared" si="1"/>
        <v>0.72222222222222221</v>
      </c>
      <c r="H16" s="76">
        <f t="shared" si="8"/>
        <v>260</v>
      </c>
      <c r="I16" s="66"/>
      <c r="J16" s="75">
        <f t="shared" si="2"/>
        <v>0.72222222222222221</v>
      </c>
      <c r="K16" s="67">
        <f t="shared" si="2"/>
        <v>260</v>
      </c>
      <c r="L16" s="75">
        <f t="shared" si="9"/>
        <v>0.78722222222222227</v>
      </c>
      <c r="M16" s="113">
        <f t="shared" si="3"/>
        <v>283.40000000000003</v>
      </c>
      <c r="N16" s="66"/>
      <c r="O16" s="65">
        <f t="shared" si="4"/>
        <v>0</v>
      </c>
      <c r="P16" s="65">
        <f t="shared" si="5"/>
        <v>-0.78722222222222227</v>
      </c>
      <c r="Q16" s="65">
        <f t="shared" si="6"/>
        <v>-283.40000000000003</v>
      </c>
      <c r="R16" s="64" t="e">
        <f t="shared" si="7"/>
        <v>#DIV/0!</v>
      </c>
      <c r="S16" s="63"/>
    </row>
    <row r="17" spans="1:19" ht="40.049999999999997" customHeight="1" x14ac:dyDescent="0.5">
      <c r="A17" s="71">
        <v>11</v>
      </c>
      <c r="B17" s="66" t="s">
        <v>69</v>
      </c>
      <c r="C17" s="71">
        <v>24</v>
      </c>
      <c r="D17" s="71">
        <v>15</v>
      </c>
      <c r="E17" s="70">
        <f t="shared" si="0"/>
        <v>360</v>
      </c>
      <c r="F17" s="143">
        <f>(20/24)*9.8</f>
        <v>8.1666666666666679</v>
      </c>
      <c r="G17" s="69">
        <f t="shared" si="1"/>
        <v>0.54444444444444451</v>
      </c>
      <c r="H17" s="76">
        <f t="shared" si="8"/>
        <v>196.00000000000003</v>
      </c>
      <c r="I17" s="66"/>
      <c r="J17" s="75">
        <f t="shared" si="2"/>
        <v>0.54444444444444451</v>
      </c>
      <c r="K17" s="67">
        <f t="shared" si="2"/>
        <v>196.00000000000003</v>
      </c>
      <c r="L17" s="75">
        <f t="shared" si="9"/>
        <v>0.59344444444444455</v>
      </c>
      <c r="M17" s="113">
        <f t="shared" si="3"/>
        <v>213.64000000000004</v>
      </c>
      <c r="N17" s="66"/>
      <c r="O17" s="65">
        <f t="shared" si="4"/>
        <v>0</v>
      </c>
      <c r="P17" s="65">
        <f t="shared" si="5"/>
        <v>-0.59344444444444455</v>
      </c>
      <c r="Q17" s="65">
        <f t="shared" si="6"/>
        <v>-213.64000000000004</v>
      </c>
      <c r="R17" s="64" t="e">
        <f t="shared" si="7"/>
        <v>#DIV/0!</v>
      </c>
      <c r="S17" s="63"/>
    </row>
    <row r="18" spans="1:19" ht="43.15" thickBot="1" x14ac:dyDescent="0.55000000000000004">
      <c r="A18" s="62" t="s">
        <v>13</v>
      </c>
      <c r="B18" s="66"/>
      <c r="C18" s="138"/>
      <c r="D18" s="135"/>
      <c r="E18" s="45"/>
      <c r="F18" s="146"/>
      <c r="G18" s="61" t="s">
        <v>12</v>
      </c>
      <c r="H18" s="76" t="e">
        <f t="shared" si="8"/>
        <v>#VALUE!</v>
      </c>
      <c r="I18" s="59"/>
      <c r="J18" s="58" t="s">
        <v>11</v>
      </c>
      <c r="K18" s="57">
        <f>SUM(K7:K17)</f>
        <v>7736</v>
      </c>
      <c r="L18" s="56" t="s">
        <v>10</v>
      </c>
      <c r="M18" s="55"/>
      <c r="N18" s="54">
        <f>SUM(O7:O13)</f>
        <v>0</v>
      </c>
      <c r="O18" s="53"/>
      <c r="P18" s="52" t="s">
        <v>9</v>
      </c>
      <c r="Q18" s="51"/>
      <c r="R18" s="50">
        <f>N18-K21</f>
        <v>-8432.24</v>
      </c>
      <c r="S18" s="49"/>
    </row>
    <row r="19" spans="1:19" ht="16.149999999999999" thickBot="1" x14ac:dyDescent="0.55000000000000004">
      <c r="A19" s="48"/>
      <c r="B19" s="66"/>
      <c r="C19" s="138"/>
      <c r="D19" s="135"/>
      <c r="E19" s="45"/>
      <c r="F19" s="146"/>
      <c r="G19" s="43"/>
      <c r="H19" s="42"/>
      <c r="I19" s="14"/>
      <c r="J19" s="41" t="s">
        <v>8</v>
      </c>
      <c r="K19" s="40">
        <f>K18*0.09</f>
        <v>696.24</v>
      </c>
      <c r="L19" s="26"/>
      <c r="M19" s="26"/>
      <c r="N19" s="26"/>
      <c r="O19" s="26"/>
      <c r="P19" s="39"/>
      <c r="Q19" s="38"/>
      <c r="R19" s="37"/>
      <c r="S19" s="36"/>
    </row>
    <row r="20" spans="1:19" ht="43.15" thickBot="1" x14ac:dyDescent="0.55000000000000004">
      <c r="A20" s="35"/>
      <c r="B20" s="47"/>
      <c r="C20" s="139"/>
      <c r="D20" s="136"/>
      <c r="E20" s="32"/>
      <c r="F20" s="147"/>
      <c r="G20" s="30" t="s">
        <v>7</v>
      </c>
      <c r="H20" s="29" t="s">
        <v>6</v>
      </c>
      <c r="I20" s="14"/>
      <c r="J20" s="28" t="s">
        <v>5</v>
      </c>
      <c r="K20" s="27">
        <v>0</v>
      </c>
      <c r="L20" s="26"/>
      <c r="M20" s="26"/>
      <c r="N20" s="26"/>
      <c r="O20" s="26"/>
      <c r="P20" s="25" t="s">
        <v>4</v>
      </c>
      <c r="Q20" s="24"/>
      <c r="R20" s="23" t="e">
        <f>R18/N18</f>
        <v>#DIV/0!</v>
      </c>
      <c r="S20" s="22"/>
    </row>
    <row r="21" spans="1:19" ht="94.9" thickBot="1" x14ac:dyDescent="0.55000000000000004">
      <c r="A21" s="21"/>
      <c r="B21" s="47"/>
      <c r="C21" s="140"/>
      <c r="D21" s="137"/>
      <c r="E21" s="18"/>
      <c r="F21" s="148"/>
      <c r="G21" s="16" t="s">
        <v>3</v>
      </c>
      <c r="H21" s="15" t="e">
        <f>SUM(H18:H20)</f>
        <v>#VALUE!</v>
      </c>
      <c r="I21" s="14"/>
      <c r="J21" s="13" t="s">
        <v>3</v>
      </c>
      <c r="K21" s="12">
        <f>SUM(K18:K20)</f>
        <v>8432.24</v>
      </c>
      <c r="L21" s="11" t="s">
        <v>2</v>
      </c>
      <c r="M21" s="10">
        <f>K20/K18</f>
        <v>0</v>
      </c>
      <c r="N21" s="9"/>
      <c r="O21" s="8"/>
      <c r="P21" s="7"/>
      <c r="Q21" s="7"/>
      <c r="R21" s="7"/>
      <c r="S21" s="6"/>
    </row>
    <row r="22" spans="1:19" x14ac:dyDescent="0.5">
      <c r="B22" s="34"/>
      <c r="C22" s="141"/>
      <c r="S22" s="1"/>
    </row>
    <row r="23" spans="1:19" ht="16.149999999999999" thickBot="1" x14ac:dyDescent="0.55000000000000004">
      <c r="B23" s="20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ACEA-80AC-46D1-8E80-B58D795313F3}">
  <dimension ref="A1:S21"/>
  <sheetViews>
    <sheetView topLeftCell="C2" workbookViewId="0">
      <selection activeCell="F3" sqref="F1:F1048576"/>
    </sheetView>
  </sheetViews>
  <sheetFormatPr defaultRowHeight="15.75" x14ac:dyDescent="0.5"/>
  <cols>
    <col min="2" max="2" width="45.3125" customWidth="1"/>
    <col min="3" max="4" width="9" style="127"/>
    <col min="6" max="6" width="9" style="149"/>
    <col min="8" max="8" width="9.9375" bestFit="1" customWidth="1"/>
    <col min="11" max="11" width="10.437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 t="s">
        <v>70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B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71">
        <v>1</v>
      </c>
      <c r="B7" s="66" t="s">
        <v>59</v>
      </c>
      <c r="C7" s="71">
        <v>100</v>
      </c>
      <c r="D7" s="71">
        <v>24</v>
      </c>
      <c r="E7" s="78">
        <f t="shared" ref="E7:E17" si="0">D7*C7</f>
        <v>2400</v>
      </c>
      <c r="F7" s="143">
        <v>15</v>
      </c>
      <c r="G7" s="77">
        <f t="shared" ref="G7:G17" si="1">F7/D7</f>
        <v>0.625</v>
      </c>
      <c r="H7" s="76">
        <f>G7*E7</f>
        <v>1500</v>
      </c>
      <c r="I7" s="74"/>
      <c r="J7" s="75">
        <f t="shared" ref="J7:K17" si="2">G7/$Q$2</f>
        <v>0.625</v>
      </c>
      <c r="K7" s="67">
        <f>H7/$Q$2</f>
        <v>1500</v>
      </c>
      <c r="L7" s="75">
        <f>J7*(1+$M$21+9%)</f>
        <v>0.68125000000000002</v>
      </c>
      <c r="M7" s="113">
        <f t="shared" ref="M7:M17" si="3">L7*E7</f>
        <v>1635</v>
      </c>
      <c r="N7" s="73"/>
      <c r="O7" s="65">
        <f t="shared" ref="O7:O17" si="4">N7*E7</f>
        <v>0</v>
      </c>
      <c r="P7" s="65">
        <f t="shared" ref="P7:P17" si="5">N7-L7</f>
        <v>-0.68125000000000002</v>
      </c>
      <c r="Q7" s="65">
        <f t="shared" ref="Q7:Q17" si="6">P7*E7</f>
        <v>-1635</v>
      </c>
      <c r="R7" s="64" t="e">
        <f t="shared" ref="R7:R17" si="7">P7/N7</f>
        <v>#DIV/0!</v>
      </c>
      <c r="S7" s="66"/>
    </row>
    <row r="8" spans="1:19" ht="40.049999999999997" customHeight="1" x14ac:dyDescent="0.5">
      <c r="A8" s="71">
        <v>2</v>
      </c>
      <c r="B8" s="66" t="s">
        <v>60</v>
      </c>
      <c r="C8" s="71">
        <v>100</v>
      </c>
      <c r="D8" s="71">
        <v>24</v>
      </c>
      <c r="E8" s="78">
        <f>D8*C8</f>
        <v>2400</v>
      </c>
      <c r="F8" s="143">
        <v>10</v>
      </c>
      <c r="G8" s="77">
        <f t="shared" si="1"/>
        <v>0.41666666666666669</v>
      </c>
      <c r="H8" s="76">
        <f t="shared" ref="H8:H18" si="8">G8*E8</f>
        <v>1000</v>
      </c>
      <c r="I8" s="74"/>
      <c r="J8" s="75">
        <f t="shared" si="2"/>
        <v>0.41666666666666669</v>
      </c>
      <c r="K8" s="67">
        <f t="shared" si="2"/>
        <v>1000</v>
      </c>
      <c r="L8" s="75">
        <f>J8*(1+$M$21+9%)</f>
        <v>0.45416666666666672</v>
      </c>
      <c r="M8" s="113">
        <f t="shared" si="3"/>
        <v>1090.0000000000002</v>
      </c>
      <c r="N8" s="73"/>
      <c r="O8" s="65">
        <f t="shared" si="4"/>
        <v>0</v>
      </c>
      <c r="P8" s="65">
        <f t="shared" si="5"/>
        <v>-0.45416666666666672</v>
      </c>
      <c r="Q8" s="65">
        <f t="shared" si="6"/>
        <v>-1090.0000000000002</v>
      </c>
      <c r="R8" s="64" t="e">
        <f t="shared" si="7"/>
        <v>#DIV/0!</v>
      </c>
      <c r="S8" s="66"/>
    </row>
    <row r="9" spans="1:19" ht="40.049999999999997" customHeight="1" x14ac:dyDescent="0.5">
      <c r="A9" s="71">
        <v>3</v>
      </c>
      <c r="B9" s="66" t="s">
        <v>62</v>
      </c>
      <c r="C9" s="71">
        <v>5</v>
      </c>
      <c r="D9" s="71">
        <v>25</v>
      </c>
      <c r="E9" s="78">
        <f>C9*D9</f>
        <v>125</v>
      </c>
      <c r="F9" s="143">
        <v>47.3</v>
      </c>
      <c r="G9" s="77">
        <f t="shared" si="1"/>
        <v>1.8919999999999999</v>
      </c>
      <c r="H9" s="76">
        <f t="shared" si="8"/>
        <v>236.5</v>
      </c>
      <c r="I9" s="74"/>
      <c r="J9" s="75">
        <f t="shared" si="2"/>
        <v>1.8919999999999999</v>
      </c>
      <c r="K9" s="67">
        <f t="shared" si="2"/>
        <v>236.5</v>
      </c>
      <c r="L9" s="75">
        <f>J9*(1+$M$21+9%)</f>
        <v>2.0622799999999999</v>
      </c>
      <c r="M9" s="113">
        <f t="shared" si="3"/>
        <v>257.78499999999997</v>
      </c>
      <c r="N9" s="73"/>
      <c r="O9" s="65"/>
      <c r="P9" s="65"/>
      <c r="Q9" s="65"/>
      <c r="R9" s="64"/>
      <c r="S9" s="66"/>
    </row>
    <row r="10" spans="1:19" ht="40.049999999999997" customHeight="1" x14ac:dyDescent="0.5">
      <c r="A10" s="71">
        <v>4</v>
      </c>
      <c r="B10" s="66" t="s">
        <v>64</v>
      </c>
      <c r="C10" s="71">
        <v>10</v>
      </c>
      <c r="D10" s="71">
        <v>20</v>
      </c>
      <c r="E10" s="70">
        <f t="shared" si="0"/>
        <v>200</v>
      </c>
      <c r="F10" s="143">
        <v>57.2</v>
      </c>
      <c r="G10" s="77">
        <f t="shared" si="1"/>
        <v>2.8600000000000003</v>
      </c>
      <c r="H10" s="76">
        <f t="shared" si="8"/>
        <v>572.00000000000011</v>
      </c>
      <c r="I10" s="74"/>
      <c r="J10" s="75">
        <f t="shared" si="2"/>
        <v>2.8600000000000003</v>
      </c>
      <c r="K10" s="67">
        <f t="shared" si="2"/>
        <v>572.00000000000011</v>
      </c>
      <c r="L10" s="75">
        <f>J10*(1+$M$21+9%)</f>
        <v>3.1174000000000004</v>
      </c>
      <c r="M10" s="113">
        <f t="shared" si="3"/>
        <v>623.48000000000013</v>
      </c>
      <c r="N10" s="73"/>
      <c r="O10" s="65">
        <f t="shared" si="4"/>
        <v>0</v>
      </c>
      <c r="P10" s="65">
        <f t="shared" si="5"/>
        <v>-3.1174000000000004</v>
      </c>
      <c r="Q10" s="65">
        <f t="shared" si="6"/>
        <v>-623.48000000000013</v>
      </c>
      <c r="R10" s="64" t="e">
        <f t="shared" si="7"/>
        <v>#DIV/0!</v>
      </c>
      <c r="S10" s="72"/>
    </row>
    <row r="11" spans="1:19" ht="40.049999999999997" customHeight="1" x14ac:dyDescent="0.5">
      <c r="A11" s="71">
        <v>5</v>
      </c>
      <c r="B11" s="66" t="s">
        <v>65</v>
      </c>
      <c r="C11" s="71">
        <v>10</v>
      </c>
      <c r="D11" s="71">
        <v>20</v>
      </c>
      <c r="E11" s="70">
        <f t="shared" si="0"/>
        <v>200</v>
      </c>
      <c r="F11" s="143">
        <v>57.2</v>
      </c>
      <c r="G11" s="77">
        <f t="shared" si="1"/>
        <v>2.8600000000000003</v>
      </c>
      <c r="H11" s="76">
        <f t="shared" si="8"/>
        <v>572.00000000000011</v>
      </c>
      <c r="I11" s="74"/>
      <c r="J11" s="75">
        <f t="shared" si="2"/>
        <v>2.8600000000000003</v>
      </c>
      <c r="K11" s="67">
        <f t="shared" si="2"/>
        <v>572.00000000000011</v>
      </c>
      <c r="L11" s="75">
        <f>J11*(1+$M$21+9%)</f>
        <v>3.1174000000000004</v>
      </c>
      <c r="M11" s="113">
        <f t="shared" si="3"/>
        <v>623.48000000000013</v>
      </c>
      <c r="N11" s="73"/>
      <c r="O11" s="65">
        <f t="shared" si="4"/>
        <v>0</v>
      </c>
      <c r="P11" s="65">
        <f t="shared" si="5"/>
        <v>-3.1174000000000004</v>
      </c>
      <c r="Q11" s="65">
        <f t="shared" si="6"/>
        <v>-623.48000000000013</v>
      </c>
      <c r="R11" s="64" t="e">
        <f t="shared" si="7"/>
        <v>#DIV/0!</v>
      </c>
      <c r="S11" s="72"/>
    </row>
    <row r="12" spans="1:19" ht="40.049999999999997" customHeight="1" x14ac:dyDescent="0.5">
      <c r="A12" s="71">
        <v>6</v>
      </c>
      <c r="B12" s="66" t="s">
        <v>66</v>
      </c>
      <c r="C12" s="71">
        <v>24</v>
      </c>
      <c r="D12" s="71">
        <v>15</v>
      </c>
      <c r="E12" s="70">
        <f t="shared" si="0"/>
        <v>360</v>
      </c>
      <c r="F12" s="143">
        <f>(20/24)*13</f>
        <v>10.833333333333334</v>
      </c>
      <c r="G12" s="77">
        <f t="shared" si="1"/>
        <v>0.72222222222222221</v>
      </c>
      <c r="H12" s="76">
        <f t="shared" si="8"/>
        <v>260</v>
      </c>
      <c r="I12" s="66"/>
      <c r="J12" s="75">
        <f t="shared" si="2"/>
        <v>0.72222222222222221</v>
      </c>
      <c r="K12" s="67">
        <f t="shared" si="2"/>
        <v>260</v>
      </c>
      <c r="L12" s="75">
        <f>J12*(1+$M$21+9%)</f>
        <v>0.78722222222222227</v>
      </c>
      <c r="M12" s="113">
        <f t="shared" si="3"/>
        <v>283.40000000000003</v>
      </c>
      <c r="N12" s="66"/>
      <c r="O12" s="65">
        <f t="shared" si="4"/>
        <v>0</v>
      </c>
      <c r="P12" s="65">
        <f t="shared" si="5"/>
        <v>-0.78722222222222227</v>
      </c>
      <c r="Q12" s="65">
        <f t="shared" si="6"/>
        <v>-283.40000000000003</v>
      </c>
      <c r="R12" s="64" t="e">
        <f t="shared" si="7"/>
        <v>#DIV/0!</v>
      </c>
      <c r="S12" s="63"/>
    </row>
    <row r="13" spans="1:19" ht="40.049999999999997" customHeight="1" x14ac:dyDescent="0.5">
      <c r="A13" s="71">
        <v>7</v>
      </c>
      <c r="B13" s="66" t="s">
        <v>67</v>
      </c>
      <c r="C13" s="71">
        <v>24</v>
      </c>
      <c r="D13" s="71">
        <v>15</v>
      </c>
      <c r="E13" s="70">
        <f t="shared" si="0"/>
        <v>360</v>
      </c>
      <c r="F13" s="143">
        <f t="shared" ref="F13:F17" si="9">(20/24)*13</f>
        <v>10.833333333333334</v>
      </c>
      <c r="G13" s="77">
        <f t="shared" si="1"/>
        <v>0.72222222222222221</v>
      </c>
      <c r="H13" s="76">
        <f t="shared" si="8"/>
        <v>260</v>
      </c>
      <c r="I13" s="66"/>
      <c r="J13" s="75">
        <f t="shared" si="2"/>
        <v>0.72222222222222221</v>
      </c>
      <c r="K13" s="67">
        <f t="shared" si="2"/>
        <v>260</v>
      </c>
      <c r="L13" s="75">
        <f>J13*(1+$M$21+9%)</f>
        <v>0.78722222222222227</v>
      </c>
      <c r="M13" s="113">
        <f t="shared" si="3"/>
        <v>283.40000000000003</v>
      </c>
      <c r="N13" s="66"/>
      <c r="O13" s="65">
        <f t="shared" si="4"/>
        <v>0</v>
      </c>
      <c r="P13" s="65">
        <f t="shared" si="5"/>
        <v>-0.78722222222222227</v>
      </c>
      <c r="Q13" s="65">
        <f t="shared" si="6"/>
        <v>-283.40000000000003</v>
      </c>
      <c r="R13" s="64" t="e">
        <f t="shared" si="7"/>
        <v>#DIV/0!</v>
      </c>
      <c r="S13" s="63"/>
    </row>
    <row r="14" spans="1:19" ht="40.049999999999997" customHeight="1" x14ac:dyDescent="0.5">
      <c r="A14" s="71">
        <v>8</v>
      </c>
      <c r="B14" s="66" t="s">
        <v>68</v>
      </c>
      <c r="C14" s="71">
        <v>24</v>
      </c>
      <c r="D14" s="71">
        <v>15</v>
      </c>
      <c r="E14" s="70">
        <f t="shared" si="0"/>
        <v>360</v>
      </c>
      <c r="F14" s="143">
        <f t="shared" si="9"/>
        <v>10.833333333333334</v>
      </c>
      <c r="G14" s="77">
        <f t="shared" si="1"/>
        <v>0.72222222222222221</v>
      </c>
      <c r="H14" s="76">
        <f t="shared" si="8"/>
        <v>260</v>
      </c>
      <c r="I14" s="66"/>
      <c r="J14" s="75">
        <f t="shared" si="2"/>
        <v>0.72222222222222221</v>
      </c>
      <c r="K14" s="67">
        <f t="shared" si="2"/>
        <v>260</v>
      </c>
      <c r="L14" s="75">
        <f>J14*(1+$M$21+9%)</f>
        <v>0.78722222222222227</v>
      </c>
      <c r="M14" s="113">
        <f t="shared" si="3"/>
        <v>283.40000000000003</v>
      </c>
      <c r="N14" s="66"/>
      <c r="O14" s="65">
        <f t="shared" si="4"/>
        <v>0</v>
      </c>
      <c r="P14" s="65">
        <f t="shared" si="5"/>
        <v>-0.78722222222222227</v>
      </c>
      <c r="Q14" s="65">
        <f t="shared" si="6"/>
        <v>-283.40000000000003</v>
      </c>
      <c r="R14" s="64" t="e">
        <f t="shared" si="7"/>
        <v>#DIV/0!</v>
      </c>
      <c r="S14" s="63"/>
    </row>
    <row r="15" spans="1:19" ht="40.049999999999997" customHeight="1" x14ac:dyDescent="0.5">
      <c r="A15" s="71">
        <v>9</v>
      </c>
      <c r="B15" s="66" t="s">
        <v>71</v>
      </c>
      <c r="C15" s="71">
        <v>24</v>
      </c>
      <c r="D15" s="71">
        <v>15</v>
      </c>
      <c r="E15" s="70">
        <f t="shared" si="0"/>
        <v>360</v>
      </c>
      <c r="F15" s="143">
        <f>(20/24)*9.8</f>
        <v>8.1666666666666679</v>
      </c>
      <c r="G15" s="77">
        <f t="shared" si="1"/>
        <v>0.54444444444444451</v>
      </c>
      <c r="H15" s="76">
        <f t="shared" si="8"/>
        <v>196.00000000000003</v>
      </c>
      <c r="I15" s="66"/>
      <c r="J15" s="75">
        <f t="shared" si="2"/>
        <v>0.54444444444444451</v>
      </c>
      <c r="K15" s="67">
        <f t="shared" si="2"/>
        <v>196.00000000000003</v>
      </c>
      <c r="L15" s="75">
        <f t="shared" ref="L15:L17" si="10">J15*(1+$M$21+9%)</f>
        <v>0.59344444444444455</v>
      </c>
      <c r="M15" s="113">
        <f t="shared" si="3"/>
        <v>213.64000000000004</v>
      </c>
      <c r="N15" s="66"/>
      <c r="O15" s="65">
        <f t="shared" si="4"/>
        <v>0</v>
      </c>
      <c r="P15" s="65"/>
      <c r="Q15" s="65"/>
      <c r="R15" s="64"/>
      <c r="S15" s="63"/>
    </row>
    <row r="16" spans="1:19" ht="40.049999999999997" customHeight="1" x14ac:dyDescent="0.5">
      <c r="A16" s="71">
        <v>10</v>
      </c>
      <c r="B16" s="66" t="s">
        <v>72</v>
      </c>
      <c r="C16" s="71">
        <v>24</v>
      </c>
      <c r="D16" s="71">
        <v>15</v>
      </c>
      <c r="E16" s="70">
        <f t="shared" si="0"/>
        <v>360</v>
      </c>
      <c r="F16" s="143">
        <f t="shared" ref="F16:F17" si="11">(20/24)*9.8</f>
        <v>8.1666666666666679</v>
      </c>
      <c r="G16" s="77">
        <f t="shared" si="1"/>
        <v>0.54444444444444451</v>
      </c>
      <c r="H16" s="76">
        <f t="shared" si="8"/>
        <v>196.00000000000003</v>
      </c>
      <c r="I16" s="66"/>
      <c r="J16" s="75">
        <f t="shared" si="2"/>
        <v>0.54444444444444451</v>
      </c>
      <c r="K16" s="67">
        <f t="shared" si="2"/>
        <v>196.00000000000003</v>
      </c>
      <c r="L16" s="75">
        <f t="shared" si="10"/>
        <v>0.59344444444444455</v>
      </c>
      <c r="M16" s="113">
        <f t="shared" si="3"/>
        <v>213.64000000000004</v>
      </c>
      <c r="N16" s="66"/>
      <c r="O16" s="65">
        <f t="shared" si="4"/>
        <v>0</v>
      </c>
      <c r="P16" s="65"/>
      <c r="Q16" s="65"/>
      <c r="R16" s="64"/>
      <c r="S16" s="63"/>
    </row>
    <row r="17" spans="1:19" ht="40.049999999999997" customHeight="1" x14ac:dyDescent="0.5">
      <c r="A17" s="71">
        <v>11</v>
      </c>
      <c r="B17" s="66" t="s">
        <v>69</v>
      </c>
      <c r="C17" s="71">
        <v>24</v>
      </c>
      <c r="D17" s="71">
        <v>15</v>
      </c>
      <c r="E17" s="70">
        <f t="shared" si="0"/>
        <v>360</v>
      </c>
      <c r="F17" s="143">
        <f t="shared" si="11"/>
        <v>8.1666666666666679</v>
      </c>
      <c r="G17" s="77">
        <f t="shared" si="1"/>
        <v>0.54444444444444451</v>
      </c>
      <c r="H17" s="76">
        <f t="shared" si="8"/>
        <v>196.00000000000003</v>
      </c>
      <c r="I17" s="66"/>
      <c r="J17" s="75">
        <f t="shared" si="2"/>
        <v>0.54444444444444451</v>
      </c>
      <c r="K17" s="67">
        <f t="shared" si="2"/>
        <v>196.00000000000003</v>
      </c>
      <c r="L17" s="75">
        <f t="shared" si="10"/>
        <v>0.59344444444444455</v>
      </c>
      <c r="M17" s="113">
        <f t="shared" si="3"/>
        <v>213.64000000000004</v>
      </c>
      <c r="N17" s="66"/>
      <c r="O17" s="65">
        <f t="shared" si="4"/>
        <v>0</v>
      </c>
      <c r="P17" s="65">
        <f t="shared" si="5"/>
        <v>-0.59344444444444455</v>
      </c>
      <c r="Q17" s="65">
        <f t="shared" si="6"/>
        <v>-213.64000000000004</v>
      </c>
      <c r="R17" s="64" t="e">
        <f t="shared" si="7"/>
        <v>#DIV/0!</v>
      </c>
      <c r="S17" s="63"/>
    </row>
    <row r="18" spans="1:19" ht="43.15" thickBot="1" x14ac:dyDescent="0.55000000000000004">
      <c r="A18" s="62" t="s">
        <v>13</v>
      </c>
      <c r="B18" s="66"/>
      <c r="C18" s="138"/>
      <c r="D18" s="135"/>
      <c r="E18" s="45"/>
      <c r="F18" s="146"/>
      <c r="G18" s="61" t="s">
        <v>12</v>
      </c>
      <c r="H18" s="76" t="e">
        <f t="shared" si="8"/>
        <v>#VALUE!</v>
      </c>
      <c r="I18" s="59"/>
      <c r="J18" s="58" t="s">
        <v>11</v>
      </c>
      <c r="K18" s="57">
        <f>SUM(K7:K17)</f>
        <v>5248.5</v>
      </c>
      <c r="L18" s="56" t="s">
        <v>10</v>
      </c>
      <c r="M18" s="55"/>
      <c r="N18" s="54">
        <f>SUM(O7:O11)</f>
        <v>0</v>
      </c>
      <c r="O18" s="53"/>
      <c r="P18" s="52" t="s">
        <v>9</v>
      </c>
      <c r="Q18" s="51"/>
      <c r="R18" s="50">
        <f>N18-K21</f>
        <v>-5720.8649999999998</v>
      </c>
      <c r="S18" s="49"/>
    </row>
    <row r="19" spans="1:19" ht="16.149999999999999" thickBot="1" x14ac:dyDescent="0.55000000000000004">
      <c r="A19" s="48"/>
      <c r="B19" s="66"/>
      <c r="C19" s="138"/>
      <c r="D19" s="135"/>
      <c r="E19" s="45"/>
      <c r="F19" s="146"/>
      <c r="G19" s="43"/>
      <c r="H19" s="42"/>
      <c r="I19" s="14"/>
      <c r="J19" s="41" t="s">
        <v>8</v>
      </c>
      <c r="K19" s="40">
        <f>K18*0.09</f>
        <v>472.36500000000001</v>
      </c>
      <c r="L19" s="26"/>
      <c r="M19" s="26"/>
      <c r="N19" s="26"/>
      <c r="O19" s="26"/>
      <c r="P19" s="39"/>
      <c r="Q19" s="38"/>
      <c r="R19" s="37"/>
      <c r="S19" s="36"/>
    </row>
    <row r="20" spans="1:19" ht="43.15" thickBot="1" x14ac:dyDescent="0.55000000000000004">
      <c r="A20" s="35"/>
      <c r="B20" s="47"/>
      <c r="C20" s="139"/>
      <c r="D20" s="136"/>
      <c r="E20" s="32"/>
      <c r="F20" s="147"/>
      <c r="G20" s="30" t="s">
        <v>7</v>
      </c>
      <c r="H20" s="29" t="s">
        <v>6</v>
      </c>
      <c r="I20" s="14"/>
      <c r="J20" s="28" t="s">
        <v>5</v>
      </c>
      <c r="K20" s="27">
        <v>0</v>
      </c>
      <c r="L20" s="26"/>
      <c r="M20" s="26"/>
      <c r="N20" s="26"/>
      <c r="O20" s="26"/>
      <c r="P20" s="25" t="s">
        <v>4</v>
      </c>
      <c r="Q20" s="24"/>
      <c r="R20" s="23" t="e">
        <f>R18/N18</f>
        <v>#DIV/0!</v>
      </c>
      <c r="S20" s="22"/>
    </row>
    <row r="21" spans="1:19" ht="94.9" thickBot="1" x14ac:dyDescent="0.55000000000000004">
      <c r="A21" s="21"/>
      <c r="B21" s="47"/>
      <c r="C21" s="140"/>
      <c r="D21" s="137"/>
      <c r="E21" s="18"/>
      <c r="F21" s="148"/>
      <c r="G21" s="16" t="s">
        <v>3</v>
      </c>
      <c r="H21" s="15" t="e">
        <f>SUM(H18:H20)</f>
        <v>#VALUE!</v>
      </c>
      <c r="I21" s="14"/>
      <c r="J21" s="13" t="s">
        <v>3</v>
      </c>
      <c r="K21" s="12">
        <f>SUM(K18:K20)</f>
        <v>5720.8649999999998</v>
      </c>
      <c r="L21" s="11" t="s">
        <v>2</v>
      </c>
      <c r="M21" s="10">
        <f>K20/K18</f>
        <v>0</v>
      </c>
      <c r="N21" s="9"/>
      <c r="O21" s="8"/>
      <c r="P21" s="7"/>
      <c r="Q21" s="7"/>
      <c r="R21" s="7"/>
      <c r="S21" s="6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7AED-34DB-4D0E-B11F-B5C82BFD7A82}">
  <dimension ref="A1:S13"/>
  <sheetViews>
    <sheetView workbookViewId="0">
      <selection activeCell="F3" sqref="F1:F1048576"/>
    </sheetView>
  </sheetViews>
  <sheetFormatPr defaultRowHeight="15.75" x14ac:dyDescent="0.5"/>
  <cols>
    <col min="2" max="2" width="43.75" customWidth="1"/>
    <col min="3" max="4" width="9" style="127"/>
    <col min="6" max="6" width="9" style="149"/>
    <col min="8" max="8" width="9.9375" bestFit="1" customWidth="1"/>
    <col min="11" max="11" width="10.437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>
        <v>46359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71">
        <v>1</v>
      </c>
      <c r="B7" s="66" t="s">
        <v>59</v>
      </c>
      <c r="C7" s="71">
        <v>100</v>
      </c>
      <c r="D7" s="71">
        <v>24</v>
      </c>
      <c r="E7" s="78">
        <f t="shared" ref="E7" si="0">D7*C7</f>
        <v>2400</v>
      </c>
      <c r="F7" s="143">
        <v>15</v>
      </c>
      <c r="G7" s="77">
        <f t="shared" ref="G7:G9" si="1">F7/D7</f>
        <v>0.625</v>
      </c>
      <c r="H7" s="76">
        <f>G7*E7</f>
        <v>1500</v>
      </c>
      <c r="I7" s="74"/>
      <c r="J7" s="75">
        <f t="shared" ref="J7:K9" si="2">G7/$Q$2</f>
        <v>0.625</v>
      </c>
      <c r="K7" s="67">
        <f>H7/$Q$2</f>
        <v>1500</v>
      </c>
      <c r="L7" s="75">
        <f>J7*(1+$M$13+9%)</f>
        <v>0.68125000000000002</v>
      </c>
      <c r="M7" s="113">
        <f t="shared" ref="M7:M9" si="3">L7*E7</f>
        <v>1635</v>
      </c>
      <c r="N7" s="73"/>
      <c r="O7" s="65">
        <f t="shared" ref="O7:O8" si="4">N7*E7</f>
        <v>0</v>
      </c>
      <c r="P7" s="65">
        <f t="shared" ref="P7:P8" si="5">N7-L7</f>
        <v>-0.68125000000000002</v>
      </c>
      <c r="Q7" s="65">
        <f t="shared" ref="Q7:Q8" si="6">P7*E7</f>
        <v>-1635</v>
      </c>
      <c r="R7" s="64" t="e">
        <f t="shared" ref="R7:R8" si="7">P7/N7</f>
        <v>#DIV/0!</v>
      </c>
      <c r="S7" s="66"/>
    </row>
    <row r="8" spans="1:19" ht="40.049999999999997" customHeight="1" x14ac:dyDescent="0.5">
      <c r="A8" s="71">
        <v>2</v>
      </c>
      <c r="B8" s="66" t="s">
        <v>73</v>
      </c>
      <c r="C8" s="71">
        <v>100</v>
      </c>
      <c r="D8" s="71">
        <v>24</v>
      </c>
      <c r="E8" s="78">
        <f>D8*C8</f>
        <v>2400</v>
      </c>
      <c r="F8" s="143">
        <v>9.5</v>
      </c>
      <c r="G8" s="77">
        <f t="shared" si="1"/>
        <v>0.39583333333333331</v>
      </c>
      <c r="H8" s="76">
        <f t="shared" ref="H8:H10" si="8">G8*E8</f>
        <v>950</v>
      </c>
      <c r="I8" s="74"/>
      <c r="J8" s="75">
        <f t="shared" si="2"/>
        <v>0.39583333333333331</v>
      </c>
      <c r="K8" s="67">
        <f>H8/$Q$2</f>
        <v>950</v>
      </c>
      <c r="L8" s="75">
        <f>J8*(1+$M$13+9%)</f>
        <v>0.43145833333333333</v>
      </c>
      <c r="M8" s="113">
        <f t="shared" si="3"/>
        <v>1035.5</v>
      </c>
      <c r="N8" s="73"/>
      <c r="O8" s="65">
        <f t="shared" si="4"/>
        <v>0</v>
      </c>
      <c r="P8" s="65">
        <f t="shared" si="5"/>
        <v>-0.43145833333333333</v>
      </c>
      <c r="Q8" s="65">
        <f t="shared" si="6"/>
        <v>-1035.5</v>
      </c>
      <c r="R8" s="64" t="e">
        <f t="shared" si="7"/>
        <v>#DIV/0!</v>
      </c>
      <c r="S8" s="66"/>
    </row>
    <row r="9" spans="1:19" ht="40.049999999999997" customHeight="1" x14ac:dyDescent="0.5">
      <c r="A9" s="71">
        <v>3</v>
      </c>
      <c r="B9" s="66" t="s">
        <v>61</v>
      </c>
      <c r="C9" s="71">
        <v>10</v>
      </c>
      <c r="D9" s="71">
        <v>25</v>
      </c>
      <c r="E9" s="78">
        <f>C9*D9</f>
        <v>250</v>
      </c>
      <c r="F9" s="143">
        <v>62.5</v>
      </c>
      <c r="G9" s="77">
        <f t="shared" si="1"/>
        <v>2.5</v>
      </c>
      <c r="H9" s="76">
        <f t="shared" si="8"/>
        <v>625</v>
      </c>
      <c r="I9" s="74"/>
      <c r="J9" s="75">
        <f t="shared" si="2"/>
        <v>2.5</v>
      </c>
      <c r="K9" s="67">
        <f t="shared" si="2"/>
        <v>625</v>
      </c>
      <c r="L9" s="75">
        <f>J9*(1+$M$13+9%)</f>
        <v>2.7250000000000001</v>
      </c>
      <c r="M9" s="113">
        <f t="shared" si="3"/>
        <v>681.25</v>
      </c>
      <c r="N9" s="73"/>
      <c r="O9" s="65"/>
      <c r="P9" s="65"/>
      <c r="Q9" s="65"/>
      <c r="R9" s="64"/>
      <c r="S9" s="66"/>
    </row>
    <row r="10" spans="1:19" ht="43.15" thickBot="1" x14ac:dyDescent="0.55000000000000004">
      <c r="A10" s="62" t="s">
        <v>13</v>
      </c>
      <c r="B10" s="66"/>
      <c r="C10" s="138"/>
      <c r="D10" s="135"/>
      <c r="E10" s="45"/>
      <c r="F10" s="146"/>
      <c r="G10" s="61" t="s">
        <v>12</v>
      </c>
      <c r="H10" s="76" t="e">
        <f t="shared" si="8"/>
        <v>#VALUE!</v>
      </c>
      <c r="I10" s="59"/>
      <c r="J10" s="58" t="s">
        <v>11</v>
      </c>
      <c r="K10" s="57">
        <f>SUM(K7:K9)</f>
        <v>3075</v>
      </c>
      <c r="L10" s="56" t="s">
        <v>10</v>
      </c>
      <c r="M10" s="55"/>
      <c r="N10" s="54">
        <f>SUM(O7:O9)</f>
        <v>0</v>
      </c>
      <c r="O10" s="53"/>
      <c r="P10" s="52" t="s">
        <v>9</v>
      </c>
      <c r="Q10" s="51"/>
      <c r="R10" s="50">
        <f>N10-K13</f>
        <v>-3351.75</v>
      </c>
      <c r="S10" s="49"/>
    </row>
    <row r="11" spans="1:19" ht="16.149999999999999" thickBot="1" x14ac:dyDescent="0.55000000000000004">
      <c r="A11" s="48"/>
      <c r="B11" s="66"/>
      <c r="C11" s="138"/>
      <c r="D11" s="135"/>
      <c r="E11" s="45"/>
      <c r="F11" s="146"/>
      <c r="G11" s="43"/>
      <c r="H11" s="42"/>
      <c r="I11" s="14"/>
      <c r="J11" s="41" t="s">
        <v>8</v>
      </c>
      <c r="K11" s="40">
        <f>K10*0.09</f>
        <v>276.75</v>
      </c>
      <c r="L11" s="26"/>
      <c r="M11" s="26"/>
      <c r="N11" s="26"/>
      <c r="O11" s="26"/>
      <c r="P11" s="39"/>
      <c r="Q11" s="38"/>
      <c r="R11" s="37"/>
      <c r="S11" s="36"/>
    </row>
    <row r="12" spans="1:19" ht="43.15" thickBot="1" x14ac:dyDescent="0.55000000000000004">
      <c r="A12" s="35"/>
      <c r="B12" s="47"/>
      <c r="C12" s="139"/>
      <c r="D12" s="136"/>
      <c r="E12" s="32"/>
      <c r="F12" s="147"/>
      <c r="G12" s="30" t="s">
        <v>7</v>
      </c>
      <c r="H12" s="29" t="s">
        <v>6</v>
      </c>
      <c r="I12" s="14"/>
      <c r="J12" s="28" t="s">
        <v>5</v>
      </c>
      <c r="K12" s="27">
        <v>0</v>
      </c>
      <c r="L12" s="26"/>
      <c r="M12" s="26"/>
      <c r="N12" s="26"/>
      <c r="O12" s="26"/>
      <c r="P12" s="25" t="s">
        <v>4</v>
      </c>
      <c r="Q12" s="24"/>
      <c r="R12" s="23" t="e">
        <f>R10/N10</f>
        <v>#DIV/0!</v>
      </c>
      <c r="S12" s="22"/>
    </row>
    <row r="13" spans="1:19" ht="94.9" thickBot="1" x14ac:dyDescent="0.55000000000000004">
      <c r="A13" s="21"/>
      <c r="B13" s="47"/>
      <c r="C13" s="140"/>
      <c r="D13" s="137"/>
      <c r="E13" s="18"/>
      <c r="F13" s="148"/>
      <c r="G13" s="16" t="s">
        <v>3</v>
      </c>
      <c r="H13" s="15" t="e">
        <f>SUM(H10:H12)</f>
        <v>#VALUE!</v>
      </c>
      <c r="I13" s="14"/>
      <c r="J13" s="13" t="s">
        <v>3</v>
      </c>
      <c r="K13" s="12">
        <f>SUM(K10:K12)</f>
        <v>3351.75</v>
      </c>
      <c r="L13" s="11" t="s">
        <v>2</v>
      </c>
      <c r="M13" s="10">
        <f>K12/K10</f>
        <v>0</v>
      </c>
      <c r="N13" s="9"/>
      <c r="O13" s="8"/>
      <c r="P13" s="7"/>
      <c r="Q13" s="7"/>
      <c r="R13" s="7"/>
      <c r="S13" s="6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6EB7-4A01-45D9-A00F-2264ADB3AECD}">
  <dimension ref="A1:S17"/>
  <sheetViews>
    <sheetView topLeftCell="A4" workbookViewId="0">
      <selection activeCell="F3" sqref="F1:F1048576"/>
    </sheetView>
  </sheetViews>
  <sheetFormatPr defaultRowHeight="15.75" x14ac:dyDescent="0.5"/>
  <cols>
    <col min="2" max="2" width="49.5625" customWidth="1"/>
    <col min="3" max="3" width="9" style="127"/>
    <col min="4" max="4" width="9" style="133"/>
    <col min="6" max="6" width="9" style="149"/>
    <col min="8" max="8" width="9.9375" bestFit="1" customWidth="1"/>
    <col min="11" max="11" width="10.437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>
        <v>46084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28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B5" s="95"/>
      <c r="C5" s="134"/>
      <c r="D5" s="128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71">
        <v>1</v>
      </c>
      <c r="B7" s="66" t="s">
        <v>59</v>
      </c>
      <c r="C7" s="71">
        <v>100</v>
      </c>
      <c r="D7" s="129">
        <v>24</v>
      </c>
      <c r="E7" s="78">
        <f t="shared" ref="E7:E13" si="0">D7*C7</f>
        <v>2400</v>
      </c>
      <c r="F7" s="143">
        <v>15</v>
      </c>
      <c r="G7" s="77">
        <f t="shared" ref="G7:G13" si="1">F7/D7</f>
        <v>0.625</v>
      </c>
      <c r="H7" s="76">
        <f>G7*E7</f>
        <v>1500</v>
      </c>
      <c r="I7" s="74"/>
      <c r="J7" s="75">
        <f t="shared" ref="J7:K13" si="2">G7/$Q$2</f>
        <v>0.625</v>
      </c>
      <c r="K7" s="67">
        <f>H7/$Q$2</f>
        <v>1500</v>
      </c>
      <c r="L7" s="75">
        <f>J7*(1+$M$17+9%)</f>
        <v>0.68125000000000002</v>
      </c>
      <c r="M7" s="113">
        <f t="shared" ref="M7:M13" si="3">L7*E7</f>
        <v>1635</v>
      </c>
      <c r="N7" s="73"/>
      <c r="O7" s="65">
        <f t="shared" ref="O7:O13" si="4">N7*E7</f>
        <v>0</v>
      </c>
      <c r="P7" s="65">
        <f t="shared" ref="P7:P13" si="5">N7-L7</f>
        <v>-0.68125000000000002</v>
      </c>
      <c r="Q7" s="65">
        <f t="shared" ref="Q7:Q13" si="6">P7*E7</f>
        <v>-1635</v>
      </c>
      <c r="R7" s="64" t="e">
        <f t="shared" ref="R7:R13" si="7">P7/N7</f>
        <v>#DIV/0!</v>
      </c>
      <c r="S7" s="66"/>
    </row>
    <row r="8" spans="1:19" ht="40.049999999999997" customHeight="1" x14ac:dyDescent="0.5">
      <c r="A8" s="71">
        <v>2</v>
      </c>
      <c r="B8" s="66" t="s">
        <v>73</v>
      </c>
      <c r="C8" s="71">
        <v>100</v>
      </c>
      <c r="D8" s="129">
        <v>24</v>
      </c>
      <c r="E8" s="78">
        <f>D8*C8</f>
        <v>2400</v>
      </c>
      <c r="F8" s="143">
        <v>9.5</v>
      </c>
      <c r="G8" s="77">
        <f t="shared" si="1"/>
        <v>0.39583333333333331</v>
      </c>
      <c r="H8" s="76">
        <f t="shared" ref="H8:H14" si="8">G8*E8</f>
        <v>950</v>
      </c>
      <c r="I8" s="74"/>
      <c r="J8" s="75">
        <f t="shared" si="2"/>
        <v>0.39583333333333331</v>
      </c>
      <c r="K8" s="67">
        <f t="shared" si="2"/>
        <v>950</v>
      </c>
      <c r="L8" s="75">
        <f>J8*(1+$M$17+9%)</f>
        <v>0.43145833333333333</v>
      </c>
      <c r="M8" s="113">
        <f t="shared" si="3"/>
        <v>1035.5</v>
      </c>
      <c r="N8" s="73"/>
      <c r="O8" s="65">
        <f t="shared" si="4"/>
        <v>0</v>
      </c>
      <c r="P8" s="65">
        <f t="shared" si="5"/>
        <v>-0.43145833333333333</v>
      </c>
      <c r="Q8" s="65">
        <f t="shared" si="6"/>
        <v>-1035.5</v>
      </c>
      <c r="R8" s="64" t="e">
        <f t="shared" si="7"/>
        <v>#DIV/0!</v>
      </c>
      <c r="S8" s="66"/>
    </row>
    <row r="9" spans="1:19" ht="40.049999999999997" customHeight="1" x14ac:dyDescent="0.5">
      <c r="A9" s="71">
        <v>3</v>
      </c>
      <c r="B9" s="66" t="s">
        <v>62</v>
      </c>
      <c r="C9" s="71">
        <v>5</v>
      </c>
      <c r="D9" s="129">
        <v>25</v>
      </c>
      <c r="E9" s="78">
        <f>C9*D9</f>
        <v>125</v>
      </c>
      <c r="F9" s="143">
        <v>62.5</v>
      </c>
      <c r="G9" s="77">
        <f t="shared" si="1"/>
        <v>2.5</v>
      </c>
      <c r="H9" s="76">
        <f t="shared" si="8"/>
        <v>312.5</v>
      </c>
      <c r="I9" s="74"/>
      <c r="J9" s="75">
        <f t="shared" si="2"/>
        <v>2.5</v>
      </c>
      <c r="K9" s="67">
        <f t="shared" si="2"/>
        <v>312.5</v>
      </c>
      <c r="L9" s="75">
        <f>J9*(1+$M$17+9%)</f>
        <v>2.7250000000000001</v>
      </c>
      <c r="M9" s="113">
        <f t="shared" si="3"/>
        <v>340.625</v>
      </c>
      <c r="N9" s="73"/>
      <c r="O9" s="65"/>
      <c r="P9" s="65"/>
      <c r="Q9" s="65"/>
      <c r="R9" s="64"/>
      <c r="S9" s="66"/>
    </row>
    <row r="10" spans="1:19" ht="40.049999999999997" customHeight="1" x14ac:dyDescent="0.5">
      <c r="A10" s="71">
        <v>5</v>
      </c>
      <c r="B10" s="66" t="s">
        <v>74</v>
      </c>
      <c r="C10" s="71">
        <v>20</v>
      </c>
      <c r="D10" s="129">
        <v>20</v>
      </c>
      <c r="E10" s="70">
        <f t="shared" si="0"/>
        <v>400</v>
      </c>
      <c r="F10" s="143">
        <v>46</v>
      </c>
      <c r="G10" s="77">
        <f t="shared" si="1"/>
        <v>2.2999999999999998</v>
      </c>
      <c r="H10" s="76">
        <f t="shared" si="8"/>
        <v>919.99999999999989</v>
      </c>
      <c r="I10" s="74"/>
      <c r="J10" s="75">
        <f t="shared" si="2"/>
        <v>2.2999999999999998</v>
      </c>
      <c r="K10" s="67">
        <f t="shared" si="2"/>
        <v>919.99999999999989</v>
      </c>
      <c r="L10" s="75">
        <f>J10*(1+$M$17+9%)</f>
        <v>2.5070000000000001</v>
      </c>
      <c r="M10" s="113">
        <f t="shared" si="3"/>
        <v>1002.8000000000001</v>
      </c>
      <c r="N10" s="73"/>
      <c r="O10" s="65">
        <f t="shared" si="4"/>
        <v>0</v>
      </c>
      <c r="P10" s="65">
        <f t="shared" si="5"/>
        <v>-2.5070000000000001</v>
      </c>
      <c r="Q10" s="65">
        <f t="shared" si="6"/>
        <v>-1002.8000000000001</v>
      </c>
      <c r="R10" s="64" t="e">
        <f t="shared" si="7"/>
        <v>#DIV/0!</v>
      </c>
      <c r="S10" s="72"/>
    </row>
    <row r="11" spans="1:19" ht="40.049999999999997" customHeight="1" x14ac:dyDescent="0.5">
      <c r="A11" s="71">
        <v>9</v>
      </c>
      <c r="B11" s="66" t="s">
        <v>71</v>
      </c>
      <c r="C11" s="71">
        <v>24</v>
      </c>
      <c r="D11" s="129">
        <v>15</v>
      </c>
      <c r="E11" s="70">
        <f t="shared" si="0"/>
        <v>360</v>
      </c>
      <c r="F11" s="143">
        <f>(20/24)*9.8</f>
        <v>8.1666666666666679</v>
      </c>
      <c r="G11" s="77">
        <f t="shared" si="1"/>
        <v>0.54444444444444451</v>
      </c>
      <c r="H11" s="76">
        <f t="shared" si="8"/>
        <v>196.00000000000003</v>
      </c>
      <c r="I11" s="66"/>
      <c r="J11" s="75">
        <f t="shared" si="2"/>
        <v>0.54444444444444451</v>
      </c>
      <c r="K11" s="67">
        <f t="shared" si="2"/>
        <v>196.00000000000003</v>
      </c>
      <c r="L11" s="75">
        <f t="shared" ref="L11:L13" si="9">J11*(1+$M$17+9%)</f>
        <v>0.59344444444444455</v>
      </c>
      <c r="M11" s="113">
        <f t="shared" si="3"/>
        <v>213.64000000000004</v>
      </c>
      <c r="N11" s="66"/>
      <c r="O11" s="65">
        <f t="shared" si="4"/>
        <v>0</v>
      </c>
      <c r="P11" s="65"/>
      <c r="Q11" s="65"/>
      <c r="R11" s="64"/>
      <c r="S11" s="63"/>
    </row>
    <row r="12" spans="1:19" ht="40.049999999999997" customHeight="1" x14ac:dyDescent="0.5">
      <c r="A12" s="71">
        <v>10</v>
      </c>
      <c r="B12" s="66" t="s">
        <v>72</v>
      </c>
      <c r="C12" s="71">
        <v>24</v>
      </c>
      <c r="D12" s="129">
        <v>15</v>
      </c>
      <c r="E12" s="70">
        <f t="shared" si="0"/>
        <v>360</v>
      </c>
      <c r="F12" s="143">
        <f t="shared" ref="F12:F13" si="10">(20/24)*9.8</f>
        <v>8.1666666666666679</v>
      </c>
      <c r="G12" s="77">
        <f t="shared" si="1"/>
        <v>0.54444444444444451</v>
      </c>
      <c r="H12" s="76">
        <f t="shared" si="8"/>
        <v>196.00000000000003</v>
      </c>
      <c r="I12" s="66"/>
      <c r="J12" s="75">
        <f t="shared" si="2"/>
        <v>0.54444444444444451</v>
      </c>
      <c r="K12" s="67">
        <f t="shared" si="2"/>
        <v>196.00000000000003</v>
      </c>
      <c r="L12" s="75">
        <f t="shared" si="9"/>
        <v>0.59344444444444455</v>
      </c>
      <c r="M12" s="113">
        <f t="shared" si="3"/>
        <v>213.64000000000004</v>
      </c>
      <c r="N12" s="66"/>
      <c r="O12" s="65">
        <f t="shared" si="4"/>
        <v>0</v>
      </c>
      <c r="P12" s="65"/>
      <c r="Q12" s="65"/>
      <c r="R12" s="64"/>
      <c r="S12" s="63"/>
    </row>
    <row r="13" spans="1:19" ht="40.049999999999997" customHeight="1" x14ac:dyDescent="0.5">
      <c r="A13" s="71">
        <v>11</v>
      </c>
      <c r="B13" s="66" t="s">
        <v>69</v>
      </c>
      <c r="C13" s="71">
        <v>24</v>
      </c>
      <c r="D13" s="129">
        <v>15</v>
      </c>
      <c r="E13" s="70">
        <f t="shared" si="0"/>
        <v>360</v>
      </c>
      <c r="F13" s="143">
        <f t="shared" si="10"/>
        <v>8.1666666666666679</v>
      </c>
      <c r="G13" s="77">
        <f t="shared" si="1"/>
        <v>0.54444444444444451</v>
      </c>
      <c r="H13" s="76">
        <f t="shared" si="8"/>
        <v>196.00000000000003</v>
      </c>
      <c r="I13" s="66"/>
      <c r="J13" s="75">
        <f t="shared" si="2"/>
        <v>0.54444444444444451</v>
      </c>
      <c r="K13" s="67">
        <f t="shared" si="2"/>
        <v>196.00000000000003</v>
      </c>
      <c r="L13" s="75">
        <f t="shared" si="9"/>
        <v>0.59344444444444455</v>
      </c>
      <c r="M13" s="113">
        <f t="shared" si="3"/>
        <v>213.64000000000004</v>
      </c>
      <c r="N13" s="66"/>
      <c r="O13" s="65">
        <f t="shared" si="4"/>
        <v>0</v>
      </c>
      <c r="P13" s="65">
        <f t="shared" si="5"/>
        <v>-0.59344444444444455</v>
      </c>
      <c r="Q13" s="65">
        <f t="shared" si="6"/>
        <v>-213.64000000000004</v>
      </c>
      <c r="R13" s="64" t="e">
        <f t="shared" si="7"/>
        <v>#DIV/0!</v>
      </c>
      <c r="S13" s="63"/>
    </row>
    <row r="14" spans="1:19" ht="43.15" thickBot="1" x14ac:dyDescent="0.55000000000000004">
      <c r="A14" s="62" t="s">
        <v>13</v>
      </c>
      <c r="B14" s="66"/>
      <c r="C14" s="138"/>
      <c r="D14" s="130"/>
      <c r="E14" s="45"/>
      <c r="F14" s="146"/>
      <c r="G14" s="61" t="s">
        <v>12</v>
      </c>
      <c r="H14" s="76" t="e">
        <f t="shared" si="8"/>
        <v>#VALUE!</v>
      </c>
      <c r="I14" s="59"/>
      <c r="J14" s="58" t="s">
        <v>11</v>
      </c>
      <c r="K14" s="57">
        <f>SUM(K7:K13)</f>
        <v>4270.5</v>
      </c>
      <c r="L14" s="56" t="s">
        <v>10</v>
      </c>
      <c r="M14" s="55"/>
      <c r="N14" s="54">
        <f>SUM(O7:O10)</f>
        <v>0</v>
      </c>
      <c r="O14" s="53"/>
      <c r="P14" s="52" t="s">
        <v>9</v>
      </c>
      <c r="Q14" s="51"/>
      <c r="R14" s="50">
        <f>N14-K17</f>
        <v>-4654.8450000000003</v>
      </c>
      <c r="S14" s="49"/>
    </row>
    <row r="15" spans="1:19" ht="16.149999999999999" thickBot="1" x14ac:dyDescent="0.55000000000000004">
      <c r="A15" s="48"/>
      <c r="B15" s="66"/>
      <c r="C15" s="138"/>
      <c r="D15" s="130"/>
      <c r="E15" s="45"/>
      <c r="F15" s="146"/>
      <c r="G15" s="43"/>
      <c r="H15" s="42"/>
      <c r="I15" s="14"/>
      <c r="J15" s="41" t="s">
        <v>8</v>
      </c>
      <c r="K15" s="40">
        <f>K14*0.09</f>
        <v>384.34499999999997</v>
      </c>
      <c r="L15" s="26"/>
      <c r="M15" s="26"/>
      <c r="N15" s="26"/>
      <c r="O15" s="26"/>
      <c r="P15" s="39"/>
      <c r="Q15" s="38"/>
      <c r="R15" s="37"/>
      <c r="S15" s="36"/>
    </row>
    <row r="16" spans="1:19" ht="43.15" thickBot="1" x14ac:dyDescent="0.55000000000000004">
      <c r="A16" s="35"/>
      <c r="B16" s="47"/>
      <c r="C16" s="139"/>
      <c r="D16" s="131"/>
      <c r="E16" s="32"/>
      <c r="F16" s="147"/>
      <c r="G16" s="30" t="s">
        <v>7</v>
      </c>
      <c r="H16" s="29" t="s">
        <v>6</v>
      </c>
      <c r="I16" s="14"/>
      <c r="J16" s="28" t="s">
        <v>5</v>
      </c>
      <c r="K16" s="27">
        <v>0</v>
      </c>
      <c r="L16" s="26"/>
      <c r="M16" s="26"/>
      <c r="N16" s="26"/>
      <c r="O16" s="26"/>
      <c r="P16" s="25" t="s">
        <v>4</v>
      </c>
      <c r="Q16" s="24"/>
      <c r="R16" s="23" t="e">
        <f>R14/N14</f>
        <v>#DIV/0!</v>
      </c>
      <c r="S16" s="22"/>
    </row>
    <row r="17" spans="1:19" ht="94.9" thickBot="1" x14ac:dyDescent="0.55000000000000004">
      <c r="A17" s="21"/>
      <c r="B17" s="47"/>
      <c r="C17" s="140"/>
      <c r="D17" s="132"/>
      <c r="E17" s="18"/>
      <c r="F17" s="148"/>
      <c r="G17" s="16" t="s">
        <v>3</v>
      </c>
      <c r="H17" s="15" t="e">
        <f>SUM(H14:H16)</f>
        <v>#VALUE!</v>
      </c>
      <c r="I17" s="14"/>
      <c r="J17" s="13" t="s">
        <v>3</v>
      </c>
      <c r="K17" s="12">
        <f>SUM(K14:K16)</f>
        <v>4654.8450000000003</v>
      </c>
      <c r="L17" s="11" t="s">
        <v>2</v>
      </c>
      <c r="M17" s="10">
        <f>K16/K14</f>
        <v>0</v>
      </c>
      <c r="N17" s="9"/>
      <c r="O17" s="8"/>
      <c r="P17" s="7"/>
      <c r="Q17" s="7"/>
      <c r="R17" s="7"/>
      <c r="S17" s="6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320D-8659-4403-9535-5601CEE88DEB}">
  <dimension ref="A1:S17"/>
  <sheetViews>
    <sheetView topLeftCell="A6" workbookViewId="0">
      <selection activeCell="A12" sqref="A12:XFD12"/>
    </sheetView>
  </sheetViews>
  <sheetFormatPr defaultRowHeight="15.75" x14ac:dyDescent="0.5"/>
  <cols>
    <col min="2" max="2" width="44.8125" customWidth="1"/>
    <col min="3" max="4" width="9" style="127"/>
    <col min="6" max="6" width="9" style="149"/>
    <col min="8" max="8" width="9.9375" bestFit="1" customWidth="1"/>
    <col min="11" max="11" width="10.437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 t="s">
        <v>75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B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71">
        <v>1</v>
      </c>
      <c r="B7" s="66" t="s">
        <v>59</v>
      </c>
      <c r="C7" s="71">
        <v>200</v>
      </c>
      <c r="D7" s="71">
        <v>24</v>
      </c>
      <c r="E7" s="78">
        <f t="shared" ref="E7:E13" si="0">D7*C7</f>
        <v>4800</v>
      </c>
      <c r="F7" s="143">
        <v>15</v>
      </c>
      <c r="G7" s="77">
        <f t="shared" ref="G7:G13" si="1">F7/D7</f>
        <v>0.625</v>
      </c>
      <c r="H7" s="76">
        <f>G7*E7</f>
        <v>3000</v>
      </c>
      <c r="I7" s="74"/>
      <c r="J7" s="75">
        <f t="shared" ref="J7:K13" si="2">G7/$Q$2</f>
        <v>0.625</v>
      </c>
      <c r="K7" s="67">
        <f>H7/$Q$2</f>
        <v>3000</v>
      </c>
      <c r="L7" s="75">
        <f>J7*(1+$M$17+9%)</f>
        <v>0.68125000000000002</v>
      </c>
      <c r="M7" s="113">
        <f t="shared" ref="M7:M13" si="3">L7*E7</f>
        <v>3270</v>
      </c>
      <c r="N7" s="73"/>
      <c r="O7" s="65">
        <f t="shared" ref="O7:O13" si="4">N7*E7</f>
        <v>0</v>
      </c>
      <c r="P7" s="65">
        <f t="shared" ref="P7:P13" si="5">N7-L7</f>
        <v>-0.68125000000000002</v>
      </c>
      <c r="Q7" s="65">
        <f t="shared" ref="Q7:Q13" si="6">P7*E7</f>
        <v>-3270</v>
      </c>
      <c r="R7" s="64" t="e">
        <f t="shared" ref="R7:R13" si="7">P7/N7</f>
        <v>#DIV/0!</v>
      </c>
      <c r="S7" s="66"/>
    </row>
    <row r="8" spans="1:19" ht="40.049999999999997" customHeight="1" x14ac:dyDescent="0.5">
      <c r="A8" s="71">
        <v>2</v>
      </c>
      <c r="B8" s="66" t="s">
        <v>73</v>
      </c>
      <c r="C8" s="71">
        <v>100</v>
      </c>
      <c r="D8" s="71">
        <v>24</v>
      </c>
      <c r="E8" s="78">
        <f>D8*C8</f>
        <v>2400</v>
      </c>
      <c r="F8" s="143">
        <v>9.5</v>
      </c>
      <c r="G8" s="77">
        <f t="shared" si="1"/>
        <v>0.39583333333333331</v>
      </c>
      <c r="H8" s="76">
        <f t="shared" ref="H8:H9" si="8">G8*E8</f>
        <v>950</v>
      </c>
      <c r="I8" s="74"/>
      <c r="J8" s="75">
        <f t="shared" si="2"/>
        <v>0.39583333333333331</v>
      </c>
      <c r="K8" s="67">
        <f t="shared" si="2"/>
        <v>950</v>
      </c>
      <c r="L8" s="75">
        <f t="shared" ref="L8:L9" si="9">J8*(1+$M$17+9%)</f>
        <v>0.43145833333333333</v>
      </c>
      <c r="M8" s="113">
        <f t="shared" si="3"/>
        <v>1035.5</v>
      </c>
      <c r="N8" s="73"/>
      <c r="O8" s="65">
        <f t="shared" si="4"/>
        <v>0</v>
      </c>
      <c r="P8" s="65">
        <f t="shared" si="5"/>
        <v>-0.43145833333333333</v>
      </c>
      <c r="Q8" s="65">
        <f t="shared" si="6"/>
        <v>-1035.5</v>
      </c>
      <c r="R8" s="64" t="e">
        <f t="shared" si="7"/>
        <v>#DIV/0!</v>
      </c>
      <c r="S8" s="66"/>
    </row>
    <row r="9" spans="1:19" ht="40.049999999999997" customHeight="1" x14ac:dyDescent="0.5">
      <c r="A9" s="71">
        <v>3</v>
      </c>
      <c r="B9" s="66" t="s">
        <v>61</v>
      </c>
      <c r="C9" s="71">
        <v>10</v>
      </c>
      <c r="D9" s="71">
        <v>60</v>
      </c>
      <c r="E9" s="78">
        <f>C9*D9</f>
        <v>600</v>
      </c>
      <c r="F9" s="143">
        <v>62.5</v>
      </c>
      <c r="G9" s="77">
        <f>F9/D9</f>
        <v>1.0416666666666667</v>
      </c>
      <c r="H9" s="76">
        <f t="shared" si="8"/>
        <v>625</v>
      </c>
      <c r="I9" s="74"/>
      <c r="J9" s="75">
        <f t="shared" si="2"/>
        <v>1.0416666666666667</v>
      </c>
      <c r="K9" s="67">
        <f t="shared" si="2"/>
        <v>625</v>
      </c>
      <c r="L9" s="75">
        <f t="shared" si="9"/>
        <v>1.1354166666666667</v>
      </c>
      <c r="M9" s="113">
        <f t="shared" si="3"/>
        <v>681.25</v>
      </c>
      <c r="N9" s="73"/>
      <c r="O9" s="65"/>
      <c r="P9" s="65"/>
      <c r="Q9" s="65"/>
      <c r="R9" s="64"/>
      <c r="S9" s="66"/>
    </row>
    <row r="10" spans="1:19" ht="40.049999999999997" customHeight="1" x14ac:dyDescent="0.5">
      <c r="A10" s="71">
        <v>4</v>
      </c>
      <c r="B10" s="66" t="s">
        <v>62</v>
      </c>
      <c r="C10" s="71">
        <v>10</v>
      </c>
      <c r="D10" s="71">
        <v>25</v>
      </c>
      <c r="E10" s="78">
        <f>C10*D10</f>
        <v>250</v>
      </c>
      <c r="F10" s="143">
        <v>47.3</v>
      </c>
      <c r="G10" s="77">
        <f t="shared" si="1"/>
        <v>1.8919999999999999</v>
      </c>
      <c r="H10" s="76">
        <f t="shared" ref="H10:H14" si="10">G10*E10</f>
        <v>473</v>
      </c>
      <c r="I10" s="74"/>
      <c r="J10" s="75">
        <f t="shared" si="2"/>
        <v>1.8919999999999999</v>
      </c>
      <c r="K10" s="67">
        <f t="shared" si="2"/>
        <v>473</v>
      </c>
      <c r="L10" s="75">
        <f>J10*(1+$M$17+9%)</f>
        <v>2.0622799999999999</v>
      </c>
      <c r="M10" s="113">
        <f t="shared" si="3"/>
        <v>515.56999999999994</v>
      </c>
      <c r="N10" s="73"/>
      <c r="O10" s="65"/>
      <c r="P10" s="65"/>
      <c r="Q10" s="65"/>
      <c r="R10" s="64"/>
      <c r="S10" s="66"/>
    </row>
    <row r="11" spans="1:19" ht="40.049999999999997" customHeight="1" x14ac:dyDescent="0.5">
      <c r="A11" s="71">
        <v>5</v>
      </c>
      <c r="B11" s="66" t="s">
        <v>71</v>
      </c>
      <c r="C11" s="71">
        <v>24</v>
      </c>
      <c r="D11" s="71">
        <v>15</v>
      </c>
      <c r="E11" s="70">
        <f t="shared" si="0"/>
        <v>360</v>
      </c>
      <c r="F11" s="143">
        <f>(20/24)*9.8</f>
        <v>8.1666666666666679</v>
      </c>
      <c r="G11" s="77">
        <f t="shared" si="1"/>
        <v>0.54444444444444451</v>
      </c>
      <c r="H11" s="76">
        <f t="shared" si="10"/>
        <v>196.00000000000003</v>
      </c>
      <c r="I11" s="66"/>
      <c r="J11" s="75">
        <f t="shared" si="2"/>
        <v>0.54444444444444451</v>
      </c>
      <c r="K11" s="67">
        <f t="shared" si="2"/>
        <v>196.00000000000003</v>
      </c>
      <c r="L11" s="75">
        <f t="shared" ref="L11:L13" si="11">J11*(1+$M$17+9%)</f>
        <v>0.59344444444444455</v>
      </c>
      <c r="M11" s="113">
        <f t="shared" si="3"/>
        <v>213.64000000000004</v>
      </c>
      <c r="N11" s="66"/>
      <c r="O11" s="65">
        <f t="shared" si="4"/>
        <v>0</v>
      </c>
      <c r="P11" s="65"/>
      <c r="Q11" s="65"/>
      <c r="R11" s="64"/>
      <c r="S11" s="63"/>
    </row>
    <row r="12" spans="1:19" ht="40.049999999999997" customHeight="1" x14ac:dyDescent="0.5">
      <c r="A12" s="71">
        <v>6</v>
      </c>
      <c r="B12" s="66" t="s">
        <v>72</v>
      </c>
      <c r="C12" s="71">
        <v>24</v>
      </c>
      <c r="D12" s="71">
        <v>15</v>
      </c>
      <c r="E12" s="70">
        <f t="shared" si="0"/>
        <v>360</v>
      </c>
      <c r="F12" s="143">
        <f t="shared" ref="F12:F13" si="12">(20/24)*9.8</f>
        <v>8.1666666666666679</v>
      </c>
      <c r="G12" s="77">
        <f t="shared" si="1"/>
        <v>0.54444444444444451</v>
      </c>
      <c r="H12" s="76">
        <f t="shared" si="10"/>
        <v>196.00000000000003</v>
      </c>
      <c r="I12" s="66"/>
      <c r="J12" s="75">
        <f t="shared" si="2"/>
        <v>0.54444444444444451</v>
      </c>
      <c r="K12" s="67">
        <f t="shared" si="2"/>
        <v>196.00000000000003</v>
      </c>
      <c r="L12" s="75">
        <f t="shared" si="11"/>
        <v>0.59344444444444455</v>
      </c>
      <c r="M12" s="113">
        <f t="shared" si="3"/>
        <v>213.64000000000004</v>
      </c>
      <c r="N12" s="66"/>
      <c r="O12" s="65">
        <f t="shared" si="4"/>
        <v>0</v>
      </c>
      <c r="P12" s="65"/>
      <c r="Q12" s="65"/>
      <c r="R12" s="64"/>
      <c r="S12" s="63"/>
    </row>
    <row r="13" spans="1:19" ht="40.049999999999997" customHeight="1" x14ac:dyDescent="0.5">
      <c r="A13" s="71">
        <v>7</v>
      </c>
      <c r="B13" s="66" t="s">
        <v>69</v>
      </c>
      <c r="C13" s="71">
        <v>24</v>
      </c>
      <c r="D13" s="71">
        <v>15</v>
      </c>
      <c r="E13" s="70">
        <f t="shared" si="0"/>
        <v>360</v>
      </c>
      <c r="F13" s="143">
        <f t="shared" si="12"/>
        <v>8.1666666666666679</v>
      </c>
      <c r="G13" s="77">
        <f t="shared" si="1"/>
        <v>0.54444444444444451</v>
      </c>
      <c r="H13" s="76">
        <f t="shared" si="10"/>
        <v>196.00000000000003</v>
      </c>
      <c r="I13" s="66"/>
      <c r="J13" s="75">
        <f t="shared" si="2"/>
        <v>0.54444444444444451</v>
      </c>
      <c r="K13" s="67">
        <f t="shared" si="2"/>
        <v>196.00000000000003</v>
      </c>
      <c r="L13" s="75">
        <f t="shared" si="11"/>
        <v>0.59344444444444455</v>
      </c>
      <c r="M13" s="113">
        <f t="shared" si="3"/>
        <v>213.64000000000004</v>
      </c>
      <c r="N13" s="66"/>
      <c r="O13" s="65">
        <f t="shared" si="4"/>
        <v>0</v>
      </c>
      <c r="P13" s="65">
        <f t="shared" si="5"/>
        <v>-0.59344444444444455</v>
      </c>
      <c r="Q13" s="65">
        <f t="shared" si="6"/>
        <v>-213.64000000000004</v>
      </c>
      <c r="R13" s="64" t="e">
        <f t="shared" si="7"/>
        <v>#DIV/0!</v>
      </c>
      <c r="S13" s="63"/>
    </row>
    <row r="14" spans="1:19" ht="43.15" thickBot="1" x14ac:dyDescent="0.55000000000000004">
      <c r="A14" s="62" t="s">
        <v>13</v>
      </c>
      <c r="B14" s="66"/>
      <c r="C14" s="138"/>
      <c r="D14" s="135"/>
      <c r="E14" s="45"/>
      <c r="F14" s="146"/>
      <c r="G14" s="61" t="s">
        <v>12</v>
      </c>
      <c r="H14" s="76" t="e">
        <f t="shared" si="10"/>
        <v>#VALUE!</v>
      </c>
      <c r="I14" s="59"/>
      <c r="J14" s="58" t="s">
        <v>11</v>
      </c>
      <c r="K14" s="57">
        <f>SUM(K7:K13)</f>
        <v>5636</v>
      </c>
      <c r="L14" s="56" t="s">
        <v>10</v>
      </c>
      <c r="M14" s="55"/>
      <c r="N14" s="54">
        <f>SUM(O7:O10)</f>
        <v>0</v>
      </c>
      <c r="O14" s="53"/>
      <c r="P14" s="52" t="s">
        <v>9</v>
      </c>
      <c r="Q14" s="51"/>
      <c r="R14" s="50">
        <f>N14-K17</f>
        <v>-6143.24</v>
      </c>
      <c r="S14" s="49"/>
    </row>
    <row r="15" spans="1:19" ht="16.149999999999999" thickBot="1" x14ac:dyDescent="0.55000000000000004">
      <c r="A15" s="48"/>
      <c r="B15" s="66"/>
      <c r="C15" s="138"/>
      <c r="D15" s="135"/>
      <c r="E15" s="45"/>
      <c r="F15" s="146"/>
      <c r="G15" s="43"/>
      <c r="H15" s="42"/>
      <c r="I15" s="14"/>
      <c r="J15" s="41" t="s">
        <v>8</v>
      </c>
      <c r="K15" s="40">
        <f>K14*0.09</f>
        <v>507.24</v>
      </c>
      <c r="L15" s="26"/>
      <c r="M15" s="26"/>
      <c r="N15" s="26"/>
      <c r="O15" s="26"/>
      <c r="P15" s="39"/>
      <c r="Q15" s="38"/>
      <c r="R15" s="37"/>
      <c r="S15" s="36"/>
    </row>
    <row r="16" spans="1:19" ht="43.15" thickBot="1" x14ac:dyDescent="0.55000000000000004">
      <c r="A16" s="35"/>
      <c r="B16" s="47"/>
      <c r="C16" s="139"/>
      <c r="D16" s="136"/>
      <c r="E16" s="32"/>
      <c r="F16" s="147"/>
      <c r="G16" s="30" t="s">
        <v>7</v>
      </c>
      <c r="H16" s="29" t="s">
        <v>6</v>
      </c>
      <c r="I16" s="14"/>
      <c r="J16" s="28" t="s">
        <v>5</v>
      </c>
      <c r="K16" s="27">
        <v>0</v>
      </c>
      <c r="L16" s="26"/>
      <c r="M16" s="26"/>
      <c r="N16" s="26"/>
      <c r="O16" s="26"/>
      <c r="P16" s="25" t="s">
        <v>4</v>
      </c>
      <c r="Q16" s="24"/>
      <c r="R16" s="23" t="e">
        <f>R14/N14</f>
        <v>#DIV/0!</v>
      </c>
      <c r="S16" s="22"/>
    </row>
    <row r="17" spans="1:19" ht="94.9" thickBot="1" x14ac:dyDescent="0.55000000000000004">
      <c r="A17" s="21"/>
      <c r="B17" s="47"/>
      <c r="C17" s="140"/>
      <c r="D17" s="137"/>
      <c r="E17" s="18"/>
      <c r="F17" s="148"/>
      <c r="G17" s="16" t="s">
        <v>3</v>
      </c>
      <c r="H17" s="15" t="e">
        <f>SUM(H14:H16)</f>
        <v>#VALUE!</v>
      </c>
      <c r="I17" s="14"/>
      <c r="J17" s="13" t="s">
        <v>3</v>
      </c>
      <c r="K17" s="12">
        <f>SUM(K14:K16)</f>
        <v>6143.24</v>
      </c>
      <c r="L17" s="11" t="s">
        <v>2</v>
      </c>
      <c r="M17" s="10">
        <f>K16/K14</f>
        <v>0</v>
      </c>
      <c r="N17" s="9"/>
      <c r="O17" s="8"/>
      <c r="P17" s="7"/>
      <c r="Q17" s="7"/>
      <c r="R17" s="7"/>
      <c r="S17" s="6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B2CD-9D36-48ED-994F-28C8B181B79A}">
  <dimension ref="A1:S13"/>
  <sheetViews>
    <sheetView workbookViewId="0">
      <selection activeCell="E15" sqref="E9:E15"/>
    </sheetView>
  </sheetViews>
  <sheetFormatPr defaultRowHeight="15.75" x14ac:dyDescent="0.5"/>
  <cols>
    <col min="2" max="2" width="34.0625" customWidth="1"/>
    <col min="3" max="4" width="9" style="127"/>
    <col min="6" max="6" width="9" style="149"/>
    <col min="8" max="8" width="9.9375" bestFit="1" customWidth="1"/>
    <col min="11" max="11" width="10.437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 t="s">
        <v>75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71">
        <v>1</v>
      </c>
      <c r="B7" s="66" t="s">
        <v>63</v>
      </c>
      <c r="C7" s="71">
        <v>10</v>
      </c>
      <c r="D7" s="71">
        <v>24</v>
      </c>
      <c r="E7" s="78">
        <f t="shared" ref="E7:E9" si="0">D7*C7</f>
        <v>240</v>
      </c>
      <c r="F7" s="143">
        <v>46</v>
      </c>
      <c r="G7" s="77">
        <f t="shared" ref="G7:G9" si="1">F7/D7</f>
        <v>1.9166666666666667</v>
      </c>
      <c r="H7" s="76">
        <f t="shared" ref="H7:H9" si="2">G7*E7</f>
        <v>460</v>
      </c>
      <c r="I7" s="74"/>
      <c r="J7" s="75">
        <f t="shared" ref="J7:K9" si="3">G7/$Q$2</f>
        <v>1.9166666666666667</v>
      </c>
      <c r="K7" s="67">
        <f>H7/$Q$2</f>
        <v>460</v>
      </c>
      <c r="L7" s="75">
        <f>J7*(1+$M$13+9%)</f>
        <v>2.0891666666666668</v>
      </c>
      <c r="M7" s="113">
        <f t="shared" ref="M7:M9" si="4">L7*E7</f>
        <v>501.40000000000003</v>
      </c>
      <c r="N7" s="73"/>
      <c r="O7" s="65">
        <f t="shared" ref="O7:O8" si="5">N7*E7</f>
        <v>0</v>
      </c>
      <c r="P7" s="65">
        <f t="shared" ref="P7:P8" si="6">N7-L7</f>
        <v>-2.0891666666666668</v>
      </c>
      <c r="Q7" s="65">
        <f t="shared" ref="Q7:Q8" si="7">P7*E7</f>
        <v>-501.40000000000003</v>
      </c>
      <c r="R7" s="64" t="e">
        <f t="shared" ref="R7:R8" si="8">P7/N7</f>
        <v>#DIV/0!</v>
      </c>
      <c r="S7" s="66"/>
    </row>
    <row r="8" spans="1:19" ht="40.049999999999997" customHeight="1" x14ac:dyDescent="0.5">
      <c r="A8" s="71">
        <v>2</v>
      </c>
      <c r="B8" s="66" t="s">
        <v>64</v>
      </c>
      <c r="C8" s="71">
        <v>10</v>
      </c>
      <c r="D8" s="71">
        <v>20</v>
      </c>
      <c r="E8" s="70">
        <f t="shared" si="0"/>
        <v>200</v>
      </c>
      <c r="F8" s="143">
        <v>57.2</v>
      </c>
      <c r="G8" s="69">
        <f t="shared" si="1"/>
        <v>2.8600000000000003</v>
      </c>
      <c r="H8" s="76">
        <f t="shared" si="2"/>
        <v>572.00000000000011</v>
      </c>
      <c r="I8" s="74"/>
      <c r="J8" s="75">
        <f t="shared" si="3"/>
        <v>2.8600000000000003</v>
      </c>
      <c r="K8" s="67">
        <f>H8/$Q$2</f>
        <v>572.00000000000011</v>
      </c>
      <c r="L8" s="75">
        <f>J8*(1+$M$13+9%)</f>
        <v>3.1174000000000004</v>
      </c>
      <c r="M8" s="113">
        <f t="shared" si="4"/>
        <v>623.48000000000013</v>
      </c>
      <c r="N8" s="73"/>
      <c r="O8" s="65">
        <f t="shared" si="5"/>
        <v>0</v>
      </c>
      <c r="P8" s="65">
        <f t="shared" si="6"/>
        <v>-3.1174000000000004</v>
      </c>
      <c r="Q8" s="65">
        <f t="shared" si="7"/>
        <v>-623.48000000000013</v>
      </c>
      <c r="R8" s="64" t="e">
        <f t="shared" si="8"/>
        <v>#DIV/0!</v>
      </c>
      <c r="S8" s="66"/>
    </row>
    <row r="9" spans="1:19" ht="40.049999999999997" customHeight="1" x14ac:dyDescent="0.5">
      <c r="A9" s="71">
        <v>3</v>
      </c>
      <c r="B9" s="66" t="s">
        <v>65</v>
      </c>
      <c r="C9" s="71">
        <v>20</v>
      </c>
      <c r="D9" s="71">
        <v>20</v>
      </c>
      <c r="E9" s="70">
        <f t="shared" si="0"/>
        <v>400</v>
      </c>
      <c r="F9" s="143">
        <v>57.2</v>
      </c>
      <c r="G9" s="69">
        <f t="shared" si="1"/>
        <v>2.8600000000000003</v>
      </c>
      <c r="H9" s="76">
        <f>G9*E9</f>
        <v>1144.0000000000002</v>
      </c>
      <c r="I9" s="74"/>
      <c r="J9" s="75">
        <f t="shared" si="3"/>
        <v>2.8600000000000003</v>
      </c>
      <c r="K9" s="67">
        <f>H9/$Q$2</f>
        <v>1144.0000000000002</v>
      </c>
      <c r="L9" s="75">
        <f>J9*(1+$M$13+9%)</f>
        <v>3.1174000000000004</v>
      </c>
      <c r="M9" s="113">
        <f t="shared" si="4"/>
        <v>1246.9600000000003</v>
      </c>
      <c r="N9" s="73"/>
      <c r="O9" s="65"/>
      <c r="P9" s="65"/>
      <c r="Q9" s="65"/>
      <c r="R9" s="64"/>
      <c r="S9" s="66"/>
    </row>
    <row r="10" spans="1:19" ht="43.15" thickBot="1" x14ac:dyDescent="0.55000000000000004">
      <c r="A10" s="62" t="s">
        <v>13</v>
      </c>
      <c r="B10" s="66"/>
      <c r="C10" s="138"/>
      <c r="D10" s="135"/>
      <c r="E10" s="45"/>
      <c r="F10" s="146"/>
      <c r="G10" s="61" t="s">
        <v>12</v>
      </c>
      <c r="H10" s="76" t="e">
        <f t="shared" ref="H8:H10" si="9">G10*E10</f>
        <v>#VALUE!</v>
      </c>
      <c r="I10" s="59"/>
      <c r="J10" s="58" t="s">
        <v>11</v>
      </c>
      <c r="K10" s="57">
        <f>SUM(K7:K9)</f>
        <v>2176</v>
      </c>
      <c r="L10" s="56" t="s">
        <v>10</v>
      </c>
      <c r="M10" s="55"/>
      <c r="N10" s="54">
        <f>SUM(O7:O9)</f>
        <v>0</v>
      </c>
      <c r="O10" s="53"/>
      <c r="P10" s="52" t="s">
        <v>9</v>
      </c>
      <c r="Q10" s="51"/>
      <c r="R10" s="50">
        <f>N10-K13</f>
        <v>-2371.84</v>
      </c>
      <c r="S10" s="49"/>
    </row>
    <row r="11" spans="1:19" ht="16.149999999999999" thickBot="1" x14ac:dyDescent="0.55000000000000004">
      <c r="A11" s="48"/>
      <c r="B11" s="66"/>
      <c r="C11" s="138"/>
      <c r="D11" s="135"/>
      <c r="E11" s="45"/>
      <c r="F11" s="146"/>
      <c r="G11" s="43"/>
      <c r="H11" s="42"/>
      <c r="I11" s="14"/>
      <c r="J11" s="41" t="s">
        <v>8</v>
      </c>
      <c r="K11" s="40">
        <f>K10*0.09</f>
        <v>195.84</v>
      </c>
      <c r="L11" s="26"/>
      <c r="M11" s="26"/>
      <c r="N11" s="26"/>
      <c r="O11" s="26"/>
      <c r="P11" s="39"/>
      <c r="Q11" s="38"/>
      <c r="R11" s="37"/>
      <c r="S11" s="36"/>
    </row>
    <row r="12" spans="1:19" ht="43.15" thickBot="1" x14ac:dyDescent="0.55000000000000004">
      <c r="A12" s="35"/>
      <c r="B12" s="47"/>
      <c r="C12" s="139"/>
      <c r="D12" s="136"/>
      <c r="E12" s="32"/>
      <c r="F12" s="147"/>
      <c r="G12" s="30" t="s">
        <v>7</v>
      </c>
      <c r="H12" s="29" t="s">
        <v>6</v>
      </c>
      <c r="I12" s="14"/>
      <c r="J12" s="28" t="s">
        <v>5</v>
      </c>
      <c r="K12" s="27">
        <v>0</v>
      </c>
      <c r="L12" s="26"/>
      <c r="M12" s="26"/>
      <c r="N12" s="26"/>
      <c r="O12" s="26"/>
      <c r="P12" s="25" t="s">
        <v>4</v>
      </c>
      <c r="Q12" s="24"/>
      <c r="R12" s="23" t="e">
        <f>R10/N10</f>
        <v>#DIV/0!</v>
      </c>
      <c r="S12" s="22"/>
    </row>
    <row r="13" spans="1:19" ht="94.9" thickBot="1" x14ac:dyDescent="0.55000000000000004">
      <c r="A13" s="21"/>
      <c r="B13" s="47"/>
      <c r="C13" s="140"/>
      <c r="D13" s="137"/>
      <c r="E13" s="18"/>
      <c r="F13" s="148"/>
      <c r="G13" s="16" t="s">
        <v>3</v>
      </c>
      <c r="H13" s="15" t="e">
        <f>SUM(H10:H12)</f>
        <v>#VALUE!</v>
      </c>
      <c r="I13" s="14"/>
      <c r="J13" s="13" t="s">
        <v>3</v>
      </c>
      <c r="K13" s="12">
        <f>SUM(K10:K12)</f>
        <v>2371.84</v>
      </c>
      <c r="L13" s="11" t="s">
        <v>2</v>
      </c>
      <c r="M13" s="10">
        <f>K12/K10</f>
        <v>0</v>
      </c>
      <c r="N13" s="9"/>
      <c r="O13" s="8"/>
      <c r="P13" s="7"/>
      <c r="Q13" s="7"/>
      <c r="R13" s="7"/>
      <c r="S13" s="6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F6C2-5522-4F80-960B-D215514900B0}">
  <dimension ref="A1:S17"/>
  <sheetViews>
    <sheetView topLeftCell="B7" workbookViewId="0">
      <selection activeCell="F10" sqref="F10"/>
    </sheetView>
  </sheetViews>
  <sheetFormatPr defaultRowHeight="15.75" x14ac:dyDescent="0.5"/>
  <cols>
    <col min="2" max="2" width="37.1875" customWidth="1"/>
    <col min="6" max="6" width="9" style="150"/>
    <col min="8" max="8" width="9.9375" bestFit="1" customWidth="1"/>
    <col min="11" max="11" width="10.437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>
        <v>46050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B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71">
        <v>1</v>
      </c>
      <c r="B7" s="66" t="s">
        <v>59</v>
      </c>
      <c r="C7" s="71">
        <v>100</v>
      </c>
      <c r="D7" s="71">
        <v>24</v>
      </c>
      <c r="E7" s="78">
        <f t="shared" ref="E7:E12" si="0">D7*C7</f>
        <v>2400</v>
      </c>
      <c r="F7" s="143">
        <v>15</v>
      </c>
      <c r="G7" s="77">
        <f t="shared" ref="G7:G12" si="1">F7/D7</f>
        <v>0.625</v>
      </c>
      <c r="H7" s="76">
        <f>G7*E7</f>
        <v>1500</v>
      </c>
      <c r="I7" s="74"/>
      <c r="J7" s="75">
        <f t="shared" ref="J7:K12" si="2">G7/$Q$2</f>
        <v>0.625</v>
      </c>
      <c r="K7" s="67">
        <f>H7/$Q$2</f>
        <v>1500</v>
      </c>
      <c r="L7" s="75">
        <f>J7*(1+$M$16+9%)</f>
        <v>0.68125000000000002</v>
      </c>
      <c r="M7" s="113">
        <f t="shared" ref="M7:M12" si="3">L7*E7</f>
        <v>1635</v>
      </c>
      <c r="N7" s="73"/>
      <c r="O7" s="65">
        <f t="shared" ref="O7:O12" si="4">N7*E7</f>
        <v>0</v>
      </c>
      <c r="P7" s="65">
        <f t="shared" ref="P7:P12" si="5">N7-L7</f>
        <v>-0.68125000000000002</v>
      </c>
      <c r="Q7" s="65">
        <f t="shared" ref="Q7:Q12" si="6">P7*E7</f>
        <v>-1635</v>
      </c>
      <c r="R7" s="64" t="e">
        <f t="shared" ref="R7:R12" si="7">P7/N7</f>
        <v>#DIV/0!</v>
      </c>
      <c r="S7" s="66"/>
    </row>
    <row r="8" spans="1:19" ht="40.049999999999997" customHeight="1" x14ac:dyDescent="0.5">
      <c r="A8" s="71">
        <v>2</v>
      </c>
      <c r="B8" s="66" t="s">
        <v>61</v>
      </c>
      <c r="C8" s="71">
        <v>10</v>
      </c>
      <c r="D8" s="71">
        <v>60</v>
      </c>
      <c r="E8" s="78">
        <f>C8*D8</f>
        <v>600</v>
      </c>
      <c r="F8" s="143">
        <v>62.5</v>
      </c>
      <c r="G8" s="77">
        <f>F8/D8</f>
        <v>1.0416666666666667</v>
      </c>
      <c r="H8" s="76">
        <f t="shared" ref="H8:H13" si="8">G8*E8</f>
        <v>625</v>
      </c>
      <c r="I8" s="74"/>
      <c r="J8" s="75">
        <f t="shared" si="2"/>
        <v>1.0416666666666667</v>
      </c>
      <c r="K8" s="67">
        <f t="shared" si="2"/>
        <v>625</v>
      </c>
      <c r="L8" s="75">
        <f>J8*(1+$M$16+9%)</f>
        <v>1.1354166666666667</v>
      </c>
      <c r="M8" s="113">
        <f t="shared" si="3"/>
        <v>681.25</v>
      </c>
      <c r="N8" s="73"/>
      <c r="O8" s="65"/>
      <c r="P8" s="65"/>
      <c r="Q8" s="65"/>
      <c r="R8" s="64"/>
      <c r="S8" s="66"/>
    </row>
    <row r="9" spans="1:19" ht="40.049999999999997" customHeight="1" x14ac:dyDescent="0.5">
      <c r="A9" s="71">
        <v>3</v>
      </c>
      <c r="B9" s="66" t="s">
        <v>62</v>
      </c>
      <c r="C9" s="71">
        <v>10</v>
      </c>
      <c r="D9" s="71">
        <v>25</v>
      </c>
      <c r="E9" s="78">
        <f>C9*D9</f>
        <v>250</v>
      </c>
      <c r="F9" s="143">
        <v>47.3</v>
      </c>
      <c r="G9" s="77">
        <f>F9/D9</f>
        <v>1.8919999999999999</v>
      </c>
      <c r="H9" s="76">
        <f t="shared" si="8"/>
        <v>473</v>
      </c>
      <c r="I9" s="74"/>
      <c r="J9" s="75">
        <f t="shared" si="2"/>
        <v>1.8919999999999999</v>
      </c>
      <c r="K9" s="67">
        <f t="shared" si="2"/>
        <v>473</v>
      </c>
      <c r="L9" s="75">
        <f>J9*(1+$M$16+9%)</f>
        <v>2.0622799999999999</v>
      </c>
      <c r="M9" s="113">
        <f t="shared" si="3"/>
        <v>515.56999999999994</v>
      </c>
      <c r="N9" s="73"/>
      <c r="O9" s="65"/>
      <c r="P9" s="65"/>
      <c r="Q9" s="65"/>
      <c r="R9" s="64"/>
      <c r="S9" s="66"/>
    </row>
    <row r="10" spans="1:19" ht="40.049999999999997" customHeight="1" x14ac:dyDescent="0.5">
      <c r="A10" s="71">
        <v>4</v>
      </c>
      <c r="B10" s="66" t="s">
        <v>66</v>
      </c>
      <c r="C10" s="71">
        <v>24</v>
      </c>
      <c r="D10" s="71">
        <v>15</v>
      </c>
      <c r="E10" s="70">
        <f t="shared" si="0"/>
        <v>360</v>
      </c>
      <c r="F10" s="143">
        <f>(20/24)*13</f>
        <v>10.833333333333334</v>
      </c>
      <c r="G10" s="69">
        <f t="shared" si="1"/>
        <v>0.72222222222222221</v>
      </c>
      <c r="H10" s="76">
        <f t="shared" si="8"/>
        <v>260</v>
      </c>
      <c r="I10" s="66"/>
      <c r="J10" s="75">
        <f t="shared" si="2"/>
        <v>0.72222222222222221</v>
      </c>
      <c r="K10" s="67">
        <f t="shared" si="2"/>
        <v>260</v>
      </c>
      <c r="L10" s="75">
        <f>J10*(1+$M$16+9%)</f>
        <v>0.78722222222222227</v>
      </c>
      <c r="M10" s="113">
        <f t="shared" si="3"/>
        <v>283.40000000000003</v>
      </c>
      <c r="N10" s="66"/>
      <c r="O10" s="65">
        <f t="shared" si="4"/>
        <v>0</v>
      </c>
      <c r="P10" s="65">
        <f t="shared" si="5"/>
        <v>-0.78722222222222227</v>
      </c>
      <c r="Q10" s="65">
        <f t="shared" si="6"/>
        <v>-283.40000000000003</v>
      </c>
      <c r="R10" s="64" t="e">
        <f t="shared" si="7"/>
        <v>#DIV/0!</v>
      </c>
      <c r="S10" s="63"/>
    </row>
    <row r="11" spans="1:19" ht="40.049999999999997" customHeight="1" x14ac:dyDescent="0.5">
      <c r="A11" s="71">
        <v>5</v>
      </c>
      <c r="B11" s="66" t="s">
        <v>67</v>
      </c>
      <c r="C11" s="71">
        <v>24</v>
      </c>
      <c r="D11" s="71">
        <v>15</v>
      </c>
      <c r="E11" s="70">
        <f t="shared" si="0"/>
        <v>360</v>
      </c>
      <c r="F11" s="143">
        <f t="shared" ref="F11:F12" si="9">(20/24)*13</f>
        <v>10.833333333333334</v>
      </c>
      <c r="G11" s="69">
        <f t="shared" si="1"/>
        <v>0.72222222222222221</v>
      </c>
      <c r="H11" s="76">
        <f t="shared" si="8"/>
        <v>260</v>
      </c>
      <c r="I11" s="66"/>
      <c r="J11" s="75">
        <f t="shared" si="2"/>
        <v>0.72222222222222221</v>
      </c>
      <c r="K11" s="67">
        <f t="shared" si="2"/>
        <v>260</v>
      </c>
      <c r="L11" s="75">
        <f>J11*(1+$M$16+9%)</f>
        <v>0.78722222222222227</v>
      </c>
      <c r="M11" s="113">
        <f t="shared" si="3"/>
        <v>283.40000000000003</v>
      </c>
      <c r="N11" s="66"/>
      <c r="O11" s="65">
        <f t="shared" si="4"/>
        <v>0</v>
      </c>
      <c r="P11" s="65">
        <f t="shared" si="5"/>
        <v>-0.78722222222222227</v>
      </c>
      <c r="Q11" s="65">
        <f t="shared" si="6"/>
        <v>-283.40000000000003</v>
      </c>
      <c r="R11" s="64" t="e">
        <f t="shared" si="7"/>
        <v>#DIV/0!</v>
      </c>
      <c r="S11" s="63"/>
    </row>
    <row r="12" spans="1:19" ht="40.049999999999997" customHeight="1" x14ac:dyDescent="0.5">
      <c r="A12" s="71">
        <v>6</v>
      </c>
      <c r="B12" s="66" t="s">
        <v>68</v>
      </c>
      <c r="C12" s="71">
        <v>24</v>
      </c>
      <c r="D12" s="71">
        <v>15</v>
      </c>
      <c r="E12" s="70">
        <f t="shared" si="0"/>
        <v>360</v>
      </c>
      <c r="F12" s="143">
        <f t="shared" si="9"/>
        <v>10.833333333333334</v>
      </c>
      <c r="G12" s="69">
        <f t="shared" si="1"/>
        <v>0.72222222222222221</v>
      </c>
      <c r="H12" s="76">
        <f t="shared" si="8"/>
        <v>260</v>
      </c>
      <c r="I12" s="66"/>
      <c r="J12" s="75">
        <f t="shared" si="2"/>
        <v>0.72222222222222221</v>
      </c>
      <c r="K12" s="67">
        <f t="shared" si="2"/>
        <v>260</v>
      </c>
      <c r="L12" s="75">
        <f>J12*(1+$M$16+9%)</f>
        <v>0.78722222222222227</v>
      </c>
      <c r="M12" s="113">
        <f t="shared" si="3"/>
        <v>283.40000000000003</v>
      </c>
      <c r="N12" s="66"/>
      <c r="O12" s="65">
        <f t="shared" si="4"/>
        <v>0</v>
      </c>
      <c r="P12" s="65">
        <f t="shared" si="5"/>
        <v>-0.78722222222222227</v>
      </c>
      <c r="Q12" s="65">
        <f t="shared" si="6"/>
        <v>-283.40000000000003</v>
      </c>
      <c r="R12" s="64" t="e">
        <f t="shared" si="7"/>
        <v>#DIV/0!</v>
      </c>
      <c r="S12" s="63"/>
    </row>
    <row r="13" spans="1:19" ht="43.15" thickBot="1" x14ac:dyDescent="0.55000000000000004">
      <c r="A13" s="62"/>
      <c r="B13" s="66"/>
      <c r="C13" s="138"/>
      <c r="D13" s="135"/>
      <c r="E13" s="45"/>
      <c r="F13" s="146"/>
      <c r="G13" s="61" t="s">
        <v>12</v>
      </c>
      <c r="H13" s="76" t="e">
        <f t="shared" si="8"/>
        <v>#VALUE!</v>
      </c>
      <c r="I13" s="59"/>
      <c r="J13" s="58" t="s">
        <v>11</v>
      </c>
      <c r="K13" s="57">
        <f>SUM(K7:K12)</f>
        <v>3378</v>
      </c>
      <c r="L13" s="56" t="s">
        <v>10</v>
      </c>
      <c r="M13" s="55"/>
      <c r="N13" s="54">
        <f>SUM(O7:O9)</f>
        <v>0</v>
      </c>
      <c r="O13" s="53"/>
      <c r="P13" s="52" t="s">
        <v>9</v>
      </c>
      <c r="Q13" s="51"/>
      <c r="R13" s="50">
        <f>N13-K16</f>
        <v>-3682.02</v>
      </c>
      <c r="S13" s="49"/>
    </row>
    <row r="14" spans="1:19" ht="16.149999999999999" thickBot="1" x14ac:dyDescent="0.55000000000000004">
      <c r="A14" s="48"/>
      <c r="B14" s="66"/>
      <c r="C14" s="138"/>
      <c r="D14" s="135"/>
      <c r="E14" s="45"/>
      <c r="F14" s="146"/>
      <c r="G14" s="43"/>
      <c r="H14" s="42"/>
      <c r="I14" s="14"/>
      <c r="J14" s="41" t="s">
        <v>8</v>
      </c>
      <c r="K14" s="40">
        <f>K13*0.09</f>
        <v>304.02</v>
      </c>
      <c r="L14" s="26"/>
      <c r="M14" s="26"/>
      <c r="N14" s="26"/>
      <c r="O14" s="26"/>
      <c r="P14" s="39"/>
      <c r="Q14" s="38"/>
      <c r="R14" s="37"/>
      <c r="S14" s="36"/>
    </row>
    <row r="15" spans="1:19" ht="43.15" thickBot="1" x14ac:dyDescent="0.55000000000000004">
      <c r="A15" s="35"/>
      <c r="B15" s="47"/>
      <c r="C15" s="139"/>
      <c r="D15" s="136"/>
      <c r="E15" s="32"/>
      <c r="F15" s="147"/>
      <c r="G15" s="30" t="s">
        <v>7</v>
      </c>
      <c r="H15" s="29" t="s">
        <v>6</v>
      </c>
      <c r="I15" s="14"/>
      <c r="J15" s="28" t="s">
        <v>5</v>
      </c>
      <c r="K15" s="27">
        <v>0</v>
      </c>
      <c r="L15" s="26"/>
      <c r="M15" s="26"/>
      <c r="N15" s="26"/>
      <c r="O15" s="26"/>
      <c r="P15" s="25" t="s">
        <v>4</v>
      </c>
      <c r="Q15" s="24"/>
      <c r="R15" s="23" t="e">
        <f>R13/N13</f>
        <v>#DIV/0!</v>
      </c>
      <c r="S15" s="22"/>
    </row>
    <row r="16" spans="1:19" ht="94.9" thickBot="1" x14ac:dyDescent="0.55000000000000004">
      <c r="A16" s="21"/>
      <c r="B16" s="47"/>
      <c r="C16" s="140"/>
      <c r="D16" s="137"/>
      <c r="E16" s="18"/>
      <c r="F16" s="148"/>
      <c r="G16" s="16" t="s">
        <v>3</v>
      </c>
      <c r="H16" s="15" t="e">
        <f>SUM(H13:H15)</f>
        <v>#VALUE!</v>
      </c>
      <c r="I16" s="14"/>
      <c r="J16" s="13" t="s">
        <v>3</v>
      </c>
      <c r="K16" s="12">
        <f>SUM(K13:K15)</f>
        <v>3682.02</v>
      </c>
      <c r="L16" s="11" t="s">
        <v>2</v>
      </c>
      <c r="M16" s="10">
        <f>K15/K13</f>
        <v>0</v>
      </c>
      <c r="N16" s="9"/>
      <c r="O16" s="8"/>
      <c r="P16" s="7"/>
      <c r="Q16" s="7"/>
      <c r="R16" s="7"/>
      <c r="S16" s="6"/>
    </row>
    <row r="17" spans="2:19" x14ac:dyDescent="0.5">
      <c r="B17" s="34"/>
      <c r="C17" s="141"/>
      <c r="D17" s="127"/>
      <c r="F17" s="149"/>
      <c r="S17" s="1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AC22-DBC0-406E-AD29-A3CEB65376E6}">
  <dimension ref="A1:S21"/>
  <sheetViews>
    <sheetView topLeftCell="A13" workbookViewId="0">
      <selection activeCell="B17" sqref="B17"/>
    </sheetView>
  </sheetViews>
  <sheetFormatPr defaultRowHeight="15.75" x14ac:dyDescent="0.5"/>
  <cols>
    <col min="2" max="2" width="46.125" customWidth="1"/>
    <col min="6" max="6" width="9" style="150"/>
    <col min="8" max="8" width="9.9375" bestFit="1" customWidth="1"/>
    <col min="11" max="11" width="10.4375" bestFit="1" customWidth="1"/>
    <col min="12" max="12" width="11.12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 t="s">
        <v>79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B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142">
        <v>1</v>
      </c>
      <c r="B7" s="66" t="s">
        <v>59</v>
      </c>
      <c r="C7" s="71">
        <v>100</v>
      </c>
      <c r="D7" s="71">
        <v>24</v>
      </c>
      <c r="E7" s="78">
        <f t="shared" ref="E7:E16" si="0">D7*C7</f>
        <v>2400</v>
      </c>
      <c r="F7" s="143">
        <v>15</v>
      </c>
      <c r="G7" s="77">
        <f t="shared" ref="G7:G16" si="1">F7/D7</f>
        <v>0.625</v>
      </c>
      <c r="H7" s="76">
        <f>G7*E7</f>
        <v>1500</v>
      </c>
      <c r="I7" s="74"/>
      <c r="J7" s="75">
        <f t="shared" ref="J7:K16" si="2">G7/$Q$2</f>
        <v>0.625</v>
      </c>
      <c r="K7" s="67">
        <f>H7/$Q$2</f>
        <v>1500</v>
      </c>
      <c r="L7" s="75">
        <f>J7*(1+$M$20+9%)</f>
        <v>0.68125000000000002</v>
      </c>
      <c r="M7" s="113">
        <f t="shared" ref="M7:M16" si="3">L7*E7</f>
        <v>1635</v>
      </c>
      <c r="N7" s="73"/>
      <c r="O7" s="65">
        <f t="shared" ref="O7:O16" si="4">N7*E7</f>
        <v>0</v>
      </c>
      <c r="P7" s="65">
        <f t="shared" ref="P7:P16" si="5">N7-L7</f>
        <v>-0.68125000000000002</v>
      </c>
      <c r="Q7" s="65">
        <f t="shared" ref="Q7:Q16" si="6">P7*E7</f>
        <v>-1635</v>
      </c>
      <c r="R7" s="64" t="e">
        <f t="shared" ref="R7:R16" si="7">P7/N7</f>
        <v>#DIV/0!</v>
      </c>
      <c r="S7" s="66"/>
    </row>
    <row r="8" spans="1:19" ht="40.049999999999997" customHeight="1" x14ac:dyDescent="0.5">
      <c r="A8" s="142">
        <v>2</v>
      </c>
      <c r="B8" s="66" t="s">
        <v>76</v>
      </c>
      <c r="C8" s="71">
        <v>100</v>
      </c>
      <c r="D8" s="71">
        <v>24</v>
      </c>
      <c r="E8" s="78">
        <f>D8*C8</f>
        <v>2400</v>
      </c>
      <c r="F8" s="143">
        <v>9.5</v>
      </c>
      <c r="G8" s="77">
        <f t="shared" si="1"/>
        <v>0.39583333333333331</v>
      </c>
      <c r="H8" s="76">
        <f t="shared" ref="H8:H17" si="8">G8*E8</f>
        <v>950</v>
      </c>
      <c r="I8" s="74"/>
      <c r="J8" s="75">
        <f t="shared" si="2"/>
        <v>0.39583333333333331</v>
      </c>
      <c r="K8" s="67">
        <f t="shared" si="2"/>
        <v>950</v>
      </c>
      <c r="L8" s="75">
        <f>J8*(1+$M$20+9%)</f>
        <v>0.43145833333333333</v>
      </c>
      <c r="M8" s="113">
        <f t="shared" si="3"/>
        <v>1035.5</v>
      </c>
      <c r="N8" s="73"/>
      <c r="O8" s="65">
        <f t="shared" si="4"/>
        <v>0</v>
      </c>
      <c r="P8" s="65">
        <f t="shared" si="5"/>
        <v>-0.43145833333333333</v>
      </c>
      <c r="Q8" s="65">
        <f t="shared" si="6"/>
        <v>-1035.5</v>
      </c>
      <c r="R8" s="64" t="e">
        <f t="shared" si="7"/>
        <v>#DIV/0!</v>
      </c>
      <c r="S8" s="66"/>
    </row>
    <row r="9" spans="1:19" ht="40.049999999999997" customHeight="1" x14ac:dyDescent="0.5">
      <c r="A9" s="142">
        <v>3</v>
      </c>
      <c r="B9" s="66" t="s">
        <v>61</v>
      </c>
      <c r="C9" s="71">
        <v>10</v>
      </c>
      <c r="D9" s="71">
        <v>60</v>
      </c>
      <c r="E9" s="78">
        <f>C9*D9</f>
        <v>600</v>
      </c>
      <c r="F9" s="143">
        <v>62.5</v>
      </c>
      <c r="G9" s="77">
        <f>F9/D9</f>
        <v>1.0416666666666667</v>
      </c>
      <c r="H9" s="76">
        <f t="shared" si="8"/>
        <v>625</v>
      </c>
      <c r="I9" s="74"/>
      <c r="J9" s="75">
        <f t="shared" si="2"/>
        <v>1.0416666666666667</v>
      </c>
      <c r="K9" s="67">
        <f t="shared" si="2"/>
        <v>625</v>
      </c>
      <c r="L9" s="75">
        <f>J9*(1+$M$20+9%)</f>
        <v>1.1354166666666667</v>
      </c>
      <c r="M9" s="113">
        <f t="shared" si="3"/>
        <v>681.25</v>
      </c>
      <c r="N9" s="73"/>
      <c r="O9" s="65"/>
      <c r="P9" s="65"/>
      <c r="Q9" s="65"/>
      <c r="R9" s="64"/>
      <c r="S9" s="66"/>
    </row>
    <row r="10" spans="1:19" ht="40.049999999999997" customHeight="1" x14ac:dyDescent="0.5">
      <c r="A10" s="142">
        <v>4</v>
      </c>
      <c r="B10" s="66" t="s">
        <v>62</v>
      </c>
      <c r="C10" s="71">
        <v>10</v>
      </c>
      <c r="D10" s="71">
        <v>25</v>
      </c>
      <c r="E10" s="78">
        <f>C10*D10</f>
        <v>250</v>
      </c>
      <c r="F10" s="143">
        <v>47.3</v>
      </c>
      <c r="G10" s="77">
        <f t="shared" si="1"/>
        <v>1.8919999999999999</v>
      </c>
      <c r="H10" s="76">
        <f t="shared" si="8"/>
        <v>473</v>
      </c>
      <c r="I10" s="74"/>
      <c r="J10" s="75">
        <f t="shared" si="2"/>
        <v>1.8919999999999999</v>
      </c>
      <c r="K10" s="67">
        <f t="shared" si="2"/>
        <v>473</v>
      </c>
      <c r="L10" s="75">
        <f>J10*(1+$M$20+9%)</f>
        <v>2.0622799999999999</v>
      </c>
      <c r="M10" s="113">
        <f t="shared" si="3"/>
        <v>515.56999999999994</v>
      </c>
      <c r="N10" s="73"/>
      <c r="O10" s="65"/>
      <c r="P10" s="65"/>
      <c r="Q10" s="65"/>
      <c r="R10" s="64"/>
      <c r="S10" s="66"/>
    </row>
    <row r="11" spans="1:19" ht="40.049999999999997" customHeight="1" x14ac:dyDescent="0.5">
      <c r="A11" s="142">
        <v>5</v>
      </c>
      <c r="B11" s="66" t="s">
        <v>77</v>
      </c>
      <c r="C11" s="71">
        <v>20</v>
      </c>
      <c r="D11" s="71">
        <v>24</v>
      </c>
      <c r="E11" s="78">
        <f t="shared" ref="E11" si="9">D11*C11</f>
        <v>480</v>
      </c>
      <c r="F11" s="143">
        <v>46</v>
      </c>
      <c r="G11" s="77">
        <f t="shared" si="1"/>
        <v>1.9166666666666667</v>
      </c>
      <c r="H11" s="76">
        <f t="shared" si="8"/>
        <v>920</v>
      </c>
      <c r="I11" s="74"/>
      <c r="J11" s="75">
        <f t="shared" si="2"/>
        <v>1.9166666666666667</v>
      </c>
      <c r="K11" s="67">
        <f>H11/$Q$2</f>
        <v>920</v>
      </c>
      <c r="L11" s="75">
        <f t="shared" ref="L11:L13" si="10">J11*(1+$M$20+9%)</f>
        <v>2.0891666666666668</v>
      </c>
      <c r="M11" s="113">
        <f t="shared" si="3"/>
        <v>1002.8000000000001</v>
      </c>
      <c r="N11" s="73"/>
      <c r="O11" s="65">
        <f t="shared" ref="O11" si="11">N11*E11</f>
        <v>0</v>
      </c>
      <c r="P11" s="65">
        <f t="shared" ref="P11" si="12">N11-L11</f>
        <v>-2.0891666666666668</v>
      </c>
      <c r="Q11" s="65">
        <f t="shared" ref="Q11" si="13">P11*E11</f>
        <v>-1002.8000000000001</v>
      </c>
      <c r="R11" s="64" t="e">
        <f t="shared" ref="R11" si="14">P11/N11</f>
        <v>#DIV/0!</v>
      </c>
      <c r="S11" s="66"/>
    </row>
    <row r="12" spans="1:19" ht="40.049999999999997" customHeight="1" x14ac:dyDescent="0.5">
      <c r="A12" s="142">
        <v>6</v>
      </c>
      <c r="B12" s="66" t="s">
        <v>78</v>
      </c>
      <c r="C12" s="71">
        <v>10</v>
      </c>
      <c r="D12" s="71">
        <v>24</v>
      </c>
      <c r="E12" s="78">
        <f>D12*C12</f>
        <v>240</v>
      </c>
      <c r="F12" s="143">
        <v>46</v>
      </c>
      <c r="G12" s="77">
        <f t="shared" si="1"/>
        <v>1.9166666666666667</v>
      </c>
      <c r="H12" s="76">
        <f t="shared" si="8"/>
        <v>460</v>
      </c>
      <c r="I12" s="74"/>
      <c r="J12" s="75">
        <f t="shared" si="2"/>
        <v>1.9166666666666667</v>
      </c>
      <c r="K12" s="67">
        <f>H12/$Q$2</f>
        <v>460</v>
      </c>
      <c r="L12" s="75">
        <f t="shared" si="10"/>
        <v>2.0891666666666668</v>
      </c>
      <c r="M12" s="113">
        <f t="shared" si="3"/>
        <v>501.40000000000003</v>
      </c>
      <c r="N12" s="73"/>
      <c r="O12" s="65"/>
      <c r="P12" s="65"/>
      <c r="Q12" s="65"/>
      <c r="R12" s="64"/>
      <c r="S12" s="66"/>
    </row>
    <row r="13" spans="1:19" ht="40.049999999999997" customHeight="1" x14ac:dyDescent="0.5">
      <c r="A13" s="142">
        <v>7</v>
      </c>
      <c r="B13" s="66" t="s">
        <v>64</v>
      </c>
      <c r="C13" s="71">
        <v>10</v>
      </c>
      <c r="D13" s="71">
        <v>20</v>
      </c>
      <c r="E13" s="70">
        <f t="shared" si="0"/>
        <v>200</v>
      </c>
      <c r="F13" s="143">
        <v>57.2</v>
      </c>
      <c r="G13" s="77">
        <f t="shared" si="1"/>
        <v>2.8600000000000003</v>
      </c>
      <c r="H13" s="76">
        <f t="shared" si="8"/>
        <v>572.00000000000011</v>
      </c>
      <c r="I13" s="74"/>
      <c r="J13" s="75">
        <f t="shared" si="2"/>
        <v>2.8600000000000003</v>
      </c>
      <c r="K13" s="67">
        <f t="shared" si="2"/>
        <v>572.00000000000011</v>
      </c>
      <c r="L13" s="75">
        <f t="shared" si="10"/>
        <v>3.1174000000000004</v>
      </c>
      <c r="M13" s="113">
        <f t="shared" si="3"/>
        <v>623.48000000000013</v>
      </c>
      <c r="N13" s="73"/>
      <c r="O13" s="65">
        <f t="shared" si="4"/>
        <v>0</v>
      </c>
      <c r="P13" s="65">
        <f t="shared" si="5"/>
        <v>-3.1174000000000004</v>
      </c>
      <c r="Q13" s="65">
        <f t="shared" si="6"/>
        <v>-623.48000000000013</v>
      </c>
      <c r="R13" s="64" t="e">
        <f t="shared" si="7"/>
        <v>#DIV/0!</v>
      </c>
      <c r="S13" s="72"/>
    </row>
    <row r="14" spans="1:19" ht="40.049999999999997" customHeight="1" x14ac:dyDescent="0.5">
      <c r="A14" s="142">
        <v>8</v>
      </c>
      <c r="B14" s="66" t="s">
        <v>65</v>
      </c>
      <c r="C14" s="71">
        <v>10</v>
      </c>
      <c r="D14" s="71">
        <v>20</v>
      </c>
      <c r="E14" s="70">
        <f t="shared" si="0"/>
        <v>200</v>
      </c>
      <c r="F14" s="143">
        <v>57.2</v>
      </c>
      <c r="G14" s="77">
        <f t="shared" si="1"/>
        <v>2.8600000000000003</v>
      </c>
      <c r="H14" s="76">
        <f t="shared" si="8"/>
        <v>572.00000000000011</v>
      </c>
      <c r="I14" s="74"/>
      <c r="J14" s="75">
        <f t="shared" si="2"/>
        <v>2.8600000000000003</v>
      </c>
      <c r="K14" s="67">
        <f t="shared" si="2"/>
        <v>572.00000000000011</v>
      </c>
      <c r="L14" s="75">
        <f>J14*(1+$M$20+9%)</f>
        <v>3.1174000000000004</v>
      </c>
      <c r="M14" s="113">
        <f t="shared" si="3"/>
        <v>623.48000000000013</v>
      </c>
      <c r="N14" s="73"/>
      <c r="O14" s="65">
        <f t="shared" si="4"/>
        <v>0</v>
      </c>
      <c r="P14" s="65">
        <f t="shared" si="5"/>
        <v>-3.1174000000000004</v>
      </c>
      <c r="Q14" s="65">
        <f t="shared" si="6"/>
        <v>-623.48000000000013</v>
      </c>
      <c r="R14" s="64" t="e">
        <f t="shared" si="7"/>
        <v>#DIV/0!</v>
      </c>
      <c r="S14" s="72"/>
    </row>
    <row r="15" spans="1:19" ht="40.049999999999997" customHeight="1" x14ac:dyDescent="0.5">
      <c r="A15" s="142">
        <v>9</v>
      </c>
      <c r="B15" s="66" t="s">
        <v>71</v>
      </c>
      <c r="C15" s="71">
        <v>24</v>
      </c>
      <c r="D15" s="71">
        <v>15</v>
      </c>
      <c r="E15" s="70">
        <f t="shared" si="0"/>
        <v>360</v>
      </c>
      <c r="F15" s="143">
        <f>(20/24)*9.8</f>
        <v>8.1666666666666679</v>
      </c>
      <c r="G15" s="77">
        <f t="shared" si="1"/>
        <v>0.54444444444444451</v>
      </c>
      <c r="H15" s="76">
        <f t="shared" si="8"/>
        <v>196.00000000000003</v>
      </c>
      <c r="I15" s="66"/>
      <c r="J15" s="75">
        <f t="shared" si="2"/>
        <v>0.54444444444444451</v>
      </c>
      <c r="K15" s="67">
        <f t="shared" si="2"/>
        <v>196.00000000000003</v>
      </c>
      <c r="L15" s="75">
        <f>J15*(1+$M$20+9%)</f>
        <v>0.59344444444444455</v>
      </c>
      <c r="M15" s="113">
        <f t="shared" si="3"/>
        <v>213.64000000000004</v>
      </c>
      <c r="N15" s="66"/>
      <c r="O15" s="65">
        <f t="shared" si="4"/>
        <v>0</v>
      </c>
      <c r="P15" s="65"/>
      <c r="Q15" s="65"/>
      <c r="R15" s="64"/>
      <c r="S15" s="63"/>
    </row>
    <row r="16" spans="1:19" ht="40.049999999999997" customHeight="1" x14ac:dyDescent="0.5">
      <c r="A16" s="142">
        <v>10</v>
      </c>
      <c r="B16" s="66" t="s">
        <v>69</v>
      </c>
      <c r="C16" s="71">
        <v>24</v>
      </c>
      <c r="D16" s="71">
        <v>15</v>
      </c>
      <c r="E16" s="70">
        <f t="shared" si="0"/>
        <v>360</v>
      </c>
      <c r="F16" s="143">
        <f t="shared" ref="F16" si="15">(20/24)*9.8</f>
        <v>8.1666666666666679</v>
      </c>
      <c r="G16" s="77">
        <f t="shared" si="1"/>
        <v>0.54444444444444451</v>
      </c>
      <c r="H16" s="76">
        <f t="shared" si="8"/>
        <v>196.00000000000003</v>
      </c>
      <c r="I16" s="66"/>
      <c r="J16" s="75">
        <f t="shared" si="2"/>
        <v>0.54444444444444451</v>
      </c>
      <c r="K16" s="67">
        <f t="shared" si="2"/>
        <v>196.00000000000003</v>
      </c>
      <c r="L16" s="75">
        <f>J16*(1+$M$20+9%)</f>
        <v>0.59344444444444455</v>
      </c>
      <c r="M16" s="113">
        <f t="shared" si="3"/>
        <v>213.64000000000004</v>
      </c>
      <c r="N16" s="66"/>
      <c r="O16" s="65">
        <f t="shared" si="4"/>
        <v>0</v>
      </c>
      <c r="P16" s="65">
        <f t="shared" si="5"/>
        <v>-0.59344444444444455</v>
      </c>
      <c r="Q16" s="65">
        <f t="shared" si="6"/>
        <v>-213.64000000000004</v>
      </c>
      <c r="R16" s="64" t="e">
        <f t="shared" si="7"/>
        <v>#DIV/0!</v>
      </c>
      <c r="S16" s="63"/>
    </row>
    <row r="17" spans="1:19" ht="43.15" thickBot="1" x14ac:dyDescent="0.55000000000000004">
      <c r="A17" s="62" t="s">
        <v>13</v>
      </c>
      <c r="B17" s="66"/>
      <c r="C17" s="138"/>
      <c r="D17" s="135"/>
      <c r="E17" s="45"/>
      <c r="F17" s="146"/>
      <c r="G17" s="61" t="s">
        <v>12</v>
      </c>
      <c r="H17" s="76" t="e">
        <f t="shared" si="8"/>
        <v>#VALUE!</v>
      </c>
      <c r="I17" s="59"/>
      <c r="J17" s="58" t="s">
        <v>11</v>
      </c>
      <c r="K17" s="57">
        <f>SUM(K7:K16)</f>
        <v>6464</v>
      </c>
      <c r="L17" s="56" t="s">
        <v>10</v>
      </c>
      <c r="M17" s="55"/>
      <c r="N17" s="54">
        <f>SUM(O7:O14)</f>
        <v>0</v>
      </c>
      <c r="O17" s="53"/>
      <c r="P17" s="52" t="s">
        <v>9</v>
      </c>
      <c r="Q17" s="51"/>
      <c r="R17" s="50">
        <f>N17-K20</f>
        <v>-7045.76</v>
      </c>
      <c r="S17" s="49"/>
    </row>
    <row r="18" spans="1:19" ht="16.149999999999999" thickBot="1" x14ac:dyDescent="0.55000000000000004">
      <c r="A18" s="48"/>
      <c r="B18" s="66"/>
      <c r="C18" s="138"/>
      <c r="D18" s="135"/>
      <c r="E18" s="45"/>
      <c r="F18" s="146"/>
      <c r="G18" s="43"/>
      <c r="H18" s="42"/>
      <c r="I18" s="14"/>
      <c r="J18" s="41" t="s">
        <v>8</v>
      </c>
      <c r="K18" s="40">
        <f>K17*0.09</f>
        <v>581.76</v>
      </c>
      <c r="L18" s="26"/>
      <c r="M18" s="26"/>
      <c r="N18" s="26"/>
      <c r="O18" s="26"/>
      <c r="P18" s="39"/>
      <c r="Q18" s="38"/>
      <c r="R18" s="37"/>
      <c r="S18" s="36"/>
    </row>
    <row r="19" spans="1:19" ht="43.15" thickBot="1" x14ac:dyDescent="0.55000000000000004">
      <c r="A19" s="35"/>
      <c r="B19" s="47"/>
      <c r="C19" s="139"/>
      <c r="D19" s="136"/>
      <c r="E19" s="32"/>
      <c r="F19" s="147"/>
      <c r="G19" s="30" t="s">
        <v>7</v>
      </c>
      <c r="H19" s="29" t="s">
        <v>6</v>
      </c>
      <c r="I19" s="14"/>
      <c r="J19" s="28" t="s">
        <v>5</v>
      </c>
      <c r="K19" s="27">
        <v>0</v>
      </c>
      <c r="L19" s="26"/>
      <c r="M19" s="26"/>
      <c r="N19" s="26"/>
      <c r="O19" s="26"/>
      <c r="P19" s="25" t="s">
        <v>4</v>
      </c>
      <c r="Q19" s="24"/>
      <c r="R19" s="23" t="e">
        <f>R17/N17</f>
        <v>#DIV/0!</v>
      </c>
      <c r="S19" s="22"/>
    </row>
    <row r="20" spans="1:19" ht="63.4" thickBot="1" x14ac:dyDescent="0.55000000000000004">
      <c r="A20" s="21"/>
      <c r="B20" s="47"/>
      <c r="C20" s="140"/>
      <c r="D20" s="137"/>
      <c r="E20" s="18"/>
      <c r="F20" s="148"/>
      <c r="G20" s="16" t="s">
        <v>3</v>
      </c>
      <c r="H20" s="15" t="e">
        <f>SUM(H17:H19)</f>
        <v>#VALUE!</v>
      </c>
      <c r="I20" s="14"/>
      <c r="J20" s="13" t="s">
        <v>3</v>
      </c>
      <c r="K20" s="12">
        <f>SUM(K17:K19)</f>
        <v>7045.76</v>
      </c>
      <c r="L20" s="11" t="s">
        <v>2</v>
      </c>
      <c r="M20" s="10">
        <f>K19/K17</f>
        <v>0</v>
      </c>
      <c r="N20" s="9"/>
      <c r="O20" s="8"/>
      <c r="P20" s="7"/>
      <c r="Q20" s="7"/>
      <c r="R20" s="7"/>
      <c r="S20" s="6"/>
    </row>
    <row r="21" spans="1:19" x14ac:dyDescent="0.5">
      <c r="C21" s="127"/>
      <c r="D21" s="127"/>
      <c r="F21" s="149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BE64-517B-42AD-B9C4-80594D7DFB0A}">
  <dimension ref="A1:S13"/>
  <sheetViews>
    <sheetView tabSelected="1" topLeftCell="B5" workbookViewId="0">
      <selection sqref="A1:O1"/>
    </sheetView>
  </sheetViews>
  <sheetFormatPr defaultRowHeight="15.75" x14ac:dyDescent="0.5"/>
  <cols>
    <col min="2" max="2" width="34.0625" customWidth="1"/>
    <col min="3" max="4" width="9" style="127"/>
    <col min="6" max="6" width="9" style="149"/>
    <col min="8" max="8" width="9.9375" bestFit="1" customWidth="1"/>
    <col min="11" max="11" width="10.437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>
        <v>46266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71">
        <v>1</v>
      </c>
      <c r="B7" s="66" t="s">
        <v>61</v>
      </c>
      <c r="C7" s="71">
        <v>20</v>
      </c>
      <c r="D7" s="71">
        <v>60</v>
      </c>
      <c r="E7" s="78">
        <f>C7*D7</f>
        <v>1200</v>
      </c>
      <c r="F7" s="143">
        <v>62.5</v>
      </c>
      <c r="G7" s="77">
        <f>F7/D7</f>
        <v>1.0416666666666667</v>
      </c>
      <c r="H7" s="76">
        <f t="shared" ref="H7:H8" si="0">G7*E7</f>
        <v>1250</v>
      </c>
      <c r="I7" s="74"/>
      <c r="J7" s="75">
        <f t="shared" ref="J7:J9" si="1">G7/$Q$2</f>
        <v>1.0416666666666667</v>
      </c>
      <c r="K7" s="67">
        <f>H7/$Q$2</f>
        <v>1250</v>
      </c>
      <c r="L7" s="75">
        <f>J7*(1+$M$13+9%)</f>
        <v>1.1354166666666667</v>
      </c>
      <c r="M7" s="113">
        <f t="shared" ref="M7:M9" si="2">L7*E7</f>
        <v>1362.5</v>
      </c>
      <c r="N7" s="73"/>
      <c r="O7" s="65">
        <f t="shared" ref="O7:O8" si="3">N7*E7</f>
        <v>0</v>
      </c>
      <c r="P7" s="65">
        <f t="shared" ref="P7:P8" si="4">N7-L7</f>
        <v>-1.1354166666666667</v>
      </c>
      <c r="Q7" s="65">
        <f t="shared" ref="Q7:Q8" si="5">P7*E7</f>
        <v>-1362.5</v>
      </c>
      <c r="R7" s="64" t="e">
        <f t="shared" ref="R7:R8" si="6">P7/N7</f>
        <v>#DIV/0!</v>
      </c>
      <c r="S7" s="66"/>
    </row>
    <row r="8" spans="1:19" ht="40.049999999999997" customHeight="1" x14ac:dyDescent="0.5">
      <c r="A8" s="71">
        <v>2</v>
      </c>
      <c r="B8" s="66" t="s">
        <v>62</v>
      </c>
      <c r="C8" s="71">
        <v>10</v>
      </c>
      <c r="D8" s="71">
        <v>25</v>
      </c>
      <c r="E8" s="78">
        <f>C8*D8</f>
        <v>250</v>
      </c>
      <c r="F8" s="143">
        <v>47.3</v>
      </c>
      <c r="G8" s="77">
        <f t="shared" ref="G8" si="7">F8/D8</f>
        <v>1.8919999999999999</v>
      </c>
      <c r="H8" s="76">
        <f t="shared" si="0"/>
        <v>473</v>
      </c>
      <c r="I8" s="74"/>
      <c r="J8" s="75">
        <f t="shared" si="1"/>
        <v>1.8919999999999999</v>
      </c>
      <c r="K8" s="67">
        <f>H8/$Q$2</f>
        <v>473</v>
      </c>
      <c r="L8" s="75">
        <f>J8*(1+$M$13+9%)</f>
        <v>2.0622799999999999</v>
      </c>
      <c r="M8" s="113">
        <f t="shared" si="2"/>
        <v>515.56999999999994</v>
      </c>
      <c r="N8" s="73"/>
      <c r="O8" s="65">
        <f t="shared" si="3"/>
        <v>0</v>
      </c>
      <c r="P8" s="65">
        <f t="shared" si="4"/>
        <v>-2.0622799999999999</v>
      </c>
      <c r="Q8" s="65">
        <f t="shared" si="5"/>
        <v>-515.56999999999994</v>
      </c>
      <c r="R8" s="64" t="e">
        <f t="shared" si="6"/>
        <v>#DIV/0!</v>
      </c>
      <c r="S8" s="66"/>
    </row>
    <row r="9" spans="1:19" ht="40.049999999999997" customHeight="1" x14ac:dyDescent="0.5">
      <c r="A9" s="71">
        <v>3</v>
      </c>
      <c r="B9" s="66" t="s">
        <v>80</v>
      </c>
      <c r="C9" s="71">
        <v>10</v>
      </c>
      <c r="D9" s="71">
        <v>24</v>
      </c>
      <c r="E9" s="70">
        <f t="shared" ref="E7:E9" si="8">D9*C9</f>
        <v>240</v>
      </c>
      <c r="F9" s="143">
        <v>16.8</v>
      </c>
      <c r="G9" s="69">
        <f t="shared" ref="G7:G9" si="9">F9/D9</f>
        <v>0.70000000000000007</v>
      </c>
      <c r="H9" s="76">
        <f>G9*E9</f>
        <v>168.00000000000003</v>
      </c>
      <c r="I9" s="74"/>
      <c r="J9" s="75">
        <f t="shared" si="1"/>
        <v>0.70000000000000007</v>
      </c>
      <c r="K9" s="67">
        <f>H9/$Q$2</f>
        <v>168.00000000000003</v>
      </c>
      <c r="L9" s="75">
        <f>J9*(1+$M$13+9%)</f>
        <v>0.76300000000000012</v>
      </c>
      <c r="M9" s="113">
        <f t="shared" si="2"/>
        <v>183.12000000000003</v>
      </c>
      <c r="N9" s="73"/>
      <c r="O9" s="65"/>
      <c r="P9" s="65"/>
      <c r="Q9" s="65"/>
      <c r="R9" s="64"/>
      <c r="S9" s="66"/>
    </row>
    <row r="10" spans="1:19" ht="43.15" thickBot="1" x14ac:dyDescent="0.55000000000000004">
      <c r="A10" s="62" t="s">
        <v>13</v>
      </c>
      <c r="B10" s="66"/>
      <c r="C10" s="138"/>
      <c r="D10" s="135"/>
      <c r="E10" s="45"/>
      <c r="F10" s="146"/>
      <c r="G10" s="61" t="s">
        <v>12</v>
      </c>
      <c r="H10" s="76" t="e">
        <f t="shared" ref="H10" si="10">G10*E10</f>
        <v>#VALUE!</v>
      </c>
      <c r="I10" s="59"/>
      <c r="J10" s="58" t="s">
        <v>11</v>
      </c>
      <c r="K10" s="57">
        <f>SUM(K7:K9)</f>
        <v>1891</v>
      </c>
      <c r="L10" s="56" t="s">
        <v>10</v>
      </c>
      <c r="M10" s="55"/>
      <c r="N10" s="54">
        <f>SUM(O7:O9)</f>
        <v>0</v>
      </c>
      <c r="O10" s="53"/>
      <c r="P10" s="52" t="s">
        <v>9</v>
      </c>
      <c r="Q10" s="51"/>
      <c r="R10" s="50">
        <f>N10-K13</f>
        <v>-2061.19</v>
      </c>
      <c r="S10" s="49"/>
    </row>
    <row r="11" spans="1:19" ht="16.149999999999999" thickBot="1" x14ac:dyDescent="0.55000000000000004">
      <c r="A11" s="48"/>
      <c r="B11" s="66"/>
      <c r="C11" s="138"/>
      <c r="D11" s="135"/>
      <c r="E11" s="45"/>
      <c r="F11" s="146"/>
      <c r="G11" s="43"/>
      <c r="H11" s="42"/>
      <c r="I11" s="14"/>
      <c r="J11" s="41" t="s">
        <v>8</v>
      </c>
      <c r="K11" s="40">
        <f>K10*0.09</f>
        <v>170.19</v>
      </c>
      <c r="L11" s="26"/>
      <c r="M11" s="26"/>
      <c r="N11" s="26"/>
      <c r="O11" s="26"/>
      <c r="P11" s="39"/>
      <c r="Q11" s="38"/>
      <c r="R11" s="37"/>
      <c r="S11" s="36"/>
    </row>
    <row r="12" spans="1:19" ht="43.15" thickBot="1" x14ac:dyDescent="0.55000000000000004">
      <c r="A12" s="35"/>
      <c r="B12" s="47"/>
      <c r="C12" s="139"/>
      <c r="D12" s="136"/>
      <c r="E12" s="32"/>
      <c r="F12" s="147"/>
      <c r="G12" s="30" t="s">
        <v>7</v>
      </c>
      <c r="H12" s="29" t="s">
        <v>6</v>
      </c>
      <c r="I12" s="14"/>
      <c r="J12" s="28" t="s">
        <v>5</v>
      </c>
      <c r="K12" s="27">
        <v>0</v>
      </c>
      <c r="L12" s="26"/>
      <c r="M12" s="26"/>
      <c r="N12" s="26"/>
      <c r="O12" s="26"/>
      <c r="P12" s="25" t="s">
        <v>4</v>
      </c>
      <c r="Q12" s="24"/>
      <c r="R12" s="23" t="e">
        <f>R10/N10</f>
        <v>#DIV/0!</v>
      </c>
      <c r="S12" s="22"/>
    </row>
    <row r="13" spans="1:19" ht="94.9" thickBot="1" x14ac:dyDescent="0.55000000000000004">
      <c r="A13" s="21"/>
      <c r="B13" s="47"/>
      <c r="C13" s="140"/>
      <c r="D13" s="137"/>
      <c r="E13" s="18"/>
      <c r="F13" s="148"/>
      <c r="G13" s="16" t="s">
        <v>3</v>
      </c>
      <c r="H13" s="15" t="e">
        <f>SUM(H10:H12)</f>
        <v>#VALUE!</v>
      </c>
      <c r="I13" s="14"/>
      <c r="J13" s="13" t="s">
        <v>3</v>
      </c>
      <c r="K13" s="12">
        <f>SUM(K10:K12)</f>
        <v>2061.19</v>
      </c>
      <c r="L13" s="11" t="s">
        <v>2</v>
      </c>
      <c r="M13" s="10">
        <f>K12/K10</f>
        <v>0</v>
      </c>
      <c r="N13" s="9"/>
      <c r="O13" s="8"/>
      <c r="P13" s="7"/>
      <c r="Q13" s="7"/>
      <c r="R13" s="7"/>
      <c r="S13" s="6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5D8A-C2BD-43CE-A9AC-1E1A7FF51C6C}">
  <dimension ref="A1:S16"/>
  <sheetViews>
    <sheetView topLeftCell="A6" workbookViewId="0">
      <selection activeCell="E13" sqref="E13"/>
    </sheetView>
  </sheetViews>
  <sheetFormatPr defaultRowHeight="15.75" x14ac:dyDescent="0.5"/>
  <cols>
    <col min="2" max="2" width="46.125" customWidth="1"/>
    <col min="6" max="6" width="9" style="150"/>
    <col min="8" max="8" width="9.9375" bestFit="1" customWidth="1"/>
    <col min="11" max="11" width="10.4375" bestFit="1" customWidth="1"/>
    <col min="12" max="12" width="11.12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 t="s">
        <v>81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B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142">
        <v>1</v>
      </c>
      <c r="B7" s="66" t="s">
        <v>59</v>
      </c>
      <c r="C7" s="71">
        <v>100</v>
      </c>
      <c r="D7" s="71">
        <v>24</v>
      </c>
      <c r="E7" s="78">
        <f t="shared" ref="E7:E11" si="0">D7*C7</f>
        <v>2400</v>
      </c>
      <c r="F7" s="143">
        <v>15</v>
      </c>
      <c r="G7" s="77">
        <f t="shared" ref="G7:G11" si="1">F7/D7</f>
        <v>0.625</v>
      </c>
      <c r="H7" s="76">
        <f>G7*E7</f>
        <v>1500</v>
      </c>
      <c r="I7" s="74"/>
      <c r="J7" s="75">
        <f t="shared" ref="J7:K11" si="2">G7/$Q$2</f>
        <v>0.625</v>
      </c>
      <c r="K7" s="67">
        <f>H7/$Q$2</f>
        <v>1500</v>
      </c>
      <c r="L7" s="75">
        <f>J7*(1+$M$15+9%)</f>
        <v>0.68125000000000002</v>
      </c>
      <c r="M7" s="113">
        <f t="shared" ref="M7:M11" si="3">L7*E7</f>
        <v>1635</v>
      </c>
      <c r="N7" s="73"/>
      <c r="O7" s="65">
        <f t="shared" ref="O7:O11" si="4">N7*E7</f>
        <v>0</v>
      </c>
      <c r="P7" s="65">
        <f t="shared" ref="P7:P11" si="5">N7-L7</f>
        <v>-0.68125000000000002</v>
      </c>
      <c r="Q7" s="65">
        <f t="shared" ref="Q7:Q11" si="6">P7*E7</f>
        <v>-1635</v>
      </c>
      <c r="R7" s="64" t="e">
        <f t="shared" ref="R7:R11" si="7">P7/N7</f>
        <v>#DIV/0!</v>
      </c>
      <c r="S7" s="66"/>
    </row>
    <row r="8" spans="1:19" ht="40.049999999999997" customHeight="1" x14ac:dyDescent="0.5">
      <c r="A8" s="142">
        <v>2</v>
      </c>
      <c r="B8" s="66" t="s">
        <v>76</v>
      </c>
      <c r="C8" s="71">
        <v>100</v>
      </c>
      <c r="D8" s="71">
        <v>24</v>
      </c>
      <c r="E8" s="78">
        <f>D8*C8</f>
        <v>2400</v>
      </c>
      <c r="F8" s="143">
        <v>9.5</v>
      </c>
      <c r="G8" s="77">
        <f t="shared" si="1"/>
        <v>0.39583333333333331</v>
      </c>
      <c r="H8" s="76">
        <f t="shared" ref="H8:H12" si="8">G8*E8</f>
        <v>950</v>
      </c>
      <c r="I8" s="74"/>
      <c r="J8" s="75">
        <f t="shared" si="2"/>
        <v>0.39583333333333331</v>
      </c>
      <c r="K8" s="67">
        <f t="shared" si="2"/>
        <v>950</v>
      </c>
      <c r="L8" s="75">
        <f>J8*(1+$M$15+9%)</f>
        <v>0.43145833333333333</v>
      </c>
      <c r="M8" s="113">
        <f t="shared" si="3"/>
        <v>1035.5</v>
      </c>
      <c r="N8" s="73"/>
      <c r="O8" s="65">
        <f t="shared" si="4"/>
        <v>0</v>
      </c>
      <c r="P8" s="65">
        <f t="shared" si="5"/>
        <v>-0.43145833333333333</v>
      </c>
      <c r="Q8" s="65">
        <f t="shared" si="6"/>
        <v>-1035.5</v>
      </c>
      <c r="R8" s="64" t="e">
        <f t="shared" si="7"/>
        <v>#DIV/0!</v>
      </c>
      <c r="S8" s="66"/>
    </row>
    <row r="9" spans="1:19" ht="40.049999999999997" customHeight="1" x14ac:dyDescent="0.5">
      <c r="A9" s="142">
        <v>3</v>
      </c>
      <c r="B9" s="66" t="s">
        <v>60</v>
      </c>
      <c r="C9" s="71">
        <v>80</v>
      </c>
      <c r="D9" s="71">
        <v>24</v>
      </c>
      <c r="E9" s="78">
        <f t="shared" ref="E9" si="9">D9*C9</f>
        <v>1920</v>
      </c>
      <c r="F9" s="143">
        <v>10</v>
      </c>
      <c r="G9" s="77">
        <f t="shared" ref="G9" si="10">F9/D9</f>
        <v>0.41666666666666669</v>
      </c>
      <c r="H9" s="76">
        <f>G9*E9</f>
        <v>800</v>
      </c>
      <c r="I9" s="74"/>
      <c r="J9" s="75">
        <f t="shared" ref="J9" si="11">G9/$Q$2</f>
        <v>0.41666666666666669</v>
      </c>
      <c r="K9" s="67">
        <f>H9/$Q$2</f>
        <v>800</v>
      </c>
      <c r="L9" s="75">
        <f>J9*(1+$M$15+9%)</f>
        <v>0.45416666666666672</v>
      </c>
      <c r="M9" s="113">
        <f t="shared" ref="M9" si="12">L9*E9</f>
        <v>872.00000000000011</v>
      </c>
      <c r="N9" s="73"/>
      <c r="O9" s="65">
        <f t="shared" ref="O9" si="13">N9*E9</f>
        <v>0</v>
      </c>
      <c r="P9" s="65">
        <f t="shared" ref="P9" si="14">N9-L9</f>
        <v>-0.45416666666666672</v>
      </c>
      <c r="Q9" s="65">
        <f t="shared" ref="Q9" si="15">P9*E9</f>
        <v>-872.00000000000011</v>
      </c>
      <c r="R9" s="64" t="e">
        <f t="shared" ref="R9" si="16">P9/N9</f>
        <v>#DIV/0!</v>
      </c>
      <c r="S9" s="66"/>
    </row>
    <row r="10" spans="1:19" ht="40.049999999999997" customHeight="1" x14ac:dyDescent="0.5">
      <c r="A10" s="142">
        <v>4</v>
      </c>
      <c r="B10" s="66" t="s">
        <v>71</v>
      </c>
      <c r="C10" s="71">
        <v>24</v>
      </c>
      <c r="D10" s="71">
        <v>15</v>
      </c>
      <c r="E10" s="70">
        <f t="shared" si="0"/>
        <v>360</v>
      </c>
      <c r="F10" s="143">
        <f>(20/24)*9.8</f>
        <v>8.1666666666666679</v>
      </c>
      <c r="G10" s="77">
        <f t="shared" si="1"/>
        <v>0.54444444444444451</v>
      </c>
      <c r="H10" s="76">
        <f t="shared" si="8"/>
        <v>196.00000000000003</v>
      </c>
      <c r="I10" s="66"/>
      <c r="J10" s="75">
        <f t="shared" si="2"/>
        <v>0.54444444444444451</v>
      </c>
      <c r="K10" s="67">
        <f t="shared" si="2"/>
        <v>196.00000000000003</v>
      </c>
      <c r="L10" s="75">
        <f>J10*(1+$M$15+9%)</f>
        <v>0.59344444444444455</v>
      </c>
      <c r="M10" s="113">
        <f t="shared" si="3"/>
        <v>213.64000000000004</v>
      </c>
      <c r="N10" s="66"/>
      <c r="O10" s="65">
        <f t="shared" si="4"/>
        <v>0</v>
      </c>
      <c r="P10" s="65"/>
      <c r="Q10" s="65"/>
      <c r="R10" s="64"/>
      <c r="S10" s="63"/>
    </row>
    <row r="11" spans="1:19" ht="40.049999999999997" customHeight="1" x14ac:dyDescent="0.5">
      <c r="A11" s="142">
        <v>5</v>
      </c>
      <c r="B11" s="66" t="s">
        <v>69</v>
      </c>
      <c r="C11" s="71">
        <v>24</v>
      </c>
      <c r="D11" s="71">
        <v>15</v>
      </c>
      <c r="E11" s="70">
        <f t="shared" si="0"/>
        <v>360</v>
      </c>
      <c r="F11" s="143">
        <f t="shared" ref="F11" si="17">(20/24)*9.8</f>
        <v>8.1666666666666679</v>
      </c>
      <c r="G11" s="77">
        <f t="shared" si="1"/>
        <v>0.54444444444444451</v>
      </c>
      <c r="H11" s="76">
        <f t="shared" si="8"/>
        <v>196.00000000000003</v>
      </c>
      <c r="I11" s="66"/>
      <c r="J11" s="75">
        <f t="shared" si="2"/>
        <v>0.54444444444444451</v>
      </c>
      <c r="K11" s="67">
        <f t="shared" si="2"/>
        <v>196.00000000000003</v>
      </c>
      <c r="L11" s="75">
        <f>J11*(1+$M$15+9%)</f>
        <v>0.59344444444444455</v>
      </c>
      <c r="M11" s="113">
        <f t="shared" si="3"/>
        <v>213.64000000000004</v>
      </c>
      <c r="N11" s="66"/>
      <c r="O11" s="65">
        <f t="shared" si="4"/>
        <v>0</v>
      </c>
      <c r="P11" s="65">
        <f t="shared" si="5"/>
        <v>-0.59344444444444455</v>
      </c>
      <c r="Q11" s="65">
        <f t="shared" si="6"/>
        <v>-213.64000000000004</v>
      </c>
      <c r="R11" s="64" t="e">
        <f t="shared" si="7"/>
        <v>#DIV/0!</v>
      </c>
      <c r="S11" s="63"/>
    </row>
    <row r="12" spans="1:19" ht="43.15" thickBot="1" x14ac:dyDescent="0.55000000000000004">
      <c r="A12" s="62" t="s">
        <v>13</v>
      </c>
      <c r="B12" s="66"/>
      <c r="C12" s="138"/>
      <c r="D12" s="135"/>
      <c r="E12" s="45"/>
      <c r="F12" s="146"/>
      <c r="G12" s="61" t="s">
        <v>12</v>
      </c>
      <c r="H12" s="76" t="e">
        <f t="shared" si="8"/>
        <v>#VALUE!</v>
      </c>
      <c r="I12" s="59"/>
      <c r="J12" s="58" t="s">
        <v>11</v>
      </c>
      <c r="K12" s="57">
        <f>SUM(K7:K11)</f>
        <v>3642</v>
      </c>
      <c r="L12" s="56" t="s">
        <v>10</v>
      </c>
      <c r="M12" s="55"/>
      <c r="N12" s="54">
        <f>SUM(O7:O9)</f>
        <v>0</v>
      </c>
      <c r="O12" s="53"/>
      <c r="P12" s="52" t="s">
        <v>9</v>
      </c>
      <c r="Q12" s="51"/>
      <c r="R12" s="50">
        <f>N12-K15</f>
        <v>-3969.7799999999997</v>
      </c>
      <c r="S12" s="49"/>
    </row>
    <row r="13" spans="1:19" ht="16.149999999999999" thickBot="1" x14ac:dyDescent="0.55000000000000004">
      <c r="A13" s="48"/>
      <c r="B13" s="66"/>
      <c r="C13" s="138"/>
      <c r="D13" s="135"/>
      <c r="E13" s="45"/>
      <c r="F13" s="146"/>
      <c r="G13" s="43"/>
      <c r="H13" s="42"/>
      <c r="I13" s="14"/>
      <c r="J13" s="41" t="s">
        <v>8</v>
      </c>
      <c r="K13" s="40">
        <f>K12*0.09</f>
        <v>327.78</v>
      </c>
      <c r="L13" s="26"/>
      <c r="M13" s="26"/>
      <c r="N13" s="26"/>
      <c r="O13" s="26"/>
      <c r="P13" s="39"/>
      <c r="Q13" s="38"/>
      <c r="R13" s="37"/>
      <c r="S13" s="36"/>
    </row>
    <row r="14" spans="1:19" ht="43.15" thickBot="1" x14ac:dyDescent="0.55000000000000004">
      <c r="A14" s="35"/>
      <c r="B14" s="47"/>
      <c r="C14" s="139"/>
      <c r="D14" s="136"/>
      <c r="E14" s="32"/>
      <c r="F14" s="147"/>
      <c r="G14" s="30" t="s">
        <v>7</v>
      </c>
      <c r="H14" s="29" t="s">
        <v>6</v>
      </c>
      <c r="I14" s="14"/>
      <c r="J14" s="28" t="s">
        <v>5</v>
      </c>
      <c r="K14" s="27">
        <v>0</v>
      </c>
      <c r="L14" s="26"/>
      <c r="M14" s="26"/>
      <c r="N14" s="26"/>
      <c r="O14" s="26"/>
      <c r="P14" s="25" t="s">
        <v>4</v>
      </c>
      <c r="Q14" s="24"/>
      <c r="R14" s="23" t="e">
        <f>R12/N12</f>
        <v>#DIV/0!</v>
      </c>
      <c r="S14" s="22"/>
    </row>
    <row r="15" spans="1:19" ht="63.4" thickBot="1" x14ac:dyDescent="0.55000000000000004">
      <c r="A15" s="21"/>
      <c r="B15" s="47"/>
      <c r="C15" s="140"/>
      <c r="D15" s="137"/>
      <c r="E15" s="18"/>
      <c r="F15" s="148"/>
      <c r="G15" s="16" t="s">
        <v>3</v>
      </c>
      <c r="H15" s="15" t="e">
        <f>SUM(H12:H14)</f>
        <v>#VALUE!</v>
      </c>
      <c r="I15" s="14"/>
      <c r="J15" s="13" t="s">
        <v>3</v>
      </c>
      <c r="K15" s="12">
        <f>SUM(K12:K14)</f>
        <v>3969.7799999999997</v>
      </c>
      <c r="L15" s="11" t="s">
        <v>2</v>
      </c>
      <c r="M15" s="10">
        <f>K14/K12</f>
        <v>0</v>
      </c>
      <c r="N15" s="9"/>
      <c r="O15" s="8"/>
      <c r="P15" s="7"/>
      <c r="Q15" s="7"/>
      <c r="R15" s="7"/>
      <c r="S15" s="6"/>
    </row>
    <row r="16" spans="1:19" x14ac:dyDescent="0.5">
      <c r="C16" s="127"/>
      <c r="D16" s="127"/>
      <c r="F16" s="149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7BA1-D83F-4979-8B10-1B4765A3220E}">
  <dimension ref="A1:S15"/>
  <sheetViews>
    <sheetView workbookViewId="0">
      <selection activeCell="B8" sqref="B8"/>
    </sheetView>
  </sheetViews>
  <sheetFormatPr defaultRowHeight="15.75" x14ac:dyDescent="0.5"/>
  <cols>
    <col min="2" max="2" width="46.125" customWidth="1"/>
    <col min="6" max="6" width="9" style="150"/>
    <col min="8" max="8" width="9.9375" bestFit="1" customWidth="1"/>
    <col min="11" max="11" width="10.4375" bestFit="1" customWidth="1"/>
    <col min="12" max="12" width="11.12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>
        <v>46054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B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142">
        <v>1</v>
      </c>
      <c r="B7" s="66" t="s">
        <v>59</v>
      </c>
      <c r="C7" s="71">
        <v>200</v>
      </c>
      <c r="D7" s="71">
        <v>24</v>
      </c>
      <c r="E7" s="78">
        <f t="shared" ref="E7:E10" si="0">D7*C7</f>
        <v>4800</v>
      </c>
      <c r="F7" s="143">
        <v>15</v>
      </c>
      <c r="G7" s="77">
        <f t="shared" ref="G7:G10" si="1">F7/D7</f>
        <v>0.625</v>
      </c>
      <c r="H7" s="76">
        <f>G7*E7</f>
        <v>3000</v>
      </c>
      <c r="I7" s="74"/>
      <c r="J7" s="75">
        <f t="shared" ref="J7:K10" si="2">G7/$Q$2</f>
        <v>0.625</v>
      </c>
      <c r="K7" s="67">
        <f>H7/$Q$2</f>
        <v>3000</v>
      </c>
      <c r="L7" s="75">
        <f>J7*(1+$M$14+9%)</f>
        <v>0.68125000000000002</v>
      </c>
      <c r="M7" s="113">
        <f t="shared" ref="M7:M10" si="3">L7*E7</f>
        <v>3270</v>
      </c>
      <c r="N7" s="73"/>
      <c r="O7" s="65">
        <f t="shared" ref="O7:O10" si="4">N7*E7</f>
        <v>0</v>
      </c>
      <c r="P7" s="65">
        <f t="shared" ref="P7:P10" si="5">N7-L7</f>
        <v>-0.68125000000000002</v>
      </c>
      <c r="Q7" s="65">
        <f t="shared" ref="Q7:Q10" si="6">P7*E7</f>
        <v>-3270</v>
      </c>
      <c r="R7" s="64" t="e">
        <f t="shared" ref="R7:R10" si="7">P7/N7</f>
        <v>#DIV/0!</v>
      </c>
      <c r="S7" s="66"/>
    </row>
    <row r="8" spans="1:19" ht="40.049999999999997" customHeight="1" x14ac:dyDescent="0.5">
      <c r="A8" s="142">
        <v>2</v>
      </c>
      <c r="B8" s="66" t="s">
        <v>76</v>
      </c>
      <c r="C8" s="71">
        <v>100</v>
      </c>
      <c r="D8" s="71">
        <v>24</v>
      </c>
      <c r="E8" s="78">
        <f>D8*C8</f>
        <v>2400</v>
      </c>
      <c r="F8" s="143">
        <v>9.5</v>
      </c>
      <c r="G8" s="77">
        <f t="shared" si="1"/>
        <v>0.39583333333333331</v>
      </c>
      <c r="H8" s="76">
        <f t="shared" ref="H8:H11" si="8">G8*E8</f>
        <v>950</v>
      </c>
      <c r="I8" s="74"/>
      <c r="J8" s="75">
        <f t="shared" si="2"/>
        <v>0.39583333333333331</v>
      </c>
      <c r="K8" s="67">
        <f t="shared" si="2"/>
        <v>950</v>
      </c>
      <c r="L8" s="75">
        <f>J8*(1+$M$14+9%)</f>
        <v>0.43145833333333333</v>
      </c>
      <c r="M8" s="113">
        <f t="shared" si="3"/>
        <v>1035.5</v>
      </c>
      <c r="N8" s="73"/>
      <c r="O8" s="65">
        <f t="shared" si="4"/>
        <v>0</v>
      </c>
      <c r="P8" s="65">
        <f t="shared" si="5"/>
        <v>-0.43145833333333333</v>
      </c>
      <c r="Q8" s="65">
        <f t="shared" si="6"/>
        <v>-1035.5</v>
      </c>
      <c r="R8" s="64" t="e">
        <f t="shared" si="7"/>
        <v>#DIV/0!</v>
      </c>
      <c r="S8" s="66"/>
    </row>
    <row r="9" spans="1:19" ht="40.049999999999997" customHeight="1" x14ac:dyDescent="0.5">
      <c r="A9" s="142">
        <v>3</v>
      </c>
      <c r="B9" s="66" t="s">
        <v>71</v>
      </c>
      <c r="C9" s="71">
        <v>24</v>
      </c>
      <c r="D9" s="71">
        <v>15</v>
      </c>
      <c r="E9" s="70">
        <f t="shared" si="0"/>
        <v>360</v>
      </c>
      <c r="F9" s="143">
        <f>(20/24)*9.8</f>
        <v>8.1666666666666679</v>
      </c>
      <c r="G9" s="77">
        <f t="shared" si="1"/>
        <v>0.54444444444444451</v>
      </c>
      <c r="H9" s="76">
        <f t="shared" si="8"/>
        <v>196.00000000000003</v>
      </c>
      <c r="I9" s="66"/>
      <c r="J9" s="75">
        <f t="shared" si="2"/>
        <v>0.54444444444444451</v>
      </c>
      <c r="K9" s="67">
        <f t="shared" si="2"/>
        <v>196.00000000000003</v>
      </c>
      <c r="L9" s="75">
        <f>J9*(1+$M$14+9%)</f>
        <v>0.59344444444444455</v>
      </c>
      <c r="M9" s="113">
        <f t="shared" si="3"/>
        <v>213.64000000000004</v>
      </c>
      <c r="N9" s="66"/>
      <c r="O9" s="65">
        <f t="shared" si="4"/>
        <v>0</v>
      </c>
      <c r="P9" s="65"/>
      <c r="Q9" s="65"/>
      <c r="R9" s="64"/>
      <c r="S9" s="63"/>
    </row>
    <row r="10" spans="1:19" ht="40.049999999999997" customHeight="1" x14ac:dyDescent="0.5">
      <c r="A10" s="142">
        <v>4</v>
      </c>
      <c r="B10" s="66" t="s">
        <v>69</v>
      </c>
      <c r="C10" s="71">
        <v>24</v>
      </c>
      <c r="D10" s="71">
        <v>15</v>
      </c>
      <c r="E10" s="70">
        <f t="shared" si="0"/>
        <v>360</v>
      </c>
      <c r="F10" s="143">
        <f t="shared" ref="F10" si="9">(20/24)*9.8</f>
        <v>8.1666666666666679</v>
      </c>
      <c r="G10" s="77">
        <f t="shared" si="1"/>
        <v>0.54444444444444451</v>
      </c>
      <c r="H10" s="76">
        <f t="shared" si="8"/>
        <v>196.00000000000003</v>
      </c>
      <c r="I10" s="66"/>
      <c r="J10" s="75">
        <f t="shared" si="2"/>
        <v>0.54444444444444451</v>
      </c>
      <c r="K10" s="67">
        <f t="shared" si="2"/>
        <v>196.00000000000003</v>
      </c>
      <c r="L10" s="75">
        <f>J10*(1+$M$14+9%)</f>
        <v>0.59344444444444455</v>
      </c>
      <c r="M10" s="113">
        <f t="shared" si="3"/>
        <v>213.64000000000004</v>
      </c>
      <c r="N10" s="66"/>
      <c r="O10" s="65">
        <f t="shared" si="4"/>
        <v>0</v>
      </c>
      <c r="P10" s="65">
        <f t="shared" si="5"/>
        <v>-0.59344444444444455</v>
      </c>
      <c r="Q10" s="65">
        <f t="shared" si="6"/>
        <v>-213.64000000000004</v>
      </c>
      <c r="R10" s="64" t="e">
        <f t="shared" si="7"/>
        <v>#DIV/0!</v>
      </c>
      <c r="S10" s="63"/>
    </row>
    <row r="11" spans="1:19" ht="43.15" thickBot="1" x14ac:dyDescent="0.55000000000000004">
      <c r="A11" s="62" t="s">
        <v>13</v>
      </c>
      <c r="B11" s="66"/>
      <c r="C11" s="138"/>
      <c r="D11" s="135"/>
      <c r="E11" s="45"/>
      <c r="F11" s="146"/>
      <c r="G11" s="61" t="s">
        <v>12</v>
      </c>
      <c r="H11" s="76" t="e">
        <f t="shared" si="8"/>
        <v>#VALUE!</v>
      </c>
      <c r="I11" s="59"/>
      <c r="J11" s="58" t="s">
        <v>11</v>
      </c>
      <c r="K11" s="57">
        <f>SUM(K7:K10)</f>
        <v>4342</v>
      </c>
      <c r="L11" s="56" t="s">
        <v>10</v>
      </c>
      <c r="M11" s="55"/>
      <c r="N11" s="54">
        <f>SUM(O7:O8)</f>
        <v>0</v>
      </c>
      <c r="O11" s="53"/>
      <c r="P11" s="52" t="s">
        <v>9</v>
      </c>
      <c r="Q11" s="51"/>
      <c r="R11" s="50">
        <f>N11-K14</f>
        <v>-4732.78</v>
      </c>
      <c r="S11" s="49"/>
    </row>
    <row r="12" spans="1:19" ht="16.149999999999999" thickBot="1" x14ac:dyDescent="0.55000000000000004">
      <c r="A12" s="48"/>
      <c r="B12" s="66"/>
      <c r="C12" s="138"/>
      <c r="D12" s="135"/>
      <c r="E12" s="45"/>
      <c r="F12" s="146"/>
      <c r="G12" s="43"/>
      <c r="H12" s="42"/>
      <c r="I12" s="14"/>
      <c r="J12" s="41" t="s">
        <v>8</v>
      </c>
      <c r="K12" s="40">
        <f>K11*0.09</f>
        <v>390.78</v>
      </c>
      <c r="L12" s="26"/>
      <c r="M12" s="26"/>
      <c r="N12" s="26"/>
      <c r="O12" s="26"/>
      <c r="P12" s="39"/>
      <c r="Q12" s="38"/>
      <c r="R12" s="37"/>
      <c r="S12" s="36"/>
    </row>
    <row r="13" spans="1:19" ht="43.15" thickBot="1" x14ac:dyDescent="0.55000000000000004">
      <c r="A13" s="35"/>
      <c r="B13" s="47"/>
      <c r="C13" s="139"/>
      <c r="D13" s="136"/>
      <c r="E13" s="32"/>
      <c r="F13" s="147"/>
      <c r="G13" s="30" t="s">
        <v>7</v>
      </c>
      <c r="H13" s="29" t="s">
        <v>6</v>
      </c>
      <c r="I13" s="14"/>
      <c r="J13" s="28" t="s">
        <v>5</v>
      </c>
      <c r="K13" s="27">
        <v>0</v>
      </c>
      <c r="L13" s="26"/>
      <c r="M13" s="26"/>
      <c r="N13" s="26"/>
      <c r="O13" s="26"/>
      <c r="P13" s="25" t="s">
        <v>4</v>
      </c>
      <c r="Q13" s="24"/>
      <c r="R13" s="23" t="e">
        <f>R11/N11</f>
        <v>#DIV/0!</v>
      </c>
      <c r="S13" s="22"/>
    </row>
    <row r="14" spans="1:19" ht="63.4" thickBot="1" x14ac:dyDescent="0.55000000000000004">
      <c r="A14" s="21"/>
      <c r="B14" s="47"/>
      <c r="C14" s="140"/>
      <c r="D14" s="137"/>
      <c r="E14" s="18"/>
      <c r="F14" s="148"/>
      <c r="G14" s="16" t="s">
        <v>3</v>
      </c>
      <c r="H14" s="15" t="e">
        <f>SUM(H11:H13)</f>
        <v>#VALUE!</v>
      </c>
      <c r="I14" s="14"/>
      <c r="J14" s="13" t="s">
        <v>3</v>
      </c>
      <c r="K14" s="12">
        <f>SUM(K11:K13)</f>
        <v>4732.78</v>
      </c>
      <c r="L14" s="11" t="s">
        <v>2</v>
      </c>
      <c r="M14" s="10">
        <f>K13/K11</f>
        <v>0</v>
      </c>
      <c r="N14" s="9"/>
      <c r="O14" s="8"/>
      <c r="P14" s="7"/>
      <c r="Q14" s="7"/>
      <c r="R14" s="7"/>
      <c r="S14" s="6"/>
    </row>
    <row r="15" spans="1:19" x14ac:dyDescent="0.5">
      <c r="C15" s="127"/>
      <c r="D15" s="127"/>
      <c r="F15" s="149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D40B-61B3-44B2-8020-E680F5F967DF}">
  <dimension ref="A1:S27"/>
  <sheetViews>
    <sheetView topLeftCell="A6" workbookViewId="0">
      <selection activeCell="F13" sqref="F13"/>
    </sheetView>
  </sheetViews>
  <sheetFormatPr defaultRowHeight="15.75" x14ac:dyDescent="0.5"/>
  <cols>
    <col min="2" max="2" width="46.125" customWidth="1"/>
    <col min="6" max="6" width="9" style="150"/>
    <col min="8" max="8" width="9.9375" bestFit="1" customWidth="1"/>
    <col min="11" max="11" width="10.4375" bestFit="1" customWidth="1"/>
    <col min="12" max="12" width="11.125" bestFit="1" customWidth="1"/>
  </cols>
  <sheetData>
    <row r="1" spans="1:19" ht="32.25" x14ac:dyDescent="0.95">
      <c r="A1" s="114" t="s">
        <v>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08" t="s">
        <v>44</v>
      </c>
      <c r="Q1" s="117" t="s">
        <v>79</v>
      </c>
      <c r="R1" s="117"/>
      <c r="S1" s="107"/>
    </row>
    <row r="2" spans="1:19" ht="31.15" thickBot="1" x14ac:dyDescent="0.95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  <c r="P2" s="106" t="s">
        <v>42</v>
      </c>
      <c r="Q2" s="105">
        <v>1</v>
      </c>
      <c r="R2" s="104"/>
      <c r="S2" s="103"/>
    </row>
    <row r="3" spans="1:19" ht="23.65" thickBot="1" x14ac:dyDescent="0.75">
      <c r="A3" s="95"/>
      <c r="B3" s="102" t="s">
        <v>41</v>
      </c>
      <c r="C3" s="134"/>
      <c r="D3" s="134"/>
      <c r="E3" s="94"/>
      <c r="F3" s="144"/>
      <c r="G3" s="94"/>
      <c r="H3" s="93"/>
      <c r="I3" s="7"/>
      <c r="J3" s="101"/>
      <c r="K3" s="99"/>
      <c r="L3" s="99"/>
      <c r="M3" s="99"/>
      <c r="N3" s="100"/>
      <c r="O3" s="99"/>
      <c r="P3" s="98"/>
      <c r="Q3" s="98"/>
      <c r="R3" s="98"/>
      <c r="S3" s="89"/>
    </row>
    <row r="4" spans="1:19" ht="25.9" thickBot="1" x14ac:dyDescent="0.55000000000000004">
      <c r="A4" s="121" t="s">
        <v>40</v>
      </c>
      <c r="B4" s="122"/>
      <c r="C4" s="122"/>
      <c r="D4" s="122"/>
      <c r="E4" s="122"/>
      <c r="F4" s="122"/>
      <c r="G4" s="122"/>
      <c r="H4" s="123"/>
      <c r="I4" s="96"/>
      <c r="J4" s="124" t="s">
        <v>39</v>
      </c>
      <c r="K4" s="125"/>
      <c r="L4" s="125"/>
      <c r="M4" s="125"/>
      <c r="N4" s="125"/>
      <c r="O4" s="125"/>
      <c r="P4" s="125"/>
      <c r="Q4" s="125"/>
      <c r="R4" s="125"/>
      <c r="S4" s="126"/>
    </row>
    <row r="5" spans="1:19" ht="16.149999999999999" thickBot="1" x14ac:dyDescent="0.55000000000000004">
      <c r="A5" s="95"/>
      <c r="B5" s="95"/>
      <c r="C5" s="134"/>
      <c r="D5" s="134"/>
      <c r="E5" s="94"/>
      <c r="F5" s="144"/>
      <c r="G5" s="94"/>
      <c r="H5" s="93"/>
      <c r="I5" s="92"/>
      <c r="J5" s="90"/>
      <c r="K5" s="90"/>
      <c r="L5" s="90"/>
      <c r="M5" s="90"/>
      <c r="N5" s="91"/>
      <c r="O5" s="90"/>
      <c r="P5" s="90"/>
      <c r="Q5" s="90"/>
      <c r="R5" s="90"/>
      <c r="S5" s="89"/>
    </row>
    <row r="6" spans="1:19" ht="54" customHeight="1" x14ac:dyDescent="0.5">
      <c r="A6" s="88" t="s">
        <v>38</v>
      </c>
      <c r="B6" s="87" t="s">
        <v>37</v>
      </c>
      <c r="C6" s="86" t="s">
        <v>36</v>
      </c>
      <c r="D6" s="86" t="s">
        <v>35</v>
      </c>
      <c r="E6" s="86" t="s">
        <v>34</v>
      </c>
      <c r="F6" s="145" t="s">
        <v>33</v>
      </c>
      <c r="G6" s="86" t="s">
        <v>32</v>
      </c>
      <c r="H6" s="85" t="s">
        <v>31</v>
      </c>
      <c r="I6" s="84"/>
      <c r="J6" s="83" t="s">
        <v>30</v>
      </c>
      <c r="K6" s="81" t="s">
        <v>29</v>
      </c>
      <c r="L6" s="81" t="s">
        <v>28</v>
      </c>
      <c r="M6" s="81" t="s">
        <v>27</v>
      </c>
      <c r="N6" s="82" t="s">
        <v>26</v>
      </c>
      <c r="O6" s="81" t="s">
        <v>25</v>
      </c>
      <c r="P6" s="81" t="s">
        <v>24</v>
      </c>
      <c r="Q6" s="81" t="s">
        <v>23</v>
      </c>
      <c r="R6" s="81" t="s">
        <v>22</v>
      </c>
      <c r="S6" s="80" t="s">
        <v>21</v>
      </c>
    </row>
    <row r="7" spans="1:19" ht="40.049999999999997" customHeight="1" x14ac:dyDescent="0.5">
      <c r="A7" s="142">
        <v>1</v>
      </c>
      <c r="B7" s="66" t="s">
        <v>59</v>
      </c>
      <c r="C7" s="71">
        <v>1</v>
      </c>
      <c r="D7" s="71">
        <v>24</v>
      </c>
      <c r="E7" s="78">
        <f t="shared" ref="E7:E22" si="0">D7*C7</f>
        <v>24</v>
      </c>
      <c r="F7" s="143">
        <v>15</v>
      </c>
      <c r="G7" s="77">
        <f t="shared" ref="G7:G22" si="1">F7/D7</f>
        <v>0.625</v>
      </c>
      <c r="H7" s="76">
        <f>G7*E7</f>
        <v>15</v>
      </c>
      <c r="I7" s="74"/>
      <c r="J7" s="75">
        <f t="shared" ref="J7:K22" si="2">G7/$Q$2</f>
        <v>0.625</v>
      </c>
      <c r="K7" s="67">
        <f>H7/$Q$2</f>
        <v>15</v>
      </c>
      <c r="L7" s="75">
        <f>J7*(1+$M$26+9%)</f>
        <v>0.68125000000000002</v>
      </c>
      <c r="M7" s="113">
        <f t="shared" ref="M7:M22" si="3">L7*E7</f>
        <v>16.350000000000001</v>
      </c>
      <c r="N7" s="73"/>
      <c r="O7" s="65">
        <f t="shared" ref="O7:O22" si="4">N7*E7</f>
        <v>0</v>
      </c>
      <c r="P7" s="65">
        <f t="shared" ref="P7:P22" si="5">N7-L7</f>
        <v>-0.68125000000000002</v>
      </c>
      <c r="Q7" s="65">
        <f t="shared" ref="Q7:Q22" si="6">P7*E7</f>
        <v>-16.350000000000001</v>
      </c>
      <c r="R7" s="64" t="e">
        <f t="shared" ref="R7:R22" si="7">P7/N7</f>
        <v>#DIV/0!</v>
      </c>
      <c r="S7" s="66"/>
    </row>
    <row r="8" spans="1:19" ht="40.049999999999997" customHeight="1" x14ac:dyDescent="0.5">
      <c r="A8" s="142">
        <v>2</v>
      </c>
      <c r="B8" s="66" t="s">
        <v>60</v>
      </c>
      <c r="C8" s="71">
        <v>1</v>
      </c>
      <c r="D8" s="71">
        <v>24</v>
      </c>
      <c r="E8" s="78">
        <f t="shared" si="0"/>
        <v>24</v>
      </c>
      <c r="F8" s="143">
        <v>10</v>
      </c>
      <c r="G8" s="77">
        <f t="shared" si="1"/>
        <v>0.41666666666666669</v>
      </c>
      <c r="H8" s="76">
        <f>G8*E8</f>
        <v>10</v>
      </c>
      <c r="I8" s="74"/>
      <c r="J8" s="75">
        <f t="shared" si="2"/>
        <v>0.41666666666666669</v>
      </c>
      <c r="K8" s="67">
        <f>H8/$Q$2</f>
        <v>10</v>
      </c>
      <c r="L8" s="75">
        <f>J8*(1+$M$26+9%)</f>
        <v>0.45416666666666672</v>
      </c>
      <c r="M8" s="113">
        <f t="shared" si="3"/>
        <v>10.900000000000002</v>
      </c>
      <c r="N8" s="73"/>
      <c r="O8" s="65">
        <f t="shared" si="4"/>
        <v>0</v>
      </c>
      <c r="P8" s="65">
        <f t="shared" si="5"/>
        <v>-0.45416666666666672</v>
      </c>
      <c r="Q8" s="65">
        <f t="shared" si="6"/>
        <v>-10.900000000000002</v>
      </c>
      <c r="R8" s="64" t="e">
        <f t="shared" si="7"/>
        <v>#DIV/0!</v>
      </c>
      <c r="S8" s="66"/>
    </row>
    <row r="9" spans="1:19" ht="40.049999999999997" customHeight="1" x14ac:dyDescent="0.5">
      <c r="A9" s="142">
        <v>3</v>
      </c>
      <c r="B9" s="66" t="s">
        <v>76</v>
      </c>
      <c r="C9" s="71">
        <v>1</v>
      </c>
      <c r="D9" s="71">
        <v>24</v>
      </c>
      <c r="E9" s="78">
        <f>D9*C9</f>
        <v>24</v>
      </c>
      <c r="F9" s="143">
        <v>9.5</v>
      </c>
      <c r="G9" s="77">
        <f t="shared" si="1"/>
        <v>0.39583333333333331</v>
      </c>
      <c r="H9" s="76">
        <f t="shared" ref="H9:H23" si="8">G9*E9</f>
        <v>9.5</v>
      </c>
      <c r="I9" s="74"/>
      <c r="J9" s="75">
        <f t="shared" si="2"/>
        <v>0.39583333333333331</v>
      </c>
      <c r="K9" s="67">
        <f t="shared" si="2"/>
        <v>9.5</v>
      </c>
      <c r="L9" s="75">
        <f>J9*(1+$M$26+9%)</f>
        <v>0.43145833333333333</v>
      </c>
      <c r="M9" s="113">
        <f t="shared" si="3"/>
        <v>10.355</v>
      </c>
      <c r="N9" s="73"/>
      <c r="O9" s="65">
        <f t="shared" si="4"/>
        <v>0</v>
      </c>
      <c r="P9" s="65">
        <f t="shared" si="5"/>
        <v>-0.43145833333333333</v>
      </c>
      <c r="Q9" s="65">
        <f t="shared" si="6"/>
        <v>-10.355</v>
      </c>
      <c r="R9" s="64" t="e">
        <f t="shared" si="7"/>
        <v>#DIV/0!</v>
      </c>
      <c r="S9" s="66"/>
    </row>
    <row r="10" spans="1:19" ht="40.049999999999997" customHeight="1" x14ac:dyDescent="0.5">
      <c r="A10" s="142">
        <v>4</v>
      </c>
      <c r="B10" s="66" t="s">
        <v>61</v>
      </c>
      <c r="C10" s="71">
        <v>1</v>
      </c>
      <c r="D10" s="71">
        <v>60</v>
      </c>
      <c r="E10" s="78">
        <f>C10*D10</f>
        <v>60</v>
      </c>
      <c r="F10" s="143">
        <v>62.5</v>
      </c>
      <c r="G10" s="77">
        <f>F10/D10</f>
        <v>1.0416666666666667</v>
      </c>
      <c r="H10" s="76">
        <f t="shared" si="8"/>
        <v>62.500000000000007</v>
      </c>
      <c r="I10" s="74"/>
      <c r="J10" s="75">
        <f t="shared" si="2"/>
        <v>1.0416666666666667</v>
      </c>
      <c r="K10" s="67">
        <f t="shared" si="2"/>
        <v>62.500000000000007</v>
      </c>
      <c r="L10" s="75">
        <f>J10*(1+$M$26+9%)</f>
        <v>1.1354166666666667</v>
      </c>
      <c r="M10" s="113">
        <f t="shared" si="3"/>
        <v>68.125</v>
      </c>
      <c r="N10" s="73"/>
      <c r="O10" s="65"/>
      <c r="P10" s="65"/>
      <c r="Q10" s="65"/>
      <c r="R10" s="64"/>
      <c r="S10" s="66"/>
    </row>
    <row r="11" spans="1:19" ht="40.049999999999997" customHeight="1" x14ac:dyDescent="0.5">
      <c r="A11" s="142">
        <v>5</v>
      </c>
      <c r="B11" s="66" t="s">
        <v>62</v>
      </c>
      <c r="C11" s="71">
        <v>1</v>
      </c>
      <c r="D11" s="71">
        <v>25</v>
      </c>
      <c r="E11" s="78">
        <f>C11*D11</f>
        <v>25</v>
      </c>
      <c r="F11" s="143">
        <v>47.3</v>
      </c>
      <c r="G11" s="77">
        <f t="shared" si="1"/>
        <v>1.8919999999999999</v>
      </c>
      <c r="H11" s="76">
        <f t="shared" si="8"/>
        <v>47.3</v>
      </c>
      <c r="I11" s="74"/>
      <c r="J11" s="75">
        <f t="shared" si="2"/>
        <v>1.8919999999999999</v>
      </c>
      <c r="K11" s="67">
        <f t="shared" si="2"/>
        <v>47.3</v>
      </c>
      <c r="L11" s="75">
        <f>J11*(1+$M$26+9%)</f>
        <v>2.0622799999999999</v>
      </c>
      <c r="M11" s="113">
        <f t="shared" si="3"/>
        <v>51.556999999999995</v>
      </c>
      <c r="N11" s="73"/>
      <c r="O11" s="65"/>
      <c r="P11" s="65"/>
      <c r="Q11" s="65"/>
      <c r="R11" s="64"/>
      <c r="S11" s="66"/>
    </row>
    <row r="12" spans="1:19" ht="40.049999999999997" customHeight="1" x14ac:dyDescent="0.5">
      <c r="A12" s="142">
        <v>6</v>
      </c>
      <c r="B12" s="66" t="s">
        <v>77</v>
      </c>
      <c r="C12" s="71">
        <v>1</v>
      </c>
      <c r="D12" s="71">
        <v>24</v>
      </c>
      <c r="E12" s="78">
        <f t="shared" ref="E12" si="9">D12*C12</f>
        <v>24</v>
      </c>
      <c r="F12" s="143">
        <v>46</v>
      </c>
      <c r="G12" s="77">
        <f t="shared" si="1"/>
        <v>1.9166666666666667</v>
      </c>
      <c r="H12" s="76">
        <f t="shared" si="8"/>
        <v>46</v>
      </c>
      <c r="I12" s="74"/>
      <c r="J12" s="75">
        <f t="shared" si="2"/>
        <v>1.9166666666666667</v>
      </c>
      <c r="K12" s="67">
        <f>H12/$Q$2</f>
        <v>46</v>
      </c>
      <c r="L12" s="75">
        <f t="shared" ref="L12:L14" si="10">J12*(1+$M$26+9%)</f>
        <v>2.0891666666666668</v>
      </c>
      <c r="M12" s="113">
        <f t="shared" si="3"/>
        <v>50.14</v>
      </c>
      <c r="N12" s="73"/>
      <c r="O12" s="65">
        <f t="shared" ref="O12" si="11">N12*E12</f>
        <v>0</v>
      </c>
      <c r="P12" s="65">
        <f t="shared" ref="P12" si="12">N12-L12</f>
        <v>-2.0891666666666668</v>
      </c>
      <c r="Q12" s="65">
        <f t="shared" ref="Q12" si="13">P12*E12</f>
        <v>-50.14</v>
      </c>
      <c r="R12" s="64" t="e">
        <f t="shared" ref="R12" si="14">P12/N12</f>
        <v>#DIV/0!</v>
      </c>
      <c r="S12" s="66"/>
    </row>
    <row r="13" spans="1:19" ht="40.049999999999997" customHeight="1" x14ac:dyDescent="0.5">
      <c r="A13" s="142">
        <v>7</v>
      </c>
      <c r="B13" s="66" t="s">
        <v>78</v>
      </c>
      <c r="C13" s="71">
        <v>1</v>
      </c>
      <c r="D13" s="71">
        <v>24</v>
      </c>
      <c r="E13" s="78">
        <f>D13*C13</f>
        <v>24</v>
      </c>
      <c r="F13" s="143">
        <v>46</v>
      </c>
      <c r="G13" s="77">
        <f t="shared" si="1"/>
        <v>1.9166666666666667</v>
      </c>
      <c r="H13" s="76">
        <f t="shared" si="8"/>
        <v>46</v>
      </c>
      <c r="I13" s="74"/>
      <c r="J13" s="75">
        <f t="shared" si="2"/>
        <v>1.9166666666666667</v>
      </c>
      <c r="K13" s="67">
        <f>H13/$Q$2</f>
        <v>46</v>
      </c>
      <c r="L13" s="75">
        <f t="shared" si="10"/>
        <v>2.0891666666666668</v>
      </c>
      <c r="M13" s="113">
        <f t="shared" si="3"/>
        <v>50.14</v>
      </c>
      <c r="N13" s="73"/>
      <c r="O13" s="65"/>
      <c r="P13" s="65"/>
      <c r="Q13" s="65"/>
      <c r="R13" s="64"/>
      <c r="S13" s="66"/>
    </row>
    <row r="14" spans="1:19" ht="40.049999999999997" customHeight="1" x14ac:dyDescent="0.5">
      <c r="A14" s="142">
        <v>8</v>
      </c>
      <c r="B14" s="66" t="s">
        <v>64</v>
      </c>
      <c r="C14" s="71">
        <v>1</v>
      </c>
      <c r="D14" s="71">
        <v>20</v>
      </c>
      <c r="E14" s="70">
        <f>D14*C14</f>
        <v>20</v>
      </c>
      <c r="F14" s="143">
        <v>57.2</v>
      </c>
      <c r="G14" s="77">
        <f t="shared" si="1"/>
        <v>2.8600000000000003</v>
      </c>
      <c r="H14" s="76">
        <f t="shared" si="8"/>
        <v>57.2</v>
      </c>
      <c r="I14" s="74"/>
      <c r="J14" s="75">
        <f t="shared" si="2"/>
        <v>2.8600000000000003</v>
      </c>
      <c r="K14" s="67">
        <f t="shared" si="2"/>
        <v>57.2</v>
      </c>
      <c r="L14" s="75">
        <f t="shared" si="10"/>
        <v>3.1174000000000004</v>
      </c>
      <c r="M14" s="113">
        <f t="shared" si="3"/>
        <v>62.348000000000006</v>
      </c>
      <c r="N14" s="73"/>
      <c r="O14" s="65">
        <f t="shared" si="4"/>
        <v>0</v>
      </c>
      <c r="P14" s="65">
        <f t="shared" si="5"/>
        <v>-3.1174000000000004</v>
      </c>
      <c r="Q14" s="65">
        <f t="shared" si="6"/>
        <v>-62.348000000000006</v>
      </c>
      <c r="R14" s="64" t="e">
        <f t="shared" si="7"/>
        <v>#DIV/0!</v>
      </c>
      <c r="S14" s="72"/>
    </row>
    <row r="15" spans="1:19" ht="40.049999999999997" customHeight="1" x14ac:dyDescent="0.5">
      <c r="A15" s="142">
        <v>9</v>
      </c>
      <c r="B15" s="66" t="s">
        <v>65</v>
      </c>
      <c r="C15" s="71">
        <v>1</v>
      </c>
      <c r="D15" s="71">
        <v>20</v>
      </c>
      <c r="E15" s="70">
        <f t="shared" si="0"/>
        <v>20</v>
      </c>
      <c r="F15" s="143">
        <v>57.2</v>
      </c>
      <c r="G15" s="77">
        <f t="shared" si="1"/>
        <v>2.8600000000000003</v>
      </c>
      <c r="H15" s="76">
        <f t="shared" si="8"/>
        <v>57.2</v>
      </c>
      <c r="I15" s="74"/>
      <c r="J15" s="75">
        <f t="shared" si="2"/>
        <v>2.8600000000000003</v>
      </c>
      <c r="K15" s="67">
        <f t="shared" si="2"/>
        <v>57.2</v>
      </c>
      <c r="L15" s="75">
        <f>J15*(1+$M$26+9%)</f>
        <v>3.1174000000000004</v>
      </c>
      <c r="M15" s="113">
        <f t="shared" si="3"/>
        <v>62.348000000000006</v>
      </c>
      <c r="N15" s="73"/>
      <c r="O15" s="65">
        <f t="shared" si="4"/>
        <v>0</v>
      </c>
      <c r="P15" s="65">
        <f t="shared" si="5"/>
        <v>-3.1174000000000004</v>
      </c>
      <c r="Q15" s="65">
        <f t="shared" si="6"/>
        <v>-62.348000000000006</v>
      </c>
      <c r="R15" s="64" t="e">
        <f t="shared" si="7"/>
        <v>#DIV/0!</v>
      </c>
      <c r="S15" s="72"/>
    </row>
    <row r="16" spans="1:19" ht="40.049999999999997" customHeight="1" x14ac:dyDescent="0.5">
      <c r="A16" s="142">
        <v>10</v>
      </c>
      <c r="B16" s="66" t="s">
        <v>71</v>
      </c>
      <c r="C16" s="71">
        <v>1</v>
      </c>
      <c r="D16" s="71">
        <v>15</v>
      </c>
      <c r="E16" s="70">
        <f t="shared" si="0"/>
        <v>15</v>
      </c>
      <c r="F16" s="143">
        <f>(20/24)*9.8</f>
        <v>8.1666666666666679</v>
      </c>
      <c r="G16" s="77">
        <f t="shared" si="1"/>
        <v>0.54444444444444451</v>
      </c>
      <c r="H16" s="76">
        <f t="shared" si="8"/>
        <v>8.1666666666666679</v>
      </c>
      <c r="I16" s="66"/>
      <c r="J16" s="75">
        <f t="shared" si="2"/>
        <v>0.54444444444444451</v>
      </c>
      <c r="K16" s="67">
        <f t="shared" si="2"/>
        <v>8.1666666666666679</v>
      </c>
      <c r="L16" s="75">
        <f>J16*(1+$M$26+9%)</f>
        <v>0.59344444444444455</v>
      </c>
      <c r="M16" s="113">
        <f t="shared" si="3"/>
        <v>8.9016666666666691</v>
      </c>
      <c r="N16" s="66"/>
      <c r="O16" s="65">
        <f t="shared" si="4"/>
        <v>0</v>
      </c>
      <c r="P16" s="65"/>
      <c r="Q16" s="65"/>
      <c r="R16" s="64"/>
      <c r="S16" s="63"/>
    </row>
    <row r="17" spans="1:19" ht="40.049999999999997" customHeight="1" x14ac:dyDescent="0.5">
      <c r="A17" s="142">
        <v>11</v>
      </c>
      <c r="B17" s="66" t="s">
        <v>82</v>
      </c>
      <c r="C17" s="71">
        <v>1</v>
      </c>
      <c r="D17" s="71">
        <v>15</v>
      </c>
      <c r="E17" s="70">
        <f t="shared" ref="E17" si="15">D17*C17</f>
        <v>15</v>
      </c>
      <c r="F17" s="143">
        <f t="shared" ref="F17:F18" si="16">(20/24)*9.8</f>
        <v>8.1666666666666679</v>
      </c>
      <c r="G17" s="77">
        <f t="shared" ref="G17" si="17">F17/D17</f>
        <v>0.54444444444444451</v>
      </c>
      <c r="H17" s="76">
        <f t="shared" ref="H17" si="18">G17*E17</f>
        <v>8.1666666666666679</v>
      </c>
      <c r="I17" s="66"/>
      <c r="J17" s="75">
        <f t="shared" ref="J17" si="19">G17/$Q$2</f>
        <v>0.54444444444444451</v>
      </c>
      <c r="K17" s="67">
        <f t="shared" ref="K17" si="20">H17/$Q$2</f>
        <v>8.1666666666666679</v>
      </c>
      <c r="L17" s="75">
        <f>J17*(1+$M$26+9%)</f>
        <v>0.59344444444444455</v>
      </c>
      <c r="M17" s="113">
        <f t="shared" ref="M17" si="21">L17*E17</f>
        <v>8.9016666666666691</v>
      </c>
      <c r="N17" s="66"/>
      <c r="O17" s="65">
        <f t="shared" ref="O17" si="22">N17*E17</f>
        <v>0</v>
      </c>
      <c r="P17" s="65">
        <f t="shared" ref="P17" si="23">N17-L17</f>
        <v>-0.59344444444444455</v>
      </c>
      <c r="Q17" s="65">
        <f t="shared" ref="Q17" si="24">P17*E17</f>
        <v>-8.9016666666666691</v>
      </c>
      <c r="R17" s="64" t="e">
        <f t="shared" ref="R17" si="25">P17/N17</f>
        <v>#DIV/0!</v>
      </c>
      <c r="S17" s="63"/>
    </row>
    <row r="18" spans="1:19" ht="40.049999999999997" customHeight="1" x14ac:dyDescent="0.5">
      <c r="A18" s="142">
        <v>12</v>
      </c>
      <c r="B18" s="66" t="s">
        <v>69</v>
      </c>
      <c r="C18" s="71">
        <v>1</v>
      </c>
      <c r="D18" s="71">
        <v>15</v>
      </c>
      <c r="E18" s="70">
        <f t="shared" si="0"/>
        <v>15</v>
      </c>
      <c r="F18" s="143">
        <f t="shared" si="16"/>
        <v>8.1666666666666679</v>
      </c>
      <c r="G18" s="77">
        <f t="shared" si="1"/>
        <v>0.54444444444444451</v>
      </c>
      <c r="H18" s="76">
        <f t="shared" si="8"/>
        <v>8.1666666666666679</v>
      </c>
      <c r="I18" s="66"/>
      <c r="J18" s="75">
        <f t="shared" si="2"/>
        <v>0.54444444444444451</v>
      </c>
      <c r="K18" s="67">
        <f t="shared" si="2"/>
        <v>8.1666666666666679</v>
      </c>
      <c r="L18" s="75">
        <f>J18*(1+$M$26+9%)</f>
        <v>0.59344444444444455</v>
      </c>
      <c r="M18" s="113">
        <f t="shared" si="3"/>
        <v>8.9016666666666691</v>
      </c>
      <c r="N18" s="66"/>
      <c r="O18" s="65">
        <f t="shared" si="4"/>
        <v>0</v>
      </c>
      <c r="P18" s="65">
        <f t="shared" si="5"/>
        <v>-0.59344444444444455</v>
      </c>
      <c r="Q18" s="65">
        <f t="shared" si="6"/>
        <v>-8.9016666666666691</v>
      </c>
      <c r="R18" s="64" t="e">
        <f t="shared" si="7"/>
        <v>#DIV/0!</v>
      </c>
      <c r="S18" s="63"/>
    </row>
    <row r="19" spans="1:19" ht="40.049999999999997" customHeight="1" x14ac:dyDescent="0.5">
      <c r="A19" s="142">
        <v>13</v>
      </c>
      <c r="B19" s="66" t="s">
        <v>80</v>
      </c>
      <c r="C19" s="71">
        <v>1</v>
      </c>
      <c r="D19" s="71">
        <v>24</v>
      </c>
      <c r="E19" s="70">
        <f t="shared" si="0"/>
        <v>24</v>
      </c>
      <c r="F19" s="143">
        <v>16.8</v>
      </c>
      <c r="G19" s="69">
        <f t="shared" si="1"/>
        <v>0.70000000000000007</v>
      </c>
      <c r="H19" s="76">
        <f>G19*E19</f>
        <v>16.8</v>
      </c>
      <c r="I19" s="74"/>
      <c r="J19" s="75">
        <f t="shared" si="2"/>
        <v>0.70000000000000007</v>
      </c>
      <c r="K19" s="67">
        <f>H19/$Q$2</f>
        <v>16.8</v>
      </c>
      <c r="L19" s="75">
        <f>J19*(1+$M$13+9%)</f>
        <v>35.861000000000004</v>
      </c>
      <c r="M19" s="113">
        <f t="shared" si="3"/>
        <v>860.6640000000001</v>
      </c>
      <c r="N19" s="73"/>
      <c r="O19" s="65"/>
      <c r="P19" s="65"/>
      <c r="Q19" s="65"/>
      <c r="R19" s="64"/>
      <c r="S19" s="66"/>
    </row>
    <row r="20" spans="1:19" ht="40.049999999999997" customHeight="1" x14ac:dyDescent="0.5">
      <c r="A20" s="142">
        <v>14</v>
      </c>
      <c r="B20" s="66" t="s">
        <v>66</v>
      </c>
      <c r="C20" s="71">
        <v>1</v>
      </c>
      <c r="D20" s="71">
        <v>15</v>
      </c>
      <c r="E20" s="70">
        <f t="shared" si="0"/>
        <v>15</v>
      </c>
      <c r="F20" s="143">
        <f>(20/24)*13</f>
        <v>10.833333333333334</v>
      </c>
      <c r="G20" s="69">
        <f t="shared" si="1"/>
        <v>0.72222222222222221</v>
      </c>
      <c r="H20" s="76">
        <f t="shared" si="8"/>
        <v>10.833333333333334</v>
      </c>
      <c r="I20" s="66"/>
      <c r="J20" s="75">
        <f t="shared" si="2"/>
        <v>0.72222222222222221</v>
      </c>
      <c r="K20" s="67">
        <f t="shared" si="2"/>
        <v>10.833333333333334</v>
      </c>
      <c r="L20" s="75">
        <f>J20*(1+$M$16+9%)</f>
        <v>7.2162037037037052</v>
      </c>
      <c r="M20" s="113">
        <f t="shared" si="3"/>
        <v>108.24305555555557</v>
      </c>
      <c r="N20" s="66"/>
      <c r="O20" s="65">
        <f t="shared" si="4"/>
        <v>0</v>
      </c>
      <c r="P20" s="65">
        <f t="shared" si="5"/>
        <v>-7.2162037037037052</v>
      </c>
      <c r="Q20" s="65">
        <f t="shared" si="6"/>
        <v>-108.24305555555557</v>
      </c>
      <c r="R20" s="64" t="e">
        <f t="shared" si="7"/>
        <v>#DIV/0!</v>
      </c>
      <c r="S20" s="63"/>
    </row>
    <row r="21" spans="1:19" ht="40.049999999999997" customHeight="1" x14ac:dyDescent="0.5">
      <c r="A21" s="142">
        <v>15</v>
      </c>
      <c r="B21" s="66" t="s">
        <v>67</v>
      </c>
      <c r="C21" s="71">
        <v>1</v>
      </c>
      <c r="D21" s="71">
        <v>15</v>
      </c>
      <c r="E21" s="70">
        <f t="shared" si="0"/>
        <v>15</v>
      </c>
      <c r="F21" s="143">
        <f t="shared" ref="F21:F22" si="26">(20/24)*13</f>
        <v>10.833333333333334</v>
      </c>
      <c r="G21" s="69">
        <f t="shared" si="1"/>
        <v>0.72222222222222221</v>
      </c>
      <c r="H21" s="76">
        <f t="shared" si="8"/>
        <v>10.833333333333334</v>
      </c>
      <c r="I21" s="66"/>
      <c r="J21" s="75">
        <f t="shared" si="2"/>
        <v>0.72222222222222221</v>
      </c>
      <c r="K21" s="67">
        <f t="shared" si="2"/>
        <v>10.833333333333334</v>
      </c>
      <c r="L21" s="75">
        <f>J21*(1+$M$16+9%)</f>
        <v>7.2162037037037052</v>
      </c>
      <c r="M21" s="113">
        <f t="shared" si="3"/>
        <v>108.24305555555557</v>
      </c>
      <c r="N21" s="66"/>
      <c r="O21" s="65">
        <f t="shared" si="4"/>
        <v>0</v>
      </c>
      <c r="P21" s="65">
        <f t="shared" si="5"/>
        <v>-7.2162037037037052</v>
      </c>
      <c r="Q21" s="65">
        <f t="shared" si="6"/>
        <v>-108.24305555555557</v>
      </c>
      <c r="R21" s="64" t="e">
        <f t="shared" si="7"/>
        <v>#DIV/0!</v>
      </c>
      <c r="S21" s="63"/>
    </row>
    <row r="22" spans="1:19" ht="40.049999999999997" customHeight="1" x14ac:dyDescent="0.5">
      <c r="A22" s="142">
        <v>16</v>
      </c>
      <c r="B22" s="66" t="s">
        <v>68</v>
      </c>
      <c r="C22" s="71">
        <v>1</v>
      </c>
      <c r="D22" s="71">
        <v>15</v>
      </c>
      <c r="E22" s="70">
        <f t="shared" si="0"/>
        <v>15</v>
      </c>
      <c r="F22" s="143">
        <f t="shared" si="26"/>
        <v>10.833333333333334</v>
      </c>
      <c r="G22" s="69">
        <f t="shared" si="1"/>
        <v>0.72222222222222221</v>
      </c>
      <c r="H22" s="76">
        <f t="shared" si="8"/>
        <v>10.833333333333334</v>
      </c>
      <c r="I22" s="66"/>
      <c r="J22" s="75">
        <f t="shared" si="2"/>
        <v>0.72222222222222221</v>
      </c>
      <c r="K22" s="67">
        <f t="shared" si="2"/>
        <v>10.833333333333334</v>
      </c>
      <c r="L22" s="75">
        <f>J22*(1+$M$16+9%)</f>
        <v>7.2162037037037052</v>
      </c>
      <c r="M22" s="113">
        <f t="shared" si="3"/>
        <v>108.24305555555557</v>
      </c>
      <c r="N22" s="66"/>
      <c r="O22" s="65">
        <f t="shared" si="4"/>
        <v>0</v>
      </c>
      <c r="P22" s="65">
        <f t="shared" si="5"/>
        <v>-7.2162037037037052</v>
      </c>
      <c r="Q22" s="65">
        <f t="shared" si="6"/>
        <v>-108.24305555555557</v>
      </c>
      <c r="R22" s="64" t="e">
        <f t="shared" si="7"/>
        <v>#DIV/0!</v>
      </c>
      <c r="S22" s="63"/>
    </row>
    <row r="23" spans="1:19" ht="43.15" thickBot="1" x14ac:dyDescent="0.55000000000000004">
      <c r="A23" s="62" t="s">
        <v>13</v>
      </c>
      <c r="B23" s="66"/>
      <c r="C23" s="138"/>
      <c r="D23" s="135"/>
      <c r="E23" s="45"/>
      <c r="F23" s="146"/>
      <c r="G23" s="61" t="s">
        <v>12</v>
      </c>
      <c r="H23" s="76" t="e">
        <f t="shared" si="8"/>
        <v>#VALUE!</v>
      </c>
      <c r="I23" s="59"/>
      <c r="J23" s="58" t="s">
        <v>11</v>
      </c>
      <c r="K23" s="57">
        <f>SUM(K7:K18)</f>
        <v>375.20000000000005</v>
      </c>
      <c r="L23" s="56" t="s">
        <v>10</v>
      </c>
      <c r="M23" s="55"/>
      <c r="N23" s="54">
        <f>SUM(O7:O15)</f>
        <v>0</v>
      </c>
      <c r="O23" s="53"/>
      <c r="P23" s="52" t="s">
        <v>9</v>
      </c>
      <c r="Q23" s="51"/>
      <c r="R23" s="50">
        <f>N23-K26</f>
        <v>-408.96800000000007</v>
      </c>
      <c r="S23" s="49"/>
    </row>
    <row r="24" spans="1:19" ht="16.149999999999999" thickBot="1" x14ac:dyDescent="0.55000000000000004">
      <c r="A24" s="48"/>
      <c r="B24" s="66"/>
      <c r="C24" s="138"/>
      <c r="D24" s="135"/>
      <c r="E24" s="45"/>
      <c r="F24" s="146"/>
      <c r="G24" s="43"/>
      <c r="H24" s="42"/>
      <c r="I24" s="14"/>
      <c r="J24" s="41" t="s">
        <v>8</v>
      </c>
      <c r="K24" s="40">
        <f>K23*0.09</f>
        <v>33.768000000000001</v>
      </c>
      <c r="L24" s="26"/>
      <c r="M24" s="26"/>
      <c r="N24" s="26"/>
      <c r="O24" s="26"/>
      <c r="P24" s="39"/>
      <c r="Q24" s="38"/>
      <c r="R24" s="37"/>
      <c r="S24" s="36"/>
    </row>
    <row r="25" spans="1:19" ht="43.15" thickBot="1" x14ac:dyDescent="0.55000000000000004">
      <c r="A25" s="35"/>
      <c r="B25" s="47"/>
      <c r="C25" s="139"/>
      <c r="D25" s="136"/>
      <c r="E25" s="32"/>
      <c r="F25" s="147"/>
      <c r="G25" s="30" t="s">
        <v>7</v>
      </c>
      <c r="H25" s="29" t="s">
        <v>6</v>
      </c>
      <c r="I25" s="14"/>
      <c r="J25" s="28" t="s">
        <v>5</v>
      </c>
      <c r="K25" s="27">
        <v>0</v>
      </c>
      <c r="L25" s="26"/>
      <c r="M25" s="26"/>
      <c r="N25" s="26"/>
      <c r="O25" s="26"/>
      <c r="P25" s="25" t="s">
        <v>4</v>
      </c>
      <c r="Q25" s="24"/>
      <c r="R25" s="23" t="e">
        <f>R23/N23</f>
        <v>#DIV/0!</v>
      </c>
      <c r="S25" s="22"/>
    </row>
    <row r="26" spans="1:19" ht="63.4" thickBot="1" x14ac:dyDescent="0.55000000000000004">
      <c r="A26" s="21"/>
      <c r="B26" s="47"/>
      <c r="C26" s="140"/>
      <c r="D26" s="137"/>
      <c r="E26" s="18"/>
      <c r="F26" s="148"/>
      <c r="G26" s="16" t="s">
        <v>3</v>
      </c>
      <c r="H26" s="15" t="e">
        <f>SUM(H23:H25)</f>
        <v>#VALUE!</v>
      </c>
      <c r="I26" s="14"/>
      <c r="J26" s="13" t="s">
        <v>3</v>
      </c>
      <c r="K26" s="12">
        <f>SUM(K23:K25)</f>
        <v>408.96800000000007</v>
      </c>
      <c r="L26" s="11" t="s">
        <v>2</v>
      </c>
      <c r="M26" s="10">
        <f>K25/K23</f>
        <v>0</v>
      </c>
      <c r="N26" s="9"/>
      <c r="O26" s="8"/>
      <c r="P26" s="7"/>
      <c r="Q26" s="7"/>
      <c r="R26" s="7"/>
      <c r="S26" s="6"/>
    </row>
    <row r="27" spans="1:19" x14ac:dyDescent="0.5">
      <c r="C27" s="127"/>
      <c r="D27" s="127"/>
      <c r="F27" s="149"/>
    </row>
  </sheetData>
  <mergeCells count="5">
    <mergeCell ref="A1:O1"/>
    <mergeCell ref="Q1:R1"/>
    <mergeCell ref="A2:O2"/>
    <mergeCell ref="A4:H4"/>
    <mergeCell ref="J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SS355407</vt:lpstr>
      <vt:lpstr>SS355943</vt:lpstr>
      <vt:lpstr>SS354658</vt:lpstr>
      <vt:lpstr>SS362578</vt:lpstr>
      <vt:lpstr>SS361287</vt:lpstr>
      <vt:lpstr>SS360763</vt:lpstr>
      <vt:lpstr>SS360123</vt:lpstr>
      <vt:lpstr>SS359594</vt:lpstr>
      <vt:lpstr>SS359571</vt:lpstr>
      <vt:lpstr>SS358160</vt:lpstr>
      <vt:lpstr>SS357727</vt:lpstr>
      <vt:lpstr>SS356924</vt:lpstr>
      <vt:lpstr>SS357153</vt:lpstr>
      <vt:lpstr>SS356473</vt:lpstr>
      <vt:lpstr>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Agarwal</dc:creator>
  <cp:lastModifiedBy>Nitish</cp:lastModifiedBy>
  <dcterms:created xsi:type="dcterms:W3CDTF">2026-01-09T02:09:44Z</dcterms:created>
  <dcterms:modified xsi:type="dcterms:W3CDTF">2026-04-16T06:07:26Z</dcterms:modified>
</cp:coreProperties>
</file>