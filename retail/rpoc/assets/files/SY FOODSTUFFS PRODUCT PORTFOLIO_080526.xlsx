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GRAB &amp; FOOD PANDA\"/>
    </mc:Choice>
  </mc:AlternateContent>
  <xr:revisionPtr revIDLastSave="0" documentId="8_{498FA8EB-787B-4A0F-BBA9-692CB66AA7ED}" xr6:coauthVersionLast="47" xr6:coauthVersionMax="47" xr10:uidLastSave="{00000000-0000-0000-0000-000000000000}"/>
  <bookViews>
    <workbookView xWindow="-120" yWindow="-120" windowWidth="20730" windowHeight="11160" activeTab="1" xr2:uid="{E4DCA77C-E03F-AE49-BE18-EAE35FFB8173}"/>
  </bookViews>
  <sheets>
    <sheet name="MASTERFILE" sheetId="8" r:id="rId1"/>
    <sheet name="pandamart grab cal" sheetId="10" r:id="rId2"/>
    <sheet name="PRICE CHANGE" sheetId="9" r:id="rId3"/>
  </sheets>
  <definedNames>
    <definedName name="_xlnm._FilterDatabase" localSheetId="0" hidden="1">MASTERFILE!$A$6:$AW$56</definedName>
    <definedName name="_xlnm._FilterDatabase" localSheetId="1" hidden="1">'pandamart grab cal'!$A$6:$BG$56</definedName>
    <definedName name="_xlnm._FilterDatabase" localSheetId="2" hidden="1">'PRICE CHANGE'!$A$6:$AW$56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52" i="10" l="1"/>
  <c r="AZ52" i="10" s="1"/>
  <c r="AK52" i="10"/>
  <c r="E52" i="10"/>
  <c r="AS52" i="10" s="1"/>
  <c r="AX51" i="10"/>
  <c r="AZ51" i="10" s="1"/>
  <c r="AK51" i="10"/>
  <c r="E51" i="10"/>
  <c r="AS51" i="10" s="1"/>
  <c r="AX50" i="10"/>
  <c r="AZ50" i="10" s="1"/>
  <c r="AK50" i="10"/>
  <c r="E50" i="10"/>
  <c r="AS50" i="10" s="1"/>
  <c r="AX49" i="10"/>
  <c r="AZ49" i="10" s="1"/>
  <c r="AK49" i="10"/>
  <c r="E49" i="10"/>
  <c r="AS49" i="10" s="1"/>
  <c r="AX48" i="10"/>
  <c r="AZ48" i="10" s="1"/>
  <c r="AK48" i="10"/>
  <c r="E48" i="10"/>
  <c r="AS48" i="10" s="1"/>
  <c r="AX47" i="10"/>
  <c r="AZ47" i="10" s="1"/>
  <c r="AK47" i="10"/>
  <c r="E47" i="10"/>
  <c r="AS47" i="10" s="1"/>
  <c r="AX46" i="10"/>
  <c r="AZ46" i="10" s="1"/>
  <c r="AK46" i="10"/>
  <c r="E46" i="10"/>
  <c r="AS46" i="10" s="1"/>
  <c r="AX45" i="10"/>
  <c r="AZ45" i="10" s="1"/>
  <c r="AK45" i="10"/>
  <c r="E45" i="10"/>
  <c r="AS45" i="10" s="1"/>
  <c r="AX44" i="10"/>
  <c r="AZ44" i="10" s="1"/>
  <c r="AK44" i="10"/>
  <c r="E44" i="10"/>
  <c r="AS44" i="10" s="1"/>
  <c r="AX43" i="10"/>
  <c r="AZ43" i="10" s="1"/>
  <c r="AK43" i="10"/>
  <c r="E43" i="10"/>
  <c r="AS43" i="10" s="1"/>
  <c r="AX42" i="10"/>
  <c r="AZ42" i="10" s="1"/>
  <c r="AK42" i="10"/>
  <c r="E42" i="10"/>
  <c r="AS42" i="10" s="1"/>
  <c r="AX41" i="10"/>
  <c r="AZ41" i="10" s="1"/>
  <c r="AK41" i="10"/>
  <c r="E41" i="10"/>
  <c r="AS41" i="10" s="1"/>
  <c r="AX40" i="10"/>
  <c r="AZ40" i="10" s="1"/>
  <c r="AK40" i="10"/>
  <c r="E40" i="10"/>
  <c r="AS40" i="10" s="1"/>
  <c r="AX39" i="10"/>
  <c r="AZ39" i="10" s="1"/>
  <c r="AK39" i="10"/>
  <c r="E39" i="10"/>
  <c r="AS39" i="10" s="1"/>
  <c r="AX38" i="10"/>
  <c r="AZ38" i="10" s="1"/>
  <c r="AK38" i="10"/>
  <c r="E38" i="10"/>
  <c r="AS38" i="10" s="1"/>
  <c r="AX37" i="10"/>
  <c r="AZ37" i="10" s="1"/>
  <c r="AK37" i="10"/>
  <c r="E37" i="10"/>
  <c r="AS37" i="10" s="1"/>
  <c r="AX36" i="10"/>
  <c r="AZ36" i="10" s="1"/>
  <c r="AK36" i="10"/>
  <c r="E36" i="10"/>
  <c r="AS36" i="10" s="1"/>
  <c r="AX35" i="10"/>
  <c r="AZ35" i="10" s="1"/>
  <c r="AK35" i="10"/>
  <c r="E35" i="10"/>
  <c r="AS35" i="10" s="1"/>
  <c r="AX34" i="10"/>
  <c r="AZ34" i="10" s="1"/>
  <c r="AK34" i="10"/>
  <c r="E34" i="10"/>
  <c r="AS34" i="10" s="1"/>
  <c r="AX33" i="10"/>
  <c r="AZ33" i="10" s="1"/>
  <c r="AK33" i="10"/>
  <c r="E33" i="10"/>
  <c r="AS33" i="10" s="1"/>
  <c r="AX32" i="10"/>
  <c r="AZ32" i="10" s="1"/>
  <c r="AK32" i="10"/>
  <c r="E32" i="10"/>
  <c r="AS32" i="10" s="1"/>
  <c r="AX31" i="10"/>
  <c r="AZ31" i="10" s="1"/>
  <c r="AK31" i="10"/>
  <c r="E31" i="10"/>
  <c r="AS31" i="10" s="1"/>
  <c r="AX30" i="10"/>
  <c r="AZ30" i="10" s="1"/>
  <c r="AK30" i="10"/>
  <c r="E30" i="10"/>
  <c r="AS30" i="10" s="1"/>
  <c r="AX29" i="10"/>
  <c r="AZ29" i="10" s="1"/>
  <c r="AK29" i="10"/>
  <c r="E29" i="10"/>
  <c r="AS29" i="10" s="1"/>
  <c r="AX28" i="10"/>
  <c r="AZ28" i="10" s="1"/>
  <c r="AK28" i="10"/>
  <c r="E28" i="10"/>
  <c r="AS28" i="10" s="1"/>
  <c r="AX27" i="10"/>
  <c r="AZ27" i="10" s="1"/>
  <c r="AK27" i="10"/>
  <c r="E27" i="10"/>
  <c r="AS27" i="10" s="1"/>
  <c r="AX26" i="10"/>
  <c r="AZ26" i="10" s="1"/>
  <c r="AK26" i="10"/>
  <c r="E26" i="10"/>
  <c r="AS26" i="10" s="1"/>
  <c r="AX25" i="10"/>
  <c r="AZ25" i="10" s="1"/>
  <c r="AK25" i="10"/>
  <c r="E25" i="10"/>
  <c r="AS25" i="10" s="1"/>
  <c r="AX24" i="10"/>
  <c r="AZ24" i="10" s="1"/>
  <c r="AK24" i="10"/>
  <c r="E24" i="10"/>
  <c r="AS24" i="10" s="1"/>
  <c r="AX23" i="10"/>
  <c r="AZ23" i="10" s="1"/>
  <c r="AK23" i="10"/>
  <c r="E23" i="10"/>
  <c r="AS23" i="10" s="1"/>
  <c r="AX22" i="10"/>
  <c r="AZ22" i="10" s="1"/>
  <c r="AK22" i="10"/>
  <c r="E22" i="10"/>
  <c r="AS22" i="10" s="1"/>
  <c r="AX21" i="10"/>
  <c r="AZ21" i="10" s="1"/>
  <c r="AK21" i="10"/>
  <c r="E21" i="10"/>
  <c r="AS21" i="10" s="1"/>
  <c r="AX20" i="10"/>
  <c r="AZ20" i="10" s="1"/>
  <c r="AK20" i="10"/>
  <c r="E20" i="10"/>
  <c r="AS20" i="10" s="1"/>
  <c r="AX19" i="10"/>
  <c r="AZ19" i="10" s="1"/>
  <c r="AK19" i="10"/>
  <c r="E19" i="10"/>
  <c r="AS19" i="10" s="1"/>
  <c r="AX18" i="10"/>
  <c r="AZ18" i="10" s="1"/>
  <c r="AK18" i="10"/>
  <c r="E18" i="10"/>
  <c r="AS18" i="10" s="1"/>
  <c r="AX17" i="10"/>
  <c r="AZ17" i="10" s="1"/>
  <c r="AK17" i="10"/>
  <c r="E17" i="10"/>
  <c r="AS17" i="10" s="1"/>
  <c r="AX16" i="10"/>
  <c r="AZ16" i="10" s="1"/>
  <c r="AK16" i="10"/>
  <c r="E16" i="10"/>
  <c r="AS16" i="10" s="1"/>
  <c r="AX15" i="10"/>
  <c r="AZ15" i="10" s="1"/>
  <c r="AK15" i="10"/>
  <c r="E15" i="10"/>
  <c r="AS15" i="10" s="1"/>
  <c r="AX14" i="10"/>
  <c r="AZ14" i="10" s="1"/>
  <c r="AK14" i="10"/>
  <c r="E14" i="10"/>
  <c r="AS14" i="10" s="1"/>
  <c r="AX13" i="10"/>
  <c r="AZ13" i="10" s="1"/>
  <c r="AK13" i="10"/>
  <c r="E13" i="10"/>
  <c r="AS13" i="10" s="1"/>
  <c r="AX12" i="10"/>
  <c r="AZ12" i="10" s="1"/>
  <c r="AK12" i="10"/>
  <c r="E12" i="10"/>
  <c r="AS12" i="10" s="1"/>
  <c r="AX11" i="10"/>
  <c r="AZ11" i="10" s="1"/>
  <c r="AK11" i="10"/>
  <c r="E11" i="10"/>
  <c r="AS11" i="10" s="1"/>
  <c r="AR10" i="10"/>
  <c r="AK10" i="10"/>
  <c r="E10" i="10"/>
  <c r="AX9" i="10"/>
  <c r="AZ9" i="10" s="1"/>
  <c r="AK9" i="10"/>
  <c r="E9" i="10"/>
  <c r="AS9" i="10" s="1"/>
  <c r="AX8" i="10"/>
  <c r="AZ8" i="10" s="1"/>
  <c r="AK8" i="10"/>
  <c r="E8" i="10"/>
  <c r="AS8" i="10" s="1"/>
  <c r="AX7" i="10"/>
  <c r="AZ7" i="10" s="1"/>
  <c r="AK7" i="10"/>
  <c r="E7" i="10"/>
  <c r="AS7" i="10" s="1"/>
  <c r="BF8" i="8"/>
  <c r="BF9" i="8"/>
  <c r="BF10" i="8"/>
  <c r="BF11" i="8"/>
  <c r="BF12" i="8"/>
  <c r="BF13" i="8"/>
  <c r="BF14" i="8"/>
  <c r="BF15" i="8"/>
  <c r="BF16" i="8"/>
  <c r="BF17" i="8"/>
  <c r="BF18" i="8"/>
  <c r="BF19" i="8"/>
  <c r="BF20" i="8"/>
  <c r="BF21" i="8"/>
  <c r="BF22" i="8"/>
  <c r="BF23" i="8"/>
  <c r="BF24" i="8"/>
  <c r="BF25" i="8"/>
  <c r="BF26" i="8"/>
  <c r="BF27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F45" i="8"/>
  <c r="BF46" i="8"/>
  <c r="BF47" i="8"/>
  <c r="BF48" i="8"/>
  <c r="BF49" i="8"/>
  <c r="BF50" i="8"/>
  <c r="BF51" i="8"/>
  <c r="BF52" i="8"/>
  <c r="BF7" i="8"/>
  <c r="BE8" i="8"/>
  <c r="BE9" i="8"/>
  <c r="BE10" i="8"/>
  <c r="BE11" i="8"/>
  <c r="BE12" i="8"/>
  <c r="BE13" i="8"/>
  <c r="BE14" i="8"/>
  <c r="BE15" i="8"/>
  <c r="BE16" i="8"/>
  <c r="BE17" i="8"/>
  <c r="BE18" i="8"/>
  <c r="BE19" i="8"/>
  <c r="BE20" i="8"/>
  <c r="BE21" i="8"/>
  <c r="BE22" i="8"/>
  <c r="BE23" i="8"/>
  <c r="BE24" i="8"/>
  <c r="BE25" i="8"/>
  <c r="BE26" i="8"/>
  <c r="BE27" i="8"/>
  <c r="BE28" i="8"/>
  <c r="BE29" i="8"/>
  <c r="BE30" i="8"/>
  <c r="BE31" i="8"/>
  <c r="BE32" i="8"/>
  <c r="BE33" i="8"/>
  <c r="BE34" i="8"/>
  <c r="BE35" i="8"/>
  <c r="BE36" i="8"/>
  <c r="BE37" i="8"/>
  <c r="BE38" i="8"/>
  <c r="BE39" i="8"/>
  <c r="BE40" i="8"/>
  <c r="BE41" i="8"/>
  <c r="BE42" i="8"/>
  <c r="BE43" i="8"/>
  <c r="BE44" i="8"/>
  <c r="BE45" i="8"/>
  <c r="BE46" i="8"/>
  <c r="BE47" i="8"/>
  <c r="BE48" i="8"/>
  <c r="BE49" i="8"/>
  <c r="BE50" i="8"/>
  <c r="BE51" i="8"/>
  <c r="BE52" i="8"/>
  <c r="BE7" i="8"/>
  <c r="BD8" i="8"/>
  <c r="BD9" i="8"/>
  <c r="BD10" i="8"/>
  <c r="BD11" i="8"/>
  <c r="BD12" i="8"/>
  <c r="BD13" i="8"/>
  <c r="BD14" i="8"/>
  <c r="BD15" i="8"/>
  <c r="BD16" i="8"/>
  <c r="BD17" i="8"/>
  <c r="BD18" i="8"/>
  <c r="BD19" i="8"/>
  <c r="BD20" i="8"/>
  <c r="BD21" i="8"/>
  <c r="BD22" i="8"/>
  <c r="BD23" i="8"/>
  <c r="BD24" i="8"/>
  <c r="BD25" i="8"/>
  <c r="BD26" i="8"/>
  <c r="BD27" i="8"/>
  <c r="BD28" i="8"/>
  <c r="BD29" i="8"/>
  <c r="BD30" i="8"/>
  <c r="BD31" i="8"/>
  <c r="BD32" i="8"/>
  <c r="BD33" i="8"/>
  <c r="BD34" i="8"/>
  <c r="BD35" i="8"/>
  <c r="BD36" i="8"/>
  <c r="BD37" i="8"/>
  <c r="BD38" i="8"/>
  <c r="BD39" i="8"/>
  <c r="BD40" i="8"/>
  <c r="BD41" i="8"/>
  <c r="BD42" i="8"/>
  <c r="BD43" i="8"/>
  <c r="BD44" i="8"/>
  <c r="BD45" i="8"/>
  <c r="BD46" i="8"/>
  <c r="BD47" i="8"/>
  <c r="BD48" i="8"/>
  <c r="BD49" i="8"/>
  <c r="BD50" i="8"/>
  <c r="BD51" i="8"/>
  <c r="BD52" i="8"/>
  <c r="BD7" i="8"/>
  <c r="BA8" i="8"/>
  <c r="BB8" i="8"/>
  <c r="BA9" i="8"/>
  <c r="BB9" i="8"/>
  <c r="BA10" i="8"/>
  <c r="BB10" i="8"/>
  <c r="BA11" i="8"/>
  <c r="BB11" i="8"/>
  <c r="BA12" i="8"/>
  <c r="BB12" i="8"/>
  <c r="BA13" i="8"/>
  <c r="BB13" i="8"/>
  <c r="BA14" i="8"/>
  <c r="BB14" i="8"/>
  <c r="BA15" i="8"/>
  <c r="BB15" i="8"/>
  <c r="BA16" i="8"/>
  <c r="BB16" i="8"/>
  <c r="BA17" i="8"/>
  <c r="BB17" i="8"/>
  <c r="BA18" i="8"/>
  <c r="BB18" i="8"/>
  <c r="BA19" i="8"/>
  <c r="BB19" i="8"/>
  <c r="BA20" i="8"/>
  <c r="BB20" i="8"/>
  <c r="BA21" i="8"/>
  <c r="BB21" i="8"/>
  <c r="BA22" i="8"/>
  <c r="BB22" i="8"/>
  <c r="BA23" i="8"/>
  <c r="BB23" i="8"/>
  <c r="BA24" i="8"/>
  <c r="BB24" i="8"/>
  <c r="BA25" i="8"/>
  <c r="BB25" i="8"/>
  <c r="BA26" i="8"/>
  <c r="BB26" i="8"/>
  <c r="BA27" i="8"/>
  <c r="BB27" i="8"/>
  <c r="BA28" i="8"/>
  <c r="BB28" i="8"/>
  <c r="BA29" i="8"/>
  <c r="BB29" i="8"/>
  <c r="BA30" i="8"/>
  <c r="BB30" i="8"/>
  <c r="BA31" i="8"/>
  <c r="BB31" i="8"/>
  <c r="BA32" i="8"/>
  <c r="BB32" i="8"/>
  <c r="BA33" i="8"/>
  <c r="BB33" i="8"/>
  <c r="BA34" i="8"/>
  <c r="BB34" i="8"/>
  <c r="BA35" i="8"/>
  <c r="BB35" i="8"/>
  <c r="BA36" i="8"/>
  <c r="BB36" i="8"/>
  <c r="BA37" i="8"/>
  <c r="BB37" i="8"/>
  <c r="BA38" i="8"/>
  <c r="BB38" i="8"/>
  <c r="BA39" i="8"/>
  <c r="BB39" i="8"/>
  <c r="BA40" i="8"/>
  <c r="BB40" i="8"/>
  <c r="BA41" i="8"/>
  <c r="BB41" i="8"/>
  <c r="BA42" i="8"/>
  <c r="BB42" i="8"/>
  <c r="BA43" i="8"/>
  <c r="BB43" i="8"/>
  <c r="BA44" i="8"/>
  <c r="BB44" i="8"/>
  <c r="BA45" i="8"/>
  <c r="BB45" i="8"/>
  <c r="BA46" i="8"/>
  <c r="BB46" i="8"/>
  <c r="BA47" i="8"/>
  <c r="BB47" i="8"/>
  <c r="BA48" i="8"/>
  <c r="BB48" i="8"/>
  <c r="BA49" i="8"/>
  <c r="BB49" i="8"/>
  <c r="BA50" i="8"/>
  <c r="BB50" i="8"/>
  <c r="BA51" i="8"/>
  <c r="BB51" i="8"/>
  <c r="BA52" i="8"/>
  <c r="BB52" i="8"/>
  <c r="BB7" i="8"/>
  <c r="BA7" i="8"/>
  <c r="BC8" i="8"/>
  <c r="BC9" i="8"/>
  <c r="BC10" i="8"/>
  <c r="BC11" i="8"/>
  <c r="BC12" i="8"/>
  <c r="BC13" i="8"/>
  <c r="BC14" i="8"/>
  <c r="BC15" i="8"/>
  <c r="BC16" i="8"/>
  <c r="BC17" i="8"/>
  <c r="BC18" i="8"/>
  <c r="BC19" i="8"/>
  <c r="BC20" i="8"/>
  <c r="BC21" i="8"/>
  <c r="BC22" i="8"/>
  <c r="BC23" i="8"/>
  <c r="BC24" i="8"/>
  <c r="BC25" i="8"/>
  <c r="BC26" i="8"/>
  <c r="BC27" i="8"/>
  <c r="BC28" i="8"/>
  <c r="BC29" i="8"/>
  <c r="BC30" i="8"/>
  <c r="BC31" i="8"/>
  <c r="BC32" i="8"/>
  <c r="BC33" i="8"/>
  <c r="BC34" i="8"/>
  <c r="BC35" i="8"/>
  <c r="BC36" i="8"/>
  <c r="BC37" i="8"/>
  <c r="BC38" i="8"/>
  <c r="BC39" i="8"/>
  <c r="BC40" i="8"/>
  <c r="BC41" i="8"/>
  <c r="BC42" i="8"/>
  <c r="BC43" i="8"/>
  <c r="BC44" i="8"/>
  <c r="BC45" i="8"/>
  <c r="BC46" i="8"/>
  <c r="BC47" i="8"/>
  <c r="BC48" i="8"/>
  <c r="BC49" i="8"/>
  <c r="BC50" i="8"/>
  <c r="BC51" i="8"/>
  <c r="BC52" i="8"/>
  <c r="BC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50" i="8"/>
  <c r="AX51" i="8"/>
  <c r="AX52" i="8"/>
  <c r="AX7" i="8"/>
  <c r="AK52" i="9"/>
  <c r="AN52" i="9" s="1"/>
  <c r="E52" i="9"/>
  <c r="AS52" i="9" s="1"/>
  <c r="AK51" i="9"/>
  <c r="AN51" i="9" s="1"/>
  <c r="E51" i="9"/>
  <c r="AS51" i="9" s="1"/>
  <c r="AK50" i="9"/>
  <c r="AN50" i="9" s="1"/>
  <c r="E50" i="9"/>
  <c r="AS50" i="9" s="1"/>
  <c r="AK49" i="9"/>
  <c r="AN49" i="9" s="1"/>
  <c r="E49" i="9"/>
  <c r="AS49" i="9" s="1"/>
  <c r="AK48" i="9"/>
  <c r="E48" i="9"/>
  <c r="AS48" i="9" s="1"/>
  <c r="AK47" i="9"/>
  <c r="AN47" i="9" s="1"/>
  <c r="E47" i="9"/>
  <c r="AS47" i="9" s="1"/>
  <c r="AK46" i="9"/>
  <c r="AN46" i="9" s="1"/>
  <c r="E46" i="9"/>
  <c r="AS46" i="9" s="1"/>
  <c r="AK45" i="9"/>
  <c r="AN45" i="9" s="1"/>
  <c r="E45" i="9"/>
  <c r="AS45" i="9" s="1"/>
  <c r="AK44" i="9"/>
  <c r="AN44" i="9" s="1"/>
  <c r="E44" i="9"/>
  <c r="AL44" i="9" s="1"/>
  <c r="AO44" i="9" s="1"/>
  <c r="AK43" i="9"/>
  <c r="AN43" i="9" s="1"/>
  <c r="E43" i="9"/>
  <c r="AS43" i="9" s="1"/>
  <c r="AK42" i="9"/>
  <c r="AN42" i="9" s="1"/>
  <c r="E42" i="9"/>
  <c r="AS42" i="9" s="1"/>
  <c r="AK41" i="9"/>
  <c r="AN41" i="9" s="1"/>
  <c r="E41" i="9"/>
  <c r="AS41" i="9" s="1"/>
  <c r="AK40" i="9"/>
  <c r="E40" i="9"/>
  <c r="AS40" i="9" s="1"/>
  <c r="AK39" i="9"/>
  <c r="AN39" i="9" s="1"/>
  <c r="E39" i="9"/>
  <c r="AS39" i="9" s="1"/>
  <c r="AK38" i="9"/>
  <c r="AN38" i="9" s="1"/>
  <c r="E38" i="9"/>
  <c r="AS38" i="9" s="1"/>
  <c r="AK37" i="9"/>
  <c r="AN37" i="9" s="1"/>
  <c r="E37" i="9"/>
  <c r="AS37" i="9" s="1"/>
  <c r="AK36" i="9"/>
  <c r="AN36" i="9" s="1"/>
  <c r="E36" i="9"/>
  <c r="AS36" i="9" s="1"/>
  <c r="AK35" i="9"/>
  <c r="AN35" i="9" s="1"/>
  <c r="E35" i="9"/>
  <c r="AS35" i="9" s="1"/>
  <c r="AK34" i="9"/>
  <c r="AN34" i="9" s="1"/>
  <c r="E34" i="9"/>
  <c r="AS34" i="9" s="1"/>
  <c r="AK33" i="9"/>
  <c r="AN33" i="9" s="1"/>
  <c r="E33" i="9"/>
  <c r="AS33" i="9" s="1"/>
  <c r="AK32" i="9"/>
  <c r="E32" i="9"/>
  <c r="AS32" i="9" s="1"/>
  <c r="AK31" i="9"/>
  <c r="AN31" i="9" s="1"/>
  <c r="E31" i="9"/>
  <c r="AK30" i="9"/>
  <c r="AN30" i="9" s="1"/>
  <c r="E30" i="9"/>
  <c r="AK29" i="9"/>
  <c r="AN29" i="9" s="1"/>
  <c r="E29" i="9"/>
  <c r="AS29" i="9" s="1"/>
  <c r="AK28" i="9"/>
  <c r="AN28" i="9" s="1"/>
  <c r="E28" i="9"/>
  <c r="AK27" i="9"/>
  <c r="AN27" i="9" s="1"/>
  <c r="E27" i="9"/>
  <c r="AS27" i="9" s="1"/>
  <c r="AK26" i="9"/>
  <c r="E26" i="9"/>
  <c r="AS26" i="9" s="1"/>
  <c r="AK25" i="9"/>
  <c r="AN25" i="9" s="1"/>
  <c r="E25" i="9"/>
  <c r="AS25" i="9" s="1"/>
  <c r="AK24" i="9"/>
  <c r="E24" i="9"/>
  <c r="AS24" i="9" s="1"/>
  <c r="AK23" i="9"/>
  <c r="AN23" i="9" s="1"/>
  <c r="E23" i="9"/>
  <c r="AS23" i="9" s="1"/>
  <c r="AK22" i="9"/>
  <c r="AN22" i="9" s="1"/>
  <c r="E22" i="9"/>
  <c r="AK21" i="9"/>
  <c r="AN21" i="9" s="1"/>
  <c r="E21" i="9"/>
  <c r="AS21" i="9" s="1"/>
  <c r="AK20" i="9"/>
  <c r="AN20" i="9" s="1"/>
  <c r="E20" i="9"/>
  <c r="AS20" i="9" s="1"/>
  <c r="AK19" i="9"/>
  <c r="E19" i="9"/>
  <c r="AS19" i="9" s="1"/>
  <c r="AK18" i="9"/>
  <c r="AN18" i="9" s="1"/>
  <c r="E18" i="9"/>
  <c r="AS18" i="9" s="1"/>
  <c r="AK17" i="9"/>
  <c r="AN17" i="9" s="1"/>
  <c r="E17" i="9"/>
  <c r="AS17" i="9" s="1"/>
  <c r="AK16" i="9"/>
  <c r="AN16" i="9" s="1"/>
  <c r="E16" i="9"/>
  <c r="AS16" i="9" s="1"/>
  <c r="AK15" i="9"/>
  <c r="E15" i="9"/>
  <c r="AS15" i="9" s="1"/>
  <c r="AK14" i="9"/>
  <c r="AN14" i="9" s="1"/>
  <c r="E14" i="9"/>
  <c r="AK13" i="9"/>
  <c r="AN13" i="9" s="1"/>
  <c r="E13" i="9"/>
  <c r="AS13" i="9" s="1"/>
  <c r="AK12" i="9"/>
  <c r="AN12" i="9" s="1"/>
  <c r="E12" i="9"/>
  <c r="AS12" i="9" s="1"/>
  <c r="AK11" i="9"/>
  <c r="E11" i="9"/>
  <c r="AS11" i="9" s="1"/>
  <c r="AR10" i="9"/>
  <c r="AK10" i="9"/>
  <c r="AN10" i="9" s="1"/>
  <c r="E10" i="9"/>
  <c r="AK9" i="9"/>
  <c r="AN9" i="9" s="1"/>
  <c r="E9" i="9"/>
  <c r="AK8" i="9"/>
  <c r="E8" i="9"/>
  <c r="AS8" i="9" s="1"/>
  <c r="AK7" i="9"/>
  <c r="AN7" i="9" s="1"/>
  <c r="E7" i="9"/>
  <c r="AS7" i="9" s="1"/>
  <c r="AK33" i="8"/>
  <c r="AN33" i="8" s="1"/>
  <c r="E33" i="8"/>
  <c r="AS33" i="8" s="1"/>
  <c r="AK34" i="8"/>
  <c r="E34" i="8"/>
  <c r="AS34" i="8" s="1"/>
  <c r="AL44" i="10" l="1"/>
  <c r="AO44" i="10" s="1"/>
  <c r="AN44" i="10"/>
  <c r="BC52" i="10"/>
  <c r="BD52" i="10"/>
  <c r="AN52" i="10"/>
  <c r="AL52" i="10"/>
  <c r="AO52" i="10" s="1"/>
  <c r="BC51" i="10"/>
  <c r="BD51" i="10"/>
  <c r="AN51" i="10"/>
  <c r="AL51" i="10"/>
  <c r="AO51" i="10" s="1"/>
  <c r="BC50" i="10"/>
  <c r="BD50" i="10"/>
  <c r="AN50" i="10"/>
  <c r="AL50" i="10"/>
  <c r="AO50" i="10" s="1"/>
  <c r="BC49" i="10"/>
  <c r="BD49" i="10"/>
  <c r="AN49" i="10"/>
  <c r="AL49" i="10"/>
  <c r="AO49" i="10" s="1"/>
  <c r="BC48" i="10"/>
  <c r="BD48" i="10"/>
  <c r="AN48" i="10"/>
  <c r="AL48" i="10"/>
  <c r="AO48" i="10" s="1"/>
  <c r="BC47" i="10"/>
  <c r="BD47" i="10"/>
  <c r="AN47" i="10"/>
  <c r="AL47" i="10"/>
  <c r="AO47" i="10" s="1"/>
  <c r="BC46" i="10"/>
  <c r="BD46" i="10"/>
  <c r="AN46" i="10"/>
  <c r="AL46" i="10"/>
  <c r="AO46" i="10" s="1"/>
  <c r="BC45" i="10"/>
  <c r="BD45" i="10"/>
  <c r="AN45" i="10"/>
  <c r="AL45" i="10"/>
  <c r="AO45" i="10" s="1"/>
  <c r="BC44" i="10"/>
  <c r="BD44" i="10"/>
  <c r="BC43" i="10"/>
  <c r="BD43" i="10"/>
  <c r="AN43" i="10"/>
  <c r="AL43" i="10"/>
  <c r="AO43" i="10" s="1"/>
  <c r="BC42" i="10"/>
  <c r="BD42" i="10"/>
  <c r="AL42" i="10"/>
  <c r="AO42" i="10" s="1"/>
  <c r="AN42" i="10"/>
  <c r="BC41" i="10"/>
  <c r="BD41" i="10"/>
  <c r="AL41" i="10"/>
  <c r="AO41" i="10" s="1"/>
  <c r="AN41" i="10"/>
  <c r="BC40" i="10"/>
  <c r="BD40" i="10"/>
  <c r="AN40" i="10"/>
  <c r="AL40" i="10"/>
  <c r="AO40" i="10" s="1"/>
  <c r="BC39" i="10"/>
  <c r="BD39" i="10"/>
  <c r="AN39" i="10"/>
  <c r="AL39" i="10"/>
  <c r="AO39" i="10" s="1"/>
  <c r="BC38" i="10"/>
  <c r="BD38" i="10"/>
  <c r="AN38" i="10"/>
  <c r="AL38" i="10"/>
  <c r="AO38" i="10" s="1"/>
  <c r="BC37" i="10"/>
  <c r="BD37" i="10"/>
  <c r="AN37" i="10"/>
  <c r="AL37" i="10"/>
  <c r="AO37" i="10" s="1"/>
  <c r="BC36" i="10"/>
  <c r="BD36" i="10"/>
  <c r="AN36" i="10"/>
  <c r="AL36" i="10"/>
  <c r="AO36" i="10" s="1"/>
  <c r="BC35" i="10"/>
  <c r="BD35" i="10"/>
  <c r="AN35" i="10"/>
  <c r="AL35" i="10"/>
  <c r="AO35" i="10" s="1"/>
  <c r="BC34" i="10"/>
  <c r="BD34" i="10"/>
  <c r="AL34" i="10"/>
  <c r="AO34" i="10" s="1"/>
  <c r="AN34" i="10"/>
  <c r="BC33" i="10"/>
  <c r="BD33" i="10"/>
  <c r="AL33" i="10"/>
  <c r="AO33" i="10" s="1"/>
  <c r="AN33" i="10"/>
  <c r="BC32" i="10"/>
  <c r="BD32" i="10"/>
  <c r="AN32" i="10"/>
  <c r="AL32" i="10"/>
  <c r="AO32" i="10" s="1"/>
  <c r="BC31" i="10"/>
  <c r="BD31" i="10"/>
  <c r="AN31" i="10"/>
  <c r="AL31" i="10"/>
  <c r="AO31" i="10" s="1"/>
  <c r="BC30" i="10"/>
  <c r="BD30" i="10"/>
  <c r="AN30" i="10"/>
  <c r="AL30" i="10"/>
  <c r="AO30" i="10" s="1"/>
  <c r="BC29" i="10"/>
  <c r="BD29" i="10"/>
  <c r="AN29" i="10"/>
  <c r="AL29" i="10"/>
  <c r="AO29" i="10" s="1"/>
  <c r="BC28" i="10"/>
  <c r="BD28" i="10" s="1"/>
  <c r="AN28" i="10"/>
  <c r="AL28" i="10"/>
  <c r="AO28" i="10" s="1"/>
  <c r="BC27" i="10"/>
  <c r="BD27" i="10"/>
  <c r="AN27" i="10"/>
  <c r="AL27" i="10"/>
  <c r="AO27" i="10" s="1"/>
  <c r="BC26" i="10"/>
  <c r="BD26" i="10"/>
  <c r="AN26" i="10"/>
  <c r="AL26" i="10"/>
  <c r="AO26" i="10" s="1"/>
  <c r="BC25" i="10"/>
  <c r="BD25" i="10"/>
  <c r="AN25" i="10"/>
  <c r="AL25" i="10"/>
  <c r="AO25" i="10" s="1"/>
  <c r="BC24" i="10"/>
  <c r="BD24" i="10"/>
  <c r="AN24" i="10"/>
  <c r="AL24" i="10"/>
  <c r="AO24" i="10" s="1"/>
  <c r="BC23" i="10"/>
  <c r="BD23" i="10"/>
  <c r="AN23" i="10"/>
  <c r="AL23" i="10"/>
  <c r="AO23" i="10" s="1"/>
  <c r="BC22" i="10"/>
  <c r="BD22" i="10"/>
  <c r="AN22" i="10"/>
  <c r="AL22" i="10"/>
  <c r="AO22" i="10" s="1"/>
  <c r="BC21" i="10"/>
  <c r="BD21" i="10" s="1"/>
  <c r="AL21" i="10"/>
  <c r="AO21" i="10" s="1"/>
  <c r="AN21" i="10"/>
  <c r="BC20" i="10"/>
  <c r="BD20" i="10"/>
  <c r="AL20" i="10"/>
  <c r="AO20" i="10" s="1"/>
  <c r="AN20" i="10"/>
  <c r="BC19" i="10"/>
  <c r="BD19" i="10" s="1"/>
  <c r="AL19" i="10"/>
  <c r="AO19" i="10" s="1"/>
  <c r="AN19" i="10"/>
  <c r="BC18" i="10"/>
  <c r="BD18" i="10" s="1"/>
  <c r="AN18" i="10"/>
  <c r="AL18" i="10"/>
  <c r="AO18" i="10" s="1"/>
  <c r="BC17" i="10"/>
  <c r="BD17" i="10" s="1"/>
  <c r="AN17" i="10"/>
  <c r="AL17" i="10"/>
  <c r="AO17" i="10" s="1"/>
  <c r="BC16" i="10"/>
  <c r="BD16" i="10" s="1"/>
  <c r="AN16" i="10"/>
  <c r="AL16" i="10"/>
  <c r="AO16" i="10" s="1"/>
  <c r="BC15" i="10"/>
  <c r="BD15" i="10"/>
  <c r="AN15" i="10"/>
  <c r="AL15" i="10"/>
  <c r="AO15" i="10" s="1"/>
  <c r="BC14" i="10"/>
  <c r="BD14" i="10" s="1"/>
  <c r="AN14" i="10"/>
  <c r="AL14" i="10"/>
  <c r="AO14" i="10" s="1"/>
  <c r="BC13" i="10"/>
  <c r="BD13" i="10" s="1"/>
  <c r="AN13" i="10"/>
  <c r="AL13" i="10"/>
  <c r="AO13" i="10" s="1"/>
  <c r="BC12" i="10"/>
  <c r="BD12" i="10"/>
  <c r="AL12" i="10"/>
  <c r="AO12" i="10" s="1"/>
  <c r="AN12" i="10"/>
  <c r="BC11" i="10"/>
  <c r="BD11" i="10"/>
  <c r="AL11" i="10"/>
  <c r="AO11" i="10" s="1"/>
  <c r="AN11" i="10"/>
  <c r="AX10" i="10"/>
  <c r="AZ10" i="10" s="1"/>
  <c r="AS10" i="10"/>
  <c r="AR53" i="10" s="1"/>
  <c r="AL10" i="10"/>
  <c r="AO10" i="10" s="1"/>
  <c r="AN10" i="10"/>
  <c r="BC9" i="10"/>
  <c r="BD9" i="10"/>
  <c r="AL9" i="10"/>
  <c r="AO9" i="10" s="1"/>
  <c r="AN9" i="10"/>
  <c r="BC8" i="10"/>
  <c r="BD8" i="10" s="1"/>
  <c r="AN8" i="10"/>
  <c r="AL8" i="10"/>
  <c r="AO8" i="10" s="1"/>
  <c r="BC7" i="10"/>
  <c r="BD7" i="10"/>
  <c r="AL7" i="10"/>
  <c r="AN7" i="10"/>
  <c r="AL28" i="9"/>
  <c r="AO28" i="9" s="1"/>
  <c r="AL22" i="9"/>
  <c r="AO22" i="9" s="1"/>
  <c r="AL9" i="9"/>
  <c r="AO9" i="9" s="1"/>
  <c r="AL31" i="9"/>
  <c r="AO31" i="9" s="1"/>
  <c r="AL26" i="9"/>
  <c r="AO26" i="9" s="1"/>
  <c r="AN26" i="9"/>
  <c r="AS31" i="9"/>
  <c r="AL8" i="9"/>
  <c r="AO8" i="9" s="1"/>
  <c r="AL15" i="9"/>
  <c r="AO15" i="9" s="1"/>
  <c r="AL50" i="9"/>
  <c r="AO50" i="9" s="1"/>
  <c r="AN15" i="9"/>
  <c r="AL36" i="9"/>
  <c r="AO36" i="9" s="1"/>
  <c r="AL14" i="9"/>
  <c r="AO14" i="9" s="1"/>
  <c r="AL30" i="9"/>
  <c r="AO30" i="9" s="1"/>
  <c r="AN8" i="9"/>
  <c r="AL39" i="9"/>
  <c r="AO39" i="9" s="1"/>
  <c r="AL42" i="9"/>
  <c r="AO42" i="9" s="1"/>
  <c r="AS9" i="9"/>
  <c r="AL12" i="9"/>
  <c r="AO12" i="9" s="1"/>
  <c r="AL23" i="9"/>
  <c r="AO23" i="9" s="1"/>
  <c r="AL38" i="9"/>
  <c r="AO38" i="9" s="1"/>
  <c r="AL47" i="9"/>
  <c r="AO47" i="9" s="1"/>
  <c r="AL13" i="9"/>
  <c r="AO13" i="9" s="1"/>
  <c r="AL46" i="9"/>
  <c r="AO46" i="9" s="1"/>
  <c r="AS30" i="9"/>
  <c r="AL10" i="9"/>
  <c r="AO10" i="9" s="1"/>
  <c r="AL34" i="9"/>
  <c r="AO34" i="9" s="1"/>
  <c r="AL18" i="9"/>
  <c r="AO18" i="9" s="1"/>
  <c r="AN40" i="9"/>
  <c r="AL40" i="9"/>
  <c r="AO40" i="9" s="1"/>
  <c r="AN32" i="9"/>
  <c r="AL32" i="9"/>
  <c r="AO32" i="9" s="1"/>
  <c r="AN24" i="9"/>
  <c r="AL24" i="9"/>
  <c r="AO24" i="9" s="1"/>
  <c r="AL29" i="9"/>
  <c r="AO29" i="9" s="1"/>
  <c r="AL21" i="9"/>
  <c r="AO21" i="9" s="1"/>
  <c r="AN48" i="9"/>
  <c r="AL48" i="9"/>
  <c r="AO48" i="9" s="1"/>
  <c r="AS10" i="9"/>
  <c r="AL37" i="9"/>
  <c r="AO37" i="9" s="1"/>
  <c r="AL45" i="9"/>
  <c r="AO45" i="9" s="1"/>
  <c r="AN19" i="9"/>
  <c r="AL19" i="9"/>
  <c r="AO19" i="9" s="1"/>
  <c r="AL43" i="9"/>
  <c r="AO43" i="9" s="1"/>
  <c r="AL51" i="9"/>
  <c r="AO51" i="9" s="1"/>
  <c r="AL16" i="9"/>
  <c r="AO16" i="9" s="1"/>
  <c r="AN11" i="9"/>
  <c r="AL11" i="9"/>
  <c r="AO11" i="9" s="1"/>
  <c r="AS22" i="9"/>
  <c r="AL7" i="9"/>
  <c r="AS14" i="9"/>
  <c r="AL27" i="9"/>
  <c r="AO27" i="9" s="1"/>
  <c r="AS28" i="9"/>
  <c r="AL35" i="9"/>
  <c r="AO35" i="9" s="1"/>
  <c r="AS44" i="9"/>
  <c r="AL17" i="9"/>
  <c r="AO17" i="9" s="1"/>
  <c r="AL25" i="9"/>
  <c r="AO25" i="9" s="1"/>
  <c r="AL33" i="9"/>
  <c r="AO33" i="9" s="1"/>
  <c r="AL41" i="9"/>
  <c r="AO41" i="9" s="1"/>
  <c r="AL49" i="9"/>
  <c r="AO49" i="9" s="1"/>
  <c r="AL20" i="9"/>
  <c r="AO20" i="9" s="1"/>
  <c r="AL52" i="9"/>
  <c r="AO52" i="9" s="1"/>
  <c r="AL34" i="8"/>
  <c r="AO34" i="8" s="1"/>
  <c r="AL33" i="8"/>
  <c r="AO33" i="8" s="1"/>
  <c r="AN34" i="8"/>
  <c r="AK9" i="8"/>
  <c r="E9" i="8"/>
  <c r="AS9" i="8" s="1"/>
  <c r="AK47" i="8"/>
  <c r="E47" i="8"/>
  <c r="AS47" i="8" s="1"/>
  <c r="AK49" i="8"/>
  <c r="E49" i="8"/>
  <c r="AS49" i="8" s="1"/>
  <c r="BA52" i="10" l="1"/>
  <c r="BB52" i="10"/>
  <c r="BA51" i="10"/>
  <c r="BB51" i="10"/>
  <c r="BA50" i="10"/>
  <c r="BB50" i="10"/>
  <c r="BA49" i="10"/>
  <c r="BB49" i="10"/>
  <c r="BA48" i="10"/>
  <c r="BB48" i="10"/>
  <c r="BA47" i="10"/>
  <c r="BB47" i="10"/>
  <c r="BA46" i="10"/>
  <c r="BB46" i="10"/>
  <c r="BA45" i="10"/>
  <c r="BB45" i="10"/>
  <c r="BA44" i="10"/>
  <c r="BB44" i="10"/>
  <c r="BA43" i="10"/>
  <c r="BB43" i="10"/>
  <c r="BA42" i="10"/>
  <c r="BB42" i="10"/>
  <c r="BA41" i="10"/>
  <c r="BB41" i="10"/>
  <c r="BA40" i="10"/>
  <c r="BB40" i="10"/>
  <c r="BA39" i="10"/>
  <c r="BB39" i="10"/>
  <c r="BA38" i="10"/>
  <c r="BB38" i="10"/>
  <c r="BA37" i="10"/>
  <c r="BB37" i="10"/>
  <c r="BA36" i="10"/>
  <c r="BB36" i="10"/>
  <c r="BA35" i="10"/>
  <c r="BB35" i="10"/>
  <c r="BA34" i="10"/>
  <c r="BB34" i="10"/>
  <c r="BA33" i="10"/>
  <c r="BB33" i="10"/>
  <c r="BA32" i="10"/>
  <c r="BB32" i="10"/>
  <c r="BA31" i="10"/>
  <c r="BB31" i="10"/>
  <c r="BA30" i="10"/>
  <c r="BB30" i="10"/>
  <c r="BA29" i="10"/>
  <c r="BB29" i="10"/>
  <c r="BA28" i="10"/>
  <c r="BB28" i="10"/>
  <c r="BA27" i="10"/>
  <c r="BB27" i="10"/>
  <c r="BA26" i="10"/>
  <c r="BB26" i="10"/>
  <c r="BA25" i="10"/>
  <c r="BB25" i="10"/>
  <c r="BA24" i="10"/>
  <c r="BB24" i="10"/>
  <c r="BA23" i="10"/>
  <c r="BB23" i="10"/>
  <c r="BA22" i="10"/>
  <c r="BB22" i="10"/>
  <c r="BB21" i="10"/>
  <c r="BA21" i="10"/>
  <c r="BA20" i="10"/>
  <c r="BB20" i="10"/>
  <c r="BB19" i="10"/>
  <c r="BA19" i="10"/>
  <c r="BA18" i="10"/>
  <c r="BB18" i="10"/>
  <c r="BA17" i="10"/>
  <c r="BB17" i="10"/>
  <c r="BB16" i="10"/>
  <c r="BA16" i="10"/>
  <c r="BB15" i="10"/>
  <c r="BA15" i="10"/>
  <c r="BB14" i="10"/>
  <c r="BA14" i="10"/>
  <c r="BB13" i="10"/>
  <c r="BA13" i="10"/>
  <c r="BA12" i="10"/>
  <c r="BB12" i="10"/>
  <c r="BA11" i="10"/>
  <c r="BB11" i="10"/>
  <c r="BC10" i="10"/>
  <c r="BD10" i="10" s="1"/>
  <c r="BA9" i="10"/>
  <c r="BB9" i="10"/>
  <c r="BB8" i="10"/>
  <c r="BA8" i="10"/>
  <c r="BA7" i="10"/>
  <c r="BB7" i="10"/>
  <c r="AO7" i="10"/>
  <c r="AO53" i="10" s="1"/>
  <c r="AL53" i="10"/>
  <c r="AL56" i="10" s="1"/>
  <c r="AR53" i="9"/>
  <c r="AL53" i="9"/>
  <c r="AL56" i="9" s="1"/>
  <c r="AO7" i="9"/>
  <c r="AO53" i="9" s="1"/>
  <c r="AL9" i="8"/>
  <c r="AO9" i="8" s="1"/>
  <c r="AN9" i="8"/>
  <c r="AL47" i="8"/>
  <c r="AO47" i="8" s="1"/>
  <c r="AN47" i="8"/>
  <c r="AL49" i="8"/>
  <c r="AO49" i="8" s="1"/>
  <c r="AN49" i="8"/>
  <c r="AR10" i="8"/>
  <c r="E50" i="8"/>
  <c r="AS50" i="8" s="1"/>
  <c r="AK50" i="8"/>
  <c r="AK48" i="8"/>
  <c r="E48" i="8"/>
  <c r="AS48" i="8" s="1"/>
  <c r="AK17" i="8"/>
  <c r="E17" i="8"/>
  <c r="AS17" i="8" s="1"/>
  <c r="AK16" i="8"/>
  <c r="AN16" i="8" s="1"/>
  <c r="E16" i="8"/>
  <c r="AS16" i="8" s="1"/>
  <c r="AK25" i="8"/>
  <c r="E25" i="8"/>
  <c r="AS25" i="8" s="1"/>
  <c r="AK11" i="8"/>
  <c r="E11" i="8"/>
  <c r="AS11" i="8" s="1"/>
  <c r="AK10" i="8"/>
  <c r="E10" i="8"/>
  <c r="AK52" i="8"/>
  <c r="E52" i="8"/>
  <c r="AS52" i="8" s="1"/>
  <c r="AK51" i="8"/>
  <c r="E51" i="8"/>
  <c r="AS51" i="8" s="1"/>
  <c r="AK46" i="8"/>
  <c r="AN46" i="8" s="1"/>
  <c r="E46" i="8"/>
  <c r="AK45" i="8"/>
  <c r="E45" i="8"/>
  <c r="AS45" i="8" s="1"/>
  <c r="AK44" i="8"/>
  <c r="AN44" i="8" s="1"/>
  <c r="E44" i="8"/>
  <c r="AS44" i="8" s="1"/>
  <c r="AK43" i="8"/>
  <c r="E43" i="8"/>
  <c r="AS43" i="8" s="1"/>
  <c r="AK42" i="8"/>
  <c r="AN42" i="8" s="1"/>
  <c r="E42" i="8"/>
  <c r="AK41" i="8"/>
  <c r="E41" i="8"/>
  <c r="AS41" i="8" s="1"/>
  <c r="AK40" i="8"/>
  <c r="AN40" i="8" s="1"/>
  <c r="E40" i="8"/>
  <c r="AK39" i="8"/>
  <c r="AN39" i="8" s="1"/>
  <c r="E39" i="8"/>
  <c r="AS39" i="8" s="1"/>
  <c r="AK38" i="8"/>
  <c r="E38" i="8"/>
  <c r="AS38" i="8" s="1"/>
  <c r="AK37" i="8"/>
  <c r="AN37" i="8" s="1"/>
  <c r="E37" i="8"/>
  <c r="AS37" i="8" s="1"/>
  <c r="AK36" i="8"/>
  <c r="AN36" i="8" s="1"/>
  <c r="E36" i="8"/>
  <c r="AK35" i="8"/>
  <c r="E35" i="8"/>
  <c r="AS35" i="8" s="1"/>
  <c r="AK32" i="8"/>
  <c r="E32" i="8"/>
  <c r="AS32" i="8" s="1"/>
  <c r="AK31" i="8"/>
  <c r="AN31" i="8" s="1"/>
  <c r="E31" i="8"/>
  <c r="AK30" i="8"/>
  <c r="AN30" i="8" s="1"/>
  <c r="E30" i="8"/>
  <c r="AS30" i="8" s="1"/>
  <c r="AK29" i="8"/>
  <c r="AN29" i="8" s="1"/>
  <c r="E29" i="8"/>
  <c r="AS29" i="8" s="1"/>
  <c r="AK28" i="8"/>
  <c r="AN28" i="8" s="1"/>
  <c r="E28" i="8"/>
  <c r="AK27" i="8"/>
  <c r="AN27" i="8" s="1"/>
  <c r="E27" i="8"/>
  <c r="AS27" i="8" s="1"/>
  <c r="AK26" i="8"/>
  <c r="AN26" i="8" s="1"/>
  <c r="E26" i="8"/>
  <c r="AS26" i="8" s="1"/>
  <c r="AK24" i="8"/>
  <c r="AN24" i="8" s="1"/>
  <c r="E24" i="8"/>
  <c r="AS24" i="8" s="1"/>
  <c r="AK23" i="8"/>
  <c r="AN23" i="8" s="1"/>
  <c r="E23" i="8"/>
  <c r="AS23" i="8" s="1"/>
  <c r="AK22" i="8"/>
  <c r="AN22" i="8" s="1"/>
  <c r="E22" i="8"/>
  <c r="AS22" i="8" s="1"/>
  <c r="AK21" i="8"/>
  <c r="AN21" i="8" s="1"/>
  <c r="E21" i="8"/>
  <c r="AS21" i="8" s="1"/>
  <c r="AK20" i="8"/>
  <c r="AN20" i="8" s="1"/>
  <c r="E20" i="8"/>
  <c r="AS20" i="8" s="1"/>
  <c r="AK19" i="8"/>
  <c r="AN19" i="8" s="1"/>
  <c r="E19" i="8"/>
  <c r="AS19" i="8" s="1"/>
  <c r="AK18" i="8"/>
  <c r="E18" i="8"/>
  <c r="AS18" i="8" s="1"/>
  <c r="AK15" i="8"/>
  <c r="AN15" i="8" s="1"/>
  <c r="E15" i="8"/>
  <c r="AS15" i="8" s="1"/>
  <c r="AK14" i="8"/>
  <c r="E14" i="8"/>
  <c r="AS14" i="8" s="1"/>
  <c r="AK13" i="8"/>
  <c r="AN13" i="8" s="1"/>
  <c r="E13" i="8"/>
  <c r="AS13" i="8" s="1"/>
  <c r="AK12" i="8"/>
  <c r="AN12" i="8" s="1"/>
  <c r="E12" i="8"/>
  <c r="AS12" i="8" s="1"/>
  <c r="AK8" i="8"/>
  <c r="AN8" i="8" s="1"/>
  <c r="E8" i="8"/>
  <c r="AS8" i="8" s="1"/>
  <c r="AK7" i="8"/>
  <c r="AN7" i="8" s="1"/>
  <c r="E7" i="8"/>
  <c r="AS7" i="8" s="1"/>
  <c r="BB10" i="10" l="1"/>
  <c r="BA10" i="10"/>
  <c r="AO54" i="10"/>
  <c r="AO56" i="10"/>
  <c r="AV53" i="10" s="1"/>
  <c r="AV55" i="10" s="1"/>
  <c r="AQ56" i="10"/>
  <c r="AQ56" i="9"/>
  <c r="AO54" i="9"/>
  <c r="AO56" i="9" s="1"/>
  <c r="AV53" i="9" s="1"/>
  <c r="AV55" i="9" s="1"/>
  <c r="AL25" i="8"/>
  <c r="AO25" i="8" s="1"/>
  <c r="AL26" i="8"/>
  <c r="AO26" i="8" s="1"/>
  <c r="AS10" i="8"/>
  <c r="AL50" i="8"/>
  <c r="AO50" i="8" s="1"/>
  <c r="AN50" i="8"/>
  <c r="AL48" i="8"/>
  <c r="AO48" i="8" s="1"/>
  <c r="AN48" i="8"/>
  <c r="AL17" i="8"/>
  <c r="AO17" i="8" s="1"/>
  <c r="AL16" i="8"/>
  <c r="AO16" i="8" s="1"/>
  <c r="AN17" i="8"/>
  <c r="AN25" i="8"/>
  <c r="AL11" i="8"/>
  <c r="AO11" i="8" s="1"/>
  <c r="AN11" i="8"/>
  <c r="AL28" i="8"/>
  <c r="AO28" i="8" s="1"/>
  <c r="AL10" i="8"/>
  <c r="AO10" i="8" s="1"/>
  <c r="AN10" i="8"/>
  <c r="AL31" i="8"/>
  <c r="AO31" i="8" s="1"/>
  <c r="AL36" i="8"/>
  <c r="AO36" i="8" s="1"/>
  <c r="AL40" i="8"/>
  <c r="AO40" i="8" s="1"/>
  <c r="AL42" i="8"/>
  <c r="AO42" i="8" s="1"/>
  <c r="AL46" i="8"/>
  <c r="AO46" i="8" s="1"/>
  <c r="AL52" i="8"/>
  <c r="AO52" i="8" s="1"/>
  <c r="AL51" i="8"/>
  <c r="AO51" i="8" s="1"/>
  <c r="AN52" i="8"/>
  <c r="AN51" i="8"/>
  <c r="AS46" i="8"/>
  <c r="AL43" i="8"/>
  <c r="AO43" i="8" s="1"/>
  <c r="AL45" i="8"/>
  <c r="AO45" i="8" s="1"/>
  <c r="AN45" i="8"/>
  <c r="AS40" i="8"/>
  <c r="AL41" i="8"/>
  <c r="AO41" i="8" s="1"/>
  <c r="AN43" i="8"/>
  <c r="AL44" i="8"/>
  <c r="AO44" i="8" s="1"/>
  <c r="AS42" i="8"/>
  <c r="AS31" i="8"/>
  <c r="AS36" i="8"/>
  <c r="AL39" i="8"/>
  <c r="AO39" i="8" s="1"/>
  <c r="AN41" i="8"/>
  <c r="AL21" i="8"/>
  <c r="AO21" i="8" s="1"/>
  <c r="AL38" i="8"/>
  <c r="AO38" i="8" s="1"/>
  <c r="AL37" i="8"/>
  <c r="AO37" i="8" s="1"/>
  <c r="AL14" i="8"/>
  <c r="AO14" i="8" s="1"/>
  <c r="AN38" i="8"/>
  <c r="AN14" i="8"/>
  <c r="AL24" i="8"/>
  <c r="AO24" i="8" s="1"/>
  <c r="AL32" i="8"/>
  <c r="AO32" i="8" s="1"/>
  <c r="AS28" i="8"/>
  <c r="AL18" i="8"/>
  <c r="AO18" i="8" s="1"/>
  <c r="AL35" i="8"/>
  <c r="AO35" i="8" s="1"/>
  <c r="AN35" i="8"/>
  <c r="AL29" i="8"/>
  <c r="AO29" i="8" s="1"/>
  <c r="AL30" i="8"/>
  <c r="AO30" i="8" s="1"/>
  <c r="AN32" i="8"/>
  <c r="AL8" i="8"/>
  <c r="AO8" i="8" s="1"/>
  <c r="AN18" i="8"/>
  <c r="AL19" i="8"/>
  <c r="AO19" i="8" s="1"/>
  <c r="AL7" i="8"/>
  <c r="AO7" i="8" s="1"/>
  <c r="AL20" i="8"/>
  <c r="AO20" i="8" s="1"/>
  <c r="AL13" i="8"/>
  <c r="AO13" i="8" s="1"/>
  <c r="AL23" i="8"/>
  <c r="AO23" i="8" s="1"/>
  <c r="AL12" i="8"/>
  <c r="AO12" i="8" s="1"/>
  <c r="AL22" i="8"/>
  <c r="AO22" i="8" s="1"/>
  <c r="AL15" i="8"/>
  <c r="AO15" i="8" s="1"/>
  <c r="AL27" i="8"/>
  <c r="AO27" i="8" s="1"/>
  <c r="AP7" i="10" l="1"/>
  <c r="AP32" i="10"/>
  <c r="AP34" i="10"/>
  <c r="AP35" i="10"/>
  <c r="AP45" i="10"/>
  <c r="AP46" i="10"/>
  <c r="AP47" i="10"/>
  <c r="AP48" i="10"/>
  <c r="AP49" i="10"/>
  <c r="AP50" i="10"/>
  <c r="AP51" i="10"/>
  <c r="AP52" i="10"/>
  <c r="AP9" i="10"/>
  <c r="AP10" i="10"/>
  <c r="AP11" i="10"/>
  <c r="AP12" i="10"/>
  <c r="AP13" i="10"/>
  <c r="AP14" i="10"/>
  <c r="AP15" i="10"/>
  <c r="AP16" i="10"/>
  <c r="AP17" i="10"/>
  <c r="AP18" i="10"/>
  <c r="AP19" i="10"/>
  <c r="AP20" i="10"/>
  <c r="AP21" i="10"/>
  <c r="AP22" i="10"/>
  <c r="AP23" i="10"/>
  <c r="AP24" i="10"/>
  <c r="AP25" i="10"/>
  <c r="AP26" i="10"/>
  <c r="AP27" i="10"/>
  <c r="AP28" i="10"/>
  <c r="AP8" i="10"/>
  <c r="AP29" i="10"/>
  <c r="AP30" i="10"/>
  <c r="AP31" i="10"/>
  <c r="AP33" i="10"/>
  <c r="AP36" i="10"/>
  <c r="AP37" i="10"/>
  <c r="AP38" i="10"/>
  <c r="AP39" i="10"/>
  <c r="AP40" i="10"/>
  <c r="AP41" i="10"/>
  <c r="AP42" i="10"/>
  <c r="AP43" i="10"/>
  <c r="AP44" i="10"/>
  <c r="AP9" i="9"/>
  <c r="AP44" i="9"/>
  <c r="AP36" i="9"/>
  <c r="AP7" i="9"/>
  <c r="AP17" i="9"/>
  <c r="AP12" i="9"/>
  <c r="AP20" i="9"/>
  <c r="AP28" i="9"/>
  <c r="AP10" i="9"/>
  <c r="AP25" i="9"/>
  <c r="AP41" i="9"/>
  <c r="AP22" i="9"/>
  <c r="AP27" i="9"/>
  <c r="AP50" i="9"/>
  <c r="AP23" i="9"/>
  <c r="AP8" i="9"/>
  <c r="AP16" i="9"/>
  <c r="AP18" i="9"/>
  <c r="AP42" i="9"/>
  <c r="AP49" i="9"/>
  <c r="AP38" i="9"/>
  <c r="AP52" i="9"/>
  <c r="AP21" i="9"/>
  <c r="AP47" i="9"/>
  <c r="AP31" i="9"/>
  <c r="AP43" i="9"/>
  <c r="AP33" i="9"/>
  <c r="AP37" i="9"/>
  <c r="AP13" i="9"/>
  <c r="AP15" i="9"/>
  <c r="AP45" i="9"/>
  <c r="AP14" i="9"/>
  <c r="AP39" i="9"/>
  <c r="AP29" i="9"/>
  <c r="AP30" i="9"/>
  <c r="AP26" i="9"/>
  <c r="AP35" i="9"/>
  <c r="AP46" i="9"/>
  <c r="AP51" i="9"/>
  <c r="AP34" i="9"/>
  <c r="AP40" i="9"/>
  <c r="AP32" i="9"/>
  <c r="AP11" i="9"/>
  <c r="AP19" i="9"/>
  <c r="AP24" i="9"/>
  <c r="AP48" i="9"/>
  <c r="AR53" i="8"/>
  <c r="AL53" i="8"/>
  <c r="AL56" i="8" s="1"/>
  <c r="AO53" i="8"/>
  <c r="BE7" i="10" l="1"/>
  <c r="AQ7" i="10"/>
  <c r="AT7" i="10"/>
  <c r="BE32" i="10"/>
  <c r="AT32" i="10"/>
  <c r="AQ32" i="10"/>
  <c r="BE34" i="10"/>
  <c r="AT34" i="10"/>
  <c r="AQ34" i="10"/>
  <c r="BE35" i="10"/>
  <c r="AT35" i="10"/>
  <c r="AQ35" i="10"/>
  <c r="BE45" i="10"/>
  <c r="AT45" i="10"/>
  <c r="AQ45" i="10"/>
  <c r="BE46" i="10"/>
  <c r="AT46" i="10"/>
  <c r="AQ46" i="10"/>
  <c r="BE47" i="10"/>
  <c r="AT47" i="10"/>
  <c r="AQ47" i="10"/>
  <c r="BE48" i="10"/>
  <c r="AT48" i="10"/>
  <c r="AQ48" i="10"/>
  <c r="BE49" i="10"/>
  <c r="AT49" i="10"/>
  <c r="AQ49" i="10"/>
  <c r="BE50" i="10"/>
  <c r="AT50" i="10"/>
  <c r="AQ50" i="10"/>
  <c r="BE51" i="10"/>
  <c r="AT51" i="10"/>
  <c r="AQ51" i="10"/>
  <c r="BE52" i="10"/>
  <c r="AT52" i="10"/>
  <c r="AQ52" i="10"/>
  <c r="BE9" i="10"/>
  <c r="AQ9" i="10"/>
  <c r="AT9" i="10"/>
  <c r="BE10" i="10"/>
  <c r="AT10" i="10"/>
  <c r="AQ10" i="10"/>
  <c r="BE11" i="10"/>
  <c r="AQ11" i="10"/>
  <c r="AT11" i="10"/>
  <c r="BE12" i="10"/>
  <c r="AQ12" i="10"/>
  <c r="AT12" i="10"/>
  <c r="AT13" i="10"/>
  <c r="AQ13" i="10"/>
  <c r="BE13" i="10"/>
  <c r="AT14" i="10"/>
  <c r="AQ14" i="10"/>
  <c r="BE14" i="10"/>
  <c r="BE15" i="10"/>
  <c r="AT15" i="10"/>
  <c r="AQ15" i="10"/>
  <c r="AT16" i="10"/>
  <c r="AQ16" i="10"/>
  <c r="BE16" i="10"/>
  <c r="BE17" i="10"/>
  <c r="AT17" i="10"/>
  <c r="AQ17" i="10"/>
  <c r="BE18" i="10"/>
  <c r="AT18" i="10"/>
  <c r="AQ18" i="10"/>
  <c r="AQ19" i="10"/>
  <c r="AT19" i="10"/>
  <c r="BE19" i="10"/>
  <c r="BE20" i="10"/>
  <c r="AT20" i="10"/>
  <c r="AQ20" i="10"/>
  <c r="AT21" i="10"/>
  <c r="AQ21" i="10"/>
  <c r="BE21" i="10"/>
  <c r="BE22" i="10"/>
  <c r="AT22" i="10"/>
  <c r="AQ22" i="10"/>
  <c r="BE23" i="10"/>
  <c r="AT23" i="10"/>
  <c r="AQ23" i="10"/>
  <c r="BE24" i="10"/>
  <c r="AT24" i="10"/>
  <c r="AQ24" i="10"/>
  <c r="BE25" i="10"/>
  <c r="AT25" i="10"/>
  <c r="AQ25" i="10"/>
  <c r="BE26" i="10"/>
  <c r="AT26" i="10"/>
  <c r="AQ26" i="10"/>
  <c r="BE27" i="10"/>
  <c r="AT27" i="10"/>
  <c r="AQ27" i="10"/>
  <c r="AT28" i="10"/>
  <c r="AQ28" i="10"/>
  <c r="BE28" i="10"/>
  <c r="AT8" i="10"/>
  <c r="AQ8" i="10"/>
  <c r="BE8" i="10"/>
  <c r="AT29" i="10"/>
  <c r="AQ29" i="10"/>
  <c r="BE29" i="10"/>
  <c r="AT30" i="10"/>
  <c r="AQ30" i="10"/>
  <c r="BE30" i="10"/>
  <c r="AT31" i="10"/>
  <c r="AQ31" i="10"/>
  <c r="BE31" i="10"/>
  <c r="BE33" i="10"/>
  <c r="AT33" i="10"/>
  <c r="AQ33" i="10"/>
  <c r="BE36" i="10"/>
  <c r="AT36" i="10"/>
  <c r="AQ36" i="10"/>
  <c r="BE37" i="10"/>
  <c r="AT37" i="10"/>
  <c r="AQ37" i="10"/>
  <c r="BE38" i="10"/>
  <c r="AT38" i="10"/>
  <c r="AQ38" i="10"/>
  <c r="BE39" i="10"/>
  <c r="AT39" i="10"/>
  <c r="AQ39" i="10"/>
  <c r="BE40" i="10"/>
  <c r="AT40" i="10"/>
  <c r="AQ40" i="10"/>
  <c r="BE41" i="10"/>
  <c r="AT41" i="10"/>
  <c r="AQ41" i="10"/>
  <c r="BE42" i="10"/>
  <c r="AT42" i="10"/>
  <c r="AQ42" i="10"/>
  <c r="BE43" i="10"/>
  <c r="AT43" i="10"/>
  <c r="AQ43" i="10"/>
  <c r="BE44" i="10"/>
  <c r="AT44" i="10"/>
  <c r="AQ44" i="10"/>
  <c r="AT34" i="9"/>
  <c r="AQ34" i="9"/>
  <c r="AT8" i="9"/>
  <c r="AQ8" i="9"/>
  <c r="AT23" i="9"/>
  <c r="AQ23" i="9"/>
  <c r="AT46" i="9"/>
  <c r="AQ46" i="9"/>
  <c r="AT50" i="9"/>
  <c r="AQ50" i="9"/>
  <c r="AT13" i="9"/>
  <c r="AQ13" i="9"/>
  <c r="AQ27" i="9"/>
  <c r="AT27" i="9"/>
  <c r="AQ26" i="9"/>
  <c r="AT26" i="9"/>
  <c r="AT30" i="9"/>
  <c r="AQ30" i="9"/>
  <c r="AT36" i="9"/>
  <c r="AQ36" i="9"/>
  <c r="AT47" i="9"/>
  <c r="AQ47" i="9"/>
  <c r="AQ51" i="9"/>
  <c r="AT51" i="9"/>
  <c r="AT21" i="9"/>
  <c r="AQ21" i="9"/>
  <c r="AQ48" i="9"/>
  <c r="AT48" i="9"/>
  <c r="AT52" i="9"/>
  <c r="AQ52" i="9"/>
  <c r="AQ24" i="9"/>
  <c r="AT24" i="9"/>
  <c r="AT38" i="9"/>
  <c r="AQ38" i="9"/>
  <c r="AQ19" i="9"/>
  <c r="AT19" i="9"/>
  <c r="AT49" i="9"/>
  <c r="AQ49" i="9"/>
  <c r="AT7" i="9"/>
  <c r="AQ7" i="9"/>
  <c r="AT33" i="9"/>
  <c r="AQ33" i="9"/>
  <c r="AT29" i="9"/>
  <c r="AQ29" i="9"/>
  <c r="AT18" i="9"/>
  <c r="AQ18" i="9"/>
  <c r="AT25" i="9"/>
  <c r="AQ25" i="9"/>
  <c r="AT44" i="9"/>
  <c r="AQ44" i="9"/>
  <c r="AQ14" i="9"/>
  <c r="AT14" i="9"/>
  <c r="AT28" i="9"/>
  <c r="AQ28" i="9"/>
  <c r="AT45" i="9"/>
  <c r="AQ45" i="9"/>
  <c r="AT20" i="9"/>
  <c r="AQ20" i="9"/>
  <c r="AT15" i="9"/>
  <c r="AQ15" i="9"/>
  <c r="AT12" i="9"/>
  <c r="AQ12" i="9"/>
  <c r="AQ35" i="9"/>
  <c r="AT35" i="9"/>
  <c r="AT17" i="9"/>
  <c r="AQ17" i="9"/>
  <c r="AT37" i="9"/>
  <c r="AQ37" i="9"/>
  <c r="AT22" i="9"/>
  <c r="AQ22" i="9"/>
  <c r="AQ11" i="9"/>
  <c r="AT11" i="9"/>
  <c r="AT42" i="9"/>
  <c r="AQ42" i="9"/>
  <c r="AT41" i="9"/>
  <c r="AQ41" i="9"/>
  <c r="AQ32" i="9"/>
  <c r="AT32" i="9"/>
  <c r="AQ43" i="9"/>
  <c r="AT43" i="9"/>
  <c r="AQ40" i="9"/>
  <c r="AT40" i="9"/>
  <c r="AT39" i="9"/>
  <c r="AQ39" i="9"/>
  <c r="AT31" i="9"/>
  <c r="AQ31" i="9"/>
  <c r="AQ16" i="9"/>
  <c r="AT16" i="9"/>
  <c r="AQ10" i="9"/>
  <c r="AT10" i="9"/>
  <c r="AQ9" i="9"/>
  <c r="AT9" i="9"/>
  <c r="AO54" i="8"/>
  <c r="AO56" i="8" s="1"/>
  <c r="AV53" i="8" s="1"/>
  <c r="AV55" i="8" s="1"/>
  <c r="AQ56" i="8"/>
  <c r="AP33" i="8" s="1"/>
  <c r="AU7" i="10" l="1"/>
  <c r="AV7" i="10"/>
  <c r="BF7" i="10" s="1"/>
  <c r="AU32" i="10"/>
  <c r="AV32" i="10"/>
  <c r="BF32" i="10" s="1"/>
  <c r="AU34" i="10"/>
  <c r="AV34" i="10"/>
  <c r="BF34" i="10" s="1"/>
  <c r="AU35" i="10"/>
  <c r="AV35" i="10"/>
  <c r="BF35" i="10" s="1"/>
  <c r="AU45" i="10"/>
  <c r="AV45" i="10"/>
  <c r="BF45" i="10" s="1"/>
  <c r="AU46" i="10"/>
  <c r="AV46" i="10"/>
  <c r="BF46" i="10" s="1"/>
  <c r="AU47" i="10"/>
  <c r="AV47" i="10"/>
  <c r="BF47" i="10" s="1"/>
  <c r="AU48" i="10"/>
  <c r="AV48" i="10"/>
  <c r="BF48" i="10" s="1"/>
  <c r="AU49" i="10"/>
  <c r="AV49" i="10"/>
  <c r="BF49" i="10" s="1"/>
  <c r="AU50" i="10"/>
  <c r="AV50" i="10"/>
  <c r="BF50" i="10" s="1"/>
  <c r="AU51" i="10"/>
  <c r="AV51" i="10"/>
  <c r="BF51" i="10" s="1"/>
  <c r="AU52" i="10"/>
  <c r="AV52" i="10"/>
  <c r="BF52" i="10" s="1"/>
  <c r="AV9" i="10"/>
  <c r="BF9" i="10" s="1"/>
  <c r="AU9" i="10"/>
  <c r="AU10" i="10"/>
  <c r="AV10" i="10"/>
  <c r="BF10" i="10" s="1"/>
  <c r="AV11" i="10"/>
  <c r="BF11" i="10" s="1"/>
  <c r="AU11" i="10"/>
  <c r="AU12" i="10"/>
  <c r="AV12" i="10"/>
  <c r="BF12" i="10" s="1"/>
  <c r="AV13" i="10"/>
  <c r="BF13" i="10" s="1"/>
  <c r="AU13" i="10"/>
  <c r="AU14" i="10"/>
  <c r="AV14" i="10"/>
  <c r="BF14" i="10" s="1"/>
  <c r="AU15" i="10"/>
  <c r="AV15" i="10"/>
  <c r="BF15" i="10" s="1"/>
  <c r="AU16" i="10"/>
  <c r="AV16" i="10"/>
  <c r="BF16" i="10" s="1"/>
  <c r="AU17" i="10"/>
  <c r="AV17" i="10"/>
  <c r="BF17" i="10" s="1"/>
  <c r="AV18" i="10"/>
  <c r="BF18" i="10" s="1"/>
  <c r="AU18" i="10"/>
  <c r="AU19" i="10"/>
  <c r="AV19" i="10"/>
  <c r="BF19" i="10" s="1"/>
  <c r="AV20" i="10"/>
  <c r="BF20" i="10" s="1"/>
  <c r="AU20" i="10"/>
  <c r="AV21" i="10"/>
  <c r="BF21" i="10" s="1"/>
  <c r="AU21" i="10"/>
  <c r="AU22" i="10"/>
  <c r="AV22" i="10"/>
  <c r="BF22" i="10" s="1"/>
  <c r="AU23" i="10"/>
  <c r="AV23" i="10"/>
  <c r="BF23" i="10" s="1"/>
  <c r="AU24" i="10"/>
  <c r="AV24" i="10"/>
  <c r="BF24" i="10" s="1"/>
  <c r="AU25" i="10"/>
  <c r="AV25" i="10"/>
  <c r="BF25" i="10" s="1"/>
  <c r="AU26" i="10"/>
  <c r="AV26" i="10"/>
  <c r="BF26" i="10" s="1"/>
  <c r="AU27" i="10"/>
  <c r="AV27" i="10"/>
  <c r="BF27" i="10" s="1"/>
  <c r="AU28" i="10"/>
  <c r="AV28" i="10"/>
  <c r="BF28" i="10" s="1"/>
  <c r="AV8" i="10"/>
  <c r="BF8" i="10" s="1"/>
  <c r="AU8" i="10"/>
  <c r="AU29" i="10"/>
  <c r="AV29" i="10"/>
  <c r="BF29" i="10" s="1"/>
  <c r="AU30" i="10"/>
  <c r="AV30" i="10"/>
  <c r="BF30" i="10" s="1"/>
  <c r="AU31" i="10"/>
  <c r="AV31" i="10"/>
  <c r="BF31" i="10" s="1"/>
  <c r="AU33" i="10"/>
  <c r="AV33" i="10"/>
  <c r="BF33" i="10" s="1"/>
  <c r="AU36" i="10"/>
  <c r="AV36" i="10"/>
  <c r="BF36" i="10" s="1"/>
  <c r="AU37" i="10"/>
  <c r="AV37" i="10"/>
  <c r="BF37" i="10" s="1"/>
  <c r="AU38" i="10"/>
  <c r="AV38" i="10"/>
  <c r="BF38" i="10" s="1"/>
  <c r="AU39" i="10"/>
  <c r="AV39" i="10"/>
  <c r="BF39" i="10" s="1"/>
  <c r="AU40" i="10"/>
  <c r="AV40" i="10"/>
  <c r="BF40" i="10" s="1"/>
  <c r="AU41" i="10"/>
  <c r="AV41" i="10"/>
  <c r="BF41" i="10" s="1"/>
  <c r="AU42" i="10"/>
  <c r="AV42" i="10"/>
  <c r="BF42" i="10" s="1"/>
  <c r="AU43" i="10"/>
  <c r="AV43" i="10"/>
  <c r="BF43" i="10" s="1"/>
  <c r="AU44" i="10"/>
  <c r="AV44" i="10"/>
  <c r="BF44" i="10" s="1"/>
  <c r="AV35" i="9"/>
  <c r="AU35" i="9"/>
  <c r="AV24" i="9"/>
  <c r="AU24" i="9"/>
  <c r="AV16" i="9"/>
  <c r="AU16" i="9"/>
  <c r="AV45" i="9"/>
  <c r="AU45" i="9"/>
  <c r="AV32" i="9"/>
  <c r="AU32" i="9"/>
  <c r="AV27" i="9"/>
  <c r="AU27" i="9"/>
  <c r="AV12" i="9"/>
  <c r="AU12" i="9"/>
  <c r="AV47" i="9"/>
  <c r="AU47" i="9"/>
  <c r="AV19" i="9"/>
  <c r="AU19" i="9"/>
  <c r="AV39" i="9"/>
  <c r="AU39" i="9"/>
  <c r="AV15" i="9"/>
  <c r="AU15" i="9"/>
  <c r="AV29" i="9"/>
  <c r="AU29" i="9"/>
  <c r="AV36" i="9"/>
  <c r="AU36" i="9"/>
  <c r="AV13" i="9"/>
  <c r="AU13" i="9"/>
  <c r="AU8" i="9"/>
  <c r="AV8" i="9"/>
  <c r="AV11" i="9"/>
  <c r="AU11" i="9"/>
  <c r="AV51" i="9"/>
  <c r="AU51" i="9"/>
  <c r="AV7" i="9"/>
  <c r="AU7" i="9"/>
  <c r="AV28" i="9"/>
  <c r="AU28" i="9"/>
  <c r="AU49" i="9"/>
  <c r="AV49" i="9"/>
  <c r="AU9" i="9"/>
  <c r="AV9" i="9"/>
  <c r="AV14" i="9"/>
  <c r="AU14" i="9"/>
  <c r="AV48" i="9"/>
  <c r="AU48" i="9"/>
  <c r="AU41" i="9"/>
  <c r="AV41" i="9"/>
  <c r="AU10" i="9"/>
  <c r="AV10" i="9"/>
  <c r="AV40" i="9"/>
  <c r="AU40" i="9"/>
  <c r="AV43" i="9"/>
  <c r="AU43" i="9"/>
  <c r="AU26" i="9"/>
  <c r="AV26" i="9"/>
  <c r="AU25" i="9"/>
  <c r="AV25" i="9"/>
  <c r="AV46" i="9"/>
  <c r="AU46" i="9"/>
  <c r="AV31" i="9"/>
  <c r="AU31" i="9"/>
  <c r="AV22" i="9"/>
  <c r="AU22" i="9"/>
  <c r="AU18" i="9"/>
  <c r="AV18" i="9"/>
  <c r="AV52" i="9"/>
  <c r="AU52" i="9"/>
  <c r="AV23" i="9"/>
  <c r="AU23" i="9"/>
  <c r="AV37" i="9"/>
  <c r="AU37" i="9"/>
  <c r="AU42" i="9"/>
  <c r="AV42" i="9"/>
  <c r="AV17" i="9"/>
  <c r="AU17" i="9"/>
  <c r="AV20" i="9"/>
  <c r="AU20" i="9"/>
  <c r="AV44" i="9"/>
  <c r="AU44" i="9"/>
  <c r="AU33" i="9"/>
  <c r="AV33" i="9"/>
  <c r="AV38" i="9"/>
  <c r="AU38" i="9"/>
  <c r="AU21" i="9"/>
  <c r="AV21" i="9"/>
  <c r="AV30" i="9"/>
  <c r="AU30" i="9"/>
  <c r="AU50" i="9"/>
  <c r="AV50" i="9"/>
  <c r="AU34" i="9"/>
  <c r="AV34" i="9"/>
  <c r="AT33" i="8"/>
  <c r="AQ33" i="8"/>
  <c r="AP9" i="8"/>
  <c r="AQ9" i="8" s="1"/>
  <c r="AP34" i="8"/>
  <c r="AT9" i="8"/>
  <c r="AP49" i="8"/>
  <c r="AT49" i="8" s="1"/>
  <c r="AP47" i="8"/>
  <c r="AP16" i="8"/>
  <c r="AP24" i="8"/>
  <c r="AP31" i="8"/>
  <c r="AP42" i="8"/>
  <c r="AP51" i="8"/>
  <c r="AT51" i="8" s="1"/>
  <c r="AP37" i="8"/>
  <c r="AT37" i="8" s="1"/>
  <c r="AP45" i="8"/>
  <c r="AT45" i="8" s="1"/>
  <c r="AP12" i="8"/>
  <c r="AP38" i="8"/>
  <c r="AT38" i="8" s="1"/>
  <c r="AP13" i="8"/>
  <c r="AP28" i="8"/>
  <c r="AP22" i="8"/>
  <c r="AP40" i="8"/>
  <c r="AP15" i="8"/>
  <c r="AP30" i="8"/>
  <c r="AP50" i="8"/>
  <c r="AP8" i="8"/>
  <c r="AP17" i="8"/>
  <c r="AT17" i="8" s="1"/>
  <c r="AP25" i="8"/>
  <c r="AT25" i="8" s="1"/>
  <c r="AP32" i="8"/>
  <c r="AP43" i="8"/>
  <c r="AT43" i="8" s="1"/>
  <c r="AP52" i="8"/>
  <c r="AT52" i="8" s="1"/>
  <c r="AP46" i="8"/>
  <c r="AP10" i="8"/>
  <c r="AQ10" i="8" s="1"/>
  <c r="AP18" i="8"/>
  <c r="AP26" i="8"/>
  <c r="AT26" i="8" s="1"/>
  <c r="AP36" i="8"/>
  <c r="AT36" i="8" s="1"/>
  <c r="AP44" i="8"/>
  <c r="AT44" i="8" s="1"/>
  <c r="AP7" i="8"/>
  <c r="AP19" i="8"/>
  <c r="AP27" i="8"/>
  <c r="AT27" i="8" s="1"/>
  <c r="AP21" i="8"/>
  <c r="AP39" i="8"/>
  <c r="AT39" i="8" s="1"/>
  <c r="AP29" i="8"/>
  <c r="AP23" i="8"/>
  <c r="AT23" i="8" s="1"/>
  <c r="AP41" i="8"/>
  <c r="AP11" i="8"/>
  <c r="AP14" i="8"/>
  <c r="AP48" i="8"/>
  <c r="AP20" i="8"/>
  <c r="AP35" i="8"/>
  <c r="AV33" i="8" l="1"/>
  <c r="AU33" i="8"/>
  <c r="AQ34" i="8"/>
  <c r="AT34" i="8"/>
  <c r="AU9" i="8"/>
  <c r="AV9" i="8"/>
  <c r="AQ7" i="8"/>
  <c r="AT7" i="8"/>
  <c r="AU7" i="8" s="1"/>
  <c r="AQ49" i="8"/>
  <c r="AQ47" i="8"/>
  <c r="AT47" i="8"/>
  <c r="AV49" i="8"/>
  <c r="AU49" i="8"/>
  <c r="AQ17" i="8"/>
  <c r="AQ25" i="8"/>
  <c r="AT10" i="8"/>
  <c r="AV10" i="8" s="1"/>
  <c r="AV17" i="8"/>
  <c r="AU17" i="8"/>
  <c r="AQ16" i="8"/>
  <c r="AT16" i="8"/>
  <c r="AV25" i="8"/>
  <c r="AU25" i="8"/>
  <c r="AT11" i="8"/>
  <c r="AQ11" i="8"/>
  <c r="AQ21" i="8"/>
  <c r="AT21" i="8"/>
  <c r="AQ20" i="8"/>
  <c r="AT20" i="8"/>
  <c r="AT13" i="8"/>
  <c r="AQ13" i="8"/>
  <c r="AT14" i="8"/>
  <c r="AQ14" i="8"/>
  <c r="AQ22" i="8"/>
  <c r="AT22" i="8"/>
  <c r="AT24" i="8"/>
  <c r="AQ24" i="8"/>
  <c r="AT19" i="8"/>
  <c r="AQ19" i="8"/>
  <c r="AQ23" i="8"/>
  <c r="AQ12" i="8"/>
  <c r="AT12" i="8"/>
  <c r="AQ8" i="8"/>
  <c r="AT8" i="8"/>
  <c r="AQ27" i="8"/>
  <c r="AQ26" i="8"/>
  <c r="AQ15" i="8"/>
  <c r="AT15" i="8"/>
  <c r="AQ18" i="8"/>
  <c r="AT18" i="8"/>
  <c r="AV34" i="8" l="1"/>
  <c r="AU34" i="8"/>
  <c r="AV47" i="8"/>
  <c r="AU47" i="8"/>
  <c r="AU10" i="8"/>
  <c r="AV16" i="8"/>
  <c r="AU16" i="8"/>
  <c r="AV11" i="8"/>
  <c r="AU11" i="8"/>
  <c r="AV19" i="8"/>
  <c r="AU19" i="8"/>
  <c r="AV8" i="8"/>
  <c r="AU8" i="8"/>
  <c r="AV13" i="8"/>
  <c r="AU13" i="8"/>
  <c r="AV27" i="8"/>
  <c r="AU27" i="8"/>
  <c r="AV15" i="8"/>
  <c r="AU15" i="8"/>
  <c r="AU24" i="8"/>
  <c r="AV24" i="8"/>
  <c r="AV21" i="8"/>
  <c r="AU21" i="8"/>
  <c r="AU14" i="8"/>
  <c r="AV14" i="8"/>
  <c r="AV18" i="8"/>
  <c r="AU18" i="8"/>
  <c r="AV7" i="8"/>
  <c r="AV12" i="8"/>
  <c r="AU12" i="8"/>
  <c r="AU20" i="8"/>
  <c r="AV20" i="8"/>
  <c r="AV26" i="8"/>
  <c r="AU26" i="8"/>
  <c r="AV22" i="8"/>
  <c r="AU22" i="8"/>
  <c r="AV23" i="8"/>
  <c r="AU23" i="8"/>
  <c r="AQ51" i="8" l="1"/>
  <c r="AQ52" i="8"/>
  <c r="AQ44" i="8"/>
  <c r="AQ43" i="8"/>
  <c r="AQ45" i="8"/>
  <c r="AQ36" i="8"/>
  <c r="AQ38" i="8"/>
  <c r="AQ39" i="8"/>
  <c r="AQ37" i="8"/>
  <c r="AV51" i="8" l="1"/>
  <c r="AU51" i="8"/>
  <c r="AV52" i="8"/>
  <c r="AU52" i="8"/>
  <c r="AV45" i="8"/>
  <c r="AU45" i="8"/>
  <c r="AV44" i="8"/>
  <c r="AU44" i="8"/>
  <c r="AU43" i="8"/>
  <c r="AV43" i="8"/>
  <c r="AV39" i="8"/>
  <c r="AU39" i="8"/>
  <c r="AU38" i="8"/>
  <c r="AV38" i="8"/>
  <c r="AU37" i="8"/>
  <c r="AV37" i="8"/>
  <c r="AV36" i="8"/>
  <c r="AU36" i="8"/>
  <c r="AQ42" i="8" l="1"/>
  <c r="AQ50" i="8"/>
  <c r="AT32" i="8"/>
  <c r="AU32" i="8" s="1"/>
  <c r="AT29" i="8"/>
  <c r="AU29" i="8" s="1"/>
  <c r="AT40" i="8"/>
  <c r="AV40" i="8" s="1"/>
  <c r="AQ31" i="8"/>
  <c r="AQ40" i="8"/>
  <c r="AQ35" i="8"/>
  <c r="AT35" i="8"/>
  <c r="AU35" i="8" s="1"/>
  <c r="AT50" i="8"/>
  <c r="AU50" i="8" s="1"/>
  <c r="AQ46" i="8"/>
  <c r="AT31" i="8"/>
  <c r="AV31" i="8" s="1"/>
  <c r="AQ30" i="8"/>
  <c r="AQ29" i="8"/>
  <c r="AT46" i="8"/>
  <c r="AU46" i="8" s="1"/>
  <c r="AQ32" i="8"/>
  <c r="AT48" i="8"/>
  <c r="AU48" i="8" s="1"/>
  <c r="AQ41" i="8"/>
  <c r="AT42" i="8"/>
  <c r="AU42" i="8" s="1"/>
  <c r="AT30" i="8"/>
  <c r="AU30" i="8" s="1"/>
  <c r="AT28" i="8"/>
  <c r="AV28" i="8" s="1"/>
  <c r="AT41" i="8"/>
  <c r="AV41" i="8" s="1"/>
  <c r="AQ28" i="8"/>
  <c r="AQ48" i="8"/>
  <c r="AU31" i="8" l="1"/>
  <c r="AV42" i="8"/>
  <c r="AV29" i="8"/>
  <c r="AU28" i="8"/>
  <c r="AV30" i="8"/>
  <c r="AV46" i="8"/>
  <c r="AU40" i="8"/>
  <c r="AV32" i="8"/>
  <c r="AU41" i="8"/>
  <c r="AV48" i="8"/>
  <c r="AV35" i="8"/>
  <c r="AV50" i="8"/>
</calcChain>
</file>

<file path=xl/sharedStrings.xml><?xml version="1.0" encoding="utf-8"?>
<sst xmlns="http://schemas.openxmlformats.org/spreadsheetml/2006/main" count="566" uniqueCount="123">
  <si>
    <t xml:space="preserve">Date: </t>
  </si>
  <si>
    <t>9 Changi South Street 3 #07-02/03 Singapore 486361</t>
  </si>
  <si>
    <t>Rate :</t>
  </si>
  <si>
    <t>PURCHASE ORDER</t>
  </si>
  <si>
    <t>Cost with Freight &amp; GST, Selling with GST</t>
  </si>
  <si>
    <t>No.</t>
  </si>
  <si>
    <t>Product Name</t>
  </si>
  <si>
    <t>Qty 
(CTN)</t>
  </si>
  <si>
    <t>Packing Size
(PC)</t>
  </si>
  <si>
    <t>Total Ordered Qty</t>
  </si>
  <si>
    <t>Ctn Price
(SGD)
(W/O GST)</t>
  </si>
  <si>
    <t>Unit Price
(SGD)
(W/O GST)</t>
  </si>
  <si>
    <t>Total</t>
  </si>
  <si>
    <t>Unit Cost 
(SGD - PC)
(W/O GST)</t>
  </si>
  <si>
    <t>Total Cost 
(RAW)</t>
  </si>
  <si>
    <t>Total Cost 
(SGD)
(W GST)</t>
  </si>
  <si>
    <t>TMG Selling Price</t>
  </si>
  <si>
    <t>Total Selling</t>
  </si>
  <si>
    <t>UNIT PROFIT ($)</t>
  </si>
  <si>
    <t xml:space="preserve">Profit Margin - % </t>
  </si>
  <si>
    <t>TMG
Promotion
Price</t>
  </si>
  <si>
    <t>4</t>
  </si>
  <si>
    <t>Unit Cost (9%)
(SGD - PC)</t>
  </si>
  <si>
    <t>TOTAL PROFIT ($)</t>
  </si>
  <si>
    <t>24</t>
  </si>
  <si>
    <r>
      <rPr>
        <b/>
        <u/>
        <sz val="11"/>
        <color indexed="8"/>
        <rFont val="Calibri"/>
        <family val="2"/>
      </rPr>
      <t xml:space="preserve">
</t>
    </r>
    <r>
      <rPr>
        <b/>
        <u/>
        <sz val="11"/>
        <color indexed="8"/>
        <rFont val="Calibri"/>
        <family val="2"/>
      </rPr>
      <t>REMARKS: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/>
    </r>
  </si>
  <si>
    <t>SUB TOTAL:</t>
  </si>
  <si>
    <t>Total Cost:
(SGD)</t>
  </si>
  <si>
    <t>Total Selling: 
(SGD)</t>
  </si>
  <si>
    <t>Total Profit:</t>
  </si>
  <si>
    <t>9% GST</t>
  </si>
  <si>
    <t>Freight (CNF) Charge:</t>
  </si>
  <si>
    <t>NA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</si>
  <si>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</si>
  <si>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</si>
  <si>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</si>
  <si>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</si>
  <si>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t>__________________                    _______________________                               __________________</t>
  </si>
  <si>
    <t>ORDER PREPARED BY                             ACKNOWLEDGE BY                                                      CHECKED BY</t>
  </si>
  <si>
    <t>Supplier: SY FOODSTUFFS AND TRADING PTE LTD</t>
  </si>
  <si>
    <t>YEO'S LYCHEE(PKT) 24 X 240ML</t>
  </si>
  <si>
    <t>YEO'S SOYA BEAN(PKT) 24 X 240 ML</t>
  </si>
  <si>
    <t>YEO'S WINTERMELON(PKT) 24 X 240ML</t>
  </si>
  <si>
    <t>YEO'S CHRYSANTHEMUM TEA(PKT) 24 X 240ML</t>
  </si>
  <si>
    <t>YEO'S SOYA BEAN(CAN) 24 X 300ML</t>
  </si>
  <si>
    <t>YEO'S GRASS JELLY(CAN) 24 X 300ML</t>
  </si>
  <si>
    <t>FN ICE CREAM SODA 12 X 1.1L</t>
  </si>
  <si>
    <t>PRISTIN DRINKING WATER 24 X 500ML</t>
  </si>
  <si>
    <t>PRISTIN DRINKING WATER 12 X 1.5L</t>
  </si>
  <si>
    <t>COKE 1.25L 12 X 1.25L</t>
  </si>
  <si>
    <t>SPRITE 1.25L 12 X 1.25L</t>
  </si>
  <si>
    <t>A&amp;W 1.25L 12 X 1.25L</t>
  </si>
  <si>
    <t>FN FRUITADE 24 X 500ML</t>
  </si>
  <si>
    <t>BREEZE FD LUXURY PERFUME 4 X 3.6KG</t>
  </si>
  <si>
    <t>12</t>
  </si>
  <si>
    <t>FN FRUITADE 12 X 1.1L</t>
  </si>
  <si>
    <t>FN SARSI 12 X 1.1L</t>
  </si>
  <si>
    <t>FN STRAWBERRY 12 X 1.1L</t>
  </si>
  <si>
    <t>100 PLUS 24 X 500ML</t>
  </si>
  <si>
    <t>F&amp;N SEASON LEMON TEA (CAN) 24 X 300ML</t>
  </si>
  <si>
    <t>100 PLUS (CAN) 24 X 325 ML</t>
  </si>
  <si>
    <t>MAGGI CHICKEN MEE 12 X 5PKT</t>
  </si>
  <si>
    <t>MAGGI CURRY MEE 12 X 5PKT</t>
  </si>
  <si>
    <t>BREEZE FD POWER SILKY SAKURA 4 X 3.6KG</t>
  </si>
  <si>
    <t>TOP STAIN BUSTER FD-BLUE 4 X 3.6KG</t>
  </si>
  <si>
    <t>QOO WHITE GRAPE CAN 24 X 330ML</t>
  </si>
  <si>
    <t>FN ORANGE 12 X 1.1L</t>
  </si>
  <si>
    <t>FN GRAPE 12 X 1.1L</t>
  </si>
  <si>
    <t>FN SARSI 24 X 500ML</t>
  </si>
  <si>
    <t>FN STRAWBERRY 24 X 500ML</t>
  </si>
  <si>
    <t>FN GRAPE 24 X 500ML</t>
  </si>
  <si>
    <t>NESCAFE ORIGINAL 24 X 240ML</t>
  </si>
  <si>
    <t>MILO(CAN) 24 X 240ML</t>
  </si>
  <si>
    <t>WANG LAO JI CAN 320ML</t>
  </si>
  <si>
    <t>COKE ORIGINAL CAN 24 X320ML</t>
  </si>
  <si>
    <t>FN ORANGE 24 X 500ML</t>
  </si>
  <si>
    <t>YEO'S CHRYSANTHEMUM(CAN) 24 X 300ML</t>
  </si>
  <si>
    <t>YEO'S WINTERMELON(CAN) 24 X 300ML</t>
  </si>
  <si>
    <t>CADBURY HAZLENUT BAR 130G</t>
  </si>
  <si>
    <t>CADBURY ALMOND BAR 130G</t>
  </si>
  <si>
    <t>72</t>
  </si>
  <si>
    <t>CADBURY MILK BAR 130G</t>
  </si>
  <si>
    <t>Tian Ma Group Holdings Pte Ltd</t>
  </si>
  <si>
    <t>100 PLUS 1.75L</t>
  </si>
  <si>
    <t>FN ZAPPER 12 X 1.1L</t>
  </si>
  <si>
    <t>FN ZAPPER 24 X 500ML</t>
  </si>
  <si>
    <t>HSC OLDENLADIA WATER 325ML</t>
  </si>
  <si>
    <t>100 PLUS ZERO 500ML</t>
  </si>
  <si>
    <t>100 PLUS ZERO 1.1L</t>
  </si>
  <si>
    <t>5/2/26</t>
  </si>
  <si>
    <t>10/2/26</t>
  </si>
  <si>
    <t>11/2/26</t>
  </si>
  <si>
    <t>12/2/26</t>
  </si>
  <si>
    <t>3/2/26</t>
  </si>
  <si>
    <t>13/2/26</t>
  </si>
  <si>
    <t>24/2/26</t>
  </si>
  <si>
    <t>3/3/26</t>
  </si>
  <si>
    <t>6/3/26</t>
  </si>
  <si>
    <t>11/3/26</t>
  </si>
  <si>
    <t>17/3/26</t>
  </si>
  <si>
    <t>26/3/26</t>
  </si>
  <si>
    <t>31/3/26</t>
  </si>
  <si>
    <t>30/3/26</t>
  </si>
  <si>
    <t>11/4/26</t>
  </si>
  <si>
    <t>15/4/26</t>
  </si>
  <si>
    <t>7/4/26</t>
  </si>
  <si>
    <t>16/4/26</t>
  </si>
  <si>
    <t>21/4/26</t>
  </si>
  <si>
    <t>22/4/26</t>
  </si>
  <si>
    <t>24/4/26 [QUOTE]</t>
  </si>
  <si>
    <t>28/4/26</t>
  </si>
  <si>
    <t>5/5/26</t>
  </si>
  <si>
    <t>PRICE WE WANT</t>
  </si>
  <si>
    <t>GRAB COMM 16.35%</t>
  </si>
  <si>
    <t>REQUIRED S PRICE</t>
  </si>
  <si>
    <t>FOOD PANDA COMM</t>
  </si>
  <si>
    <t>GST %</t>
  </si>
  <si>
    <t>TOTAL</t>
  </si>
  <si>
    <t>NET AFTER COMM</t>
  </si>
  <si>
    <t>MARGIN EARNED</t>
  </si>
  <si>
    <t>DIFFERENCE</t>
  </si>
  <si>
    <t>VALUE DOLLAR{TAMPINES AND BEDOK} PRICING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</si>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</sst>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&quot;₹&quot;* #,##0.00_);_(&quot;₹&quot;* \(#,##0.00\);_(&quot;₹&quot;* &quot;-&quot;??_);_(@_)"/>
    <numFmt numFmtId="165" formatCode="0.000"/>
    <numFmt numFmtId="166" formatCode="0.0000"/>
    <numFmt numFmtId="167" formatCode="&quot;$&quot;#,##0.0000"/>
    <numFmt numFmtId="168" formatCode="&quot;$&quot;#,##0.00"/>
    <numFmt numFmtId="169" formatCode="&quot;$&quot;&quot; &quot;#,##0.0000"/>
    <numFmt numFmtId="170" formatCode="_-&quot;$&quot;* #,##0.00_-;\-&quot;$&quot;* #,##0.00_-;_-&quot;$&quot;* &quot;-&quot;??_-;_-@_-"/>
    <numFmt numFmtId="171" formatCode="&quot;$&quot;&quot; &quot;#,##0.00"/>
    <numFmt numFmtId="172" formatCode="_-&quot;$&quot;* #,##0.000_-;\-&quot;$&quot;* #,##0.000_-;_-&quot;$&quot;* &quot;-&quot;???_-;_-@_-"/>
    <numFmt numFmtId="173" formatCode="0.000%"/>
    <numFmt numFmtId="174" formatCode="&quot; &quot;&quot;$&quot;* #,##0.00&quot; &quot;;&quot;-&quot;&quot;$&quot;* #,##0.00&quot; &quot;;&quot; &quot;&quot;$&quot;* &quot;-&quot;??&quot; &quot;"/>
    <numFmt numFmtId="175" formatCode="&quot; &quot;&quot;$&quot;* #,##0.0000&quot; &quot;;&quot;-&quot;&quot;$&quot;* #,##0.0000&quot; &quot;;&quot; &quot;&quot;$&quot;* &quot;-&quot;??&quot; &quot;"/>
    <numFmt numFmtId="176" formatCode="&quot; &quot;[$CNY]* #,##0.00&quot; &quot;;&quot; &quot;[$CNY]* &quot;-&quot;#,##0.00&quot; &quot;;&quot; &quot;[$CNY]* &quot;-&quot;??&quot; &quot;"/>
    <numFmt numFmtId="177" formatCode="&quot; &quot;[$$-409]* #,##0.0000&quot; &quot;;&quot; &quot;[$$-409]* &quot;-&quot;#,##0.0000&quot; &quot;;&quot; &quot;[$$-409]* &quot;-&quot;??&quot; &quot;"/>
    <numFmt numFmtId="178" formatCode="&quot; &quot;&quot;$&quot;* #,##0.00000&quot; &quot;;&quot;-&quot;&quot;$&quot;* #,##0.00000&quot; &quot;;&quot; &quot;&quot;$&quot;* &quot;-&quot;??&quot; &quot;"/>
    <numFmt numFmtId="179" formatCode="_-[$$-4809]* #,##0.00_-;\-[$$-4809]* #,##0.00_-;_-[$$-4809]* &quot;-&quot;??_-;_-@_-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b/>
      <sz val="12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u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4"/>
      <color indexed="8"/>
      <name val="Calibri"/>
      <family val="2"/>
    </font>
    <font>
      <b/>
      <u/>
      <sz val="11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13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0"/>
      <color indexed="8"/>
      <name val="Calibri"/>
      <family val="2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8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thin">
        <color indexed="64"/>
      </top>
      <bottom/>
      <diagonal/>
    </border>
    <border>
      <left style="medium">
        <color indexed="8"/>
      </left>
      <right style="dotted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64"/>
      </top>
      <bottom style="medium">
        <color indexed="8"/>
      </bottom>
      <diagonal/>
    </border>
    <border>
      <left/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Protection="0"/>
    <xf numFmtId="9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</cellStyleXfs>
  <cellXfs count="168">
    <xf numFmtId="0" fontId="0" fillId="0" borderId="0" xfId="0"/>
    <xf numFmtId="0" fontId="8" fillId="0" borderId="9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right" vertical="center"/>
    </xf>
    <xf numFmtId="0" fontId="12" fillId="2" borderId="3" xfId="0" applyFont="1" applyFill="1" applyBorder="1"/>
    <xf numFmtId="49" fontId="3" fillId="2" borderId="4" xfId="0" applyNumberFormat="1" applyFont="1" applyFill="1" applyBorder="1" applyAlignment="1">
      <alignment horizontal="right"/>
    </xf>
    <xf numFmtId="165" fontId="6" fillId="2" borderId="5" xfId="0" applyNumberFormat="1" applyFont="1" applyFill="1" applyBorder="1" applyAlignment="1">
      <alignment horizontal="center"/>
    </xf>
    <xf numFmtId="166" fontId="7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2" borderId="19" xfId="0" applyFill="1" applyBorder="1"/>
    <xf numFmtId="0" fontId="6" fillId="2" borderId="19" xfId="0" applyFont="1" applyFill="1" applyBorder="1"/>
    <xf numFmtId="167" fontId="0" fillId="2" borderId="19" xfId="0" applyNumberFormat="1" applyFill="1" applyBorder="1"/>
    <xf numFmtId="168" fontId="0" fillId="2" borderId="19" xfId="0" applyNumberFormat="1" applyFill="1" applyBorder="1"/>
    <xf numFmtId="0" fontId="0" fillId="2" borderId="8" xfId="0" applyFill="1" applyBorder="1"/>
    <xf numFmtId="0" fontId="0" fillId="2" borderId="9" xfId="0" applyFill="1" applyBorder="1"/>
    <xf numFmtId="0" fontId="8" fillId="2" borderId="9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12" fillId="2" borderId="10" xfId="0" applyFont="1" applyFill="1" applyBorder="1"/>
    <xf numFmtId="0" fontId="0" fillId="2" borderId="22" xfId="0" applyFill="1" applyBorder="1"/>
    <xf numFmtId="168" fontId="0" fillId="2" borderId="23" xfId="0" applyNumberFormat="1" applyFill="1" applyBorder="1"/>
    <xf numFmtId="0" fontId="0" fillId="2" borderId="10" xfId="0" applyFill="1" applyBorder="1"/>
    <xf numFmtId="0" fontId="0" fillId="0" borderId="10" xfId="0" applyBorder="1"/>
    <xf numFmtId="49" fontId="10" fillId="3" borderId="24" xfId="0" applyNumberFormat="1" applyFont="1" applyFill="1" applyBorder="1" applyAlignment="1">
      <alignment horizontal="center" vertical="center"/>
    </xf>
    <xf numFmtId="49" fontId="10" fillId="3" borderId="25" xfId="0" applyNumberFormat="1" applyFont="1" applyFill="1" applyBorder="1" applyAlignment="1">
      <alignment horizontal="center" vertical="center"/>
    </xf>
    <xf numFmtId="49" fontId="10" fillId="3" borderId="25" xfId="0" applyNumberFormat="1" applyFont="1" applyFill="1" applyBorder="1" applyAlignment="1">
      <alignment horizontal="center" vertical="center" wrapText="1"/>
    </xf>
    <xf numFmtId="49" fontId="10" fillId="3" borderId="26" xfId="0" applyNumberFormat="1" applyFont="1" applyFill="1" applyBorder="1" applyAlignment="1">
      <alignment horizontal="center" vertical="center"/>
    </xf>
    <xf numFmtId="168" fontId="10" fillId="2" borderId="27" xfId="0" applyNumberFormat="1" applyFont="1" applyFill="1" applyBorder="1" applyAlignment="1">
      <alignment horizontal="center" vertical="center"/>
    </xf>
    <xf numFmtId="49" fontId="10" fillId="3" borderId="28" xfId="0" applyNumberFormat="1" applyFont="1" applyFill="1" applyBorder="1" applyAlignment="1">
      <alignment horizontal="center" vertical="center" wrapText="1"/>
    </xf>
    <xf numFmtId="49" fontId="10" fillId="3" borderId="29" xfId="0" applyNumberFormat="1" applyFont="1" applyFill="1" applyBorder="1" applyAlignment="1">
      <alignment horizontal="center" vertical="center" wrapText="1"/>
    </xf>
    <xf numFmtId="49" fontId="10" fillId="3" borderId="30" xfId="0" applyNumberFormat="1" applyFont="1" applyFill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/>
    </xf>
    <xf numFmtId="1" fontId="14" fillId="0" borderId="13" xfId="0" applyNumberFormat="1" applyFont="1" applyBorder="1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170" fontId="12" fillId="0" borderId="13" xfId="2" applyNumberFormat="1" applyFont="1" applyFill="1" applyBorder="1" applyAlignment="1">
      <alignment horizontal="center" vertical="center"/>
    </xf>
    <xf numFmtId="171" fontId="0" fillId="0" borderId="13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 wrapText="1"/>
    </xf>
    <xf numFmtId="9" fontId="9" fillId="0" borderId="13" xfId="3" applyFont="1" applyFill="1" applyBorder="1" applyAlignment="1">
      <alignment horizontal="center" vertical="center" wrapText="1"/>
    </xf>
    <xf numFmtId="49" fontId="9" fillId="0" borderId="13" xfId="5" applyNumberFormat="1" applyFont="1" applyBorder="1" applyAlignment="1">
      <alignment horizontal="center" vertical="center" wrapText="1"/>
    </xf>
    <xf numFmtId="49" fontId="9" fillId="0" borderId="33" xfId="5" applyNumberFormat="1" applyFont="1" applyBorder="1" applyAlignment="1">
      <alignment horizontal="center" vertical="center" wrapText="1"/>
    </xf>
    <xf numFmtId="171" fontId="12" fillId="2" borderId="54" xfId="0" applyNumberFormat="1" applyFont="1" applyFill="1" applyBorder="1" applyAlignment="1">
      <alignment horizontal="center" vertical="center"/>
    </xf>
    <xf numFmtId="173" fontId="17" fillId="2" borderId="55" xfId="0" applyNumberFormat="1" applyFont="1" applyFill="1" applyBorder="1" applyAlignment="1">
      <alignment horizontal="center" vertical="center" wrapText="1"/>
    </xf>
    <xf numFmtId="174" fontId="12" fillId="2" borderId="47" xfId="0" applyNumberFormat="1" applyFont="1" applyFill="1" applyBorder="1" applyAlignment="1">
      <alignment horizontal="center" vertical="center" wrapText="1"/>
    </xf>
    <xf numFmtId="171" fontId="12" fillId="2" borderId="60" xfId="0" applyNumberFormat="1" applyFont="1" applyFill="1" applyBorder="1" applyAlignment="1">
      <alignment horizontal="center" vertical="center"/>
    </xf>
    <xf numFmtId="49" fontId="0" fillId="2" borderId="37" xfId="0" applyNumberFormat="1" applyFill="1" applyBorder="1" applyAlignment="1">
      <alignment horizontal="center" vertical="center" wrapText="1"/>
    </xf>
    <xf numFmtId="0" fontId="12" fillId="2" borderId="23" xfId="0" applyFont="1" applyFill="1" applyBorder="1"/>
    <xf numFmtId="0" fontId="0" fillId="2" borderId="14" xfId="0" applyFill="1" applyBorder="1"/>
    <xf numFmtId="167" fontId="0" fillId="2" borderId="8" xfId="0" applyNumberFormat="1" applyFill="1" applyBorder="1"/>
    <xf numFmtId="168" fontId="0" fillId="2" borderId="15" xfId="0" applyNumberFormat="1" applyFill="1" applyBorder="1"/>
    <xf numFmtId="0" fontId="0" fillId="2" borderId="47" xfId="0" applyFill="1" applyBorder="1"/>
    <xf numFmtId="9" fontId="0" fillId="2" borderId="8" xfId="0" applyNumberFormat="1" applyFill="1" applyBorder="1" applyAlignment="1">
      <alignment horizontal="center"/>
    </xf>
    <xf numFmtId="0" fontId="0" fillId="0" borderId="8" xfId="0" applyBorder="1"/>
    <xf numFmtId="0" fontId="0" fillId="2" borderId="23" xfId="0" applyFill="1" applyBorder="1"/>
    <xf numFmtId="2" fontId="0" fillId="2" borderId="23" xfId="0" applyNumberFormat="1" applyFill="1" applyBorder="1"/>
    <xf numFmtId="167" fontId="0" fillId="2" borderId="23" xfId="0" applyNumberFormat="1" applyFill="1" applyBorder="1"/>
    <xf numFmtId="168" fontId="0" fillId="2" borderId="48" xfId="0" applyNumberFormat="1" applyFill="1" applyBorder="1"/>
    <xf numFmtId="0" fontId="21" fillId="2" borderId="23" xfId="0" applyFont="1" applyFill="1" applyBorder="1" applyAlignment="1">
      <alignment vertical="center" wrapText="1"/>
    </xf>
    <xf numFmtId="175" fontId="21" fillId="2" borderId="23" xfId="0" applyNumberFormat="1" applyFont="1" applyFill="1" applyBorder="1" applyAlignment="1">
      <alignment vertical="center"/>
    </xf>
    <xf numFmtId="176" fontId="21" fillId="2" borderId="23" xfId="0" applyNumberFormat="1" applyFont="1" applyFill="1" applyBorder="1" applyAlignment="1">
      <alignment vertical="center"/>
    </xf>
    <xf numFmtId="174" fontId="21" fillId="0" borderId="23" xfId="0" applyNumberFormat="1" applyFont="1" applyBorder="1" applyAlignment="1">
      <alignment vertical="center"/>
    </xf>
    <xf numFmtId="49" fontId="0" fillId="2" borderId="47" xfId="0" applyNumberFormat="1" applyFill="1" applyBorder="1"/>
    <xf numFmtId="0" fontId="21" fillId="2" borderId="23" xfId="0" applyFont="1" applyFill="1" applyBorder="1" applyAlignment="1">
      <alignment vertical="center"/>
    </xf>
    <xf numFmtId="177" fontId="22" fillId="0" borderId="23" xfId="0" applyNumberFormat="1" applyFont="1" applyBorder="1" applyAlignment="1">
      <alignment vertical="center"/>
    </xf>
    <xf numFmtId="178" fontId="0" fillId="2" borderId="23" xfId="0" applyNumberFormat="1" applyFill="1" applyBorder="1"/>
    <xf numFmtId="0" fontId="0" fillId="2" borderId="16" xfId="0" applyFill="1" applyBorder="1"/>
    <xf numFmtId="0" fontId="0" fillId="2" borderId="17" xfId="0" applyFill="1" applyBorder="1"/>
    <xf numFmtId="167" fontId="0" fillId="2" borderId="17" xfId="0" applyNumberFormat="1" applyFill="1" applyBorder="1"/>
    <xf numFmtId="168" fontId="0" fillId="2" borderId="18" xfId="0" applyNumberFormat="1" applyFill="1" applyBorder="1"/>
    <xf numFmtId="0" fontId="21" fillId="2" borderId="23" xfId="0" applyFont="1" applyFill="1" applyBorder="1"/>
    <xf numFmtId="0" fontId="21" fillId="0" borderId="23" xfId="0" applyFont="1" applyBorder="1"/>
    <xf numFmtId="179" fontId="0" fillId="0" borderId="13" xfId="1" applyNumberFormat="1" applyFont="1" applyFill="1" applyBorder="1" applyAlignment="1">
      <alignment horizontal="center" vertical="center"/>
    </xf>
    <xf numFmtId="49" fontId="10" fillId="5" borderId="29" xfId="0" applyNumberFormat="1" applyFont="1" applyFill="1" applyBorder="1" applyAlignment="1">
      <alignment horizontal="center" vertical="center" wrapText="1"/>
    </xf>
    <xf numFmtId="172" fontId="0" fillId="0" borderId="13" xfId="4" applyNumberFormat="1" applyFont="1" applyFill="1" applyBorder="1" applyAlignment="1">
      <alignment horizontal="center" vertical="center"/>
    </xf>
    <xf numFmtId="170" fontId="0" fillId="0" borderId="13" xfId="0" applyNumberFormat="1" applyBorder="1" applyAlignment="1">
      <alignment horizontal="center" vertical="center"/>
    </xf>
    <xf numFmtId="167" fontId="9" fillId="3" borderId="34" xfId="0" applyNumberFormat="1" applyFont="1" applyFill="1" applyBorder="1" applyAlignment="1">
      <alignment horizontal="center" vertical="center" wrapText="1"/>
    </xf>
    <xf numFmtId="167" fontId="9" fillId="3" borderId="35" xfId="0" applyNumberFormat="1" applyFont="1" applyFill="1" applyBorder="1" applyAlignment="1">
      <alignment horizontal="center" vertical="center" wrapText="1"/>
    </xf>
    <xf numFmtId="49" fontId="9" fillId="3" borderId="37" xfId="0" applyNumberFormat="1" applyFont="1" applyFill="1" applyBorder="1" applyAlignment="1">
      <alignment horizontal="center" vertical="center" wrapText="1"/>
    </xf>
    <xf numFmtId="171" fontId="4" fillId="2" borderId="38" xfId="0" applyNumberFormat="1" applyFont="1" applyFill="1" applyBorder="1" applyAlignment="1">
      <alignment horizontal="center" vertical="center"/>
    </xf>
    <xf numFmtId="167" fontId="9" fillId="3" borderId="41" xfId="0" applyNumberFormat="1" applyFont="1" applyFill="1" applyBorder="1" applyAlignment="1">
      <alignment horizontal="center" vertical="center" wrapText="1"/>
    </xf>
    <xf numFmtId="49" fontId="9" fillId="3" borderId="24" xfId="0" applyNumberFormat="1" applyFont="1" applyFill="1" applyBorder="1" applyAlignment="1">
      <alignment horizontal="center" vertical="center" wrapText="1"/>
    </xf>
    <xf numFmtId="168" fontId="4" fillId="2" borderId="45" xfId="0" applyNumberFormat="1" applyFont="1" applyFill="1" applyBorder="1" applyAlignment="1">
      <alignment horizontal="center" vertical="center"/>
    </xf>
    <xf numFmtId="167" fontId="9" fillId="3" borderId="49" xfId="0" applyNumberFormat="1" applyFont="1" applyFill="1" applyBorder="1" applyAlignment="1">
      <alignment horizontal="center" vertical="center" wrapText="1"/>
    </xf>
    <xf numFmtId="167" fontId="9" fillId="3" borderId="50" xfId="0" applyNumberFormat="1" applyFont="1" applyFill="1" applyBorder="1" applyAlignment="1">
      <alignment horizontal="center" vertical="center" wrapText="1"/>
    </xf>
    <xf numFmtId="49" fontId="9" fillId="3" borderId="51" xfId="0" applyNumberFormat="1" applyFont="1" applyFill="1" applyBorder="1" applyAlignment="1">
      <alignment horizontal="center" vertical="center" wrapText="1"/>
    </xf>
    <xf numFmtId="170" fontId="11" fillId="4" borderId="52" xfId="0" applyNumberFormat="1" applyFont="1" applyFill="1" applyBorder="1" applyAlignment="1">
      <alignment horizontal="center" vertical="center"/>
    </xf>
    <xf numFmtId="49" fontId="4" fillId="3" borderId="53" xfId="0" applyNumberFormat="1" applyFont="1" applyFill="1" applyBorder="1" applyAlignment="1">
      <alignment horizontal="center" vertical="center" wrapText="1"/>
    </xf>
    <xf numFmtId="167" fontId="9" fillId="3" borderId="56" xfId="0" applyNumberFormat="1" applyFont="1" applyFill="1" applyBorder="1" applyAlignment="1">
      <alignment horizontal="center" vertical="center" wrapText="1"/>
    </xf>
    <xf numFmtId="167" fontId="9" fillId="3" borderId="57" xfId="0" applyNumberFormat="1" applyFont="1" applyFill="1" applyBorder="1" applyAlignment="1">
      <alignment horizontal="center" vertical="center" wrapText="1"/>
    </xf>
    <xf numFmtId="49" fontId="9" fillId="3" borderId="58" xfId="0" applyNumberFormat="1" applyFont="1" applyFill="1" applyBorder="1" applyAlignment="1">
      <alignment horizontal="center" vertical="center" wrapText="1"/>
    </xf>
    <xf numFmtId="170" fontId="0" fillId="2" borderId="52" xfId="0" applyNumberFormat="1" applyFill="1" applyBorder="1" applyAlignment="1">
      <alignment horizontal="center" vertical="center"/>
    </xf>
    <xf numFmtId="49" fontId="4" fillId="3" borderId="59" xfId="0" applyNumberFormat="1" applyFont="1" applyFill="1" applyBorder="1" applyAlignment="1">
      <alignment horizontal="center" vertical="center" wrapText="1"/>
    </xf>
    <xf numFmtId="9" fontId="19" fillId="2" borderId="40" xfId="0" applyNumberFormat="1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49" fontId="23" fillId="3" borderId="25" xfId="0" applyNumberFormat="1" applyFont="1" applyFill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center" vertical="center" wrapText="1"/>
    </xf>
    <xf numFmtId="49" fontId="24" fillId="0" borderId="31" xfId="0" applyNumberFormat="1" applyFont="1" applyBorder="1" applyAlignment="1">
      <alignment horizontal="center" vertical="center" wrapText="1"/>
    </xf>
    <xf numFmtId="49" fontId="24" fillId="0" borderId="32" xfId="0" applyNumberFormat="1" applyFont="1" applyBorder="1" applyAlignment="1">
      <alignment horizontal="center" vertical="center" wrapText="1"/>
    </xf>
    <xf numFmtId="4" fontId="0" fillId="0" borderId="13" xfId="0" applyNumberFormat="1" applyBorder="1" applyAlignment="1">
      <alignment horizontal="center" vertical="center"/>
    </xf>
    <xf numFmtId="0" fontId="0" fillId="0" borderId="13" xfId="0" applyBorder="1"/>
    <xf numFmtId="49" fontId="10" fillId="3" borderId="13" xfId="0" applyNumberFormat="1" applyFont="1" applyFill="1" applyBorder="1" applyAlignment="1">
      <alignment horizontal="center" vertic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 wrapText="1"/>
    </xf>
    <xf numFmtId="0" fontId="26" fillId="0" borderId="0" xfId="0" applyFont="1"/>
    <xf numFmtId="10" fontId="0" fillId="0" borderId="0" xfId="0" applyNumberFormat="1"/>
    <xf numFmtId="43" fontId="0" fillId="0" borderId="0" xfId="0" applyNumberFormat="1"/>
    <xf numFmtId="43" fontId="0" fillId="4" borderId="13" xfId="0" applyNumberFormat="1" applyFill="1" applyBorder="1"/>
    <xf numFmtId="170" fontId="0" fillId="0" borderId="13" xfId="0" applyNumberFormat="1" applyBorder="1"/>
    <xf numFmtId="10" fontId="0" fillId="0" borderId="13" xfId="0" applyNumberFormat="1" applyBorder="1"/>
    <xf numFmtId="43" fontId="0" fillId="0" borderId="13" xfId="0" applyNumberFormat="1" applyBorder="1"/>
    <xf numFmtId="10" fontId="0" fillId="0" borderId="13" xfId="3" applyNumberFormat="1" applyFont="1" applyBorder="1"/>
    <xf numFmtId="2" fontId="0" fillId="0" borderId="13" xfId="0" applyNumberFormat="1" applyBorder="1"/>
    <xf numFmtId="49" fontId="10" fillId="3" borderId="83" xfId="0" applyNumberFormat="1" applyFont="1" applyFill="1" applyBorder="1" applyAlignment="1">
      <alignment horizontal="center" vertical="center" wrapText="1"/>
    </xf>
    <xf numFmtId="49" fontId="9" fillId="0" borderId="84" xfId="0" applyNumberFormat="1" applyFont="1" applyBorder="1" applyAlignment="1">
      <alignment horizontal="center" vertical="center" wrapText="1"/>
    </xf>
    <xf numFmtId="9" fontId="9" fillId="0" borderId="84" xfId="3" applyFont="1" applyFill="1" applyBorder="1" applyAlignment="1">
      <alignment horizontal="center" vertical="center" wrapText="1"/>
    </xf>
    <xf numFmtId="49" fontId="9" fillId="0" borderId="84" xfId="5" applyNumberFormat="1" applyFont="1" applyBorder="1" applyAlignment="1">
      <alignment horizontal="center" vertical="center" wrapText="1"/>
    </xf>
    <xf numFmtId="49" fontId="9" fillId="0" borderId="80" xfId="5" applyNumberFormat="1" applyFont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left" vertical="center"/>
    </xf>
    <xf numFmtId="0" fontId="20" fillId="2" borderId="73" xfId="0" applyFont="1" applyFill="1" applyBorder="1" applyAlignment="1">
      <alignment horizontal="left" vertical="center"/>
    </xf>
    <xf numFmtId="0" fontId="20" fillId="2" borderId="74" xfId="0" applyFont="1" applyFill="1" applyBorder="1" applyAlignment="1">
      <alignment horizontal="left" vertical="center"/>
    </xf>
    <xf numFmtId="49" fontId="2" fillId="2" borderId="14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/>
    </xf>
    <xf numFmtId="49" fontId="5" fillId="2" borderId="16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49" fontId="3" fillId="2" borderId="20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1" fillId="2" borderId="70" xfId="0" applyNumberFormat="1" applyFont="1" applyFill="1" applyBorder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49" fontId="11" fillId="2" borderId="39" xfId="0" applyNumberFormat="1" applyFont="1" applyFill="1" applyBorder="1" applyAlignment="1">
      <alignment horizontal="center" vertical="center" wrapText="1"/>
    </xf>
    <xf numFmtId="49" fontId="11" fillId="2" borderId="71" xfId="0" applyNumberFormat="1" applyFont="1" applyFill="1" applyBorder="1" applyAlignment="1">
      <alignment horizontal="center" vertical="center" wrapText="1"/>
    </xf>
    <xf numFmtId="49" fontId="11" fillId="2" borderId="5" xfId="0" applyNumberFormat="1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 wrapText="1"/>
    </xf>
    <xf numFmtId="49" fontId="9" fillId="3" borderId="69" xfId="0" applyNumberFormat="1" applyFont="1" applyFill="1" applyBorder="1" applyAlignment="1">
      <alignment horizontal="center" vertical="center" wrapText="1"/>
    </xf>
    <xf numFmtId="49" fontId="9" fillId="3" borderId="42" xfId="0" applyNumberFormat="1" applyFont="1" applyFill="1" applyBorder="1" applyAlignment="1">
      <alignment horizontal="center" vertical="center" wrapText="1"/>
    </xf>
    <xf numFmtId="170" fontId="0" fillId="2" borderId="68" xfId="0" applyNumberFormat="1" applyFill="1" applyBorder="1" applyAlignment="1">
      <alignment horizontal="center" vertical="center"/>
    </xf>
    <xf numFmtId="170" fontId="0" fillId="2" borderId="43" xfId="0" applyNumberFormat="1" applyFill="1" applyBorder="1" applyAlignment="1">
      <alignment horizontal="center" vertical="center"/>
    </xf>
    <xf numFmtId="49" fontId="9" fillId="3" borderId="66" xfId="0" applyNumberFormat="1" applyFont="1" applyFill="1" applyBorder="1" applyAlignment="1">
      <alignment horizontal="center" vertical="center" wrapText="1"/>
    </xf>
    <xf numFmtId="49" fontId="9" fillId="3" borderId="67" xfId="0" applyNumberFormat="1" applyFont="1" applyFill="1" applyBorder="1" applyAlignment="1">
      <alignment horizontal="center" vertical="center" wrapText="1"/>
    </xf>
    <xf numFmtId="171" fontId="10" fillId="2" borderId="64" xfId="0" applyNumberFormat="1" applyFont="1" applyFill="1" applyBorder="1" applyAlignment="1">
      <alignment horizontal="center" vertical="center"/>
    </xf>
    <xf numFmtId="171" fontId="10" fillId="2" borderId="65" xfId="0" applyNumberFormat="1" applyFont="1" applyFill="1" applyBorder="1" applyAlignment="1">
      <alignment horizontal="center" vertical="center"/>
    </xf>
    <xf numFmtId="49" fontId="9" fillId="3" borderId="62" xfId="0" applyNumberFormat="1" applyFont="1" applyFill="1" applyBorder="1" applyAlignment="1">
      <alignment horizontal="center" vertical="center"/>
    </xf>
    <xf numFmtId="49" fontId="9" fillId="3" borderId="63" xfId="0" applyNumberFormat="1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center" vertical="center"/>
    </xf>
    <xf numFmtId="171" fontId="12" fillId="2" borderId="61" xfId="0" applyNumberFormat="1" applyFont="1" applyFill="1" applyBorder="1" applyAlignment="1">
      <alignment horizontal="center" vertical="center"/>
    </xf>
    <xf numFmtId="171" fontId="12" fillId="2" borderId="46" xfId="0" applyNumberFormat="1" applyFont="1" applyFill="1" applyBorder="1" applyAlignment="1">
      <alignment horizontal="center" vertical="center"/>
    </xf>
    <xf numFmtId="49" fontId="16" fillId="2" borderId="78" xfId="0" applyNumberFormat="1" applyFont="1" applyFill="1" applyBorder="1" applyAlignment="1">
      <alignment horizontal="center" vertical="center" wrapText="1"/>
    </xf>
    <xf numFmtId="49" fontId="16" fillId="2" borderId="62" xfId="0" applyNumberFormat="1" applyFont="1" applyFill="1" applyBorder="1" applyAlignment="1">
      <alignment horizontal="center" vertical="center" wrapText="1"/>
    </xf>
    <xf numFmtId="49" fontId="16" fillId="2" borderId="79" xfId="0" applyNumberFormat="1" applyFont="1" applyFill="1" applyBorder="1" applyAlignment="1">
      <alignment horizontal="center" vertical="center" wrapText="1"/>
    </xf>
    <xf numFmtId="49" fontId="16" fillId="2" borderId="80" xfId="0" applyNumberFormat="1" applyFont="1" applyFill="1" applyBorder="1" applyAlignment="1">
      <alignment horizontal="center" vertical="center" wrapText="1"/>
    </xf>
    <xf numFmtId="49" fontId="16" fillId="2" borderId="81" xfId="0" applyNumberFormat="1" applyFont="1" applyFill="1" applyBorder="1" applyAlignment="1">
      <alignment horizontal="center" vertical="center" wrapText="1"/>
    </xf>
    <xf numFmtId="49" fontId="16" fillId="2" borderId="82" xfId="0" applyNumberFormat="1" applyFont="1" applyFill="1" applyBorder="1" applyAlignment="1">
      <alignment horizontal="center" vertical="center" wrapText="1"/>
    </xf>
    <xf numFmtId="49" fontId="3" fillId="3" borderId="77" xfId="0" applyNumberFormat="1" applyFont="1" applyFill="1" applyBorder="1" applyAlignment="1">
      <alignment horizontal="center" vertical="center"/>
    </xf>
    <xf numFmtId="49" fontId="3" fillId="3" borderId="12" xfId="0" applyNumberFormat="1" applyFont="1" applyFill="1" applyBorder="1" applyAlignment="1">
      <alignment horizontal="center" vertical="center"/>
    </xf>
    <xf numFmtId="173" fontId="18" fillId="2" borderId="75" xfId="0" applyNumberFormat="1" applyFont="1" applyFill="1" applyBorder="1" applyAlignment="1">
      <alignment horizontal="center" vertical="center"/>
    </xf>
    <xf numFmtId="173" fontId="18" fillId="2" borderId="76" xfId="0" applyNumberFormat="1" applyFont="1" applyFill="1" applyBorder="1" applyAlignment="1">
      <alignment horizontal="center" vertical="center"/>
    </xf>
  </cellXfs>
  <cellStyles count="6">
    <cellStyle name="Comma 2" xfId="4" xr:uid="{6D4D5672-5DFD-744F-8911-D70397FA5B19}"/>
    <cellStyle name="Currency" xfId="1" builtinId="4"/>
    <cellStyle name="Normal" xfId="0" builtinId="0"/>
    <cellStyle name="Normal 2" xfId="2" xr:uid="{37808B88-5BA9-2247-BDCA-F4682E72EF07}"/>
    <cellStyle name="Normal 3 2" xfId="5" xr:uid="{BFEA9B7F-3C50-C848-8893-40102FB27DF2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090B3-4740-6244-9193-31157BDE3683}">
  <dimension ref="A1:BG62"/>
  <sheetViews>
    <sheetView view="pageBreakPreview" topLeftCell="AT1" zoomScale="90" zoomScaleNormal="75" zoomScaleSheetLayoutView="90" workbookViewId="0">
      <selection activeCell="AY14" sqref="AY14"/>
    </sheetView>
  </sheetViews>
  <sheetFormatPr defaultColWidth="11" defaultRowHeight="15.75" x14ac:dyDescent="0.25"/>
  <cols>
    <col min="1" max="1" width="4" customWidth="1"/>
    <col min="2" max="2" width="33.125" customWidth="1"/>
    <col min="3" max="4" width="7.875" customWidth="1"/>
    <col min="5" max="5" width="11.125" bestFit="1" customWidth="1"/>
    <col min="6" max="35" width="11.125" customWidth="1"/>
    <col min="36" max="37" width="11.125" bestFit="1" customWidth="1"/>
    <col min="38" max="38" width="11.875" bestFit="1" customWidth="1"/>
    <col min="40" max="40" width="11.125" bestFit="1" customWidth="1"/>
    <col min="41" max="41" width="12.375" bestFit="1" customWidth="1"/>
    <col min="42" max="42" width="11.125" bestFit="1" customWidth="1"/>
    <col min="43" max="43" width="15.375" bestFit="1" customWidth="1"/>
    <col min="45" max="46" width="11.125" bestFit="1" customWidth="1"/>
    <col min="47" max="47" width="13.875" bestFit="1" customWidth="1"/>
    <col min="48" max="48" width="11.5" bestFit="1" customWidth="1"/>
  </cols>
  <sheetData>
    <row r="1" spans="1:59" ht="32.25" x14ac:dyDescent="0.5">
      <c r="A1" s="125" t="s">
        <v>82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7"/>
      <c r="AT1" s="4" t="s">
        <v>0</v>
      </c>
      <c r="AU1" s="128"/>
      <c r="AV1" s="128"/>
      <c r="AW1" s="5"/>
      <c r="AX1" s="108"/>
      <c r="AY1" s="108"/>
      <c r="AZ1" s="108"/>
      <c r="BA1" s="108"/>
      <c r="BB1" s="108"/>
    </row>
    <row r="2" spans="1:59" ht="32.25" thickBot="1" x14ac:dyDescent="0.55000000000000004">
      <c r="A2" s="129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1"/>
      <c r="AT2" s="6" t="s">
        <v>2</v>
      </c>
      <c r="AU2" s="7">
        <v>1</v>
      </c>
      <c r="AV2" s="8"/>
      <c r="AW2" s="9"/>
      <c r="AX2" s="108"/>
      <c r="AY2" s="108"/>
      <c r="AZ2" s="108"/>
      <c r="BA2" s="108"/>
      <c r="BB2" s="108"/>
    </row>
    <row r="3" spans="1:59" ht="24" thickBot="1" x14ac:dyDescent="0.4">
      <c r="A3" s="10"/>
      <c r="B3" s="11" t="s">
        <v>39</v>
      </c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3"/>
      <c r="AM3" s="14"/>
      <c r="AN3" s="15"/>
      <c r="AO3" s="16"/>
      <c r="AP3" s="16"/>
      <c r="AQ3" s="16"/>
      <c r="AR3" s="1"/>
      <c r="AS3" s="16"/>
      <c r="AT3" s="17"/>
      <c r="AU3" s="17"/>
      <c r="AV3" s="17"/>
      <c r="AW3" s="18"/>
      <c r="AX3" s="108"/>
      <c r="AY3" s="108"/>
      <c r="AZ3" s="108"/>
      <c r="BA3" s="108"/>
      <c r="BB3" s="108"/>
    </row>
    <row r="4" spans="1:59" ht="27" thickBot="1" x14ac:dyDescent="0.3">
      <c r="A4" s="132" t="s">
        <v>3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4"/>
      <c r="AM4" s="19"/>
      <c r="AN4" s="135" t="s">
        <v>4</v>
      </c>
      <c r="AO4" s="136"/>
      <c r="AP4" s="136"/>
      <c r="AQ4" s="136"/>
      <c r="AR4" s="136"/>
      <c r="AS4" s="136"/>
      <c r="AT4" s="136"/>
      <c r="AU4" s="136"/>
      <c r="AV4" s="136"/>
      <c r="AW4" s="137"/>
      <c r="AX4" s="108"/>
      <c r="AY4" s="108"/>
      <c r="AZ4" s="108"/>
      <c r="BA4" s="108"/>
      <c r="BB4" s="108"/>
    </row>
    <row r="5" spans="1:59" ht="16.5" thickBot="1" x14ac:dyDescent="0.3">
      <c r="A5" s="10"/>
      <c r="B5" s="10"/>
      <c r="C5" s="10"/>
      <c r="D5" s="1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3"/>
      <c r="AM5" s="20"/>
      <c r="AN5" s="21"/>
      <c r="AO5" s="21"/>
      <c r="AP5" s="21"/>
      <c r="AQ5" s="21"/>
      <c r="AR5" s="22"/>
      <c r="AS5" s="21"/>
      <c r="AT5" s="21"/>
      <c r="AU5" s="21"/>
      <c r="AV5" s="21"/>
      <c r="AW5" s="18"/>
    </row>
    <row r="6" spans="1:59" ht="75" x14ac:dyDescent="0.25">
      <c r="A6" s="23" t="s">
        <v>5</v>
      </c>
      <c r="B6" s="24" t="s">
        <v>6</v>
      </c>
      <c r="C6" s="25" t="s">
        <v>7</v>
      </c>
      <c r="D6" s="99" t="s">
        <v>8</v>
      </c>
      <c r="E6" s="25" t="s">
        <v>9</v>
      </c>
      <c r="F6" s="25" t="s">
        <v>93</v>
      </c>
      <c r="G6" s="25" t="s">
        <v>89</v>
      </c>
      <c r="H6" s="25" t="s">
        <v>90</v>
      </c>
      <c r="I6" s="25" t="s">
        <v>91</v>
      </c>
      <c r="J6" s="25" t="s">
        <v>92</v>
      </c>
      <c r="K6" s="25" t="s">
        <v>94</v>
      </c>
      <c r="L6" s="25" t="s">
        <v>95</v>
      </c>
      <c r="M6" s="25" t="s">
        <v>96</v>
      </c>
      <c r="N6" s="25" t="s">
        <v>97</v>
      </c>
      <c r="O6" s="25" t="s">
        <v>98</v>
      </c>
      <c r="P6" s="25" t="s">
        <v>99</v>
      </c>
      <c r="Q6" s="25" t="s">
        <v>100</v>
      </c>
      <c r="R6" s="25" t="s">
        <v>100</v>
      </c>
      <c r="S6" s="25" t="s">
        <v>100</v>
      </c>
      <c r="T6" s="25" t="s">
        <v>102</v>
      </c>
      <c r="U6" s="25" t="s">
        <v>101</v>
      </c>
      <c r="V6" s="25" t="s">
        <v>101</v>
      </c>
      <c r="W6" s="25" t="s">
        <v>105</v>
      </c>
      <c r="X6" s="25" t="s">
        <v>103</v>
      </c>
      <c r="Y6" s="25" t="s">
        <v>104</v>
      </c>
      <c r="Z6" s="25" t="s">
        <v>106</v>
      </c>
      <c r="AA6" s="25" t="s">
        <v>106</v>
      </c>
      <c r="AB6" s="25" t="s">
        <v>107</v>
      </c>
      <c r="AC6" s="25" t="s">
        <v>108</v>
      </c>
      <c r="AD6" s="25" t="s">
        <v>109</v>
      </c>
      <c r="AE6" s="25" t="s">
        <v>110</v>
      </c>
      <c r="AF6" s="25" t="s">
        <v>110</v>
      </c>
      <c r="AG6" s="25" t="s">
        <v>110</v>
      </c>
      <c r="AH6" s="25" t="s">
        <v>111</v>
      </c>
      <c r="AI6" s="25" t="s">
        <v>111</v>
      </c>
      <c r="AJ6" s="25" t="s">
        <v>10</v>
      </c>
      <c r="AK6" s="25" t="s">
        <v>11</v>
      </c>
      <c r="AL6" s="26" t="s">
        <v>12</v>
      </c>
      <c r="AM6" s="27"/>
      <c r="AN6" s="28" t="s">
        <v>13</v>
      </c>
      <c r="AO6" s="29" t="s">
        <v>14</v>
      </c>
      <c r="AP6" s="29" t="s">
        <v>22</v>
      </c>
      <c r="AQ6" s="29" t="s">
        <v>15</v>
      </c>
      <c r="AR6" s="72" t="s">
        <v>16</v>
      </c>
      <c r="AS6" s="29" t="s">
        <v>17</v>
      </c>
      <c r="AT6" s="29" t="s">
        <v>18</v>
      </c>
      <c r="AU6" s="29" t="s">
        <v>23</v>
      </c>
      <c r="AV6" s="29" t="s">
        <v>19</v>
      </c>
      <c r="AW6" s="105" t="s">
        <v>20</v>
      </c>
      <c r="AX6" s="105" t="s">
        <v>112</v>
      </c>
      <c r="AY6" s="105" t="s">
        <v>113</v>
      </c>
      <c r="AZ6" s="106" t="s">
        <v>114</v>
      </c>
      <c r="BA6" s="105" t="s">
        <v>115</v>
      </c>
      <c r="BB6" s="105" t="s">
        <v>116</v>
      </c>
      <c r="BC6" s="105" t="s">
        <v>117</v>
      </c>
      <c r="BD6" s="105" t="s">
        <v>118</v>
      </c>
      <c r="BE6" s="105" t="s">
        <v>119</v>
      </c>
      <c r="BF6" s="105" t="s">
        <v>120</v>
      </c>
      <c r="BG6" s="107" t="s">
        <v>121</v>
      </c>
    </row>
    <row r="7" spans="1:59" ht="45" customHeight="1" x14ac:dyDescent="0.25">
      <c r="A7" s="2">
        <v>1</v>
      </c>
      <c r="B7" s="100" t="s">
        <v>40</v>
      </c>
      <c r="C7" s="31">
        <v>1</v>
      </c>
      <c r="D7" s="3" t="s">
        <v>21</v>
      </c>
      <c r="E7" s="31">
        <f t="shared" ref="E7:E47" si="0">D7*C7</f>
        <v>4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71">
        <v>5.95</v>
      </c>
      <c r="AK7" s="73">
        <f t="shared" ref="AK7:AK52" si="1">AJ7/D7</f>
        <v>1.4875</v>
      </c>
      <c r="AL7" s="74">
        <f t="shared" ref="AL7:AL52" si="2">AK7*E7</f>
        <v>5.95</v>
      </c>
      <c r="AM7" s="32"/>
      <c r="AN7" s="33">
        <f>AK7/$AU$2</f>
        <v>1.4875</v>
      </c>
      <c r="AO7" s="33">
        <f>AL7/$AU$2</f>
        <v>5.95</v>
      </c>
      <c r="AP7" s="33">
        <f t="shared" ref="AP7:AP48" si="3">AN7*(1+$AQ$56+9%)</f>
        <v>1.6213750000000002</v>
      </c>
      <c r="AQ7" s="33">
        <f t="shared" ref="AQ7:AQ52" si="4">AP7*E7</f>
        <v>6.4855000000000009</v>
      </c>
      <c r="AR7" s="34">
        <v>2.25</v>
      </c>
      <c r="AS7" s="35">
        <f t="shared" ref="AS7:AS52" si="5">AR7*E7</f>
        <v>9</v>
      </c>
      <c r="AT7" s="35">
        <f>AR7-AP7</f>
        <v>0.62862499999999977</v>
      </c>
      <c r="AU7" s="35">
        <f t="shared" ref="AU7:AU52" si="6">AT7*E7</f>
        <v>2.5144999999999991</v>
      </c>
      <c r="AV7" s="36">
        <f t="shared" ref="AV7:AV47" si="7">AT7/AR7</f>
        <v>0.2793888888888888</v>
      </c>
      <c r="AW7" s="37"/>
      <c r="AX7" s="112">
        <f>AR7</f>
        <v>2.25</v>
      </c>
      <c r="AY7" s="113">
        <v>0.16350000000000001</v>
      </c>
      <c r="AZ7" s="111">
        <f>AX7+(AY7*AX7)</f>
        <v>2.6178750000000002</v>
      </c>
      <c r="BA7" s="114">
        <f>(100/109)*BC7</f>
        <v>0.33750000000000019</v>
      </c>
      <c r="BB7" s="114">
        <f>(9/109)*BC7</f>
        <v>3.0375000000000017E-2</v>
      </c>
      <c r="BC7" s="114">
        <f>AZ7-AX7</f>
        <v>0.36787500000000017</v>
      </c>
      <c r="BD7" s="114">
        <f>AZ7-BC7</f>
        <v>2.25</v>
      </c>
      <c r="BE7" s="115">
        <f>(BD7-AP7)/BD7</f>
        <v>0.2793888888888888</v>
      </c>
      <c r="BF7" s="113">
        <f>AV7-BE7</f>
        <v>0</v>
      </c>
      <c r="BG7" s="104">
        <v>2.5</v>
      </c>
    </row>
    <row r="8" spans="1:59" ht="45" customHeight="1" x14ac:dyDescent="0.25">
      <c r="A8" s="2">
        <v>2</v>
      </c>
      <c r="B8" s="100" t="s">
        <v>41</v>
      </c>
      <c r="C8" s="31">
        <v>1</v>
      </c>
      <c r="D8" s="3" t="s">
        <v>21</v>
      </c>
      <c r="E8" s="31">
        <f t="shared" si="0"/>
        <v>4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71">
        <v>5.95</v>
      </c>
      <c r="AK8" s="73">
        <f t="shared" si="1"/>
        <v>1.4875</v>
      </c>
      <c r="AL8" s="74">
        <f t="shared" si="2"/>
        <v>5.95</v>
      </c>
      <c r="AM8" s="32"/>
      <c r="AN8" s="33">
        <f t="shared" ref="AN8:AO28" si="8">AK8/$AU$2</f>
        <v>1.4875</v>
      </c>
      <c r="AO8" s="33">
        <f t="shared" si="8"/>
        <v>5.95</v>
      </c>
      <c r="AP8" s="33">
        <f t="shared" si="3"/>
        <v>1.6213750000000002</v>
      </c>
      <c r="AQ8" s="33">
        <f t="shared" si="4"/>
        <v>6.4855000000000009</v>
      </c>
      <c r="AR8" s="34">
        <v>2.25</v>
      </c>
      <c r="AS8" s="35">
        <f t="shared" si="5"/>
        <v>9</v>
      </c>
      <c r="AT8" s="35">
        <f t="shared" ref="AT8:AT24" si="9">AR8-AP8</f>
        <v>0.62862499999999977</v>
      </c>
      <c r="AU8" s="35">
        <f t="shared" si="6"/>
        <v>2.5144999999999991</v>
      </c>
      <c r="AV8" s="36">
        <f t="shared" si="7"/>
        <v>0.2793888888888888</v>
      </c>
      <c r="AW8" s="38"/>
      <c r="AX8" s="112">
        <f t="shared" ref="AX8:AX52" si="10">AR8</f>
        <v>2.25</v>
      </c>
      <c r="AY8" s="113">
        <v>0.16350000000000001</v>
      </c>
      <c r="AZ8" s="111">
        <f t="shared" ref="AZ8:AZ52" si="11">AX8+(AY8*AX8)</f>
        <v>2.6178750000000002</v>
      </c>
      <c r="BA8" s="114">
        <f t="shared" ref="BA8:BA52" si="12">(100/109)*BC8</f>
        <v>0.33750000000000019</v>
      </c>
      <c r="BB8" s="114">
        <f t="shared" ref="BB8:BB52" si="13">(9/109)*BC8</f>
        <v>3.0375000000000017E-2</v>
      </c>
      <c r="BC8" s="114">
        <f t="shared" ref="BC8:BC52" si="14">AZ8-AX8</f>
        <v>0.36787500000000017</v>
      </c>
      <c r="BD8" s="114">
        <f t="shared" ref="BD8:BD52" si="15">AZ8-BC8</f>
        <v>2.25</v>
      </c>
      <c r="BE8" s="115">
        <f t="shared" ref="BE8:BE52" si="16">(BD8-AP8)/BD8</f>
        <v>0.2793888888888888</v>
      </c>
      <c r="BF8" s="113">
        <f t="shared" ref="BF8:BF52" si="17">AV8-BE8</f>
        <v>0</v>
      </c>
      <c r="BG8" s="104">
        <v>2.5</v>
      </c>
    </row>
    <row r="9" spans="1:59" ht="45" customHeight="1" x14ac:dyDescent="0.25">
      <c r="A9" s="2">
        <v>3</v>
      </c>
      <c r="B9" s="100" t="s">
        <v>86</v>
      </c>
      <c r="C9" s="31">
        <v>1</v>
      </c>
      <c r="D9" s="3" t="s">
        <v>24</v>
      </c>
      <c r="E9" s="31">
        <f t="shared" si="0"/>
        <v>24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71">
        <v>12.8</v>
      </c>
      <c r="AK9" s="73">
        <f t="shared" si="1"/>
        <v>0.53333333333333333</v>
      </c>
      <c r="AL9" s="74">
        <f t="shared" si="2"/>
        <v>12.8</v>
      </c>
      <c r="AM9" s="32"/>
      <c r="AN9" s="33">
        <f t="shared" ref="AN9" si="18">AK9/$AU$2</f>
        <v>0.53333333333333333</v>
      </c>
      <c r="AO9" s="33">
        <f t="shared" ref="AO9" si="19">AL9/$AU$2</f>
        <v>12.8</v>
      </c>
      <c r="AP9" s="33">
        <f t="shared" ref="AP9" si="20">AN9*(1+$AQ$56+9%)</f>
        <v>0.58133333333333337</v>
      </c>
      <c r="AQ9" s="33">
        <f t="shared" si="4"/>
        <v>13.952000000000002</v>
      </c>
      <c r="AR9" s="34"/>
      <c r="AS9" s="35">
        <f t="shared" si="5"/>
        <v>0</v>
      </c>
      <c r="AT9" s="35">
        <f t="shared" ref="AT9" si="21">AR9-AP9</f>
        <v>-0.58133333333333337</v>
      </c>
      <c r="AU9" s="35">
        <f t="shared" si="6"/>
        <v>-13.952000000000002</v>
      </c>
      <c r="AV9" s="36" t="e">
        <f t="shared" ref="AV9" si="22">AT9/AR9</f>
        <v>#DIV/0!</v>
      </c>
      <c r="AW9" s="38"/>
      <c r="AX9" s="112">
        <f t="shared" si="10"/>
        <v>0</v>
      </c>
      <c r="AY9" s="113">
        <v>0.16350000000000001</v>
      </c>
      <c r="AZ9" s="111">
        <f t="shared" si="11"/>
        <v>0</v>
      </c>
      <c r="BA9" s="114">
        <f t="shared" si="12"/>
        <v>0</v>
      </c>
      <c r="BB9" s="114">
        <f t="shared" si="13"/>
        <v>0</v>
      </c>
      <c r="BC9" s="114">
        <f t="shared" si="14"/>
        <v>0</v>
      </c>
      <c r="BD9" s="114">
        <f t="shared" si="15"/>
        <v>0</v>
      </c>
      <c r="BE9" s="115" t="e">
        <f t="shared" si="16"/>
        <v>#DIV/0!</v>
      </c>
      <c r="BF9" s="113" t="e">
        <f t="shared" si="17"/>
        <v>#DIV/0!</v>
      </c>
      <c r="BG9" s="104" t="s">
        <v>122</v>
      </c>
    </row>
    <row r="10" spans="1:59" ht="45" customHeight="1" x14ac:dyDescent="0.25">
      <c r="A10" s="2">
        <v>4</v>
      </c>
      <c r="B10" s="100" t="s">
        <v>73</v>
      </c>
      <c r="C10" s="31">
        <v>1</v>
      </c>
      <c r="D10" s="3" t="s">
        <v>24</v>
      </c>
      <c r="E10" s="31">
        <f t="shared" ref="E10" si="23">D10*C10</f>
        <v>24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71">
        <v>11.5</v>
      </c>
      <c r="AK10" s="73">
        <f t="shared" si="1"/>
        <v>0.47916666666666669</v>
      </c>
      <c r="AL10" s="74">
        <f t="shared" si="2"/>
        <v>11.5</v>
      </c>
      <c r="AM10" s="32"/>
      <c r="AN10" s="33">
        <f t="shared" ref="AN10" si="24">AK10/$AU$2</f>
        <v>0.47916666666666669</v>
      </c>
      <c r="AO10" s="33">
        <f t="shared" ref="AO10" si="25">AL10/$AU$2</f>
        <v>11.5</v>
      </c>
      <c r="AP10" s="33">
        <f t="shared" si="3"/>
        <v>0.52229166666666671</v>
      </c>
      <c r="AQ10" s="33">
        <f t="shared" si="4"/>
        <v>12.535</v>
      </c>
      <c r="AR10" s="34">
        <f>17.8/24</f>
        <v>0.7416666666666667</v>
      </c>
      <c r="AS10" s="35">
        <f t="shared" si="5"/>
        <v>17.8</v>
      </c>
      <c r="AT10" s="35">
        <f t="shared" ref="AT10" si="26">AR10-AP10</f>
        <v>0.21937499999999999</v>
      </c>
      <c r="AU10" s="35">
        <f t="shared" si="6"/>
        <v>5.2649999999999997</v>
      </c>
      <c r="AV10" s="36">
        <f t="shared" ref="AV10" si="27">AT10/AR10</f>
        <v>0.29578651685393254</v>
      </c>
      <c r="AW10" s="39"/>
      <c r="AX10" s="112">
        <f t="shared" si="10"/>
        <v>0.7416666666666667</v>
      </c>
      <c r="AY10" s="113">
        <v>0.16350000000000001</v>
      </c>
      <c r="AZ10" s="111">
        <f t="shared" si="11"/>
        <v>0.86292916666666675</v>
      </c>
      <c r="BA10" s="114">
        <f t="shared" si="12"/>
        <v>0.11125000000000006</v>
      </c>
      <c r="BB10" s="114">
        <f t="shared" si="13"/>
        <v>1.0012500000000004E-2</v>
      </c>
      <c r="BC10" s="114">
        <f t="shared" si="14"/>
        <v>0.12126250000000005</v>
      </c>
      <c r="BD10" s="114">
        <f t="shared" si="15"/>
        <v>0.7416666666666667</v>
      </c>
      <c r="BE10" s="115">
        <f t="shared" si="16"/>
        <v>0.29578651685393254</v>
      </c>
      <c r="BF10" s="113">
        <f t="shared" si="17"/>
        <v>0</v>
      </c>
      <c r="BG10" s="104" t="s">
        <v>122</v>
      </c>
    </row>
    <row r="11" spans="1:59" ht="45" customHeight="1" x14ac:dyDescent="0.25">
      <c r="A11" s="2">
        <v>5</v>
      </c>
      <c r="B11" s="100" t="s">
        <v>74</v>
      </c>
      <c r="C11" s="31">
        <v>1</v>
      </c>
      <c r="D11" s="3" t="s">
        <v>24</v>
      </c>
      <c r="E11" s="31">
        <f t="shared" ref="E11" si="28">D11*C11</f>
        <v>24</v>
      </c>
      <c r="F11" s="31"/>
      <c r="G11" s="103">
        <v>9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103">
        <v>9.3000000000000007</v>
      </c>
      <c r="AD11" s="103"/>
      <c r="AE11" s="103"/>
      <c r="AF11" s="103"/>
      <c r="AG11" s="103"/>
      <c r="AH11" s="103"/>
      <c r="AI11" s="103"/>
      <c r="AJ11" s="71">
        <v>9.4</v>
      </c>
      <c r="AK11" s="73">
        <f t="shared" si="1"/>
        <v>0.39166666666666666</v>
      </c>
      <c r="AL11" s="74">
        <f t="shared" si="2"/>
        <v>9.4</v>
      </c>
      <c r="AM11" s="32"/>
      <c r="AN11" s="33">
        <f t="shared" ref="AN11" si="29">AK11/$AU$2</f>
        <v>0.39166666666666666</v>
      </c>
      <c r="AO11" s="33">
        <f t="shared" ref="AO11" si="30">AL11/$AU$2</f>
        <v>9.4</v>
      </c>
      <c r="AP11" s="33">
        <f t="shared" si="3"/>
        <v>0.42691666666666667</v>
      </c>
      <c r="AQ11" s="33">
        <f t="shared" si="4"/>
        <v>10.246</v>
      </c>
      <c r="AR11" s="34">
        <v>0.6</v>
      </c>
      <c r="AS11" s="35">
        <f t="shared" si="5"/>
        <v>14.399999999999999</v>
      </c>
      <c r="AT11" s="35">
        <f t="shared" ref="AT11" si="31">AR11-AP11</f>
        <v>0.17308333333333331</v>
      </c>
      <c r="AU11" s="35">
        <f t="shared" si="6"/>
        <v>4.1539999999999999</v>
      </c>
      <c r="AV11" s="36">
        <f t="shared" ref="AV11" si="32">AT11/AR11</f>
        <v>0.28847222222222219</v>
      </c>
      <c r="AW11" s="39"/>
      <c r="AX11" s="112">
        <f t="shared" si="10"/>
        <v>0.6</v>
      </c>
      <c r="AY11" s="113">
        <v>0.16350000000000001</v>
      </c>
      <c r="AZ11" s="111">
        <f t="shared" si="11"/>
        <v>0.69809999999999994</v>
      </c>
      <c r="BA11" s="114">
        <f t="shared" si="12"/>
        <v>8.9999999999999969E-2</v>
      </c>
      <c r="BB11" s="114">
        <f t="shared" si="13"/>
        <v>8.0999999999999978E-3</v>
      </c>
      <c r="BC11" s="114">
        <f t="shared" si="14"/>
        <v>9.8099999999999965E-2</v>
      </c>
      <c r="BD11" s="114">
        <f t="shared" si="15"/>
        <v>0.6</v>
      </c>
      <c r="BE11" s="115">
        <f t="shared" si="16"/>
        <v>0.28847222222222219</v>
      </c>
      <c r="BF11" s="113">
        <f t="shared" si="17"/>
        <v>0</v>
      </c>
      <c r="BG11" s="104">
        <v>0.95</v>
      </c>
    </row>
    <row r="12" spans="1:59" ht="45" customHeight="1" x14ac:dyDescent="0.25">
      <c r="A12" s="2">
        <v>6</v>
      </c>
      <c r="B12" s="100" t="s">
        <v>42</v>
      </c>
      <c r="C12" s="31">
        <v>1</v>
      </c>
      <c r="D12" s="3" t="s">
        <v>21</v>
      </c>
      <c r="E12" s="31">
        <f t="shared" si="0"/>
        <v>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71">
        <v>5.95</v>
      </c>
      <c r="AK12" s="73">
        <f t="shared" si="1"/>
        <v>1.4875</v>
      </c>
      <c r="AL12" s="74">
        <f t="shared" si="2"/>
        <v>5.95</v>
      </c>
      <c r="AM12" s="32"/>
      <c r="AN12" s="33">
        <f t="shared" si="8"/>
        <v>1.4875</v>
      </c>
      <c r="AO12" s="33">
        <f t="shared" si="8"/>
        <v>5.95</v>
      </c>
      <c r="AP12" s="33">
        <f t="shared" si="3"/>
        <v>1.6213750000000002</v>
      </c>
      <c r="AQ12" s="33">
        <f t="shared" si="4"/>
        <v>6.4855000000000009</v>
      </c>
      <c r="AR12" s="34">
        <v>2.25</v>
      </c>
      <c r="AS12" s="35">
        <f t="shared" si="5"/>
        <v>9</v>
      </c>
      <c r="AT12" s="35">
        <f t="shared" si="9"/>
        <v>0.62862499999999977</v>
      </c>
      <c r="AU12" s="35">
        <f t="shared" si="6"/>
        <v>2.5144999999999991</v>
      </c>
      <c r="AV12" s="36">
        <f t="shared" si="7"/>
        <v>0.2793888888888888</v>
      </c>
      <c r="AW12" s="39"/>
      <c r="AX12" s="112">
        <f t="shared" si="10"/>
        <v>2.25</v>
      </c>
      <c r="AY12" s="113">
        <v>0.16350000000000001</v>
      </c>
      <c r="AZ12" s="111">
        <f t="shared" si="11"/>
        <v>2.6178750000000002</v>
      </c>
      <c r="BA12" s="114">
        <f t="shared" si="12"/>
        <v>0.33750000000000019</v>
      </c>
      <c r="BB12" s="114">
        <f t="shared" si="13"/>
        <v>3.0375000000000017E-2</v>
      </c>
      <c r="BC12" s="114">
        <f t="shared" si="14"/>
        <v>0.36787500000000017</v>
      </c>
      <c r="BD12" s="114">
        <f t="shared" si="15"/>
        <v>2.25</v>
      </c>
      <c r="BE12" s="115">
        <f t="shared" si="16"/>
        <v>0.2793888888888888</v>
      </c>
      <c r="BF12" s="113">
        <f t="shared" si="17"/>
        <v>0</v>
      </c>
      <c r="BG12" s="104">
        <v>2.5</v>
      </c>
    </row>
    <row r="13" spans="1:59" ht="45" customHeight="1" x14ac:dyDescent="0.25">
      <c r="A13" s="2">
        <v>7</v>
      </c>
      <c r="B13" s="101" t="s">
        <v>43</v>
      </c>
      <c r="C13" s="31">
        <v>1</v>
      </c>
      <c r="D13" s="3" t="s">
        <v>21</v>
      </c>
      <c r="E13" s="31">
        <f t="shared" si="0"/>
        <v>4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71">
        <v>5.95</v>
      </c>
      <c r="AK13" s="73">
        <f t="shared" si="1"/>
        <v>1.4875</v>
      </c>
      <c r="AL13" s="74">
        <f t="shared" si="2"/>
        <v>5.95</v>
      </c>
      <c r="AM13" s="32"/>
      <c r="AN13" s="33">
        <f t="shared" si="8"/>
        <v>1.4875</v>
      </c>
      <c r="AO13" s="33">
        <f t="shared" si="8"/>
        <v>5.95</v>
      </c>
      <c r="AP13" s="33">
        <f t="shared" si="3"/>
        <v>1.6213750000000002</v>
      </c>
      <c r="AQ13" s="33">
        <f t="shared" si="4"/>
        <v>6.4855000000000009</v>
      </c>
      <c r="AR13" s="34">
        <v>2.25</v>
      </c>
      <c r="AS13" s="35">
        <f t="shared" si="5"/>
        <v>9</v>
      </c>
      <c r="AT13" s="35">
        <f t="shared" si="9"/>
        <v>0.62862499999999977</v>
      </c>
      <c r="AU13" s="35">
        <f t="shared" si="6"/>
        <v>2.5144999999999991</v>
      </c>
      <c r="AV13" s="36">
        <f t="shared" si="7"/>
        <v>0.2793888888888888</v>
      </c>
      <c r="AW13" s="39"/>
      <c r="AX13" s="112">
        <f t="shared" si="10"/>
        <v>2.25</v>
      </c>
      <c r="AY13" s="113">
        <v>0.16350000000000001</v>
      </c>
      <c r="AZ13" s="111">
        <f t="shared" si="11"/>
        <v>2.6178750000000002</v>
      </c>
      <c r="BA13" s="114">
        <f t="shared" si="12"/>
        <v>0.33750000000000019</v>
      </c>
      <c r="BB13" s="114">
        <f t="shared" si="13"/>
        <v>3.0375000000000017E-2</v>
      </c>
      <c r="BC13" s="114">
        <f t="shared" si="14"/>
        <v>0.36787500000000017</v>
      </c>
      <c r="BD13" s="114">
        <f t="shared" si="15"/>
        <v>2.25</v>
      </c>
      <c r="BE13" s="115">
        <f t="shared" si="16"/>
        <v>0.2793888888888888</v>
      </c>
      <c r="BF13" s="113">
        <f t="shared" si="17"/>
        <v>0</v>
      </c>
      <c r="BG13" s="104">
        <v>2.5</v>
      </c>
    </row>
    <row r="14" spans="1:59" ht="45" customHeight="1" x14ac:dyDescent="0.25">
      <c r="A14" s="2">
        <v>8</v>
      </c>
      <c r="B14" s="101" t="s">
        <v>44</v>
      </c>
      <c r="C14" s="31">
        <v>1</v>
      </c>
      <c r="D14" s="3" t="s">
        <v>24</v>
      </c>
      <c r="E14" s="31">
        <f t="shared" si="0"/>
        <v>24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103">
        <v>8.1999999999999993</v>
      </c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71">
        <v>8.3000000000000007</v>
      </c>
      <c r="AK14" s="73">
        <f t="shared" si="1"/>
        <v>0.34583333333333338</v>
      </c>
      <c r="AL14" s="74">
        <f t="shared" si="2"/>
        <v>8.3000000000000007</v>
      </c>
      <c r="AM14" s="32"/>
      <c r="AN14" s="33">
        <f t="shared" si="8"/>
        <v>0.34583333333333338</v>
      </c>
      <c r="AO14" s="33">
        <f t="shared" si="8"/>
        <v>8.3000000000000007</v>
      </c>
      <c r="AP14" s="33">
        <f t="shared" si="3"/>
        <v>0.3769583333333334</v>
      </c>
      <c r="AQ14" s="33">
        <f t="shared" si="4"/>
        <v>9.0470000000000006</v>
      </c>
      <c r="AR14" s="34">
        <v>0.55000000000000004</v>
      </c>
      <c r="AS14" s="35">
        <f t="shared" si="5"/>
        <v>13.200000000000001</v>
      </c>
      <c r="AT14" s="35">
        <f t="shared" si="9"/>
        <v>0.17304166666666665</v>
      </c>
      <c r="AU14" s="35">
        <f t="shared" si="6"/>
        <v>4.1529999999999996</v>
      </c>
      <c r="AV14" s="36">
        <f t="shared" si="7"/>
        <v>0.31462121212121208</v>
      </c>
      <c r="AW14" s="39"/>
      <c r="AX14" s="112">
        <f t="shared" si="10"/>
        <v>0.55000000000000004</v>
      </c>
      <c r="AY14" s="113">
        <v>0.16350000000000001</v>
      </c>
      <c r="AZ14" s="111">
        <f t="shared" si="11"/>
        <v>0.63992500000000008</v>
      </c>
      <c r="BA14" s="114">
        <f t="shared" si="12"/>
        <v>8.2500000000000032E-2</v>
      </c>
      <c r="BB14" s="114">
        <f t="shared" si="13"/>
        <v>7.4250000000000028E-3</v>
      </c>
      <c r="BC14" s="114">
        <f t="shared" si="14"/>
        <v>8.9925000000000033E-2</v>
      </c>
      <c r="BD14" s="114">
        <f t="shared" si="15"/>
        <v>0.55000000000000004</v>
      </c>
      <c r="BE14" s="115">
        <f t="shared" si="16"/>
        <v>0.31462121212121208</v>
      </c>
      <c r="BF14" s="113">
        <f t="shared" si="17"/>
        <v>0</v>
      </c>
      <c r="BG14" s="104">
        <v>0.85</v>
      </c>
    </row>
    <row r="15" spans="1:59" ht="45" customHeight="1" x14ac:dyDescent="0.25">
      <c r="A15" s="2">
        <v>9</v>
      </c>
      <c r="B15" s="102" t="s">
        <v>45</v>
      </c>
      <c r="C15" s="31">
        <v>1</v>
      </c>
      <c r="D15" s="3" t="s">
        <v>24</v>
      </c>
      <c r="E15" s="31">
        <f t="shared" si="0"/>
        <v>24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71">
        <v>8.3000000000000007</v>
      </c>
      <c r="AK15" s="73">
        <f t="shared" si="1"/>
        <v>0.34583333333333338</v>
      </c>
      <c r="AL15" s="74">
        <f t="shared" si="2"/>
        <v>8.3000000000000007</v>
      </c>
      <c r="AM15" s="32"/>
      <c r="AN15" s="33">
        <f t="shared" si="8"/>
        <v>0.34583333333333338</v>
      </c>
      <c r="AO15" s="33">
        <f t="shared" si="8"/>
        <v>8.3000000000000007</v>
      </c>
      <c r="AP15" s="33">
        <f t="shared" si="3"/>
        <v>0.3769583333333334</v>
      </c>
      <c r="AQ15" s="33">
        <f t="shared" si="4"/>
        <v>9.0470000000000006</v>
      </c>
      <c r="AR15" s="34">
        <v>0.55000000000000004</v>
      </c>
      <c r="AS15" s="35">
        <f t="shared" si="5"/>
        <v>13.200000000000001</v>
      </c>
      <c r="AT15" s="35">
        <f t="shared" si="9"/>
        <v>0.17304166666666665</v>
      </c>
      <c r="AU15" s="35">
        <f t="shared" si="6"/>
        <v>4.1529999999999996</v>
      </c>
      <c r="AV15" s="36">
        <f t="shared" si="7"/>
        <v>0.31462121212121208</v>
      </c>
      <c r="AW15" s="39"/>
      <c r="AX15" s="112">
        <f t="shared" si="10"/>
        <v>0.55000000000000004</v>
      </c>
      <c r="AY15" s="113">
        <v>0.16350000000000001</v>
      </c>
      <c r="AZ15" s="111">
        <f t="shared" si="11"/>
        <v>0.63992500000000008</v>
      </c>
      <c r="BA15" s="114">
        <f t="shared" si="12"/>
        <v>8.2500000000000032E-2</v>
      </c>
      <c r="BB15" s="114">
        <f t="shared" si="13"/>
        <v>7.4250000000000028E-3</v>
      </c>
      <c r="BC15" s="114">
        <f t="shared" si="14"/>
        <v>8.9925000000000033E-2</v>
      </c>
      <c r="BD15" s="114">
        <f t="shared" si="15"/>
        <v>0.55000000000000004</v>
      </c>
      <c r="BE15" s="115">
        <f t="shared" si="16"/>
        <v>0.31462121212121208</v>
      </c>
      <c r="BF15" s="113">
        <f t="shared" si="17"/>
        <v>0</v>
      </c>
      <c r="BG15" s="104">
        <v>0.85</v>
      </c>
    </row>
    <row r="16" spans="1:59" ht="45" customHeight="1" x14ac:dyDescent="0.25">
      <c r="A16" s="2">
        <v>10</v>
      </c>
      <c r="B16" s="102" t="s">
        <v>76</v>
      </c>
      <c r="C16" s="31">
        <v>1</v>
      </c>
      <c r="D16" s="3" t="s">
        <v>24</v>
      </c>
      <c r="E16" s="31">
        <f t="shared" ref="E16:E17" si="33">D16*C16</f>
        <v>24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71">
        <v>8.3000000000000007</v>
      </c>
      <c r="AK16" s="73">
        <f t="shared" si="1"/>
        <v>0.34583333333333338</v>
      </c>
      <c r="AL16" s="74">
        <f t="shared" si="2"/>
        <v>8.3000000000000007</v>
      </c>
      <c r="AM16" s="32"/>
      <c r="AN16" s="33">
        <f t="shared" ref="AN16:AN17" si="34">AK16/$AU$2</f>
        <v>0.34583333333333338</v>
      </c>
      <c r="AO16" s="33">
        <f t="shared" ref="AO16:AO17" si="35">AL16/$AU$2</f>
        <v>8.3000000000000007</v>
      </c>
      <c r="AP16" s="33">
        <f t="shared" si="3"/>
        <v>0.3769583333333334</v>
      </c>
      <c r="AQ16" s="33">
        <f t="shared" si="4"/>
        <v>9.0470000000000006</v>
      </c>
      <c r="AR16" s="34">
        <v>0.55000000000000004</v>
      </c>
      <c r="AS16" s="35">
        <f t="shared" si="5"/>
        <v>13.200000000000001</v>
      </c>
      <c r="AT16" s="35">
        <f t="shared" ref="AT16:AT17" si="36">AR16-AP16</f>
        <v>0.17304166666666665</v>
      </c>
      <c r="AU16" s="35">
        <f t="shared" si="6"/>
        <v>4.1529999999999996</v>
      </c>
      <c r="AV16" s="36">
        <f t="shared" ref="AV16:AV17" si="37">AT16/AR16</f>
        <v>0.31462121212121208</v>
      </c>
      <c r="AW16" s="39"/>
      <c r="AX16" s="112">
        <f t="shared" si="10"/>
        <v>0.55000000000000004</v>
      </c>
      <c r="AY16" s="113">
        <v>0.16350000000000001</v>
      </c>
      <c r="AZ16" s="111">
        <f t="shared" si="11"/>
        <v>0.63992500000000008</v>
      </c>
      <c r="BA16" s="114">
        <f t="shared" si="12"/>
        <v>8.2500000000000032E-2</v>
      </c>
      <c r="BB16" s="114">
        <f t="shared" si="13"/>
        <v>7.4250000000000028E-3</v>
      </c>
      <c r="BC16" s="114">
        <f t="shared" si="14"/>
        <v>8.9925000000000033E-2</v>
      </c>
      <c r="BD16" s="114">
        <f t="shared" si="15"/>
        <v>0.55000000000000004</v>
      </c>
      <c r="BE16" s="115">
        <f t="shared" si="16"/>
        <v>0.31462121212121208</v>
      </c>
      <c r="BF16" s="113">
        <f t="shared" si="17"/>
        <v>0</v>
      </c>
      <c r="BG16" s="104">
        <v>0.85</v>
      </c>
    </row>
    <row r="17" spans="1:59" ht="45" customHeight="1" x14ac:dyDescent="0.25">
      <c r="A17" s="2">
        <v>11</v>
      </c>
      <c r="B17" s="102" t="s">
        <v>77</v>
      </c>
      <c r="C17" s="31">
        <v>1</v>
      </c>
      <c r="D17" s="3" t="s">
        <v>24</v>
      </c>
      <c r="E17" s="31">
        <f t="shared" si="33"/>
        <v>24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71">
        <v>8.3000000000000007</v>
      </c>
      <c r="AK17" s="73">
        <f t="shared" si="1"/>
        <v>0.34583333333333338</v>
      </c>
      <c r="AL17" s="74">
        <f t="shared" si="2"/>
        <v>8.3000000000000007</v>
      </c>
      <c r="AM17" s="32"/>
      <c r="AN17" s="33">
        <f t="shared" si="34"/>
        <v>0.34583333333333338</v>
      </c>
      <c r="AO17" s="33">
        <f t="shared" si="35"/>
        <v>8.3000000000000007</v>
      </c>
      <c r="AP17" s="33">
        <f t="shared" si="3"/>
        <v>0.3769583333333334</v>
      </c>
      <c r="AQ17" s="33">
        <f t="shared" si="4"/>
        <v>9.0470000000000006</v>
      </c>
      <c r="AR17" s="34">
        <v>0.55000000000000004</v>
      </c>
      <c r="AS17" s="35">
        <f t="shared" si="5"/>
        <v>13.200000000000001</v>
      </c>
      <c r="AT17" s="35">
        <f t="shared" si="36"/>
        <v>0.17304166666666665</v>
      </c>
      <c r="AU17" s="35">
        <f t="shared" si="6"/>
        <v>4.1529999999999996</v>
      </c>
      <c r="AV17" s="36">
        <f t="shared" si="37"/>
        <v>0.31462121212121208</v>
      </c>
      <c r="AW17" s="39"/>
      <c r="AX17" s="112">
        <f t="shared" si="10"/>
        <v>0.55000000000000004</v>
      </c>
      <c r="AY17" s="113">
        <v>0.16350000000000001</v>
      </c>
      <c r="AZ17" s="111">
        <f t="shared" si="11"/>
        <v>0.63992500000000008</v>
      </c>
      <c r="BA17" s="114">
        <f t="shared" si="12"/>
        <v>8.2500000000000032E-2</v>
      </c>
      <c r="BB17" s="114">
        <f t="shared" si="13"/>
        <v>7.4250000000000028E-3</v>
      </c>
      <c r="BC17" s="114">
        <f t="shared" si="14"/>
        <v>8.9925000000000033E-2</v>
      </c>
      <c r="BD17" s="114">
        <f t="shared" si="15"/>
        <v>0.55000000000000004</v>
      </c>
      <c r="BE17" s="115">
        <f t="shared" si="16"/>
        <v>0.31462121212121208</v>
      </c>
      <c r="BF17" s="113">
        <f t="shared" si="17"/>
        <v>0</v>
      </c>
      <c r="BG17" s="104">
        <v>0.85</v>
      </c>
    </row>
    <row r="18" spans="1:59" ht="45" customHeight="1" x14ac:dyDescent="0.25">
      <c r="A18" s="2">
        <v>12</v>
      </c>
      <c r="B18" s="100" t="s">
        <v>46</v>
      </c>
      <c r="C18" s="31">
        <v>1</v>
      </c>
      <c r="D18" s="3" t="s">
        <v>54</v>
      </c>
      <c r="E18" s="31">
        <f t="shared" si="0"/>
        <v>12</v>
      </c>
      <c r="F18" s="31"/>
      <c r="G18" s="31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71">
        <v>8.4499999999999993</v>
      </c>
      <c r="AK18" s="73">
        <f t="shared" si="1"/>
        <v>0.70416666666666661</v>
      </c>
      <c r="AL18" s="74">
        <f t="shared" si="2"/>
        <v>8.4499999999999993</v>
      </c>
      <c r="AM18" s="32"/>
      <c r="AN18" s="33">
        <f t="shared" si="8"/>
        <v>0.70416666666666661</v>
      </c>
      <c r="AO18" s="33">
        <f t="shared" si="8"/>
        <v>8.4499999999999993</v>
      </c>
      <c r="AP18" s="33">
        <f t="shared" si="3"/>
        <v>0.76754166666666668</v>
      </c>
      <c r="AQ18" s="33">
        <f t="shared" si="4"/>
        <v>9.2104999999999997</v>
      </c>
      <c r="AR18" s="34">
        <v>1</v>
      </c>
      <c r="AS18" s="35">
        <f t="shared" si="5"/>
        <v>12</v>
      </c>
      <c r="AT18" s="35">
        <f t="shared" si="9"/>
        <v>0.23245833333333332</v>
      </c>
      <c r="AU18" s="35">
        <f t="shared" si="6"/>
        <v>2.7894999999999999</v>
      </c>
      <c r="AV18" s="36">
        <f t="shared" si="7"/>
        <v>0.23245833333333332</v>
      </c>
      <c r="AW18" s="37"/>
      <c r="AX18" s="112">
        <f t="shared" si="10"/>
        <v>1</v>
      </c>
      <c r="AY18" s="113">
        <v>0.16350000000000001</v>
      </c>
      <c r="AZ18" s="111">
        <f t="shared" si="11"/>
        <v>1.1635</v>
      </c>
      <c r="BA18" s="114">
        <f t="shared" si="12"/>
        <v>0.15</v>
      </c>
      <c r="BB18" s="114">
        <f t="shared" si="13"/>
        <v>1.35E-2</v>
      </c>
      <c r="BC18" s="114">
        <f t="shared" si="14"/>
        <v>0.16349999999999998</v>
      </c>
      <c r="BD18" s="114">
        <f t="shared" si="15"/>
        <v>1</v>
      </c>
      <c r="BE18" s="115">
        <f t="shared" si="16"/>
        <v>0.23245833333333332</v>
      </c>
      <c r="BF18" s="113">
        <f t="shared" si="17"/>
        <v>0</v>
      </c>
      <c r="BG18" s="104" t="s">
        <v>122</v>
      </c>
    </row>
    <row r="19" spans="1:59" ht="45" customHeight="1" x14ac:dyDescent="0.25">
      <c r="A19" s="2">
        <v>13</v>
      </c>
      <c r="B19" s="100" t="s">
        <v>84</v>
      </c>
      <c r="C19" s="31">
        <v>1</v>
      </c>
      <c r="D19" s="3" t="s">
        <v>54</v>
      </c>
      <c r="E19" s="31">
        <f t="shared" si="0"/>
        <v>12</v>
      </c>
      <c r="F19" s="31"/>
      <c r="G19" s="31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71">
        <v>8.4499999999999993</v>
      </c>
      <c r="AK19" s="73">
        <f t="shared" si="1"/>
        <v>0.70416666666666661</v>
      </c>
      <c r="AL19" s="74">
        <f t="shared" si="2"/>
        <v>8.4499999999999993</v>
      </c>
      <c r="AM19" s="32"/>
      <c r="AN19" s="33">
        <f t="shared" si="8"/>
        <v>0.70416666666666661</v>
      </c>
      <c r="AO19" s="33">
        <f t="shared" si="8"/>
        <v>8.4499999999999993</v>
      </c>
      <c r="AP19" s="33">
        <f t="shared" si="3"/>
        <v>0.76754166666666668</v>
      </c>
      <c r="AQ19" s="33">
        <f t="shared" si="4"/>
        <v>9.2104999999999997</v>
      </c>
      <c r="AR19" s="34">
        <v>1</v>
      </c>
      <c r="AS19" s="35">
        <f t="shared" si="5"/>
        <v>12</v>
      </c>
      <c r="AT19" s="35">
        <f t="shared" si="9"/>
        <v>0.23245833333333332</v>
      </c>
      <c r="AU19" s="35">
        <f t="shared" si="6"/>
        <v>2.7894999999999999</v>
      </c>
      <c r="AV19" s="36">
        <f t="shared" si="7"/>
        <v>0.23245833333333332</v>
      </c>
      <c r="AW19" s="38"/>
      <c r="AX19" s="112">
        <f t="shared" si="10"/>
        <v>1</v>
      </c>
      <c r="AY19" s="113">
        <v>0.16350000000000001</v>
      </c>
      <c r="AZ19" s="111">
        <f t="shared" si="11"/>
        <v>1.1635</v>
      </c>
      <c r="BA19" s="114">
        <f t="shared" si="12"/>
        <v>0.15</v>
      </c>
      <c r="BB19" s="114">
        <f t="shared" si="13"/>
        <v>1.35E-2</v>
      </c>
      <c r="BC19" s="114">
        <f t="shared" si="14"/>
        <v>0.16349999999999998</v>
      </c>
      <c r="BD19" s="114">
        <f t="shared" si="15"/>
        <v>1</v>
      </c>
      <c r="BE19" s="115">
        <f t="shared" si="16"/>
        <v>0.23245833333333332</v>
      </c>
      <c r="BF19" s="113">
        <f t="shared" si="17"/>
        <v>0</v>
      </c>
      <c r="BG19" s="104" t="s">
        <v>122</v>
      </c>
    </row>
    <row r="20" spans="1:59" ht="45" customHeight="1" x14ac:dyDescent="0.25">
      <c r="A20" s="2">
        <v>14</v>
      </c>
      <c r="B20" s="100" t="s">
        <v>47</v>
      </c>
      <c r="C20" s="31">
        <v>1</v>
      </c>
      <c r="D20" s="3" t="s">
        <v>24</v>
      </c>
      <c r="E20" s="31">
        <f t="shared" si="0"/>
        <v>24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71">
        <v>2.4</v>
      </c>
      <c r="AK20" s="73">
        <f t="shared" si="1"/>
        <v>9.9999999999999992E-2</v>
      </c>
      <c r="AL20" s="74">
        <f t="shared" si="2"/>
        <v>2.4</v>
      </c>
      <c r="AM20" s="32"/>
      <c r="AN20" s="33">
        <f t="shared" si="8"/>
        <v>9.9999999999999992E-2</v>
      </c>
      <c r="AO20" s="33">
        <f t="shared" si="8"/>
        <v>2.4</v>
      </c>
      <c r="AP20" s="33">
        <f t="shared" si="3"/>
        <v>0.109</v>
      </c>
      <c r="AQ20" s="33">
        <f t="shared" si="4"/>
        <v>2.6160000000000001</v>
      </c>
      <c r="AR20" s="34">
        <v>0.35</v>
      </c>
      <c r="AS20" s="35">
        <f t="shared" si="5"/>
        <v>8.3999999999999986</v>
      </c>
      <c r="AT20" s="35">
        <f t="shared" si="9"/>
        <v>0.24099999999999999</v>
      </c>
      <c r="AU20" s="35">
        <f t="shared" si="6"/>
        <v>5.7839999999999998</v>
      </c>
      <c r="AV20" s="36">
        <f t="shared" si="7"/>
        <v>0.68857142857142861</v>
      </c>
      <c r="AW20" s="39"/>
      <c r="AX20" s="112">
        <f t="shared" si="10"/>
        <v>0.35</v>
      </c>
      <c r="AY20" s="113">
        <v>0.16350000000000001</v>
      </c>
      <c r="AZ20" s="111">
        <f t="shared" si="11"/>
        <v>0.40722499999999995</v>
      </c>
      <c r="BA20" s="114">
        <f t="shared" si="12"/>
        <v>5.2499999999999977E-2</v>
      </c>
      <c r="BB20" s="114">
        <f t="shared" si="13"/>
        <v>4.7249999999999974E-3</v>
      </c>
      <c r="BC20" s="114">
        <f t="shared" si="14"/>
        <v>5.722499999999997E-2</v>
      </c>
      <c r="BD20" s="114">
        <f t="shared" si="15"/>
        <v>0.35</v>
      </c>
      <c r="BE20" s="115">
        <f t="shared" si="16"/>
        <v>0.68857142857142861</v>
      </c>
      <c r="BF20" s="113">
        <f t="shared" si="17"/>
        <v>0</v>
      </c>
      <c r="BG20" s="104">
        <v>0.85</v>
      </c>
    </row>
    <row r="21" spans="1:59" ht="45" customHeight="1" x14ac:dyDescent="0.25">
      <c r="A21" s="2">
        <v>15</v>
      </c>
      <c r="B21" s="101" t="s">
        <v>48</v>
      </c>
      <c r="C21" s="31">
        <v>1</v>
      </c>
      <c r="D21" s="3" t="s">
        <v>54</v>
      </c>
      <c r="E21" s="31">
        <f t="shared" si="0"/>
        <v>12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71">
        <v>2.4</v>
      </c>
      <c r="AK21" s="73">
        <f t="shared" si="1"/>
        <v>0.19999999999999998</v>
      </c>
      <c r="AL21" s="74">
        <f t="shared" si="2"/>
        <v>2.4</v>
      </c>
      <c r="AM21" s="32"/>
      <c r="AN21" s="33">
        <f t="shared" si="8"/>
        <v>0.19999999999999998</v>
      </c>
      <c r="AO21" s="33">
        <f t="shared" si="8"/>
        <v>2.4</v>
      </c>
      <c r="AP21" s="33">
        <f t="shared" si="3"/>
        <v>0.218</v>
      </c>
      <c r="AQ21" s="33">
        <f t="shared" si="4"/>
        <v>2.6160000000000001</v>
      </c>
      <c r="AR21" s="34">
        <v>0.65</v>
      </c>
      <c r="AS21" s="35">
        <f t="shared" si="5"/>
        <v>7.8000000000000007</v>
      </c>
      <c r="AT21" s="35">
        <f t="shared" si="9"/>
        <v>0.43200000000000005</v>
      </c>
      <c r="AU21" s="35">
        <f t="shared" si="6"/>
        <v>5.1840000000000011</v>
      </c>
      <c r="AV21" s="36">
        <f t="shared" si="7"/>
        <v>0.66461538461538472</v>
      </c>
      <c r="AW21" s="39"/>
      <c r="AX21" s="112">
        <f t="shared" si="10"/>
        <v>0.65</v>
      </c>
      <c r="AY21" s="113">
        <v>0.16350000000000001</v>
      </c>
      <c r="AZ21" s="111">
        <f t="shared" si="11"/>
        <v>0.75627500000000003</v>
      </c>
      <c r="BA21" s="114">
        <f t="shared" si="12"/>
        <v>9.7500000000000017E-2</v>
      </c>
      <c r="BB21" s="114">
        <f t="shared" si="13"/>
        <v>8.7750000000000015E-3</v>
      </c>
      <c r="BC21" s="114">
        <f t="shared" si="14"/>
        <v>0.10627500000000001</v>
      </c>
      <c r="BD21" s="114">
        <f t="shared" si="15"/>
        <v>0.65</v>
      </c>
      <c r="BE21" s="115">
        <f t="shared" si="16"/>
        <v>0.66461538461538472</v>
      </c>
      <c r="BF21" s="113">
        <f t="shared" si="17"/>
        <v>0</v>
      </c>
      <c r="BG21" s="116">
        <v>1</v>
      </c>
    </row>
    <row r="22" spans="1:59" ht="45" customHeight="1" x14ac:dyDescent="0.25">
      <c r="A22" s="2">
        <v>16</v>
      </c>
      <c r="B22" s="101" t="s">
        <v>49</v>
      </c>
      <c r="C22" s="31">
        <v>1</v>
      </c>
      <c r="D22" s="3" t="s">
        <v>54</v>
      </c>
      <c r="E22" s="31">
        <f t="shared" si="0"/>
        <v>12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71">
        <v>8.9499999999999993</v>
      </c>
      <c r="AK22" s="73">
        <f t="shared" si="1"/>
        <v>0.74583333333333324</v>
      </c>
      <c r="AL22" s="74">
        <f t="shared" si="2"/>
        <v>8.9499999999999993</v>
      </c>
      <c r="AM22" s="32"/>
      <c r="AN22" s="33">
        <f t="shared" si="8"/>
        <v>0.74583333333333324</v>
      </c>
      <c r="AO22" s="33">
        <f t="shared" si="8"/>
        <v>8.9499999999999993</v>
      </c>
      <c r="AP22" s="33">
        <f t="shared" si="3"/>
        <v>0.81295833333333334</v>
      </c>
      <c r="AQ22" s="33">
        <f t="shared" si="4"/>
        <v>9.7554999999999996</v>
      </c>
      <c r="AR22" s="34">
        <v>1.25</v>
      </c>
      <c r="AS22" s="35">
        <f t="shared" si="5"/>
        <v>15</v>
      </c>
      <c r="AT22" s="35">
        <f t="shared" si="9"/>
        <v>0.43704166666666666</v>
      </c>
      <c r="AU22" s="35">
        <f t="shared" si="6"/>
        <v>5.2445000000000004</v>
      </c>
      <c r="AV22" s="36">
        <f t="shared" si="7"/>
        <v>0.34963333333333335</v>
      </c>
      <c r="AW22" s="39"/>
      <c r="AX22" s="112">
        <f t="shared" si="10"/>
        <v>1.25</v>
      </c>
      <c r="AY22" s="113">
        <v>0.16350000000000001</v>
      </c>
      <c r="AZ22" s="111">
        <f t="shared" si="11"/>
        <v>1.454375</v>
      </c>
      <c r="BA22" s="114">
        <f t="shared" si="12"/>
        <v>0.18749999999999997</v>
      </c>
      <c r="BB22" s="114">
        <f t="shared" si="13"/>
        <v>1.6874999999999998E-2</v>
      </c>
      <c r="BC22" s="114">
        <f t="shared" si="14"/>
        <v>0.20437499999999997</v>
      </c>
      <c r="BD22" s="114">
        <f t="shared" si="15"/>
        <v>1.25</v>
      </c>
      <c r="BE22" s="115">
        <f t="shared" si="16"/>
        <v>0.34963333333333335</v>
      </c>
      <c r="BF22" s="113">
        <f t="shared" si="17"/>
        <v>0</v>
      </c>
      <c r="BG22" s="104" t="s">
        <v>122</v>
      </c>
    </row>
    <row r="23" spans="1:59" ht="45" customHeight="1" x14ac:dyDescent="0.25">
      <c r="A23" s="2">
        <v>17</v>
      </c>
      <c r="B23" s="102" t="s">
        <v>50</v>
      </c>
      <c r="C23" s="31">
        <v>1</v>
      </c>
      <c r="D23" s="3" t="s">
        <v>54</v>
      </c>
      <c r="E23" s="31">
        <f t="shared" si="0"/>
        <v>12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71">
        <v>8.9499999999999993</v>
      </c>
      <c r="AK23" s="73">
        <f t="shared" si="1"/>
        <v>0.74583333333333324</v>
      </c>
      <c r="AL23" s="74">
        <f t="shared" si="2"/>
        <v>8.9499999999999993</v>
      </c>
      <c r="AM23" s="32"/>
      <c r="AN23" s="33">
        <f t="shared" si="8"/>
        <v>0.74583333333333324</v>
      </c>
      <c r="AO23" s="33">
        <f t="shared" si="8"/>
        <v>8.9499999999999993</v>
      </c>
      <c r="AP23" s="33">
        <f t="shared" si="3"/>
        <v>0.81295833333333334</v>
      </c>
      <c r="AQ23" s="33">
        <f t="shared" si="4"/>
        <v>9.7554999999999996</v>
      </c>
      <c r="AR23" s="34">
        <v>1.25</v>
      </c>
      <c r="AS23" s="35">
        <f t="shared" si="5"/>
        <v>15</v>
      </c>
      <c r="AT23" s="35">
        <f>AR23-AP23</f>
        <v>0.43704166666666666</v>
      </c>
      <c r="AU23" s="35">
        <f t="shared" si="6"/>
        <v>5.2445000000000004</v>
      </c>
      <c r="AV23" s="36">
        <f t="shared" si="7"/>
        <v>0.34963333333333335</v>
      </c>
      <c r="AW23" s="39"/>
      <c r="AX23" s="112">
        <f t="shared" si="10"/>
        <v>1.25</v>
      </c>
      <c r="AY23" s="113">
        <v>0.16350000000000001</v>
      </c>
      <c r="AZ23" s="111">
        <f t="shared" si="11"/>
        <v>1.454375</v>
      </c>
      <c r="BA23" s="114">
        <f t="shared" si="12"/>
        <v>0.18749999999999997</v>
      </c>
      <c r="BB23" s="114">
        <f t="shared" si="13"/>
        <v>1.6874999999999998E-2</v>
      </c>
      <c r="BC23" s="114">
        <f t="shared" si="14"/>
        <v>0.20437499999999997</v>
      </c>
      <c r="BD23" s="114">
        <f t="shared" si="15"/>
        <v>1.25</v>
      </c>
      <c r="BE23" s="115">
        <f t="shared" si="16"/>
        <v>0.34963333333333335</v>
      </c>
      <c r="BF23" s="113">
        <f t="shared" si="17"/>
        <v>0</v>
      </c>
      <c r="BG23" s="104" t="s">
        <v>122</v>
      </c>
    </row>
    <row r="24" spans="1:59" ht="45" customHeight="1" x14ac:dyDescent="0.25">
      <c r="A24" s="2">
        <v>18</v>
      </c>
      <c r="B24" s="100" t="s">
        <v>51</v>
      </c>
      <c r="C24" s="31">
        <v>1</v>
      </c>
      <c r="D24" s="3" t="s">
        <v>54</v>
      </c>
      <c r="E24" s="31">
        <f t="shared" si="0"/>
        <v>12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103">
        <v>8.6</v>
      </c>
      <c r="W24" s="103"/>
      <c r="X24" s="103"/>
      <c r="Y24" s="103"/>
      <c r="Z24" s="103"/>
      <c r="AA24" s="103"/>
      <c r="AB24" s="103"/>
      <c r="AC24" s="103"/>
      <c r="AD24" s="103">
        <v>8.9499999999999993</v>
      </c>
      <c r="AE24" s="103"/>
      <c r="AF24" s="103"/>
      <c r="AG24" s="103"/>
      <c r="AH24" s="103"/>
      <c r="AI24" s="103"/>
      <c r="AJ24" s="71">
        <v>8.9499999999999993</v>
      </c>
      <c r="AK24" s="73">
        <f t="shared" si="1"/>
        <v>0.74583333333333324</v>
      </c>
      <c r="AL24" s="74">
        <f t="shared" si="2"/>
        <v>8.9499999999999993</v>
      </c>
      <c r="AM24" s="32"/>
      <c r="AN24" s="33">
        <f t="shared" si="8"/>
        <v>0.74583333333333324</v>
      </c>
      <c r="AO24" s="33">
        <f t="shared" si="8"/>
        <v>8.9499999999999993</v>
      </c>
      <c r="AP24" s="33">
        <f t="shared" si="3"/>
        <v>0.81295833333333334</v>
      </c>
      <c r="AQ24" s="33">
        <f t="shared" si="4"/>
        <v>9.7554999999999996</v>
      </c>
      <c r="AR24" s="34">
        <v>1.25</v>
      </c>
      <c r="AS24" s="35">
        <f t="shared" si="5"/>
        <v>15</v>
      </c>
      <c r="AT24" s="35">
        <f t="shared" si="9"/>
        <v>0.43704166666666666</v>
      </c>
      <c r="AU24" s="35">
        <f t="shared" si="6"/>
        <v>5.2445000000000004</v>
      </c>
      <c r="AV24" s="36">
        <f t="shared" si="7"/>
        <v>0.34963333333333335</v>
      </c>
      <c r="AW24" s="37"/>
      <c r="AX24" s="112">
        <f t="shared" si="10"/>
        <v>1.25</v>
      </c>
      <c r="AY24" s="113">
        <v>0.16350000000000001</v>
      </c>
      <c r="AZ24" s="111">
        <f t="shared" si="11"/>
        <v>1.454375</v>
      </c>
      <c r="BA24" s="114">
        <f t="shared" si="12"/>
        <v>0.18749999999999997</v>
      </c>
      <c r="BB24" s="114">
        <f t="shared" si="13"/>
        <v>1.6874999999999998E-2</v>
      </c>
      <c r="BC24" s="114">
        <f t="shared" si="14"/>
        <v>0.20437499999999997</v>
      </c>
      <c r="BD24" s="114">
        <f t="shared" si="15"/>
        <v>1.25</v>
      </c>
      <c r="BE24" s="115">
        <f t="shared" si="16"/>
        <v>0.34963333333333335</v>
      </c>
      <c r="BF24" s="113">
        <f t="shared" si="17"/>
        <v>0</v>
      </c>
      <c r="BG24" s="104" t="s">
        <v>122</v>
      </c>
    </row>
    <row r="25" spans="1:59" ht="45" customHeight="1" x14ac:dyDescent="0.25">
      <c r="A25" s="2">
        <v>19</v>
      </c>
      <c r="B25" s="100" t="s">
        <v>75</v>
      </c>
      <c r="C25" s="31">
        <v>1</v>
      </c>
      <c r="D25" s="3" t="s">
        <v>24</v>
      </c>
      <c r="E25" s="31">
        <f t="shared" ref="E25" si="38">D25*C25</f>
        <v>24</v>
      </c>
      <c r="F25" s="103">
        <v>12.65</v>
      </c>
      <c r="G25" s="31"/>
      <c r="I25" s="103"/>
      <c r="J25" s="103"/>
      <c r="K25" s="103"/>
      <c r="L25" s="103"/>
      <c r="M25" s="103">
        <v>12.8</v>
      </c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71">
        <v>12.8</v>
      </c>
      <c r="AK25" s="73">
        <f t="shared" si="1"/>
        <v>0.53333333333333333</v>
      </c>
      <c r="AL25" s="74">
        <f t="shared" si="2"/>
        <v>12.8</v>
      </c>
      <c r="AM25" s="32"/>
      <c r="AN25" s="33">
        <f t="shared" ref="AN25" si="39">AK25/$AU$2</f>
        <v>0.53333333333333333</v>
      </c>
      <c r="AO25" s="33">
        <f t="shared" ref="AO25" si="40">AL25/$AU$2</f>
        <v>12.8</v>
      </c>
      <c r="AP25" s="33">
        <f t="shared" si="3"/>
        <v>0.58133333333333337</v>
      </c>
      <c r="AQ25" s="33">
        <f t="shared" si="4"/>
        <v>13.952000000000002</v>
      </c>
      <c r="AR25" s="34">
        <v>0.9</v>
      </c>
      <c r="AS25" s="35">
        <f t="shared" si="5"/>
        <v>21.6</v>
      </c>
      <c r="AT25" s="35">
        <f>AR25-AP25</f>
        <v>0.31866666666666665</v>
      </c>
      <c r="AU25" s="35">
        <f t="shared" si="6"/>
        <v>7.6479999999999997</v>
      </c>
      <c r="AV25" s="36">
        <f t="shared" ref="AV25" si="41">AT25/AR25</f>
        <v>0.35407407407407404</v>
      </c>
      <c r="AW25" s="38"/>
      <c r="AX25" s="112">
        <f t="shared" si="10"/>
        <v>0.9</v>
      </c>
      <c r="AY25" s="113">
        <v>0.16350000000000001</v>
      </c>
      <c r="AZ25" s="111">
        <f t="shared" si="11"/>
        <v>1.04715</v>
      </c>
      <c r="BA25" s="114">
        <f t="shared" si="12"/>
        <v>0.13500000000000001</v>
      </c>
      <c r="BB25" s="114">
        <f t="shared" si="13"/>
        <v>1.2150000000000001E-2</v>
      </c>
      <c r="BC25" s="114">
        <f t="shared" si="14"/>
        <v>0.14715</v>
      </c>
      <c r="BD25" s="114">
        <f t="shared" si="15"/>
        <v>0.9</v>
      </c>
      <c r="BE25" s="115">
        <f t="shared" si="16"/>
        <v>0.35407407407407404</v>
      </c>
      <c r="BF25" s="113">
        <f t="shared" si="17"/>
        <v>0</v>
      </c>
      <c r="BG25" s="104" t="s">
        <v>122</v>
      </c>
    </row>
    <row r="26" spans="1:59" ht="45" customHeight="1" x14ac:dyDescent="0.25">
      <c r="A26" s="2">
        <v>20</v>
      </c>
      <c r="B26" s="100" t="s">
        <v>52</v>
      </c>
      <c r="C26" s="31">
        <v>1</v>
      </c>
      <c r="D26" s="3" t="s">
        <v>24</v>
      </c>
      <c r="E26" s="31">
        <f t="shared" si="0"/>
        <v>24</v>
      </c>
      <c r="F26" s="103">
        <v>12.65</v>
      </c>
      <c r="G26" s="31"/>
      <c r="I26" s="103"/>
      <c r="J26" s="103"/>
      <c r="K26" s="103"/>
      <c r="L26" s="103"/>
      <c r="M26" s="103">
        <v>12.8</v>
      </c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71">
        <v>12.8</v>
      </c>
      <c r="AK26" s="73">
        <f t="shared" si="1"/>
        <v>0.53333333333333333</v>
      </c>
      <c r="AL26" s="74">
        <f t="shared" si="2"/>
        <v>12.8</v>
      </c>
      <c r="AM26" s="32"/>
      <c r="AN26" s="33">
        <f t="shared" si="8"/>
        <v>0.53333333333333333</v>
      </c>
      <c r="AO26" s="33">
        <f t="shared" si="8"/>
        <v>12.8</v>
      </c>
      <c r="AP26" s="33">
        <f t="shared" si="3"/>
        <v>0.58133333333333337</v>
      </c>
      <c r="AQ26" s="33">
        <f t="shared" si="4"/>
        <v>13.952000000000002</v>
      </c>
      <c r="AR26" s="34">
        <v>0.9</v>
      </c>
      <c r="AS26" s="35">
        <f t="shared" si="5"/>
        <v>21.6</v>
      </c>
      <c r="AT26" s="35">
        <f t="shared" ref="AT26:AT52" si="42">AR26-AP26</f>
        <v>0.31866666666666665</v>
      </c>
      <c r="AU26" s="35">
        <f t="shared" si="6"/>
        <v>7.6479999999999997</v>
      </c>
      <c r="AV26" s="36">
        <f t="shared" si="7"/>
        <v>0.35407407407407404</v>
      </c>
      <c r="AW26" s="38"/>
      <c r="AX26" s="112">
        <f t="shared" si="10"/>
        <v>0.9</v>
      </c>
      <c r="AY26" s="113">
        <v>0.16350000000000001</v>
      </c>
      <c r="AZ26" s="111">
        <f t="shared" si="11"/>
        <v>1.04715</v>
      </c>
      <c r="BA26" s="114">
        <f t="shared" si="12"/>
        <v>0.13500000000000001</v>
      </c>
      <c r="BB26" s="114">
        <f t="shared" si="13"/>
        <v>1.2150000000000001E-2</v>
      </c>
      <c r="BC26" s="114">
        <f t="shared" si="14"/>
        <v>0.14715</v>
      </c>
      <c r="BD26" s="114">
        <f t="shared" si="15"/>
        <v>0.9</v>
      </c>
      <c r="BE26" s="115">
        <f t="shared" si="16"/>
        <v>0.35407407407407404</v>
      </c>
      <c r="BF26" s="113">
        <f t="shared" si="17"/>
        <v>0</v>
      </c>
      <c r="BG26" s="104" t="s">
        <v>122</v>
      </c>
    </row>
    <row r="27" spans="1:59" ht="45" customHeight="1" x14ac:dyDescent="0.25">
      <c r="A27" s="2">
        <v>21</v>
      </c>
      <c r="B27" s="100" t="s">
        <v>53</v>
      </c>
      <c r="C27" s="31">
        <v>1</v>
      </c>
      <c r="D27" s="3" t="s">
        <v>21</v>
      </c>
      <c r="E27" s="31">
        <f t="shared" si="0"/>
        <v>4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71">
        <v>24.2</v>
      </c>
      <c r="AK27" s="73">
        <f t="shared" si="1"/>
        <v>6.05</v>
      </c>
      <c r="AL27" s="74">
        <f t="shared" si="2"/>
        <v>24.2</v>
      </c>
      <c r="AM27" s="32"/>
      <c r="AN27" s="33">
        <f>AK27/$AU$2</f>
        <v>6.05</v>
      </c>
      <c r="AO27" s="33">
        <f t="shared" si="8"/>
        <v>24.2</v>
      </c>
      <c r="AP27" s="33">
        <f t="shared" si="3"/>
        <v>6.5945</v>
      </c>
      <c r="AQ27" s="33">
        <f t="shared" si="4"/>
        <v>26.378</v>
      </c>
      <c r="AR27" s="34">
        <v>8.5</v>
      </c>
      <c r="AS27" s="35">
        <f t="shared" si="5"/>
        <v>34</v>
      </c>
      <c r="AT27" s="35">
        <f t="shared" si="42"/>
        <v>1.9055</v>
      </c>
      <c r="AU27" s="35">
        <f t="shared" si="6"/>
        <v>7.6219999999999999</v>
      </c>
      <c r="AV27" s="36">
        <f t="shared" si="7"/>
        <v>0.22417647058823528</v>
      </c>
      <c r="AW27" s="39"/>
      <c r="AX27" s="112">
        <f t="shared" si="10"/>
        <v>8.5</v>
      </c>
      <c r="AY27" s="113">
        <v>0.16350000000000001</v>
      </c>
      <c r="AZ27" s="111">
        <f t="shared" si="11"/>
        <v>9.8897499999999994</v>
      </c>
      <c r="BA27" s="114">
        <f t="shared" si="12"/>
        <v>1.2749999999999995</v>
      </c>
      <c r="BB27" s="114">
        <f t="shared" si="13"/>
        <v>0.11474999999999995</v>
      </c>
      <c r="BC27" s="114">
        <f t="shared" si="14"/>
        <v>1.3897499999999994</v>
      </c>
      <c r="BD27" s="114">
        <f t="shared" si="15"/>
        <v>8.5</v>
      </c>
      <c r="BE27" s="115">
        <f t="shared" si="16"/>
        <v>0.22417647058823528</v>
      </c>
      <c r="BF27" s="113">
        <f t="shared" si="17"/>
        <v>0</v>
      </c>
      <c r="BG27" s="104" t="s">
        <v>122</v>
      </c>
    </row>
    <row r="28" spans="1:59" ht="45" customHeight="1" x14ac:dyDescent="0.25">
      <c r="A28" s="2">
        <v>22</v>
      </c>
      <c r="B28" s="100" t="s">
        <v>55</v>
      </c>
      <c r="C28" s="31">
        <v>1</v>
      </c>
      <c r="D28" s="3" t="s">
        <v>54</v>
      </c>
      <c r="E28" s="31">
        <f t="shared" si="0"/>
        <v>12</v>
      </c>
      <c r="F28" s="31"/>
      <c r="G28" s="31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71">
        <v>8.4499999999999993</v>
      </c>
      <c r="AK28" s="73">
        <f t="shared" si="1"/>
        <v>0.70416666666666661</v>
      </c>
      <c r="AL28" s="74">
        <f t="shared" si="2"/>
        <v>8.4499999999999993</v>
      </c>
      <c r="AM28" s="32"/>
      <c r="AN28" s="33">
        <f>AK28/$AU$2</f>
        <v>0.70416666666666661</v>
      </c>
      <c r="AO28" s="33">
        <f t="shared" si="8"/>
        <v>8.4499999999999993</v>
      </c>
      <c r="AP28" s="33">
        <f t="shared" si="3"/>
        <v>0.76754166666666668</v>
      </c>
      <c r="AQ28" s="33">
        <f t="shared" si="4"/>
        <v>9.2104999999999997</v>
      </c>
      <c r="AR28" s="34">
        <v>1</v>
      </c>
      <c r="AS28" s="35">
        <f t="shared" si="5"/>
        <v>12</v>
      </c>
      <c r="AT28" s="35">
        <f t="shared" si="42"/>
        <v>0.23245833333333332</v>
      </c>
      <c r="AU28" s="35">
        <f t="shared" si="6"/>
        <v>2.7894999999999999</v>
      </c>
      <c r="AV28" s="36">
        <f t="shared" si="7"/>
        <v>0.23245833333333332</v>
      </c>
      <c r="AW28" s="37"/>
      <c r="AX28" s="112">
        <f t="shared" si="10"/>
        <v>1</v>
      </c>
      <c r="AY28" s="113">
        <v>0.16350000000000001</v>
      </c>
      <c r="AZ28" s="111">
        <f t="shared" si="11"/>
        <v>1.1635</v>
      </c>
      <c r="BA28" s="114">
        <f t="shared" si="12"/>
        <v>0.15</v>
      </c>
      <c r="BB28" s="114">
        <f t="shared" si="13"/>
        <v>1.35E-2</v>
      </c>
      <c r="BC28" s="114">
        <f t="shared" si="14"/>
        <v>0.16349999999999998</v>
      </c>
      <c r="BD28" s="114">
        <f t="shared" si="15"/>
        <v>1</v>
      </c>
      <c r="BE28" s="115">
        <f t="shared" si="16"/>
        <v>0.23245833333333332</v>
      </c>
      <c r="BF28" s="113">
        <f t="shared" si="17"/>
        <v>0</v>
      </c>
      <c r="BG28" s="104" t="s">
        <v>122</v>
      </c>
    </row>
    <row r="29" spans="1:59" ht="45" customHeight="1" x14ac:dyDescent="0.25">
      <c r="A29" s="2">
        <v>23</v>
      </c>
      <c r="B29" s="101" t="s">
        <v>56</v>
      </c>
      <c r="C29" s="31">
        <v>1</v>
      </c>
      <c r="D29" s="3" t="s">
        <v>54</v>
      </c>
      <c r="E29" s="31">
        <f t="shared" si="0"/>
        <v>12</v>
      </c>
      <c r="F29" s="31"/>
      <c r="G29" s="31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71">
        <v>8.4499999999999993</v>
      </c>
      <c r="AK29" s="73">
        <f t="shared" si="1"/>
        <v>0.70416666666666661</v>
      </c>
      <c r="AL29" s="74">
        <f t="shared" si="2"/>
        <v>8.4499999999999993</v>
      </c>
      <c r="AM29" s="32"/>
      <c r="AN29" s="33">
        <f t="shared" ref="AN29:AO39" si="43">AK29/$AU$2</f>
        <v>0.70416666666666661</v>
      </c>
      <c r="AO29" s="33">
        <f t="shared" si="43"/>
        <v>8.4499999999999993</v>
      </c>
      <c r="AP29" s="33">
        <f t="shared" si="3"/>
        <v>0.76754166666666668</v>
      </c>
      <c r="AQ29" s="33">
        <f t="shared" si="4"/>
        <v>9.2104999999999997</v>
      </c>
      <c r="AR29" s="34">
        <v>1</v>
      </c>
      <c r="AS29" s="35">
        <f t="shared" si="5"/>
        <v>12</v>
      </c>
      <c r="AT29" s="35">
        <f t="shared" si="42"/>
        <v>0.23245833333333332</v>
      </c>
      <c r="AU29" s="35">
        <f t="shared" si="6"/>
        <v>2.7894999999999999</v>
      </c>
      <c r="AV29" s="36">
        <f t="shared" si="7"/>
        <v>0.23245833333333332</v>
      </c>
      <c r="AW29" s="39"/>
      <c r="AX29" s="112">
        <f t="shared" si="10"/>
        <v>1</v>
      </c>
      <c r="AY29" s="113">
        <v>0.16350000000000001</v>
      </c>
      <c r="AZ29" s="111">
        <f t="shared" si="11"/>
        <v>1.1635</v>
      </c>
      <c r="BA29" s="114">
        <f t="shared" si="12"/>
        <v>0.15</v>
      </c>
      <c r="BB29" s="114">
        <f t="shared" si="13"/>
        <v>1.35E-2</v>
      </c>
      <c r="BC29" s="114">
        <f t="shared" si="14"/>
        <v>0.16349999999999998</v>
      </c>
      <c r="BD29" s="114">
        <f t="shared" si="15"/>
        <v>1</v>
      </c>
      <c r="BE29" s="115">
        <f t="shared" si="16"/>
        <v>0.23245833333333332</v>
      </c>
      <c r="BF29" s="113">
        <f t="shared" si="17"/>
        <v>0</v>
      </c>
      <c r="BG29" s="104" t="s">
        <v>122</v>
      </c>
    </row>
    <row r="30" spans="1:59" ht="45" customHeight="1" x14ac:dyDescent="0.25">
      <c r="A30" s="2">
        <v>24</v>
      </c>
      <c r="B30" s="102" t="s">
        <v>57</v>
      </c>
      <c r="C30" s="31">
        <v>1</v>
      </c>
      <c r="D30" s="3" t="s">
        <v>54</v>
      </c>
      <c r="E30" s="31">
        <f t="shared" si="0"/>
        <v>12</v>
      </c>
      <c r="F30" s="31"/>
      <c r="G30" s="31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71">
        <v>8.4499999999999993</v>
      </c>
      <c r="AK30" s="73">
        <f t="shared" si="1"/>
        <v>0.70416666666666661</v>
      </c>
      <c r="AL30" s="74">
        <f t="shared" si="2"/>
        <v>8.4499999999999993</v>
      </c>
      <c r="AM30" s="32"/>
      <c r="AN30" s="33">
        <f t="shared" si="43"/>
        <v>0.70416666666666661</v>
      </c>
      <c r="AO30" s="33">
        <f t="shared" si="43"/>
        <v>8.4499999999999993</v>
      </c>
      <c r="AP30" s="33">
        <f t="shared" si="3"/>
        <v>0.76754166666666668</v>
      </c>
      <c r="AQ30" s="33">
        <f t="shared" si="4"/>
        <v>9.2104999999999997</v>
      </c>
      <c r="AR30" s="34">
        <v>1</v>
      </c>
      <c r="AS30" s="35">
        <f t="shared" si="5"/>
        <v>12</v>
      </c>
      <c r="AT30" s="35">
        <f t="shared" si="42"/>
        <v>0.23245833333333332</v>
      </c>
      <c r="AU30" s="35">
        <f t="shared" si="6"/>
        <v>2.7894999999999999</v>
      </c>
      <c r="AV30" s="36">
        <f t="shared" si="7"/>
        <v>0.23245833333333332</v>
      </c>
      <c r="AW30" s="39"/>
      <c r="AX30" s="112">
        <f t="shared" si="10"/>
        <v>1</v>
      </c>
      <c r="AY30" s="113">
        <v>0.16350000000000001</v>
      </c>
      <c r="AZ30" s="111">
        <f t="shared" si="11"/>
        <v>1.1635</v>
      </c>
      <c r="BA30" s="114">
        <f t="shared" si="12"/>
        <v>0.15</v>
      </c>
      <c r="BB30" s="114">
        <f t="shared" si="13"/>
        <v>1.35E-2</v>
      </c>
      <c r="BC30" s="114">
        <f t="shared" si="14"/>
        <v>0.16349999999999998</v>
      </c>
      <c r="BD30" s="114">
        <f t="shared" si="15"/>
        <v>1</v>
      </c>
      <c r="BE30" s="115">
        <f t="shared" si="16"/>
        <v>0.23245833333333332</v>
      </c>
      <c r="BF30" s="113">
        <f t="shared" si="17"/>
        <v>0</v>
      </c>
      <c r="BG30" s="104" t="s">
        <v>122</v>
      </c>
    </row>
    <row r="31" spans="1:59" ht="45" customHeight="1" x14ac:dyDescent="0.25">
      <c r="A31" s="2">
        <v>25</v>
      </c>
      <c r="B31" s="101" t="s">
        <v>58</v>
      </c>
      <c r="C31" s="31">
        <v>1</v>
      </c>
      <c r="D31" s="3" t="s">
        <v>24</v>
      </c>
      <c r="E31" s="31">
        <f t="shared" si="0"/>
        <v>24</v>
      </c>
      <c r="F31" s="31"/>
      <c r="G31" s="31"/>
      <c r="H31" s="103">
        <v>12.45</v>
      </c>
      <c r="I31" s="31"/>
      <c r="J31" s="31"/>
      <c r="K31" s="31"/>
      <c r="L31" s="31"/>
      <c r="M31" s="103">
        <v>12.8</v>
      </c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71">
        <v>13.2</v>
      </c>
      <c r="AK31" s="73">
        <f t="shared" si="1"/>
        <v>0.54999999999999993</v>
      </c>
      <c r="AL31" s="74">
        <f t="shared" si="2"/>
        <v>13.2</v>
      </c>
      <c r="AM31" s="32"/>
      <c r="AN31" s="33">
        <f t="shared" si="43"/>
        <v>0.54999999999999993</v>
      </c>
      <c r="AO31" s="33">
        <f t="shared" si="43"/>
        <v>13.2</v>
      </c>
      <c r="AP31" s="33">
        <f t="shared" si="3"/>
        <v>0.59949999999999992</v>
      </c>
      <c r="AQ31" s="33">
        <f t="shared" si="4"/>
        <v>14.387999999999998</v>
      </c>
      <c r="AR31" s="34">
        <v>1</v>
      </c>
      <c r="AS31" s="35">
        <f t="shared" si="5"/>
        <v>24</v>
      </c>
      <c r="AT31" s="35">
        <f t="shared" si="42"/>
        <v>0.40050000000000008</v>
      </c>
      <c r="AU31" s="35">
        <f t="shared" si="6"/>
        <v>9.6120000000000019</v>
      </c>
      <c r="AV31" s="36">
        <f t="shared" si="7"/>
        <v>0.40050000000000008</v>
      </c>
      <c r="AW31" s="39"/>
      <c r="AX31" s="112">
        <f t="shared" si="10"/>
        <v>1</v>
      </c>
      <c r="AY31" s="113">
        <v>0.16350000000000001</v>
      </c>
      <c r="AZ31" s="111">
        <f t="shared" si="11"/>
        <v>1.1635</v>
      </c>
      <c r="BA31" s="114">
        <f t="shared" si="12"/>
        <v>0.15</v>
      </c>
      <c r="BB31" s="114">
        <f t="shared" si="13"/>
        <v>1.35E-2</v>
      </c>
      <c r="BC31" s="114">
        <f t="shared" si="14"/>
        <v>0.16349999999999998</v>
      </c>
      <c r="BD31" s="114">
        <f t="shared" si="15"/>
        <v>1</v>
      </c>
      <c r="BE31" s="115">
        <f t="shared" si="16"/>
        <v>0.40050000000000008</v>
      </c>
      <c r="BF31" s="113">
        <f t="shared" si="17"/>
        <v>0</v>
      </c>
      <c r="BG31" s="104" t="s">
        <v>122</v>
      </c>
    </row>
    <row r="32" spans="1:59" ht="45" customHeight="1" x14ac:dyDescent="0.25">
      <c r="A32" s="2">
        <v>26</v>
      </c>
      <c r="B32" s="102" t="s">
        <v>59</v>
      </c>
      <c r="C32" s="31">
        <v>1</v>
      </c>
      <c r="D32" s="3" t="s">
        <v>24</v>
      </c>
      <c r="E32" s="31">
        <f t="shared" si="0"/>
        <v>24</v>
      </c>
      <c r="F32" s="103">
        <v>8.1</v>
      </c>
      <c r="G32" s="31"/>
      <c r="H32" s="103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103">
        <v>8.3000000000000007</v>
      </c>
      <c r="AC32" s="103"/>
      <c r="AD32" s="103"/>
      <c r="AE32" s="103"/>
      <c r="AF32" s="103"/>
      <c r="AG32" s="103"/>
      <c r="AH32" s="103"/>
      <c r="AI32" s="103"/>
      <c r="AJ32" s="71">
        <v>8.5</v>
      </c>
      <c r="AK32" s="73">
        <f t="shared" si="1"/>
        <v>0.35416666666666669</v>
      </c>
      <c r="AL32" s="74">
        <f t="shared" si="2"/>
        <v>8.5</v>
      </c>
      <c r="AM32" s="32"/>
      <c r="AN32" s="33">
        <f t="shared" si="43"/>
        <v>0.35416666666666669</v>
      </c>
      <c r="AO32" s="33">
        <f t="shared" si="43"/>
        <v>8.5</v>
      </c>
      <c r="AP32" s="33">
        <f t="shared" si="3"/>
        <v>0.38604166666666673</v>
      </c>
      <c r="AQ32" s="33">
        <f t="shared" si="4"/>
        <v>9.2650000000000006</v>
      </c>
      <c r="AR32" s="34">
        <v>0.55000000000000004</v>
      </c>
      <c r="AS32" s="35">
        <f t="shared" si="5"/>
        <v>13.200000000000001</v>
      </c>
      <c r="AT32" s="35">
        <f t="shared" si="42"/>
        <v>0.16395833333333332</v>
      </c>
      <c r="AU32" s="35">
        <f t="shared" si="6"/>
        <v>3.9349999999999996</v>
      </c>
      <c r="AV32" s="36">
        <f t="shared" si="7"/>
        <v>0.29810606060606054</v>
      </c>
      <c r="AW32" s="39"/>
      <c r="AX32" s="112">
        <f t="shared" si="10"/>
        <v>0.55000000000000004</v>
      </c>
      <c r="AY32" s="113">
        <v>0.16350000000000001</v>
      </c>
      <c r="AZ32" s="111">
        <f t="shared" si="11"/>
        <v>0.63992500000000008</v>
      </c>
      <c r="BA32" s="114">
        <f t="shared" si="12"/>
        <v>8.2500000000000032E-2</v>
      </c>
      <c r="BB32" s="114">
        <f t="shared" si="13"/>
        <v>7.4250000000000028E-3</v>
      </c>
      <c r="BC32" s="114">
        <f t="shared" si="14"/>
        <v>8.9925000000000033E-2</v>
      </c>
      <c r="BD32" s="114">
        <f t="shared" si="15"/>
        <v>0.55000000000000004</v>
      </c>
      <c r="BE32" s="115">
        <f t="shared" si="16"/>
        <v>0.29810606060606054</v>
      </c>
      <c r="BF32" s="113">
        <f t="shared" si="17"/>
        <v>0</v>
      </c>
      <c r="BG32" s="104">
        <v>0.85</v>
      </c>
    </row>
    <row r="33" spans="1:59" ht="45" customHeight="1" x14ac:dyDescent="0.25">
      <c r="A33" s="2">
        <v>27</v>
      </c>
      <c r="B33" s="100" t="s">
        <v>88</v>
      </c>
      <c r="C33" s="31">
        <v>1</v>
      </c>
      <c r="D33" s="3" t="s">
        <v>54</v>
      </c>
      <c r="E33" s="31">
        <f t="shared" si="0"/>
        <v>12</v>
      </c>
      <c r="F33" s="31"/>
      <c r="G33" s="31"/>
      <c r="H33" s="103"/>
      <c r="I33" s="31"/>
      <c r="J33" s="31"/>
      <c r="K33" s="31"/>
      <c r="L33" s="31"/>
      <c r="M33" s="31"/>
      <c r="N33" s="31"/>
      <c r="O33" s="31"/>
      <c r="P33" s="31"/>
      <c r="Q33" s="103">
        <v>7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71">
        <v>7</v>
      </c>
      <c r="AK33" s="73">
        <f t="shared" si="1"/>
        <v>0.58333333333333337</v>
      </c>
      <c r="AL33" s="74">
        <f t="shared" si="2"/>
        <v>7</v>
      </c>
      <c r="AM33" s="32"/>
      <c r="AN33" s="33">
        <f t="shared" si="43"/>
        <v>0.58333333333333337</v>
      </c>
      <c r="AO33" s="33">
        <f t="shared" si="43"/>
        <v>7</v>
      </c>
      <c r="AP33" s="33">
        <f t="shared" si="3"/>
        <v>0.63583333333333347</v>
      </c>
      <c r="AQ33" s="33">
        <f t="shared" si="4"/>
        <v>7.6300000000000017</v>
      </c>
      <c r="AR33" s="34"/>
      <c r="AS33" s="35">
        <f t="shared" si="5"/>
        <v>0</v>
      </c>
      <c r="AT33" s="35">
        <f t="shared" si="42"/>
        <v>-0.63583333333333347</v>
      </c>
      <c r="AU33" s="35">
        <f t="shared" si="6"/>
        <v>-7.6300000000000017</v>
      </c>
      <c r="AV33" s="36" t="e">
        <f t="shared" si="7"/>
        <v>#DIV/0!</v>
      </c>
      <c r="AW33" s="37"/>
      <c r="AX33" s="112">
        <f t="shared" si="10"/>
        <v>0</v>
      </c>
      <c r="AY33" s="113">
        <v>0.16350000000000001</v>
      </c>
      <c r="AZ33" s="111">
        <f t="shared" si="11"/>
        <v>0</v>
      </c>
      <c r="BA33" s="114">
        <f t="shared" si="12"/>
        <v>0</v>
      </c>
      <c r="BB33" s="114">
        <f t="shared" si="13"/>
        <v>0</v>
      </c>
      <c r="BC33" s="114">
        <f t="shared" si="14"/>
        <v>0</v>
      </c>
      <c r="BD33" s="114">
        <f t="shared" si="15"/>
        <v>0</v>
      </c>
      <c r="BE33" s="115" t="e">
        <f t="shared" si="16"/>
        <v>#DIV/0!</v>
      </c>
      <c r="BF33" s="113" t="e">
        <f t="shared" si="17"/>
        <v>#DIV/0!</v>
      </c>
      <c r="BG33" s="104" t="s">
        <v>122</v>
      </c>
    </row>
    <row r="34" spans="1:59" ht="45" customHeight="1" x14ac:dyDescent="0.25">
      <c r="A34" s="2">
        <v>27</v>
      </c>
      <c r="B34" s="100" t="s">
        <v>87</v>
      </c>
      <c r="C34" s="31">
        <v>1</v>
      </c>
      <c r="D34" s="3" t="s">
        <v>24</v>
      </c>
      <c r="E34" s="31">
        <f t="shared" ref="E34" si="44">D34*C34</f>
        <v>24</v>
      </c>
      <c r="F34" s="31"/>
      <c r="G34" s="31"/>
      <c r="H34" s="103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103">
        <v>13.5</v>
      </c>
      <c r="AC34" s="103"/>
      <c r="AD34" s="103"/>
      <c r="AE34" s="103"/>
      <c r="AF34" s="103"/>
      <c r="AG34" s="103"/>
      <c r="AH34" s="103"/>
      <c r="AI34" s="103"/>
      <c r="AJ34" s="71">
        <v>13.5</v>
      </c>
      <c r="AK34" s="73">
        <f t="shared" si="1"/>
        <v>0.5625</v>
      </c>
      <c r="AL34" s="74">
        <f t="shared" si="2"/>
        <v>13.5</v>
      </c>
      <c r="AM34" s="32"/>
      <c r="AN34" s="33">
        <f t="shared" ref="AN34" si="45">AK34/$AU$2</f>
        <v>0.5625</v>
      </c>
      <c r="AO34" s="33">
        <f t="shared" ref="AO34" si="46">AL34/$AU$2</f>
        <v>13.5</v>
      </c>
      <c r="AP34" s="33">
        <f t="shared" ref="AP34" si="47">AN34*(1+$AQ$56+9%)</f>
        <v>0.61312500000000003</v>
      </c>
      <c r="AQ34" s="33">
        <f t="shared" si="4"/>
        <v>14.715</v>
      </c>
      <c r="AR34" s="34"/>
      <c r="AS34" s="35">
        <f t="shared" si="5"/>
        <v>0</v>
      </c>
      <c r="AT34" s="35">
        <f t="shared" ref="AT34" si="48">AR34-AP34</f>
        <v>-0.61312500000000003</v>
      </c>
      <c r="AU34" s="35">
        <f t="shared" si="6"/>
        <v>-14.715</v>
      </c>
      <c r="AV34" s="36" t="e">
        <f t="shared" ref="AV34" si="49">AT34/AR34</f>
        <v>#DIV/0!</v>
      </c>
      <c r="AW34" s="37"/>
      <c r="AX34" s="112">
        <f t="shared" si="10"/>
        <v>0</v>
      </c>
      <c r="AY34" s="113">
        <v>0.16350000000000001</v>
      </c>
      <c r="AZ34" s="111">
        <f t="shared" si="11"/>
        <v>0</v>
      </c>
      <c r="BA34" s="114">
        <f t="shared" si="12"/>
        <v>0</v>
      </c>
      <c r="BB34" s="114">
        <f t="shared" si="13"/>
        <v>0</v>
      </c>
      <c r="BC34" s="114">
        <f t="shared" si="14"/>
        <v>0</v>
      </c>
      <c r="BD34" s="114">
        <f t="shared" si="15"/>
        <v>0</v>
      </c>
      <c r="BE34" s="115" t="e">
        <f t="shared" si="16"/>
        <v>#DIV/0!</v>
      </c>
      <c r="BF34" s="113" t="e">
        <f t="shared" si="17"/>
        <v>#DIV/0!</v>
      </c>
      <c r="BG34" s="104" t="s">
        <v>122</v>
      </c>
    </row>
    <row r="35" spans="1:59" ht="45" customHeight="1" x14ac:dyDescent="0.25">
      <c r="A35" s="2">
        <v>27</v>
      </c>
      <c r="B35" s="100" t="s">
        <v>60</v>
      </c>
      <c r="C35" s="31">
        <v>1</v>
      </c>
      <c r="D35" s="3" t="s">
        <v>24</v>
      </c>
      <c r="E35" s="31">
        <f t="shared" si="0"/>
        <v>24</v>
      </c>
      <c r="F35" s="31"/>
      <c r="G35" s="31"/>
      <c r="H35" s="103"/>
      <c r="I35" s="31"/>
      <c r="J35" s="31"/>
      <c r="K35" s="103">
        <v>8.9</v>
      </c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>
        <v>9.1999999999999993</v>
      </c>
      <c r="X35" s="103"/>
      <c r="Y35" s="103"/>
      <c r="Z35" s="103"/>
      <c r="AA35" s="103"/>
      <c r="AB35" s="103"/>
      <c r="AC35" s="103"/>
      <c r="AD35" s="103">
        <v>9.1999999999999993</v>
      </c>
      <c r="AE35" s="103"/>
      <c r="AF35" s="103"/>
      <c r="AG35" s="103"/>
      <c r="AH35" s="103"/>
      <c r="AI35" s="103"/>
      <c r="AJ35" s="71">
        <v>9.3000000000000007</v>
      </c>
      <c r="AK35" s="73">
        <f t="shared" si="1"/>
        <v>0.38750000000000001</v>
      </c>
      <c r="AL35" s="74">
        <f t="shared" si="2"/>
        <v>9.3000000000000007</v>
      </c>
      <c r="AM35" s="32"/>
      <c r="AN35" s="33">
        <f t="shared" si="43"/>
        <v>0.38750000000000001</v>
      </c>
      <c r="AO35" s="33">
        <f t="shared" si="43"/>
        <v>9.3000000000000007</v>
      </c>
      <c r="AP35" s="33">
        <f t="shared" si="3"/>
        <v>0.42237500000000006</v>
      </c>
      <c r="AQ35" s="33">
        <f t="shared" si="4"/>
        <v>10.137</v>
      </c>
      <c r="AR35" s="34">
        <v>0.65</v>
      </c>
      <c r="AS35" s="35">
        <f t="shared" si="5"/>
        <v>15.600000000000001</v>
      </c>
      <c r="AT35" s="35">
        <f t="shared" si="42"/>
        <v>0.22762499999999997</v>
      </c>
      <c r="AU35" s="35">
        <f t="shared" si="6"/>
        <v>5.4629999999999992</v>
      </c>
      <c r="AV35" s="36">
        <f t="shared" si="7"/>
        <v>0.35019230769230764</v>
      </c>
      <c r="AW35" s="37"/>
      <c r="AX35" s="112">
        <f t="shared" si="10"/>
        <v>0.65</v>
      </c>
      <c r="AY35" s="113">
        <v>0.16350000000000001</v>
      </c>
      <c r="AZ35" s="111">
        <f t="shared" si="11"/>
        <v>0.75627500000000003</v>
      </c>
      <c r="BA35" s="114">
        <f t="shared" si="12"/>
        <v>9.7500000000000017E-2</v>
      </c>
      <c r="BB35" s="114">
        <f t="shared" si="13"/>
        <v>8.7750000000000015E-3</v>
      </c>
      <c r="BC35" s="114">
        <f t="shared" si="14"/>
        <v>0.10627500000000001</v>
      </c>
      <c r="BD35" s="114">
        <f t="shared" si="15"/>
        <v>0.65</v>
      </c>
      <c r="BE35" s="115">
        <f t="shared" si="16"/>
        <v>0.35019230769230764</v>
      </c>
      <c r="BF35" s="113">
        <f t="shared" si="17"/>
        <v>0</v>
      </c>
      <c r="BG35" s="104">
        <v>0.85</v>
      </c>
    </row>
    <row r="36" spans="1:59" ht="45" customHeight="1" x14ac:dyDescent="0.25">
      <c r="A36" s="2">
        <v>28</v>
      </c>
      <c r="B36" s="100" t="s">
        <v>61</v>
      </c>
      <c r="C36" s="31">
        <v>1</v>
      </c>
      <c r="D36" s="3" t="s">
        <v>54</v>
      </c>
      <c r="E36" s="31">
        <f t="shared" si="0"/>
        <v>12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71">
        <v>14.8</v>
      </c>
      <c r="AK36" s="73">
        <f t="shared" si="1"/>
        <v>1.2333333333333334</v>
      </c>
      <c r="AL36" s="74">
        <f t="shared" si="2"/>
        <v>14.8</v>
      </c>
      <c r="AM36" s="32"/>
      <c r="AN36" s="33">
        <f t="shared" si="43"/>
        <v>1.2333333333333334</v>
      </c>
      <c r="AO36" s="33">
        <f t="shared" si="43"/>
        <v>14.8</v>
      </c>
      <c r="AP36" s="33">
        <f t="shared" si="3"/>
        <v>1.3443333333333336</v>
      </c>
      <c r="AQ36" s="33">
        <f t="shared" si="4"/>
        <v>16.132000000000005</v>
      </c>
      <c r="AR36" s="34">
        <v>1.95</v>
      </c>
      <c r="AS36" s="35">
        <f t="shared" si="5"/>
        <v>23.4</v>
      </c>
      <c r="AT36" s="35">
        <f t="shared" si="42"/>
        <v>0.60566666666666635</v>
      </c>
      <c r="AU36" s="35">
        <f t="shared" si="6"/>
        <v>7.2679999999999962</v>
      </c>
      <c r="AV36" s="36">
        <f t="shared" si="7"/>
        <v>0.31059829059829047</v>
      </c>
      <c r="AW36" s="38"/>
      <c r="AX36" s="112">
        <f t="shared" si="10"/>
        <v>1.95</v>
      </c>
      <c r="AY36" s="113">
        <v>0.16350000000000001</v>
      </c>
      <c r="AZ36" s="111">
        <f t="shared" si="11"/>
        <v>2.2688250000000001</v>
      </c>
      <c r="BA36" s="114">
        <f t="shared" si="12"/>
        <v>0.29250000000000015</v>
      </c>
      <c r="BB36" s="114">
        <f t="shared" si="13"/>
        <v>2.6325000000000012E-2</v>
      </c>
      <c r="BC36" s="114">
        <f t="shared" si="14"/>
        <v>0.31882500000000014</v>
      </c>
      <c r="BD36" s="114">
        <f t="shared" si="15"/>
        <v>1.95</v>
      </c>
      <c r="BE36" s="115">
        <f t="shared" si="16"/>
        <v>0.31059829059829047</v>
      </c>
      <c r="BF36" s="113">
        <f t="shared" si="17"/>
        <v>0</v>
      </c>
      <c r="BG36" s="104">
        <v>2.0499999999999998</v>
      </c>
    </row>
    <row r="37" spans="1:59" ht="45" customHeight="1" x14ac:dyDescent="0.25">
      <c r="A37" s="2">
        <v>29</v>
      </c>
      <c r="B37" s="100" t="s">
        <v>62</v>
      </c>
      <c r="C37" s="31">
        <v>1</v>
      </c>
      <c r="D37" s="3" t="s">
        <v>54</v>
      </c>
      <c r="E37" s="31">
        <f t="shared" si="0"/>
        <v>12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71">
        <v>14.8</v>
      </c>
      <c r="AK37" s="73">
        <f t="shared" si="1"/>
        <v>1.2333333333333334</v>
      </c>
      <c r="AL37" s="74">
        <f t="shared" si="2"/>
        <v>14.8</v>
      </c>
      <c r="AM37" s="32"/>
      <c r="AN37" s="33">
        <f t="shared" si="43"/>
        <v>1.2333333333333334</v>
      </c>
      <c r="AO37" s="33">
        <f t="shared" si="43"/>
        <v>14.8</v>
      </c>
      <c r="AP37" s="33">
        <f t="shared" si="3"/>
        <v>1.3443333333333336</v>
      </c>
      <c r="AQ37" s="33">
        <f t="shared" si="4"/>
        <v>16.132000000000005</v>
      </c>
      <c r="AR37" s="34">
        <v>1.95</v>
      </c>
      <c r="AS37" s="35">
        <f t="shared" si="5"/>
        <v>23.4</v>
      </c>
      <c r="AT37" s="35">
        <f t="shared" si="42"/>
        <v>0.60566666666666635</v>
      </c>
      <c r="AU37" s="35">
        <f t="shared" si="6"/>
        <v>7.2679999999999962</v>
      </c>
      <c r="AV37" s="36">
        <f t="shared" si="7"/>
        <v>0.31059829059829047</v>
      </c>
      <c r="AW37" s="39"/>
      <c r="AX37" s="112">
        <f t="shared" si="10"/>
        <v>1.95</v>
      </c>
      <c r="AY37" s="113">
        <v>0.16350000000000001</v>
      </c>
      <c r="AZ37" s="111">
        <f t="shared" si="11"/>
        <v>2.2688250000000001</v>
      </c>
      <c r="BA37" s="114">
        <f t="shared" si="12"/>
        <v>0.29250000000000015</v>
      </c>
      <c r="BB37" s="114">
        <f t="shared" si="13"/>
        <v>2.6325000000000012E-2</v>
      </c>
      <c r="BC37" s="114">
        <f t="shared" si="14"/>
        <v>0.31882500000000014</v>
      </c>
      <c r="BD37" s="114">
        <f t="shared" si="15"/>
        <v>1.95</v>
      </c>
      <c r="BE37" s="115">
        <f t="shared" si="16"/>
        <v>0.31059829059829047</v>
      </c>
      <c r="BF37" s="113">
        <f t="shared" si="17"/>
        <v>0</v>
      </c>
      <c r="BG37" s="104">
        <v>2.0499999999999998</v>
      </c>
    </row>
    <row r="38" spans="1:59" ht="45" customHeight="1" x14ac:dyDescent="0.25">
      <c r="A38" s="2">
        <v>30</v>
      </c>
      <c r="B38" s="101" t="s">
        <v>63</v>
      </c>
      <c r="C38" s="31">
        <v>1</v>
      </c>
      <c r="D38" s="3" t="s">
        <v>21</v>
      </c>
      <c r="E38" s="31">
        <f t="shared" si="0"/>
        <v>4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71">
        <v>24.2</v>
      </c>
      <c r="AK38" s="73">
        <f t="shared" si="1"/>
        <v>6.05</v>
      </c>
      <c r="AL38" s="74">
        <f t="shared" si="2"/>
        <v>24.2</v>
      </c>
      <c r="AM38" s="32"/>
      <c r="AN38" s="33">
        <f t="shared" si="43"/>
        <v>6.05</v>
      </c>
      <c r="AO38" s="33">
        <f t="shared" si="43"/>
        <v>24.2</v>
      </c>
      <c r="AP38" s="33">
        <f t="shared" si="3"/>
        <v>6.5945</v>
      </c>
      <c r="AQ38" s="33">
        <f t="shared" si="4"/>
        <v>26.378</v>
      </c>
      <c r="AR38" s="34">
        <v>8.5</v>
      </c>
      <c r="AS38" s="35">
        <f t="shared" si="5"/>
        <v>34</v>
      </c>
      <c r="AT38" s="35">
        <f t="shared" si="42"/>
        <v>1.9055</v>
      </c>
      <c r="AU38" s="35">
        <f t="shared" si="6"/>
        <v>7.6219999999999999</v>
      </c>
      <c r="AV38" s="36">
        <f t="shared" si="7"/>
        <v>0.22417647058823528</v>
      </c>
      <c r="AW38" s="39"/>
      <c r="AX38" s="112">
        <f t="shared" si="10"/>
        <v>8.5</v>
      </c>
      <c r="AY38" s="113">
        <v>0.16350000000000001</v>
      </c>
      <c r="AZ38" s="111">
        <f t="shared" si="11"/>
        <v>9.8897499999999994</v>
      </c>
      <c r="BA38" s="114">
        <f t="shared" si="12"/>
        <v>1.2749999999999995</v>
      </c>
      <c r="BB38" s="114">
        <f t="shared" si="13"/>
        <v>0.11474999999999995</v>
      </c>
      <c r="BC38" s="114">
        <f t="shared" si="14"/>
        <v>1.3897499999999994</v>
      </c>
      <c r="BD38" s="114">
        <f t="shared" si="15"/>
        <v>8.5</v>
      </c>
      <c r="BE38" s="115">
        <f t="shared" si="16"/>
        <v>0.22417647058823528</v>
      </c>
      <c r="BF38" s="113">
        <f t="shared" si="17"/>
        <v>0</v>
      </c>
      <c r="BG38" s="104" t="s">
        <v>122</v>
      </c>
    </row>
    <row r="39" spans="1:59" ht="45" customHeight="1" x14ac:dyDescent="0.25">
      <c r="A39" s="2">
        <v>31</v>
      </c>
      <c r="B39" s="101" t="s">
        <v>64</v>
      </c>
      <c r="C39" s="31">
        <v>1</v>
      </c>
      <c r="D39" s="3" t="s">
        <v>21</v>
      </c>
      <c r="E39" s="31">
        <f t="shared" si="0"/>
        <v>4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71">
        <v>24.8</v>
      </c>
      <c r="AK39" s="73">
        <f t="shared" si="1"/>
        <v>6.2</v>
      </c>
      <c r="AL39" s="74">
        <f t="shared" si="2"/>
        <v>24.8</v>
      </c>
      <c r="AM39" s="32"/>
      <c r="AN39" s="33">
        <f t="shared" si="43"/>
        <v>6.2</v>
      </c>
      <c r="AO39" s="33">
        <f t="shared" si="43"/>
        <v>24.8</v>
      </c>
      <c r="AP39" s="33">
        <f t="shared" si="3"/>
        <v>6.7580000000000009</v>
      </c>
      <c r="AQ39" s="33">
        <f t="shared" si="4"/>
        <v>27.032000000000004</v>
      </c>
      <c r="AR39" s="34">
        <v>8.5</v>
      </c>
      <c r="AS39" s="35">
        <f t="shared" si="5"/>
        <v>34</v>
      </c>
      <c r="AT39" s="35">
        <f t="shared" si="42"/>
        <v>1.7419999999999991</v>
      </c>
      <c r="AU39" s="35">
        <f t="shared" si="6"/>
        <v>6.9679999999999964</v>
      </c>
      <c r="AV39" s="36">
        <f t="shared" si="7"/>
        <v>0.20494117647058813</v>
      </c>
      <c r="AW39" s="39"/>
      <c r="AX39" s="112">
        <f t="shared" si="10"/>
        <v>8.5</v>
      </c>
      <c r="AY39" s="113">
        <v>0.16350000000000001</v>
      </c>
      <c r="AZ39" s="111">
        <f t="shared" si="11"/>
        <v>9.8897499999999994</v>
      </c>
      <c r="BA39" s="114">
        <f t="shared" si="12"/>
        <v>1.2749999999999995</v>
      </c>
      <c r="BB39" s="114">
        <f t="shared" si="13"/>
        <v>0.11474999999999995</v>
      </c>
      <c r="BC39" s="114">
        <f t="shared" si="14"/>
        <v>1.3897499999999994</v>
      </c>
      <c r="BD39" s="114">
        <f t="shared" si="15"/>
        <v>8.5</v>
      </c>
      <c r="BE39" s="115">
        <f t="shared" si="16"/>
        <v>0.20494117647058813</v>
      </c>
      <c r="BF39" s="113">
        <f t="shared" si="17"/>
        <v>0</v>
      </c>
      <c r="BG39" s="104" t="s">
        <v>122</v>
      </c>
    </row>
    <row r="40" spans="1:59" ht="45" customHeight="1" x14ac:dyDescent="0.25">
      <c r="A40" s="2">
        <v>32</v>
      </c>
      <c r="B40" s="100" t="s">
        <v>65</v>
      </c>
      <c r="C40" s="31">
        <v>1</v>
      </c>
      <c r="D40" s="3" t="s">
        <v>24</v>
      </c>
      <c r="E40" s="31">
        <f t="shared" si="0"/>
        <v>24</v>
      </c>
      <c r="F40" s="31"/>
      <c r="G40" s="103">
        <v>12.4</v>
      </c>
      <c r="H40" s="103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71">
        <v>12.3</v>
      </c>
      <c r="AK40" s="73">
        <f t="shared" si="1"/>
        <v>0.51250000000000007</v>
      </c>
      <c r="AL40" s="74">
        <f t="shared" si="2"/>
        <v>12.3</v>
      </c>
      <c r="AM40" s="32"/>
      <c r="AN40" s="33">
        <f t="shared" ref="AN40:AO42" si="50">AK40/$AU$2</f>
        <v>0.51250000000000007</v>
      </c>
      <c r="AO40" s="33">
        <f t="shared" si="50"/>
        <v>12.3</v>
      </c>
      <c r="AP40" s="33">
        <f t="shared" si="3"/>
        <v>0.55862500000000015</v>
      </c>
      <c r="AQ40" s="33">
        <f t="shared" si="4"/>
        <v>13.407000000000004</v>
      </c>
      <c r="AR40" s="34">
        <v>0.9</v>
      </c>
      <c r="AS40" s="35">
        <f t="shared" si="5"/>
        <v>21.6</v>
      </c>
      <c r="AT40" s="35">
        <f t="shared" si="42"/>
        <v>0.34137499999999987</v>
      </c>
      <c r="AU40" s="35">
        <f t="shared" si="6"/>
        <v>8.1929999999999978</v>
      </c>
      <c r="AV40" s="36">
        <f t="shared" si="7"/>
        <v>0.3793055555555554</v>
      </c>
      <c r="AW40" s="37"/>
      <c r="AX40" s="112">
        <f t="shared" si="10"/>
        <v>0.9</v>
      </c>
      <c r="AY40" s="113">
        <v>0.16350000000000001</v>
      </c>
      <c r="AZ40" s="111">
        <f t="shared" si="11"/>
        <v>1.04715</v>
      </c>
      <c r="BA40" s="114">
        <f t="shared" si="12"/>
        <v>0.13500000000000001</v>
      </c>
      <c r="BB40" s="114">
        <f t="shared" si="13"/>
        <v>1.2150000000000001E-2</v>
      </c>
      <c r="BC40" s="114">
        <f t="shared" si="14"/>
        <v>0.14715</v>
      </c>
      <c r="BD40" s="114">
        <f t="shared" si="15"/>
        <v>0.9</v>
      </c>
      <c r="BE40" s="115">
        <f t="shared" si="16"/>
        <v>0.3793055555555554</v>
      </c>
      <c r="BF40" s="113">
        <f t="shared" si="17"/>
        <v>0</v>
      </c>
      <c r="BG40" s="104" t="s">
        <v>122</v>
      </c>
    </row>
    <row r="41" spans="1:59" ht="45" customHeight="1" x14ac:dyDescent="0.25">
      <c r="A41" s="2">
        <v>33</v>
      </c>
      <c r="B41" s="100" t="s">
        <v>66</v>
      </c>
      <c r="C41" s="31">
        <v>1</v>
      </c>
      <c r="D41" s="3" t="s">
        <v>54</v>
      </c>
      <c r="E41" s="31">
        <f t="shared" si="0"/>
        <v>12</v>
      </c>
      <c r="F41" s="31"/>
      <c r="G41" s="31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71">
        <v>8.4499999999999993</v>
      </c>
      <c r="AK41" s="73">
        <f t="shared" si="1"/>
        <v>0.70416666666666661</v>
      </c>
      <c r="AL41" s="74">
        <f t="shared" si="2"/>
        <v>8.4499999999999993</v>
      </c>
      <c r="AM41" s="32"/>
      <c r="AN41" s="33">
        <f t="shared" si="50"/>
        <v>0.70416666666666661</v>
      </c>
      <c r="AO41" s="33">
        <f t="shared" si="50"/>
        <v>8.4499999999999993</v>
      </c>
      <c r="AP41" s="33">
        <f t="shared" si="3"/>
        <v>0.76754166666666668</v>
      </c>
      <c r="AQ41" s="33">
        <f t="shared" si="4"/>
        <v>9.2104999999999997</v>
      </c>
      <c r="AR41" s="34">
        <v>1</v>
      </c>
      <c r="AS41" s="35">
        <f t="shared" si="5"/>
        <v>12</v>
      </c>
      <c r="AT41" s="35">
        <f t="shared" si="42"/>
        <v>0.23245833333333332</v>
      </c>
      <c r="AU41" s="35">
        <f t="shared" si="6"/>
        <v>2.7894999999999999</v>
      </c>
      <c r="AV41" s="36">
        <f t="shared" si="7"/>
        <v>0.23245833333333332</v>
      </c>
      <c r="AW41" s="39"/>
      <c r="AX41" s="112">
        <f t="shared" si="10"/>
        <v>1</v>
      </c>
      <c r="AY41" s="113">
        <v>0.16350000000000001</v>
      </c>
      <c r="AZ41" s="111">
        <f t="shared" si="11"/>
        <v>1.1635</v>
      </c>
      <c r="BA41" s="114">
        <f t="shared" si="12"/>
        <v>0.15</v>
      </c>
      <c r="BB41" s="114">
        <f t="shared" si="13"/>
        <v>1.35E-2</v>
      </c>
      <c r="BC41" s="114">
        <f t="shared" si="14"/>
        <v>0.16349999999999998</v>
      </c>
      <c r="BD41" s="114">
        <f t="shared" si="15"/>
        <v>1</v>
      </c>
      <c r="BE41" s="115">
        <f t="shared" si="16"/>
        <v>0.23245833333333332</v>
      </c>
      <c r="BF41" s="113">
        <f t="shared" si="17"/>
        <v>0</v>
      </c>
      <c r="BG41" s="104" t="s">
        <v>122</v>
      </c>
    </row>
    <row r="42" spans="1:59" ht="45" customHeight="1" x14ac:dyDescent="0.25">
      <c r="A42" s="2">
        <v>34</v>
      </c>
      <c r="B42" s="101" t="s">
        <v>67</v>
      </c>
      <c r="C42" s="31">
        <v>1</v>
      </c>
      <c r="D42" s="3" t="s">
        <v>54</v>
      </c>
      <c r="E42" s="31">
        <f t="shared" si="0"/>
        <v>12</v>
      </c>
      <c r="F42" s="31"/>
      <c r="G42" s="31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71">
        <v>8.4499999999999993</v>
      </c>
      <c r="AK42" s="73">
        <f t="shared" si="1"/>
        <v>0.70416666666666661</v>
      </c>
      <c r="AL42" s="74">
        <f t="shared" si="2"/>
        <v>8.4499999999999993</v>
      </c>
      <c r="AM42" s="32"/>
      <c r="AN42" s="33">
        <f t="shared" si="50"/>
        <v>0.70416666666666661</v>
      </c>
      <c r="AO42" s="33">
        <f t="shared" si="50"/>
        <v>8.4499999999999993</v>
      </c>
      <c r="AP42" s="33">
        <f t="shared" si="3"/>
        <v>0.76754166666666668</v>
      </c>
      <c r="AQ42" s="33">
        <f t="shared" si="4"/>
        <v>9.2104999999999997</v>
      </c>
      <c r="AR42" s="34">
        <v>1</v>
      </c>
      <c r="AS42" s="35">
        <f t="shared" si="5"/>
        <v>12</v>
      </c>
      <c r="AT42" s="35">
        <f t="shared" si="42"/>
        <v>0.23245833333333332</v>
      </c>
      <c r="AU42" s="35">
        <f t="shared" si="6"/>
        <v>2.7894999999999999</v>
      </c>
      <c r="AV42" s="36">
        <f t="shared" si="7"/>
        <v>0.23245833333333332</v>
      </c>
      <c r="AW42" s="39"/>
      <c r="AX42" s="112">
        <f t="shared" si="10"/>
        <v>1</v>
      </c>
      <c r="AY42" s="113">
        <v>0.16350000000000001</v>
      </c>
      <c r="AZ42" s="111">
        <f t="shared" si="11"/>
        <v>1.1635</v>
      </c>
      <c r="BA42" s="114">
        <f t="shared" si="12"/>
        <v>0.15</v>
      </c>
      <c r="BB42" s="114">
        <f t="shared" si="13"/>
        <v>1.35E-2</v>
      </c>
      <c r="BC42" s="114">
        <f t="shared" si="14"/>
        <v>0.16349999999999998</v>
      </c>
      <c r="BD42" s="114">
        <f t="shared" si="15"/>
        <v>1</v>
      </c>
      <c r="BE42" s="115">
        <f t="shared" si="16"/>
        <v>0.23245833333333332</v>
      </c>
      <c r="BF42" s="113">
        <f t="shared" si="17"/>
        <v>0</v>
      </c>
      <c r="BG42" s="104" t="s">
        <v>122</v>
      </c>
    </row>
    <row r="43" spans="1:59" ht="45" customHeight="1" x14ac:dyDescent="0.25">
      <c r="A43" s="2">
        <v>35</v>
      </c>
      <c r="B43" s="100" t="s">
        <v>68</v>
      </c>
      <c r="C43" s="31">
        <v>1</v>
      </c>
      <c r="D43" s="3" t="s">
        <v>24</v>
      </c>
      <c r="E43" s="31">
        <f t="shared" si="0"/>
        <v>24</v>
      </c>
      <c r="F43" s="103">
        <v>12.65</v>
      </c>
      <c r="G43" s="31"/>
      <c r="H43" s="104"/>
      <c r="I43" s="103"/>
      <c r="J43" s="103"/>
      <c r="K43" s="103"/>
      <c r="L43" s="103"/>
      <c r="M43" s="103">
        <v>12.8</v>
      </c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71">
        <v>12.8</v>
      </c>
      <c r="AK43" s="73">
        <f t="shared" si="1"/>
        <v>0.53333333333333333</v>
      </c>
      <c r="AL43" s="74">
        <f t="shared" si="2"/>
        <v>12.8</v>
      </c>
      <c r="AM43" s="32"/>
      <c r="AN43" s="33">
        <f t="shared" ref="AN43:AO47" si="51">AK43/$AU$2</f>
        <v>0.53333333333333333</v>
      </c>
      <c r="AO43" s="33">
        <f t="shared" si="51"/>
        <v>12.8</v>
      </c>
      <c r="AP43" s="33">
        <f t="shared" si="3"/>
        <v>0.58133333333333337</v>
      </c>
      <c r="AQ43" s="33">
        <f t="shared" si="4"/>
        <v>13.952000000000002</v>
      </c>
      <c r="AR43" s="34">
        <v>0.9</v>
      </c>
      <c r="AS43" s="35">
        <f t="shared" si="5"/>
        <v>21.6</v>
      </c>
      <c r="AT43" s="35">
        <f t="shared" si="42"/>
        <v>0.31866666666666665</v>
      </c>
      <c r="AU43" s="35">
        <f t="shared" si="6"/>
        <v>7.6479999999999997</v>
      </c>
      <c r="AV43" s="36">
        <f t="shared" si="7"/>
        <v>0.35407407407407404</v>
      </c>
      <c r="AW43" s="37"/>
      <c r="AX43" s="112">
        <f t="shared" si="10"/>
        <v>0.9</v>
      </c>
      <c r="AY43" s="113">
        <v>0.16350000000000001</v>
      </c>
      <c r="AZ43" s="111">
        <f t="shared" si="11"/>
        <v>1.04715</v>
      </c>
      <c r="BA43" s="114">
        <f t="shared" si="12"/>
        <v>0.13500000000000001</v>
      </c>
      <c r="BB43" s="114">
        <f t="shared" si="13"/>
        <v>1.2150000000000001E-2</v>
      </c>
      <c r="BC43" s="114">
        <f t="shared" si="14"/>
        <v>0.14715</v>
      </c>
      <c r="BD43" s="114">
        <f t="shared" si="15"/>
        <v>0.9</v>
      </c>
      <c r="BE43" s="115">
        <f t="shared" si="16"/>
        <v>0.35407407407407404</v>
      </c>
      <c r="BF43" s="113">
        <f t="shared" si="17"/>
        <v>0</v>
      </c>
      <c r="BG43" s="104" t="s">
        <v>122</v>
      </c>
    </row>
    <row r="44" spans="1:59" ht="45" customHeight="1" x14ac:dyDescent="0.25">
      <c r="A44" s="2">
        <v>36</v>
      </c>
      <c r="B44" s="101" t="s">
        <v>69</v>
      </c>
      <c r="C44" s="31">
        <v>1</v>
      </c>
      <c r="D44" s="3" t="s">
        <v>24</v>
      </c>
      <c r="E44" s="31">
        <f t="shared" si="0"/>
        <v>24</v>
      </c>
      <c r="F44" s="103">
        <v>12.65</v>
      </c>
      <c r="G44" s="31"/>
      <c r="H44" s="104"/>
      <c r="I44" s="103"/>
      <c r="J44" s="103"/>
      <c r="K44" s="103"/>
      <c r="L44" s="103"/>
      <c r="M44" s="103">
        <v>12.8</v>
      </c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71">
        <v>12.8</v>
      </c>
      <c r="AK44" s="73">
        <f t="shared" si="1"/>
        <v>0.53333333333333333</v>
      </c>
      <c r="AL44" s="74">
        <f t="shared" si="2"/>
        <v>12.8</v>
      </c>
      <c r="AM44" s="32"/>
      <c r="AN44" s="33">
        <f t="shared" si="51"/>
        <v>0.53333333333333333</v>
      </c>
      <c r="AO44" s="33">
        <f t="shared" si="51"/>
        <v>12.8</v>
      </c>
      <c r="AP44" s="33">
        <f t="shared" si="3"/>
        <v>0.58133333333333337</v>
      </c>
      <c r="AQ44" s="33">
        <f t="shared" si="4"/>
        <v>13.952000000000002</v>
      </c>
      <c r="AR44" s="34">
        <v>0.9</v>
      </c>
      <c r="AS44" s="35">
        <f t="shared" si="5"/>
        <v>21.6</v>
      </c>
      <c r="AT44" s="35">
        <f t="shared" si="42"/>
        <v>0.31866666666666665</v>
      </c>
      <c r="AU44" s="35">
        <f t="shared" si="6"/>
        <v>7.6479999999999997</v>
      </c>
      <c r="AV44" s="36">
        <f t="shared" si="7"/>
        <v>0.35407407407407404</v>
      </c>
      <c r="AW44" s="39"/>
      <c r="AX44" s="112">
        <f t="shared" si="10"/>
        <v>0.9</v>
      </c>
      <c r="AY44" s="113">
        <v>0.16350000000000001</v>
      </c>
      <c r="AZ44" s="111">
        <f t="shared" si="11"/>
        <v>1.04715</v>
      </c>
      <c r="BA44" s="114">
        <f t="shared" si="12"/>
        <v>0.13500000000000001</v>
      </c>
      <c r="BB44" s="114">
        <f t="shared" si="13"/>
        <v>1.2150000000000001E-2</v>
      </c>
      <c r="BC44" s="114">
        <f t="shared" si="14"/>
        <v>0.14715</v>
      </c>
      <c r="BD44" s="114">
        <f t="shared" si="15"/>
        <v>0.9</v>
      </c>
      <c r="BE44" s="115">
        <f t="shared" si="16"/>
        <v>0.35407407407407404</v>
      </c>
      <c r="BF44" s="113">
        <f t="shared" si="17"/>
        <v>0</v>
      </c>
      <c r="BG44" s="104" t="s">
        <v>122</v>
      </c>
    </row>
    <row r="45" spans="1:59" ht="45" customHeight="1" x14ac:dyDescent="0.25">
      <c r="A45" s="2">
        <v>37</v>
      </c>
      <c r="B45" s="102" t="s">
        <v>85</v>
      </c>
      <c r="C45" s="31">
        <v>1</v>
      </c>
      <c r="D45" s="3" t="s">
        <v>24</v>
      </c>
      <c r="E45" s="31">
        <f t="shared" si="0"/>
        <v>24</v>
      </c>
      <c r="F45" s="103">
        <v>12.65</v>
      </c>
      <c r="G45" s="31"/>
      <c r="H45" s="104"/>
      <c r="I45" s="103"/>
      <c r="J45" s="103"/>
      <c r="K45" s="103"/>
      <c r="L45" s="103"/>
      <c r="M45" s="103">
        <v>12.8</v>
      </c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71">
        <v>12.8</v>
      </c>
      <c r="AK45" s="73">
        <f t="shared" si="1"/>
        <v>0.53333333333333333</v>
      </c>
      <c r="AL45" s="74">
        <f t="shared" si="2"/>
        <v>12.8</v>
      </c>
      <c r="AM45" s="32"/>
      <c r="AN45" s="33">
        <f t="shared" si="51"/>
        <v>0.53333333333333333</v>
      </c>
      <c r="AO45" s="33">
        <f t="shared" si="51"/>
        <v>12.8</v>
      </c>
      <c r="AP45" s="33">
        <f t="shared" si="3"/>
        <v>0.58133333333333337</v>
      </c>
      <c r="AQ45" s="33">
        <f t="shared" si="4"/>
        <v>13.952000000000002</v>
      </c>
      <c r="AR45" s="34">
        <v>0.9</v>
      </c>
      <c r="AS45" s="35">
        <f t="shared" si="5"/>
        <v>21.6</v>
      </c>
      <c r="AT45" s="35">
        <f t="shared" si="42"/>
        <v>0.31866666666666665</v>
      </c>
      <c r="AU45" s="35">
        <f t="shared" si="6"/>
        <v>7.6479999999999997</v>
      </c>
      <c r="AV45" s="36">
        <f t="shared" si="7"/>
        <v>0.35407407407407404</v>
      </c>
      <c r="AW45" s="39"/>
      <c r="AX45" s="112">
        <f t="shared" si="10"/>
        <v>0.9</v>
      </c>
      <c r="AY45" s="113">
        <v>0.16350000000000001</v>
      </c>
      <c r="AZ45" s="111">
        <f t="shared" si="11"/>
        <v>1.04715</v>
      </c>
      <c r="BA45" s="114">
        <f t="shared" si="12"/>
        <v>0.13500000000000001</v>
      </c>
      <c r="BB45" s="114">
        <f t="shared" si="13"/>
        <v>1.2150000000000001E-2</v>
      </c>
      <c r="BC45" s="114">
        <f t="shared" si="14"/>
        <v>0.14715</v>
      </c>
      <c r="BD45" s="114">
        <f t="shared" si="15"/>
        <v>0.9</v>
      </c>
      <c r="BE45" s="115">
        <f t="shared" si="16"/>
        <v>0.35407407407407404</v>
      </c>
      <c r="BF45" s="113">
        <f t="shared" si="17"/>
        <v>0</v>
      </c>
      <c r="BG45" s="104" t="s">
        <v>122</v>
      </c>
    </row>
    <row r="46" spans="1:59" ht="45" customHeight="1" x14ac:dyDescent="0.25">
      <c r="A46" s="2">
        <v>38</v>
      </c>
      <c r="B46" s="101" t="s">
        <v>70</v>
      </c>
      <c r="C46" s="31">
        <v>1</v>
      </c>
      <c r="D46" s="3" t="s">
        <v>24</v>
      </c>
      <c r="E46" s="31">
        <f t="shared" si="0"/>
        <v>24</v>
      </c>
      <c r="F46" s="103">
        <v>12.65</v>
      </c>
      <c r="G46" s="31"/>
      <c r="H46" s="104"/>
      <c r="I46" s="103"/>
      <c r="J46" s="103"/>
      <c r="K46" s="103"/>
      <c r="L46" s="103"/>
      <c r="M46" s="103">
        <v>12.8</v>
      </c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71">
        <v>12.8</v>
      </c>
      <c r="AK46" s="73">
        <f t="shared" si="1"/>
        <v>0.53333333333333333</v>
      </c>
      <c r="AL46" s="74">
        <f t="shared" si="2"/>
        <v>12.8</v>
      </c>
      <c r="AM46" s="32"/>
      <c r="AN46" s="33">
        <f t="shared" si="51"/>
        <v>0.53333333333333333</v>
      </c>
      <c r="AO46" s="33">
        <f t="shared" si="51"/>
        <v>12.8</v>
      </c>
      <c r="AP46" s="33">
        <f t="shared" si="3"/>
        <v>0.58133333333333337</v>
      </c>
      <c r="AQ46" s="33">
        <f t="shared" si="4"/>
        <v>13.952000000000002</v>
      </c>
      <c r="AR46" s="34">
        <v>0.9</v>
      </c>
      <c r="AS46" s="35">
        <f t="shared" si="5"/>
        <v>21.6</v>
      </c>
      <c r="AT46" s="35">
        <f t="shared" si="42"/>
        <v>0.31866666666666665</v>
      </c>
      <c r="AU46" s="35">
        <f t="shared" si="6"/>
        <v>7.6479999999999997</v>
      </c>
      <c r="AV46" s="36">
        <f t="shared" si="7"/>
        <v>0.35407407407407404</v>
      </c>
      <c r="AW46" s="39"/>
      <c r="AX46" s="112">
        <f t="shared" si="10"/>
        <v>0.9</v>
      </c>
      <c r="AY46" s="113">
        <v>0.16350000000000001</v>
      </c>
      <c r="AZ46" s="111">
        <f t="shared" si="11"/>
        <v>1.04715</v>
      </c>
      <c r="BA46" s="114">
        <f t="shared" si="12"/>
        <v>0.13500000000000001</v>
      </c>
      <c r="BB46" s="114">
        <f t="shared" si="13"/>
        <v>1.2150000000000001E-2</v>
      </c>
      <c r="BC46" s="114">
        <f t="shared" si="14"/>
        <v>0.14715</v>
      </c>
      <c r="BD46" s="114">
        <f t="shared" si="15"/>
        <v>0.9</v>
      </c>
      <c r="BE46" s="115">
        <f t="shared" si="16"/>
        <v>0.35407407407407404</v>
      </c>
      <c r="BF46" s="113">
        <f t="shared" si="17"/>
        <v>0</v>
      </c>
      <c r="BG46" s="104" t="s">
        <v>122</v>
      </c>
    </row>
    <row r="47" spans="1:59" ht="45" customHeight="1" x14ac:dyDescent="0.25">
      <c r="A47" s="2">
        <v>39</v>
      </c>
      <c r="B47" s="100" t="s">
        <v>83</v>
      </c>
      <c r="C47" s="31">
        <v>1</v>
      </c>
      <c r="D47" s="3" t="s">
        <v>54</v>
      </c>
      <c r="E47" s="31">
        <f t="shared" si="0"/>
        <v>12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103">
        <v>12.45</v>
      </c>
      <c r="T47" s="103"/>
      <c r="U47" s="31"/>
      <c r="V47" s="31"/>
      <c r="W47" s="31"/>
      <c r="X47" s="31"/>
      <c r="Y47" s="31"/>
      <c r="Z47" s="31"/>
      <c r="AA47" s="103">
        <v>12.6</v>
      </c>
      <c r="AB47" s="103"/>
      <c r="AC47" s="103"/>
      <c r="AD47" s="103"/>
      <c r="AE47" s="103"/>
      <c r="AF47" s="103"/>
      <c r="AG47" s="103"/>
      <c r="AH47" s="103"/>
      <c r="AI47" s="103"/>
      <c r="AJ47" s="71">
        <v>12.9</v>
      </c>
      <c r="AK47" s="73">
        <f t="shared" si="1"/>
        <v>1.075</v>
      </c>
      <c r="AL47" s="74">
        <f t="shared" si="2"/>
        <v>12.899999999999999</v>
      </c>
      <c r="AM47" s="32"/>
      <c r="AN47" s="33">
        <f t="shared" si="51"/>
        <v>1.075</v>
      </c>
      <c r="AO47" s="33">
        <f t="shared" si="51"/>
        <v>12.899999999999999</v>
      </c>
      <c r="AP47" s="33">
        <f t="shared" si="3"/>
        <v>1.1717500000000001</v>
      </c>
      <c r="AQ47" s="33">
        <f t="shared" si="4"/>
        <v>14.061</v>
      </c>
      <c r="AR47" s="34"/>
      <c r="AS47" s="35">
        <f t="shared" si="5"/>
        <v>0</v>
      </c>
      <c r="AT47" s="35">
        <f t="shared" ref="AT47" si="52">AR47-AP47</f>
        <v>-1.1717500000000001</v>
      </c>
      <c r="AU47" s="35">
        <f t="shared" si="6"/>
        <v>-14.061</v>
      </c>
      <c r="AV47" s="36" t="e">
        <f t="shared" si="7"/>
        <v>#DIV/0!</v>
      </c>
      <c r="AW47" s="37"/>
      <c r="AX47" s="112">
        <f t="shared" si="10"/>
        <v>0</v>
      </c>
      <c r="AY47" s="113">
        <v>0.16350000000000001</v>
      </c>
      <c r="AZ47" s="111">
        <f t="shared" si="11"/>
        <v>0</v>
      </c>
      <c r="BA47" s="114">
        <f t="shared" si="12"/>
        <v>0</v>
      </c>
      <c r="BB47" s="114">
        <f t="shared" si="13"/>
        <v>0</v>
      </c>
      <c r="BC47" s="114">
        <f t="shared" si="14"/>
        <v>0</v>
      </c>
      <c r="BD47" s="114">
        <f t="shared" si="15"/>
        <v>0</v>
      </c>
      <c r="BE47" s="115" t="e">
        <f t="shared" si="16"/>
        <v>#DIV/0!</v>
      </c>
      <c r="BF47" s="113" t="e">
        <f t="shared" si="17"/>
        <v>#DIV/0!</v>
      </c>
      <c r="BG47" s="104">
        <v>1.55</v>
      </c>
    </row>
    <row r="48" spans="1:59" ht="45" customHeight="1" x14ac:dyDescent="0.25">
      <c r="A48" s="2">
        <v>40</v>
      </c>
      <c r="B48" s="100" t="s">
        <v>78</v>
      </c>
      <c r="C48" s="31">
        <v>1</v>
      </c>
      <c r="D48" s="3" t="s">
        <v>80</v>
      </c>
      <c r="E48" s="31">
        <f t="shared" ref="E48:E52" si="53">D48*C48</f>
        <v>72</v>
      </c>
      <c r="F48" s="31"/>
      <c r="G48" s="31"/>
      <c r="H48" s="31"/>
      <c r="I48" s="103">
        <v>133.19999999999999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103">
        <v>136.80000000000001</v>
      </c>
      <c r="AE48" s="103"/>
      <c r="AF48" s="103"/>
      <c r="AG48" s="103"/>
      <c r="AH48" s="103"/>
      <c r="AI48" s="103"/>
      <c r="AJ48" s="71">
        <v>133.19999999999999</v>
      </c>
      <c r="AK48" s="73">
        <f t="shared" si="1"/>
        <v>1.8499999999999999</v>
      </c>
      <c r="AL48" s="74">
        <f t="shared" si="2"/>
        <v>133.19999999999999</v>
      </c>
      <c r="AM48" s="32"/>
      <c r="AN48" s="33">
        <f t="shared" ref="AN48:AO52" si="54">AK48/$AU$2</f>
        <v>1.8499999999999999</v>
      </c>
      <c r="AO48" s="33">
        <f t="shared" si="54"/>
        <v>133.19999999999999</v>
      </c>
      <c r="AP48" s="33">
        <f t="shared" si="3"/>
        <v>2.0165000000000002</v>
      </c>
      <c r="AQ48" s="33">
        <f t="shared" si="4"/>
        <v>145.18800000000002</v>
      </c>
      <c r="AR48" s="34">
        <v>2.95</v>
      </c>
      <c r="AS48" s="35">
        <f t="shared" si="5"/>
        <v>212.4</v>
      </c>
      <c r="AT48" s="35">
        <f t="shared" si="42"/>
        <v>0.9335</v>
      </c>
      <c r="AU48" s="35">
        <f t="shared" si="6"/>
        <v>67.212000000000003</v>
      </c>
      <c r="AV48" s="36">
        <f t="shared" ref="AV48:AV49" si="55">AT48/AR48</f>
        <v>0.3164406779661017</v>
      </c>
      <c r="AW48" s="37"/>
      <c r="AX48" s="112">
        <f t="shared" si="10"/>
        <v>2.95</v>
      </c>
      <c r="AY48" s="113">
        <v>0.16350000000000001</v>
      </c>
      <c r="AZ48" s="111">
        <f t="shared" si="11"/>
        <v>3.4323250000000001</v>
      </c>
      <c r="BA48" s="114">
        <f t="shared" si="12"/>
        <v>0.44249999999999995</v>
      </c>
      <c r="BB48" s="114">
        <f t="shared" si="13"/>
        <v>3.9824999999999992E-2</v>
      </c>
      <c r="BC48" s="114">
        <f t="shared" si="14"/>
        <v>0.48232499999999989</v>
      </c>
      <c r="BD48" s="114">
        <f t="shared" si="15"/>
        <v>2.95</v>
      </c>
      <c r="BE48" s="115">
        <f t="shared" si="16"/>
        <v>0.3164406779661017</v>
      </c>
      <c r="BF48" s="113">
        <f t="shared" si="17"/>
        <v>0</v>
      </c>
      <c r="BG48" s="104" t="s">
        <v>122</v>
      </c>
    </row>
    <row r="49" spans="1:59" ht="45" customHeight="1" x14ac:dyDescent="0.25">
      <c r="A49" s="2">
        <v>41</v>
      </c>
      <c r="B49" s="100" t="s">
        <v>81</v>
      </c>
      <c r="C49" s="31">
        <v>1</v>
      </c>
      <c r="D49" s="3" t="s">
        <v>80</v>
      </c>
      <c r="E49" s="31">
        <f t="shared" si="53"/>
        <v>72</v>
      </c>
      <c r="F49" s="31"/>
      <c r="G49" s="31"/>
      <c r="H49" s="31"/>
      <c r="I49" s="103">
        <v>133.19999999999999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103">
        <v>136.80000000000001</v>
      </c>
      <c r="AE49" s="103"/>
      <c r="AF49" s="103"/>
      <c r="AG49" s="103"/>
      <c r="AH49" s="103"/>
      <c r="AI49" s="103"/>
      <c r="AJ49" s="71">
        <v>133.19999999999999</v>
      </c>
      <c r="AK49" s="73">
        <f t="shared" si="1"/>
        <v>1.8499999999999999</v>
      </c>
      <c r="AL49" s="74">
        <f t="shared" si="2"/>
        <v>133.19999999999999</v>
      </c>
      <c r="AM49" s="32"/>
      <c r="AN49" s="33">
        <f t="shared" si="54"/>
        <v>1.8499999999999999</v>
      </c>
      <c r="AO49" s="33">
        <f t="shared" si="54"/>
        <v>133.19999999999999</v>
      </c>
      <c r="AP49" s="33">
        <f t="shared" ref="AP49" si="56">AN49*(1+$AQ$56+9%)</f>
        <v>2.0165000000000002</v>
      </c>
      <c r="AQ49" s="33">
        <f t="shared" si="4"/>
        <v>145.18800000000002</v>
      </c>
      <c r="AR49" s="34">
        <v>2.95</v>
      </c>
      <c r="AS49" s="35">
        <f t="shared" si="5"/>
        <v>212.4</v>
      </c>
      <c r="AT49" s="35">
        <f t="shared" ref="AT49" si="57">AR49-AP49</f>
        <v>0.9335</v>
      </c>
      <c r="AU49" s="35">
        <f t="shared" si="6"/>
        <v>67.212000000000003</v>
      </c>
      <c r="AV49" s="36">
        <f t="shared" si="55"/>
        <v>0.3164406779661017</v>
      </c>
      <c r="AW49" s="37"/>
      <c r="AX49" s="112">
        <f t="shared" si="10"/>
        <v>2.95</v>
      </c>
      <c r="AY49" s="113">
        <v>0.16350000000000001</v>
      </c>
      <c r="AZ49" s="111">
        <f t="shared" si="11"/>
        <v>3.4323250000000001</v>
      </c>
      <c r="BA49" s="114">
        <f t="shared" si="12"/>
        <v>0.44249999999999995</v>
      </c>
      <c r="BB49" s="114">
        <f t="shared" si="13"/>
        <v>3.9824999999999992E-2</v>
      </c>
      <c r="BC49" s="114">
        <f t="shared" si="14"/>
        <v>0.48232499999999989</v>
      </c>
      <c r="BD49" s="114">
        <f t="shared" si="15"/>
        <v>2.95</v>
      </c>
      <c r="BE49" s="115">
        <f t="shared" si="16"/>
        <v>0.3164406779661017</v>
      </c>
      <c r="BF49" s="113">
        <f t="shared" si="17"/>
        <v>0</v>
      </c>
      <c r="BG49" s="104" t="s">
        <v>122</v>
      </c>
    </row>
    <row r="50" spans="1:59" ht="45" customHeight="1" x14ac:dyDescent="0.25">
      <c r="A50" s="2">
        <v>42</v>
      </c>
      <c r="B50" s="100" t="s">
        <v>79</v>
      </c>
      <c r="C50" s="31">
        <v>1</v>
      </c>
      <c r="D50" s="3" t="s">
        <v>80</v>
      </c>
      <c r="E50" s="31">
        <f t="shared" ref="E50" si="58">D50*C50</f>
        <v>72</v>
      </c>
      <c r="F50" s="31"/>
      <c r="G50" s="31"/>
      <c r="H50" s="31"/>
      <c r="I50" s="103">
        <v>133.19999999999999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103">
        <v>136.80000000000001</v>
      </c>
      <c r="AE50" s="103"/>
      <c r="AF50" s="103"/>
      <c r="AG50" s="103"/>
      <c r="AH50" s="103"/>
      <c r="AI50" s="103"/>
      <c r="AJ50" s="71">
        <v>133.19999999999999</v>
      </c>
      <c r="AK50" s="73">
        <f t="shared" si="1"/>
        <v>1.8499999999999999</v>
      </c>
      <c r="AL50" s="74">
        <f t="shared" si="2"/>
        <v>133.19999999999999</v>
      </c>
      <c r="AM50" s="32"/>
      <c r="AN50" s="33">
        <f t="shared" ref="AN50" si="59">AK50/$AU$2</f>
        <v>1.8499999999999999</v>
      </c>
      <c r="AO50" s="33">
        <f t="shared" ref="AO50" si="60">AL50/$AU$2</f>
        <v>133.19999999999999</v>
      </c>
      <c r="AP50" s="33">
        <f>AN50*(1+$AQ$56+9%)</f>
        <v>2.0165000000000002</v>
      </c>
      <c r="AQ50" s="33">
        <f t="shared" si="4"/>
        <v>145.18800000000002</v>
      </c>
      <c r="AR50" s="34">
        <v>2.95</v>
      </c>
      <c r="AS50" s="35">
        <f t="shared" si="5"/>
        <v>212.4</v>
      </c>
      <c r="AT50" s="35">
        <f t="shared" si="42"/>
        <v>0.9335</v>
      </c>
      <c r="AU50" s="35">
        <f t="shared" si="6"/>
        <v>67.212000000000003</v>
      </c>
      <c r="AV50" s="36">
        <f t="shared" ref="AV50" si="61">AT50/AR50</f>
        <v>0.3164406779661017</v>
      </c>
      <c r="AW50" s="37"/>
      <c r="AX50" s="112">
        <f t="shared" si="10"/>
        <v>2.95</v>
      </c>
      <c r="AY50" s="113">
        <v>0.16350000000000001</v>
      </c>
      <c r="AZ50" s="111">
        <f t="shared" si="11"/>
        <v>3.4323250000000001</v>
      </c>
      <c r="BA50" s="114">
        <f t="shared" si="12"/>
        <v>0.44249999999999995</v>
      </c>
      <c r="BB50" s="114">
        <f t="shared" si="13"/>
        <v>3.9824999999999992E-2</v>
      </c>
      <c r="BC50" s="114">
        <f t="shared" si="14"/>
        <v>0.48232499999999989</v>
      </c>
      <c r="BD50" s="114">
        <f t="shared" si="15"/>
        <v>2.95</v>
      </c>
      <c r="BE50" s="115">
        <f t="shared" si="16"/>
        <v>0.3164406779661017</v>
      </c>
      <c r="BF50" s="113">
        <f t="shared" si="17"/>
        <v>0</v>
      </c>
      <c r="BG50" s="104" t="s">
        <v>122</v>
      </c>
    </row>
    <row r="51" spans="1:59" ht="45" customHeight="1" x14ac:dyDescent="0.25">
      <c r="A51" s="2">
        <v>43</v>
      </c>
      <c r="B51" s="100" t="s">
        <v>71</v>
      </c>
      <c r="C51" s="31">
        <v>1</v>
      </c>
      <c r="D51" s="3" t="s">
        <v>24</v>
      </c>
      <c r="E51" s="31">
        <f t="shared" si="53"/>
        <v>24</v>
      </c>
      <c r="F51" s="31"/>
      <c r="G51" s="103">
        <v>13.7</v>
      </c>
      <c r="H51" s="31"/>
      <c r="I51" s="31"/>
      <c r="J51" s="31"/>
      <c r="K51" s="31"/>
      <c r="L51" s="103">
        <v>12.8</v>
      </c>
      <c r="M51" s="103"/>
      <c r="N51" s="103"/>
      <c r="O51" s="103"/>
      <c r="P51" s="103"/>
      <c r="Q51" s="103"/>
      <c r="R51" s="103">
        <v>13.8</v>
      </c>
      <c r="S51" s="103"/>
      <c r="T51" s="103"/>
      <c r="U51" s="103"/>
      <c r="V51" s="103"/>
      <c r="W51" s="103"/>
      <c r="X51" s="103"/>
      <c r="Y51" s="103">
        <v>13.9</v>
      </c>
      <c r="Z51" s="103"/>
      <c r="AA51" s="103"/>
      <c r="AB51" s="103"/>
      <c r="AC51" s="103"/>
      <c r="AD51" s="103">
        <v>13.2</v>
      </c>
      <c r="AE51" s="103"/>
      <c r="AF51" s="103"/>
      <c r="AG51" s="103"/>
      <c r="AH51" s="103"/>
      <c r="AI51" s="103"/>
      <c r="AJ51" s="71">
        <v>13.2</v>
      </c>
      <c r="AK51" s="73">
        <f t="shared" si="1"/>
        <v>0.54999999999999993</v>
      </c>
      <c r="AL51" s="74">
        <f t="shared" si="2"/>
        <v>13.2</v>
      </c>
      <c r="AM51" s="32"/>
      <c r="AN51" s="33">
        <f t="shared" si="54"/>
        <v>0.54999999999999993</v>
      </c>
      <c r="AO51" s="33">
        <f t="shared" si="54"/>
        <v>13.2</v>
      </c>
      <c r="AP51" s="33">
        <f>AN51*(1+$AQ$56+9%)</f>
        <v>0.59949999999999992</v>
      </c>
      <c r="AQ51" s="33">
        <f t="shared" si="4"/>
        <v>14.387999999999998</v>
      </c>
      <c r="AR51" s="34">
        <v>0.9</v>
      </c>
      <c r="AS51" s="35">
        <f t="shared" si="5"/>
        <v>21.6</v>
      </c>
      <c r="AT51" s="35">
        <f t="shared" si="42"/>
        <v>0.3005000000000001</v>
      </c>
      <c r="AU51" s="35">
        <f t="shared" si="6"/>
        <v>7.2120000000000024</v>
      </c>
      <c r="AV51" s="36">
        <f t="shared" ref="AV51:AV52" si="62">AT51/AR51</f>
        <v>0.33388888888888901</v>
      </c>
      <c r="AW51" s="37"/>
      <c r="AX51" s="112">
        <f t="shared" si="10"/>
        <v>0.9</v>
      </c>
      <c r="AY51" s="113">
        <v>0.16350000000000001</v>
      </c>
      <c r="AZ51" s="111">
        <f t="shared" si="11"/>
        <v>1.04715</v>
      </c>
      <c r="BA51" s="114">
        <f t="shared" si="12"/>
        <v>0.13500000000000001</v>
      </c>
      <c r="BB51" s="114">
        <f t="shared" si="13"/>
        <v>1.2150000000000001E-2</v>
      </c>
      <c r="BC51" s="114">
        <f t="shared" si="14"/>
        <v>0.14715</v>
      </c>
      <c r="BD51" s="114">
        <f t="shared" si="15"/>
        <v>0.9</v>
      </c>
      <c r="BE51" s="115">
        <f t="shared" si="16"/>
        <v>0.33388888888888901</v>
      </c>
      <c r="BF51" s="113">
        <f t="shared" si="17"/>
        <v>0</v>
      </c>
      <c r="BG51" s="104" t="s">
        <v>122</v>
      </c>
    </row>
    <row r="52" spans="1:59" ht="45" customHeight="1" x14ac:dyDescent="0.25">
      <c r="A52" s="2">
        <v>44</v>
      </c>
      <c r="B52" s="100" t="s">
        <v>72</v>
      </c>
      <c r="C52" s="31">
        <v>1</v>
      </c>
      <c r="D52" s="3" t="s">
        <v>24</v>
      </c>
      <c r="E52" s="31">
        <f t="shared" si="53"/>
        <v>24</v>
      </c>
      <c r="F52" s="31"/>
      <c r="G52" s="103">
        <v>13.7</v>
      </c>
      <c r="H52" s="103"/>
      <c r="I52" s="103"/>
      <c r="J52" s="103"/>
      <c r="K52" s="103"/>
      <c r="L52" s="103">
        <v>12.8</v>
      </c>
      <c r="M52" s="103"/>
      <c r="N52" s="103"/>
      <c r="O52" s="103"/>
      <c r="P52" s="103"/>
      <c r="Q52" s="103"/>
      <c r="R52" s="103"/>
      <c r="S52" s="103"/>
      <c r="T52" s="103"/>
      <c r="U52" s="103">
        <v>13.8</v>
      </c>
      <c r="V52" s="103"/>
      <c r="W52" s="103"/>
      <c r="X52" s="103"/>
      <c r="Y52" s="103">
        <v>13.9</v>
      </c>
      <c r="Z52" s="103"/>
      <c r="AA52" s="103"/>
      <c r="AB52" s="103"/>
      <c r="AC52" s="103"/>
      <c r="AD52" s="103">
        <v>13.2</v>
      </c>
      <c r="AE52" s="103"/>
      <c r="AF52" s="103"/>
      <c r="AG52" s="103"/>
      <c r="AH52" s="103"/>
      <c r="AI52" s="103"/>
      <c r="AJ52" s="71">
        <v>13.2</v>
      </c>
      <c r="AK52" s="73">
        <f t="shared" si="1"/>
        <v>0.54999999999999993</v>
      </c>
      <c r="AL52" s="74">
        <f t="shared" si="2"/>
        <v>13.2</v>
      </c>
      <c r="AM52" s="32"/>
      <c r="AN52" s="33">
        <f t="shared" si="54"/>
        <v>0.54999999999999993</v>
      </c>
      <c r="AO52" s="33">
        <f t="shared" si="54"/>
        <v>13.2</v>
      </c>
      <c r="AP52" s="33">
        <f>AN52*(1+$AQ$56+9%)</f>
        <v>0.59949999999999992</v>
      </c>
      <c r="AQ52" s="33">
        <f t="shared" si="4"/>
        <v>14.387999999999998</v>
      </c>
      <c r="AR52" s="34">
        <v>0.9</v>
      </c>
      <c r="AS52" s="35">
        <f t="shared" si="5"/>
        <v>21.6</v>
      </c>
      <c r="AT52" s="35">
        <f t="shared" si="42"/>
        <v>0.3005000000000001</v>
      </c>
      <c r="AU52" s="35">
        <f t="shared" si="6"/>
        <v>7.2120000000000024</v>
      </c>
      <c r="AV52" s="36">
        <f t="shared" si="62"/>
        <v>0.33388888888888901</v>
      </c>
      <c r="AW52" s="38"/>
      <c r="AX52" s="112">
        <f t="shared" si="10"/>
        <v>0.9</v>
      </c>
      <c r="AY52" s="113">
        <v>0.16350000000000001</v>
      </c>
      <c r="AZ52" s="111">
        <f t="shared" si="11"/>
        <v>1.04715</v>
      </c>
      <c r="BA52" s="114">
        <f t="shared" si="12"/>
        <v>0.13500000000000001</v>
      </c>
      <c r="BB52" s="114">
        <f t="shared" si="13"/>
        <v>1.2150000000000001E-2</v>
      </c>
      <c r="BC52" s="114">
        <f t="shared" si="14"/>
        <v>0.14715</v>
      </c>
      <c r="BD52" s="114">
        <f t="shared" si="15"/>
        <v>0.9</v>
      </c>
      <c r="BE52" s="115">
        <f t="shared" si="16"/>
        <v>0.33388888888888901</v>
      </c>
      <c r="BF52" s="113">
        <f t="shared" si="17"/>
        <v>0</v>
      </c>
      <c r="BG52" s="104" t="s">
        <v>122</v>
      </c>
    </row>
    <row r="53" spans="1:59" ht="30.75" thickBot="1" x14ac:dyDescent="0.3">
      <c r="A53" s="138" t="s">
        <v>25</v>
      </c>
      <c r="B53" s="139"/>
      <c r="C53" s="139"/>
      <c r="D53" s="140"/>
      <c r="E53" s="75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144" t="s">
        <v>26</v>
      </c>
      <c r="AL53" s="146">
        <f>SUM(AL7:AL52)</f>
        <v>863.80000000000018</v>
      </c>
      <c r="AM53" s="93"/>
      <c r="AN53" s="77" t="s">
        <v>27</v>
      </c>
      <c r="AO53" s="78">
        <f>SUM(AO7:AO52)</f>
        <v>863.80000000000018</v>
      </c>
      <c r="AP53" s="148" t="s">
        <v>28</v>
      </c>
      <c r="AQ53" s="149"/>
      <c r="AR53" s="150">
        <f>SUM(AS7:AS52)</f>
        <v>1299.3999999999999</v>
      </c>
      <c r="AS53" s="151"/>
      <c r="AT53" s="152" t="s">
        <v>29</v>
      </c>
      <c r="AU53" s="153"/>
      <c r="AV53" s="156">
        <f>AR53-AO56</f>
        <v>357.85799999999972</v>
      </c>
      <c r="AW53" s="94"/>
      <c r="BC53" s="110"/>
      <c r="BD53" s="110"/>
      <c r="BF53" s="109"/>
    </row>
    <row r="54" spans="1:59" ht="16.5" thickBot="1" x14ac:dyDescent="0.3">
      <c r="A54" s="138"/>
      <c r="B54" s="139"/>
      <c r="C54" s="139"/>
      <c r="D54" s="140"/>
      <c r="E54" s="75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145"/>
      <c r="AL54" s="147"/>
      <c r="AM54" s="95"/>
      <c r="AN54" s="80" t="s">
        <v>30</v>
      </c>
      <c r="AO54" s="81">
        <f>AO53*0.09</f>
        <v>77.742000000000019</v>
      </c>
      <c r="AP54" s="158"/>
      <c r="AQ54" s="159"/>
      <c r="AR54" s="159"/>
      <c r="AS54" s="160"/>
      <c r="AT54" s="154"/>
      <c r="AU54" s="155"/>
      <c r="AV54" s="157"/>
      <c r="AW54" s="96"/>
      <c r="BC54" s="110"/>
      <c r="BD54" s="110"/>
      <c r="BF54" s="109"/>
    </row>
    <row r="55" spans="1:59" ht="32.25" thickBot="1" x14ac:dyDescent="0.3">
      <c r="A55" s="138"/>
      <c r="B55" s="139"/>
      <c r="C55" s="139"/>
      <c r="D55" s="140"/>
      <c r="E55" s="82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4" t="s">
        <v>31</v>
      </c>
      <c r="AL55" s="85" t="s">
        <v>32</v>
      </c>
      <c r="AM55" s="95"/>
      <c r="AN55" s="86" t="s">
        <v>33</v>
      </c>
      <c r="AO55" s="41">
        <v>0</v>
      </c>
      <c r="AP55" s="161"/>
      <c r="AQ55" s="162"/>
      <c r="AR55" s="162"/>
      <c r="AS55" s="163"/>
      <c r="AT55" s="164" t="s">
        <v>34</v>
      </c>
      <c r="AU55" s="165"/>
      <c r="AV55" s="42">
        <f>AV53/AR53</f>
        <v>0.27540249345851914</v>
      </c>
      <c r="AW55" s="43"/>
      <c r="BC55" s="110"/>
      <c r="BD55" s="110"/>
      <c r="BF55" s="109"/>
    </row>
    <row r="56" spans="1:59" ht="63.75" thickBot="1" x14ac:dyDescent="0.3">
      <c r="A56" s="141"/>
      <c r="B56" s="142"/>
      <c r="C56" s="142"/>
      <c r="D56" s="143"/>
      <c r="E56" s="87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9" t="s">
        <v>35</v>
      </c>
      <c r="AL56" s="90">
        <f>SUM(AL53:AL55)</f>
        <v>863.80000000000018</v>
      </c>
      <c r="AM56" s="95"/>
      <c r="AN56" s="91" t="s">
        <v>35</v>
      </c>
      <c r="AO56" s="44">
        <f>SUM(AO53:AO55)</f>
        <v>941.54200000000014</v>
      </c>
      <c r="AP56" s="45" t="s">
        <v>36</v>
      </c>
      <c r="AQ56" s="166">
        <f>AO55/AO53</f>
        <v>0</v>
      </c>
      <c r="AR56" s="167"/>
      <c r="AS56" s="92"/>
      <c r="AT56" s="97"/>
      <c r="AU56" s="97"/>
      <c r="AV56" s="97"/>
      <c r="AW56" s="98"/>
    </row>
    <row r="57" spans="1:59" x14ac:dyDescent="0.25">
      <c r="A57" s="47"/>
      <c r="B57" s="14"/>
      <c r="C57" s="14"/>
      <c r="D57" s="14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9"/>
      <c r="AM57" s="50"/>
      <c r="AN57" s="14"/>
      <c r="AO57" s="14"/>
      <c r="AP57" s="51"/>
      <c r="AQ57" s="51"/>
      <c r="AR57" s="52"/>
      <c r="AS57" s="53"/>
      <c r="AT57" s="53"/>
      <c r="AU57" s="54"/>
      <c r="AV57" s="53"/>
      <c r="AW57" s="46"/>
    </row>
    <row r="58" spans="1:59" x14ac:dyDescent="0.25">
      <c r="A58" s="50"/>
      <c r="B58" s="53"/>
      <c r="C58" s="53"/>
      <c r="D58" s="5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6"/>
      <c r="AM58" s="50"/>
      <c r="AN58" s="122"/>
      <c r="AO58" s="123"/>
      <c r="AP58" s="123"/>
      <c r="AQ58" s="123"/>
      <c r="AR58" s="124"/>
      <c r="AS58" s="53"/>
      <c r="AT58" s="53"/>
      <c r="AU58" s="53"/>
      <c r="AV58" s="53"/>
      <c r="AW58" s="46"/>
    </row>
    <row r="59" spans="1:59" x14ac:dyDescent="0.25">
      <c r="A59" s="50"/>
      <c r="B59" s="53"/>
      <c r="C59" s="53"/>
      <c r="D59" s="53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6"/>
      <c r="AM59" s="50"/>
      <c r="AN59" s="57"/>
      <c r="AO59" s="58"/>
      <c r="AP59" s="59"/>
      <c r="AQ59" s="59"/>
      <c r="AR59" s="60"/>
      <c r="AS59" s="53"/>
      <c r="AT59" s="53"/>
      <c r="AU59" s="53"/>
      <c r="AV59" s="53"/>
      <c r="AW59" s="46"/>
    </row>
    <row r="60" spans="1:59" x14ac:dyDescent="0.25">
      <c r="A60" s="61" t="s">
        <v>37</v>
      </c>
      <c r="B60" s="53"/>
      <c r="C60" s="53"/>
      <c r="D60" s="53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6"/>
      <c r="AM60" s="50"/>
      <c r="AN60" s="62"/>
      <c r="AO60" s="62"/>
      <c r="AP60" s="62"/>
      <c r="AQ60" s="62"/>
      <c r="AR60" s="60"/>
      <c r="AS60" s="53"/>
      <c r="AT60" s="53"/>
      <c r="AU60" s="53"/>
      <c r="AV60" s="53"/>
      <c r="AW60" s="46"/>
    </row>
    <row r="61" spans="1:59" x14ac:dyDescent="0.25">
      <c r="A61" s="61" t="s">
        <v>38</v>
      </c>
      <c r="B61" s="53"/>
      <c r="C61" s="53"/>
      <c r="D61" s="53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6"/>
      <c r="AM61" s="50"/>
      <c r="AN61" s="62"/>
      <c r="AO61" s="62"/>
      <c r="AP61" s="57"/>
      <c r="AQ61" s="57"/>
      <c r="AR61" s="63"/>
      <c r="AS61" s="53"/>
      <c r="AT61" s="64"/>
      <c r="AU61" s="53"/>
      <c r="AV61" s="53"/>
      <c r="AW61" s="46"/>
    </row>
    <row r="62" spans="1:59" ht="16.5" thickBot="1" x14ac:dyDescent="0.3">
      <c r="A62" s="65"/>
      <c r="B62" s="66"/>
      <c r="C62" s="66"/>
      <c r="D62" s="66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8"/>
      <c r="AM62" s="50"/>
      <c r="AN62" s="69"/>
      <c r="AO62" s="69"/>
      <c r="AP62" s="69"/>
      <c r="AQ62" s="69"/>
      <c r="AR62" s="70"/>
      <c r="AS62" s="53"/>
      <c r="AT62" s="53"/>
      <c r="AU62" s="53"/>
      <c r="AV62" s="53"/>
      <c r="AW62" s="46"/>
    </row>
  </sheetData>
  <autoFilter ref="A6:AW56" xr:uid="{24D090B3-4740-6244-9193-31157BDE3683}"/>
  <mergeCells count="16">
    <mergeCell ref="AN58:AR58"/>
    <mergeCell ref="A1:AS1"/>
    <mergeCell ref="AU1:AV1"/>
    <mergeCell ref="A2:AS2"/>
    <mergeCell ref="A4:AL4"/>
    <mergeCell ref="AN4:AW4"/>
    <mergeCell ref="A53:D56"/>
    <mergeCell ref="AK53:AK54"/>
    <mergeCell ref="AL53:AL54"/>
    <mergeCell ref="AP53:AQ53"/>
    <mergeCell ref="AR53:AS53"/>
    <mergeCell ref="AT53:AU54"/>
    <mergeCell ref="AV53:AV54"/>
    <mergeCell ref="AP54:AS55"/>
    <mergeCell ref="AT55:AU55"/>
    <mergeCell ref="AQ56:AR56"/>
  </mergeCells>
  <pageMargins left="0.25" right="0.25" top="0.75" bottom="0.75" header="0.3" footer="0.3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13D7-DAE7-3F41-9E26-496BC8FE03B6}">
  <dimension ref="A1:BG62"/>
  <sheetViews>
    <sheetView tabSelected="1" workbookViewId="0">
      <selection activeCell="BA7" sqref="BA7"/>
    </sheetView>
  </sheetViews>
  <sheetFormatPr defaultColWidth="11" defaultRowHeight="15.75" x14ac:dyDescent="0.25"/>
  <cols>
    <col min="1" max="1" width="4" customWidth="1"/>
    <col min="2" max="2" width="33.125" customWidth="1"/>
    <col min="3" max="4" width="7.875" customWidth="1"/>
    <col min="5" max="5" width="11.125" bestFit="1" customWidth="1"/>
    <col min="6" max="37" width="11.125" hidden="1" customWidth="1"/>
    <col min="38" max="38" width="11.875" hidden="1" customWidth="1"/>
    <col min="39" max="39" width="0" hidden="1" customWidth="1"/>
    <col min="40" max="40" width="11.125" hidden="1" customWidth="1"/>
    <col min="41" max="41" width="12.375" hidden="1" customWidth="1"/>
    <col min="42" max="42" width="11.125" bestFit="1" customWidth="1"/>
    <col min="43" max="43" width="15.375" hidden="1" customWidth="1"/>
    <col min="45" max="46" width="11.125" hidden="1" customWidth="1"/>
    <col min="47" max="47" width="13.875" hidden="1" customWidth="1"/>
    <col min="48" max="48" width="11.5" hidden="1" customWidth="1"/>
    <col min="49" max="49" width="0" hidden="1" customWidth="1"/>
  </cols>
  <sheetData>
    <row r="1" spans="1:59" ht="32.25" x14ac:dyDescent="0.5">
      <c r="A1" s="125" t="s">
        <v>82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7"/>
      <c r="AT1" s="4" t="s">
        <v>0</v>
      </c>
      <c r="AU1" s="128"/>
      <c r="AV1" s="128"/>
      <c r="AW1" s="5"/>
      <c r="AX1" s="108"/>
      <c r="AY1" s="108"/>
      <c r="AZ1" s="108"/>
      <c r="BA1" s="108"/>
      <c r="BB1" s="108"/>
    </row>
    <row r="2" spans="1:59" ht="32.25" thickBot="1" x14ac:dyDescent="0.55000000000000004">
      <c r="A2" s="129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1"/>
      <c r="AT2" s="6" t="s">
        <v>2</v>
      </c>
      <c r="AU2" s="7">
        <v>1</v>
      </c>
      <c r="AV2" s="8"/>
      <c r="AW2" s="9"/>
      <c r="AX2" s="108"/>
      <c r="AY2" s="108"/>
      <c r="AZ2" s="108"/>
      <c r="BA2" s="108"/>
      <c r="BB2" s="108"/>
    </row>
    <row r="3" spans="1:59" ht="24" thickBot="1" x14ac:dyDescent="0.4">
      <c r="A3" s="10"/>
      <c r="B3" s="11" t="s">
        <v>39</v>
      </c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3"/>
      <c r="AM3" s="14"/>
      <c r="AN3" s="15"/>
      <c r="AO3" s="16"/>
      <c r="AP3" s="16"/>
      <c r="AQ3" s="16"/>
      <c r="AR3" s="1"/>
      <c r="AS3" s="16"/>
      <c r="AT3" s="17"/>
      <c r="AU3" s="17"/>
      <c r="AV3" s="17"/>
      <c r="AW3" s="18"/>
      <c r="AX3" s="108"/>
      <c r="AY3" s="108"/>
      <c r="AZ3" s="108"/>
      <c r="BA3" s="108"/>
      <c r="BB3" s="108"/>
    </row>
    <row r="4" spans="1:59" ht="27" thickBot="1" x14ac:dyDescent="0.3">
      <c r="A4" s="132" t="s">
        <v>3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4"/>
      <c r="AM4" s="19"/>
      <c r="AN4" s="135" t="s">
        <v>4</v>
      </c>
      <c r="AO4" s="136"/>
      <c r="AP4" s="136"/>
      <c r="AQ4" s="136"/>
      <c r="AR4" s="136"/>
      <c r="AS4" s="136"/>
      <c r="AT4" s="136"/>
      <c r="AU4" s="136"/>
      <c r="AV4" s="136"/>
      <c r="AW4" s="137"/>
      <c r="AX4" s="108"/>
      <c r="AY4" s="108"/>
      <c r="AZ4" s="108"/>
      <c r="BA4" s="108"/>
      <c r="BB4" s="108"/>
    </row>
    <row r="5" spans="1:59" ht="16.5" thickBot="1" x14ac:dyDescent="0.3">
      <c r="A5" s="10"/>
      <c r="B5" s="10"/>
      <c r="C5" s="10"/>
      <c r="D5" s="1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3"/>
      <c r="AM5" s="20"/>
      <c r="AN5" s="21"/>
      <c r="AO5" s="21"/>
      <c r="AP5" s="21"/>
      <c r="AQ5" s="21"/>
      <c r="AR5" s="22"/>
      <c r="AS5" s="21"/>
      <c r="AT5" s="21"/>
      <c r="AU5" s="21"/>
      <c r="AV5" s="21"/>
      <c r="AW5" s="18"/>
    </row>
    <row r="6" spans="1:59" ht="75" x14ac:dyDescent="0.25">
      <c r="A6" s="23" t="s">
        <v>5</v>
      </c>
      <c r="B6" s="24" t="s">
        <v>6</v>
      </c>
      <c r="C6" s="25" t="s">
        <v>7</v>
      </c>
      <c r="D6" s="99" t="s">
        <v>8</v>
      </c>
      <c r="E6" s="25" t="s">
        <v>9</v>
      </c>
      <c r="F6" s="25" t="s">
        <v>93</v>
      </c>
      <c r="G6" s="25" t="s">
        <v>89</v>
      </c>
      <c r="H6" s="25" t="s">
        <v>90</v>
      </c>
      <c r="I6" s="25" t="s">
        <v>91</v>
      </c>
      <c r="J6" s="25" t="s">
        <v>92</v>
      </c>
      <c r="K6" s="25" t="s">
        <v>94</v>
      </c>
      <c r="L6" s="25" t="s">
        <v>95</v>
      </c>
      <c r="M6" s="25" t="s">
        <v>96</v>
      </c>
      <c r="N6" s="25" t="s">
        <v>97</v>
      </c>
      <c r="O6" s="25" t="s">
        <v>98</v>
      </c>
      <c r="P6" s="25" t="s">
        <v>99</v>
      </c>
      <c r="Q6" s="25" t="s">
        <v>100</v>
      </c>
      <c r="R6" s="25" t="s">
        <v>100</v>
      </c>
      <c r="S6" s="25" t="s">
        <v>100</v>
      </c>
      <c r="T6" s="25" t="s">
        <v>102</v>
      </c>
      <c r="U6" s="25" t="s">
        <v>101</v>
      </c>
      <c r="V6" s="25" t="s">
        <v>101</v>
      </c>
      <c r="W6" s="25" t="s">
        <v>105</v>
      </c>
      <c r="X6" s="25" t="s">
        <v>103</v>
      </c>
      <c r="Y6" s="25" t="s">
        <v>104</v>
      </c>
      <c r="Z6" s="25" t="s">
        <v>106</v>
      </c>
      <c r="AA6" s="25" t="s">
        <v>106</v>
      </c>
      <c r="AB6" s="25" t="s">
        <v>107</v>
      </c>
      <c r="AC6" s="25" t="s">
        <v>108</v>
      </c>
      <c r="AD6" s="25" t="s">
        <v>109</v>
      </c>
      <c r="AE6" s="25" t="s">
        <v>110</v>
      </c>
      <c r="AF6" s="25" t="s">
        <v>110</v>
      </c>
      <c r="AG6" s="25" t="s">
        <v>110</v>
      </c>
      <c r="AH6" s="25" t="s">
        <v>111</v>
      </c>
      <c r="AI6" s="25" t="s">
        <v>111</v>
      </c>
      <c r="AJ6" s="25" t="s">
        <v>10</v>
      </c>
      <c r="AK6" s="25" t="s">
        <v>11</v>
      </c>
      <c r="AL6" s="26" t="s">
        <v>12</v>
      </c>
      <c r="AM6" s="27"/>
      <c r="AN6" s="28" t="s">
        <v>13</v>
      </c>
      <c r="AO6" s="29" t="s">
        <v>14</v>
      </c>
      <c r="AP6" s="29" t="s">
        <v>22</v>
      </c>
      <c r="AQ6" s="29" t="s">
        <v>15</v>
      </c>
      <c r="AR6" s="72" t="s">
        <v>16</v>
      </c>
      <c r="AS6" s="29" t="s">
        <v>17</v>
      </c>
      <c r="AT6" s="29" t="s">
        <v>18</v>
      </c>
      <c r="AU6" s="29" t="s">
        <v>23</v>
      </c>
      <c r="AV6" s="29" t="s">
        <v>19</v>
      </c>
      <c r="AW6" s="117" t="s">
        <v>20</v>
      </c>
      <c r="AX6" s="105" t="s">
        <v>112</v>
      </c>
      <c r="AY6" s="105" t="s">
        <v>113</v>
      </c>
      <c r="AZ6" s="106" t="s">
        <v>114</v>
      </c>
      <c r="BA6" s="105" t="s">
        <v>115</v>
      </c>
      <c r="BB6" s="105" t="s">
        <v>116</v>
      </c>
      <c r="BC6" s="105" t="s">
        <v>117</v>
      </c>
      <c r="BD6" s="105" t="s">
        <v>118</v>
      </c>
      <c r="BE6" s="105" t="s">
        <v>119</v>
      </c>
      <c r="BF6" s="105" t="s">
        <v>120</v>
      </c>
      <c r="BG6" s="107" t="s">
        <v>121</v>
      </c>
    </row>
    <row r="7" spans="1:59" ht="45" customHeight="1" x14ac:dyDescent="0.25">
      <c r="A7" s="2">
        <v>1</v>
      </c>
      <c r="B7" s="100" t="s">
        <v>40</v>
      </c>
      <c r="C7" s="31">
        <v>1</v>
      </c>
      <c r="D7" s="3" t="s">
        <v>21</v>
      </c>
      <c r="E7" s="31">
        <f t="shared" ref="E7:E52" si="0">D7*C7</f>
        <v>4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71">
        <v>5.95</v>
      </c>
      <c r="AK7" s="73">
        <f t="shared" ref="AK7:AK52" si="1">AJ7/D7</f>
        <v>1.4875</v>
      </c>
      <c r="AL7" s="74">
        <f t="shared" ref="AL7:AL52" si="2">AK7*E7</f>
        <v>5.95</v>
      </c>
      <c r="AM7" s="32"/>
      <c r="AN7" s="33">
        <f>AK7/$AU$2</f>
        <v>1.4875</v>
      </c>
      <c r="AO7" s="33">
        <f>AL7/$AU$2</f>
        <v>5.95</v>
      </c>
      <c r="AP7" s="33">
        <f t="shared" ref="AP7:AP49" si="3">AN7*(1+$AQ$56+9%)</f>
        <v>1.6213750000000002</v>
      </c>
      <c r="AQ7" s="33">
        <f t="shared" ref="AQ7:AQ52" si="4">AP7*E7</f>
        <v>6.4855000000000009</v>
      </c>
      <c r="AR7" s="34">
        <v>2.25</v>
      </c>
      <c r="AS7" s="35">
        <f t="shared" ref="AS7:AS52" si="5">AR7*E7</f>
        <v>9</v>
      </c>
      <c r="AT7" s="35">
        <f>AR7-AP7</f>
        <v>0.62862499999999977</v>
      </c>
      <c r="AU7" s="35">
        <f t="shared" ref="AU7:AU52" si="6">AT7*E7</f>
        <v>2.5144999999999991</v>
      </c>
      <c r="AV7" s="36">
        <f t="shared" ref="AV7:AV52" si="7">AT7/AR7</f>
        <v>0.2793888888888888</v>
      </c>
      <c r="AW7" s="118"/>
      <c r="AX7" s="112">
        <f>AR7</f>
        <v>2.25</v>
      </c>
      <c r="AY7" s="113">
        <v>0.16350000000000001</v>
      </c>
      <c r="AZ7" s="111">
        <f>AX7+(AY7*AX7)</f>
        <v>2.6178750000000002</v>
      </c>
      <c r="BA7" s="114">
        <f>(100/109)*BC7</f>
        <v>0.33750000000000019</v>
      </c>
      <c r="BB7" s="114">
        <f>(9/109)*BC7</f>
        <v>3.0375000000000017E-2</v>
      </c>
      <c r="BC7" s="114">
        <f>AZ7-AX7</f>
        <v>0.36787500000000017</v>
      </c>
      <c r="BD7" s="114">
        <f>AZ7-BC7</f>
        <v>2.25</v>
      </c>
      <c r="BE7" s="115">
        <f>(BD7-AP7)/BD7</f>
        <v>0.2793888888888888</v>
      </c>
      <c r="BF7" s="113">
        <f>AV7-BE7</f>
        <v>0</v>
      </c>
      <c r="BG7" s="104">
        <v>2.5</v>
      </c>
    </row>
    <row r="8" spans="1:59" ht="45" customHeight="1" x14ac:dyDescent="0.25">
      <c r="A8" s="2">
        <v>2</v>
      </c>
      <c r="B8" s="100" t="s">
        <v>41</v>
      </c>
      <c r="C8" s="31">
        <v>1</v>
      </c>
      <c r="D8" s="3" t="s">
        <v>21</v>
      </c>
      <c r="E8" s="31">
        <f t="shared" si="0"/>
        <v>4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71">
        <v>5.95</v>
      </c>
      <c r="AK8" s="73">
        <f t="shared" si="1"/>
        <v>1.4875</v>
      </c>
      <c r="AL8" s="74">
        <f t="shared" si="2"/>
        <v>5.95</v>
      </c>
      <c r="AM8" s="32"/>
      <c r="AN8" s="33">
        <f t="shared" ref="AN8:AO28" si="8">AK8/$AU$2</f>
        <v>1.4875</v>
      </c>
      <c r="AO8" s="33">
        <f t="shared" si="8"/>
        <v>5.95</v>
      </c>
      <c r="AP8" s="33">
        <f t="shared" si="3"/>
        <v>1.6213750000000002</v>
      </c>
      <c r="AQ8" s="33">
        <f t="shared" si="4"/>
        <v>6.4855000000000009</v>
      </c>
      <c r="AR8" s="34">
        <v>2.25</v>
      </c>
      <c r="AS8" s="35">
        <f t="shared" si="5"/>
        <v>9</v>
      </c>
      <c r="AT8" s="35">
        <f t="shared" ref="AT8:AT24" si="9">AR8-AP8</f>
        <v>0.62862499999999977</v>
      </c>
      <c r="AU8" s="35">
        <f t="shared" si="6"/>
        <v>2.5144999999999991</v>
      </c>
      <c r="AV8" s="36">
        <f t="shared" si="7"/>
        <v>0.2793888888888888</v>
      </c>
      <c r="AW8" s="119"/>
      <c r="AX8" s="112">
        <f t="shared" ref="AX8:AX52" si="10">AR8</f>
        <v>2.25</v>
      </c>
      <c r="AY8" s="113">
        <v>0.16350000000000001</v>
      </c>
      <c r="AZ8" s="111">
        <f t="shared" ref="AZ8:AZ52" si="11">AX8+(AY8*AX8)</f>
        <v>2.6178750000000002</v>
      </c>
      <c r="BA8" s="114">
        <f t="shared" ref="BA8:BA52" si="12">(100/109)*BC8</f>
        <v>0.33750000000000019</v>
      </c>
      <c r="BB8" s="114">
        <f t="shared" ref="BB8:BB52" si="13">(9/109)*BC8</f>
        <v>3.0375000000000017E-2</v>
      </c>
      <c r="BC8" s="114">
        <f t="shared" ref="BC8:BC52" si="14">AZ8-AX8</f>
        <v>0.36787500000000017</v>
      </c>
      <c r="BD8" s="114">
        <f t="shared" ref="BD8:BD52" si="15">AZ8-BC8</f>
        <v>2.25</v>
      </c>
      <c r="BE8" s="115">
        <f t="shared" ref="BE8:BE52" si="16">(BD8-AP8)/BD8</f>
        <v>0.2793888888888888</v>
      </c>
      <c r="BF8" s="113">
        <f t="shared" ref="BF8:BF52" si="17">AV8-BE8</f>
        <v>0</v>
      </c>
      <c r="BG8" s="104">
        <v>2.5</v>
      </c>
    </row>
    <row r="9" spans="1:59" ht="45" customHeight="1" x14ac:dyDescent="0.25">
      <c r="A9" s="2">
        <v>3</v>
      </c>
      <c r="B9" s="100" t="s">
        <v>86</v>
      </c>
      <c r="C9" s="31">
        <v>1</v>
      </c>
      <c r="D9" s="3" t="s">
        <v>24</v>
      </c>
      <c r="E9" s="31">
        <f t="shared" si="0"/>
        <v>24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71">
        <v>12.8</v>
      </c>
      <c r="AK9" s="73">
        <f t="shared" si="1"/>
        <v>0.53333333333333333</v>
      </c>
      <c r="AL9" s="74">
        <f t="shared" si="2"/>
        <v>12.8</v>
      </c>
      <c r="AM9" s="32"/>
      <c r="AN9" s="33">
        <f t="shared" si="8"/>
        <v>0.53333333333333333</v>
      </c>
      <c r="AO9" s="33">
        <f t="shared" si="8"/>
        <v>12.8</v>
      </c>
      <c r="AP9" s="33">
        <f t="shared" si="3"/>
        <v>0.58133333333333337</v>
      </c>
      <c r="AQ9" s="33">
        <f t="shared" si="4"/>
        <v>13.952000000000002</v>
      </c>
      <c r="AR9" s="34"/>
      <c r="AS9" s="35">
        <f t="shared" si="5"/>
        <v>0</v>
      </c>
      <c r="AT9" s="35">
        <f t="shared" si="9"/>
        <v>-0.58133333333333337</v>
      </c>
      <c r="AU9" s="35">
        <f t="shared" si="6"/>
        <v>-13.952000000000002</v>
      </c>
      <c r="AV9" s="36" t="e">
        <f t="shared" si="7"/>
        <v>#DIV/0!</v>
      </c>
      <c r="AW9" s="119"/>
      <c r="AX9" s="112">
        <f t="shared" si="10"/>
        <v>0</v>
      </c>
      <c r="AY9" s="113">
        <v>0.16350000000000001</v>
      </c>
      <c r="AZ9" s="111">
        <f t="shared" si="11"/>
        <v>0</v>
      </c>
      <c r="BA9" s="114">
        <f t="shared" si="12"/>
        <v>0</v>
      </c>
      <c r="BB9" s="114">
        <f t="shared" si="13"/>
        <v>0</v>
      </c>
      <c r="BC9" s="114">
        <f t="shared" si="14"/>
        <v>0</v>
      </c>
      <c r="BD9" s="114">
        <f t="shared" si="15"/>
        <v>0</v>
      </c>
      <c r="BE9" s="115" t="e">
        <f t="shared" si="16"/>
        <v>#DIV/0!</v>
      </c>
      <c r="BF9" s="113" t="e">
        <f t="shared" si="17"/>
        <v>#DIV/0!</v>
      </c>
      <c r="BG9" s="104" t="s">
        <v>122</v>
      </c>
    </row>
    <row r="10" spans="1:59" ht="45" customHeight="1" x14ac:dyDescent="0.25">
      <c r="A10" s="2">
        <v>4</v>
      </c>
      <c r="B10" s="100" t="s">
        <v>73</v>
      </c>
      <c r="C10" s="31">
        <v>1</v>
      </c>
      <c r="D10" s="3" t="s">
        <v>24</v>
      </c>
      <c r="E10" s="31">
        <f t="shared" si="0"/>
        <v>24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71">
        <v>11.5</v>
      </c>
      <c r="AK10" s="73">
        <f t="shared" si="1"/>
        <v>0.47916666666666669</v>
      </c>
      <c r="AL10" s="74">
        <f t="shared" si="2"/>
        <v>11.5</v>
      </c>
      <c r="AM10" s="32"/>
      <c r="AN10" s="33">
        <f t="shared" si="8"/>
        <v>0.47916666666666669</v>
      </c>
      <c r="AO10" s="33">
        <f t="shared" si="8"/>
        <v>11.5</v>
      </c>
      <c r="AP10" s="33">
        <f t="shared" si="3"/>
        <v>0.52229166666666671</v>
      </c>
      <c r="AQ10" s="33">
        <f t="shared" si="4"/>
        <v>12.535</v>
      </c>
      <c r="AR10" s="34">
        <f>17.8/24</f>
        <v>0.7416666666666667</v>
      </c>
      <c r="AS10" s="35">
        <f t="shared" si="5"/>
        <v>17.8</v>
      </c>
      <c r="AT10" s="35">
        <f t="shared" si="9"/>
        <v>0.21937499999999999</v>
      </c>
      <c r="AU10" s="35">
        <f t="shared" si="6"/>
        <v>5.2649999999999997</v>
      </c>
      <c r="AV10" s="36">
        <f t="shared" si="7"/>
        <v>0.29578651685393254</v>
      </c>
      <c r="AW10" s="120"/>
      <c r="AX10" s="112">
        <f t="shared" si="10"/>
        <v>0.7416666666666667</v>
      </c>
      <c r="AY10" s="113">
        <v>0.16350000000000001</v>
      </c>
      <c r="AZ10" s="111">
        <f t="shared" si="11"/>
        <v>0.86292916666666675</v>
      </c>
      <c r="BA10" s="114">
        <f t="shared" si="12"/>
        <v>0.11125000000000006</v>
      </c>
      <c r="BB10" s="114">
        <f t="shared" si="13"/>
        <v>1.0012500000000004E-2</v>
      </c>
      <c r="BC10" s="114">
        <f t="shared" si="14"/>
        <v>0.12126250000000005</v>
      </c>
      <c r="BD10" s="114">
        <f t="shared" si="15"/>
        <v>0.7416666666666667</v>
      </c>
      <c r="BE10" s="115">
        <f t="shared" si="16"/>
        <v>0.29578651685393254</v>
      </c>
      <c r="BF10" s="113">
        <f t="shared" si="17"/>
        <v>0</v>
      </c>
      <c r="BG10" s="104" t="s">
        <v>122</v>
      </c>
    </row>
    <row r="11" spans="1:59" ht="45" customHeight="1" x14ac:dyDescent="0.25">
      <c r="A11" s="2">
        <v>5</v>
      </c>
      <c r="B11" s="100" t="s">
        <v>74</v>
      </c>
      <c r="C11" s="31">
        <v>1</v>
      </c>
      <c r="D11" s="3" t="s">
        <v>24</v>
      </c>
      <c r="E11" s="31">
        <f t="shared" si="0"/>
        <v>24</v>
      </c>
      <c r="F11" s="31"/>
      <c r="G11" s="103">
        <v>9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103">
        <v>9.3000000000000007</v>
      </c>
      <c r="AD11" s="103"/>
      <c r="AE11" s="103"/>
      <c r="AF11" s="103"/>
      <c r="AG11" s="103"/>
      <c r="AH11" s="103"/>
      <c r="AI11" s="103"/>
      <c r="AJ11" s="71">
        <v>9.4</v>
      </c>
      <c r="AK11" s="73">
        <f t="shared" si="1"/>
        <v>0.39166666666666666</v>
      </c>
      <c r="AL11" s="74">
        <f t="shared" si="2"/>
        <v>9.4</v>
      </c>
      <c r="AM11" s="32"/>
      <c r="AN11" s="33">
        <f t="shared" si="8"/>
        <v>0.39166666666666666</v>
      </c>
      <c r="AO11" s="33">
        <f t="shared" si="8"/>
        <v>9.4</v>
      </c>
      <c r="AP11" s="33">
        <f t="shared" si="3"/>
        <v>0.42691666666666667</v>
      </c>
      <c r="AQ11" s="33">
        <f t="shared" si="4"/>
        <v>10.246</v>
      </c>
      <c r="AR11" s="34">
        <v>0.6</v>
      </c>
      <c r="AS11" s="35">
        <f t="shared" si="5"/>
        <v>14.399999999999999</v>
      </c>
      <c r="AT11" s="35">
        <f t="shared" si="9"/>
        <v>0.17308333333333331</v>
      </c>
      <c r="AU11" s="35">
        <f t="shared" si="6"/>
        <v>4.1539999999999999</v>
      </c>
      <c r="AV11" s="36">
        <f t="shared" si="7"/>
        <v>0.28847222222222219</v>
      </c>
      <c r="AW11" s="120"/>
      <c r="AX11" s="112">
        <f t="shared" si="10"/>
        <v>0.6</v>
      </c>
      <c r="AY11" s="113">
        <v>0.16350000000000001</v>
      </c>
      <c r="AZ11" s="111">
        <f t="shared" si="11"/>
        <v>0.69809999999999994</v>
      </c>
      <c r="BA11" s="114">
        <f t="shared" si="12"/>
        <v>8.9999999999999969E-2</v>
      </c>
      <c r="BB11" s="114">
        <f t="shared" si="13"/>
        <v>8.0999999999999978E-3</v>
      </c>
      <c r="BC11" s="114">
        <f t="shared" si="14"/>
        <v>9.8099999999999965E-2</v>
      </c>
      <c r="BD11" s="114">
        <f t="shared" si="15"/>
        <v>0.6</v>
      </c>
      <c r="BE11" s="115">
        <f t="shared" si="16"/>
        <v>0.28847222222222219</v>
      </c>
      <c r="BF11" s="113">
        <f t="shared" si="17"/>
        <v>0</v>
      </c>
      <c r="BG11" s="104">
        <v>0.95</v>
      </c>
    </row>
    <row r="12" spans="1:59" ht="45" customHeight="1" x14ac:dyDescent="0.25">
      <c r="A12" s="2">
        <v>6</v>
      </c>
      <c r="B12" s="100" t="s">
        <v>42</v>
      </c>
      <c r="C12" s="31">
        <v>1</v>
      </c>
      <c r="D12" s="3" t="s">
        <v>21</v>
      </c>
      <c r="E12" s="31">
        <f t="shared" si="0"/>
        <v>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71">
        <v>5.95</v>
      </c>
      <c r="AK12" s="73">
        <f t="shared" si="1"/>
        <v>1.4875</v>
      </c>
      <c r="AL12" s="74">
        <f t="shared" si="2"/>
        <v>5.95</v>
      </c>
      <c r="AM12" s="32"/>
      <c r="AN12" s="33">
        <f t="shared" si="8"/>
        <v>1.4875</v>
      </c>
      <c r="AO12" s="33">
        <f t="shared" si="8"/>
        <v>5.95</v>
      </c>
      <c r="AP12" s="33">
        <f t="shared" si="3"/>
        <v>1.6213750000000002</v>
      </c>
      <c r="AQ12" s="33">
        <f t="shared" si="4"/>
        <v>6.4855000000000009</v>
      </c>
      <c r="AR12" s="34">
        <v>2.25</v>
      </c>
      <c r="AS12" s="35">
        <f t="shared" si="5"/>
        <v>9</v>
      </c>
      <c r="AT12" s="35">
        <f t="shared" si="9"/>
        <v>0.62862499999999977</v>
      </c>
      <c r="AU12" s="35">
        <f t="shared" si="6"/>
        <v>2.5144999999999991</v>
      </c>
      <c r="AV12" s="36">
        <f t="shared" si="7"/>
        <v>0.2793888888888888</v>
      </c>
      <c r="AW12" s="120"/>
      <c r="AX12" s="112">
        <f t="shared" si="10"/>
        <v>2.25</v>
      </c>
      <c r="AY12" s="113">
        <v>0.16350000000000001</v>
      </c>
      <c r="AZ12" s="111">
        <f t="shared" si="11"/>
        <v>2.6178750000000002</v>
      </c>
      <c r="BA12" s="114">
        <f t="shared" si="12"/>
        <v>0.33750000000000019</v>
      </c>
      <c r="BB12" s="114">
        <f t="shared" si="13"/>
        <v>3.0375000000000017E-2</v>
      </c>
      <c r="BC12" s="114">
        <f t="shared" si="14"/>
        <v>0.36787500000000017</v>
      </c>
      <c r="BD12" s="114">
        <f t="shared" si="15"/>
        <v>2.25</v>
      </c>
      <c r="BE12" s="115">
        <f t="shared" si="16"/>
        <v>0.2793888888888888</v>
      </c>
      <c r="BF12" s="113">
        <f t="shared" si="17"/>
        <v>0</v>
      </c>
      <c r="BG12" s="104">
        <v>2.5</v>
      </c>
    </row>
    <row r="13" spans="1:59" ht="45" customHeight="1" x14ac:dyDescent="0.25">
      <c r="A13" s="2">
        <v>7</v>
      </c>
      <c r="B13" s="101" t="s">
        <v>43</v>
      </c>
      <c r="C13" s="31">
        <v>1</v>
      </c>
      <c r="D13" s="3" t="s">
        <v>21</v>
      </c>
      <c r="E13" s="31">
        <f t="shared" si="0"/>
        <v>4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71">
        <v>5.95</v>
      </c>
      <c r="AK13" s="73">
        <f t="shared" si="1"/>
        <v>1.4875</v>
      </c>
      <c r="AL13" s="74">
        <f t="shared" si="2"/>
        <v>5.95</v>
      </c>
      <c r="AM13" s="32"/>
      <c r="AN13" s="33">
        <f t="shared" si="8"/>
        <v>1.4875</v>
      </c>
      <c r="AO13" s="33">
        <f t="shared" si="8"/>
        <v>5.95</v>
      </c>
      <c r="AP13" s="33">
        <f t="shared" si="3"/>
        <v>1.6213750000000002</v>
      </c>
      <c r="AQ13" s="33">
        <f t="shared" si="4"/>
        <v>6.4855000000000009</v>
      </c>
      <c r="AR13" s="34">
        <v>2.25</v>
      </c>
      <c r="AS13" s="35">
        <f t="shared" si="5"/>
        <v>9</v>
      </c>
      <c r="AT13" s="35">
        <f t="shared" si="9"/>
        <v>0.62862499999999977</v>
      </c>
      <c r="AU13" s="35">
        <f t="shared" si="6"/>
        <v>2.5144999999999991</v>
      </c>
      <c r="AV13" s="36">
        <f t="shared" si="7"/>
        <v>0.2793888888888888</v>
      </c>
      <c r="AW13" s="120"/>
      <c r="AX13" s="112">
        <f t="shared" si="10"/>
        <v>2.25</v>
      </c>
      <c r="AY13" s="113">
        <v>0.16350000000000001</v>
      </c>
      <c r="AZ13" s="111">
        <f t="shared" si="11"/>
        <v>2.6178750000000002</v>
      </c>
      <c r="BA13" s="114">
        <f t="shared" si="12"/>
        <v>0.33750000000000019</v>
      </c>
      <c r="BB13" s="114">
        <f t="shared" si="13"/>
        <v>3.0375000000000017E-2</v>
      </c>
      <c r="BC13" s="114">
        <f t="shared" si="14"/>
        <v>0.36787500000000017</v>
      </c>
      <c r="BD13" s="114">
        <f t="shared" si="15"/>
        <v>2.25</v>
      </c>
      <c r="BE13" s="115">
        <f t="shared" si="16"/>
        <v>0.2793888888888888</v>
      </c>
      <c r="BF13" s="113">
        <f t="shared" si="17"/>
        <v>0</v>
      </c>
      <c r="BG13" s="104">
        <v>2.5</v>
      </c>
    </row>
    <row r="14" spans="1:59" ht="45" customHeight="1" x14ac:dyDescent="0.25">
      <c r="A14" s="2">
        <v>8</v>
      </c>
      <c r="B14" s="101" t="s">
        <v>44</v>
      </c>
      <c r="C14" s="31">
        <v>1</v>
      </c>
      <c r="D14" s="3" t="s">
        <v>24</v>
      </c>
      <c r="E14" s="31">
        <f t="shared" si="0"/>
        <v>24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103">
        <v>8.1999999999999993</v>
      </c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71">
        <v>8.3000000000000007</v>
      </c>
      <c r="AK14" s="73">
        <f t="shared" si="1"/>
        <v>0.34583333333333338</v>
      </c>
      <c r="AL14" s="74">
        <f t="shared" si="2"/>
        <v>8.3000000000000007</v>
      </c>
      <c r="AM14" s="32"/>
      <c r="AN14" s="33">
        <f t="shared" si="8"/>
        <v>0.34583333333333338</v>
      </c>
      <c r="AO14" s="33">
        <f t="shared" si="8"/>
        <v>8.3000000000000007</v>
      </c>
      <c r="AP14" s="33">
        <f t="shared" si="3"/>
        <v>0.3769583333333334</v>
      </c>
      <c r="AQ14" s="33">
        <f t="shared" si="4"/>
        <v>9.0470000000000006</v>
      </c>
      <c r="AR14" s="34">
        <v>0.55000000000000004</v>
      </c>
      <c r="AS14" s="35">
        <f t="shared" si="5"/>
        <v>13.200000000000001</v>
      </c>
      <c r="AT14" s="35">
        <f t="shared" si="9"/>
        <v>0.17304166666666665</v>
      </c>
      <c r="AU14" s="35">
        <f t="shared" si="6"/>
        <v>4.1529999999999996</v>
      </c>
      <c r="AV14" s="36">
        <f t="shared" si="7"/>
        <v>0.31462121212121208</v>
      </c>
      <c r="AW14" s="120"/>
      <c r="AX14" s="112">
        <f t="shared" si="10"/>
        <v>0.55000000000000004</v>
      </c>
      <c r="AY14" s="113">
        <v>0.16350000000000001</v>
      </c>
      <c r="AZ14" s="111">
        <f t="shared" si="11"/>
        <v>0.63992500000000008</v>
      </c>
      <c r="BA14" s="114">
        <f t="shared" si="12"/>
        <v>8.2500000000000032E-2</v>
      </c>
      <c r="BB14" s="114">
        <f t="shared" si="13"/>
        <v>7.4250000000000028E-3</v>
      </c>
      <c r="BC14" s="114">
        <f t="shared" si="14"/>
        <v>8.9925000000000033E-2</v>
      </c>
      <c r="BD14" s="114">
        <f t="shared" si="15"/>
        <v>0.55000000000000004</v>
      </c>
      <c r="BE14" s="115">
        <f t="shared" si="16"/>
        <v>0.31462121212121208</v>
      </c>
      <c r="BF14" s="113">
        <f t="shared" si="17"/>
        <v>0</v>
      </c>
      <c r="BG14" s="104">
        <v>0.85</v>
      </c>
    </row>
    <row r="15" spans="1:59" ht="45" customHeight="1" x14ac:dyDescent="0.25">
      <c r="A15" s="2">
        <v>9</v>
      </c>
      <c r="B15" s="102" t="s">
        <v>45</v>
      </c>
      <c r="C15" s="31">
        <v>1</v>
      </c>
      <c r="D15" s="3" t="s">
        <v>24</v>
      </c>
      <c r="E15" s="31">
        <f t="shared" si="0"/>
        <v>24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71">
        <v>8.3000000000000007</v>
      </c>
      <c r="AK15" s="73">
        <f t="shared" si="1"/>
        <v>0.34583333333333338</v>
      </c>
      <c r="AL15" s="74">
        <f t="shared" si="2"/>
        <v>8.3000000000000007</v>
      </c>
      <c r="AM15" s="32"/>
      <c r="AN15" s="33">
        <f t="shared" si="8"/>
        <v>0.34583333333333338</v>
      </c>
      <c r="AO15" s="33">
        <f t="shared" si="8"/>
        <v>8.3000000000000007</v>
      </c>
      <c r="AP15" s="33">
        <f t="shared" si="3"/>
        <v>0.3769583333333334</v>
      </c>
      <c r="AQ15" s="33">
        <f t="shared" si="4"/>
        <v>9.0470000000000006</v>
      </c>
      <c r="AR15" s="34">
        <v>0.55000000000000004</v>
      </c>
      <c r="AS15" s="35">
        <f t="shared" si="5"/>
        <v>13.200000000000001</v>
      </c>
      <c r="AT15" s="35">
        <f t="shared" si="9"/>
        <v>0.17304166666666665</v>
      </c>
      <c r="AU15" s="35">
        <f t="shared" si="6"/>
        <v>4.1529999999999996</v>
      </c>
      <c r="AV15" s="36">
        <f t="shared" si="7"/>
        <v>0.31462121212121208</v>
      </c>
      <c r="AW15" s="121"/>
      <c r="AX15" s="112">
        <f t="shared" si="10"/>
        <v>0.55000000000000004</v>
      </c>
      <c r="AY15" s="113">
        <v>0.16350000000000001</v>
      </c>
      <c r="AZ15" s="111">
        <f t="shared" si="11"/>
        <v>0.63992500000000008</v>
      </c>
      <c r="BA15" s="114">
        <f t="shared" si="12"/>
        <v>8.2500000000000032E-2</v>
      </c>
      <c r="BB15" s="114">
        <f t="shared" si="13"/>
        <v>7.4250000000000028E-3</v>
      </c>
      <c r="BC15" s="114">
        <f t="shared" si="14"/>
        <v>8.9925000000000033E-2</v>
      </c>
      <c r="BD15" s="114">
        <f t="shared" si="15"/>
        <v>0.55000000000000004</v>
      </c>
      <c r="BE15" s="115">
        <f t="shared" si="16"/>
        <v>0.31462121212121208</v>
      </c>
      <c r="BF15" s="113">
        <f t="shared" si="17"/>
        <v>0</v>
      </c>
      <c r="BG15" s="104">
        <v>0.85</v>
      </c>
    </row>
    <row r="16" spans="1:59" ht="45" customHeight="1" x14ac:dyDescent="0.25">
      <c r="A16" s="2">
        <v>10</v>
      </c>
      <c r="B16" s="102" t="s">
        <v>76</v>
      </c>
      <c r="C16" s="31">
        <v>1</v>
      </c>
      <c r="D16" s="3" t="s">
        <v>24</v>
      </c>
      <c r="E16" s="31">
        <f t="shared" si="0"/>
        <v>24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71">
        <v>8.3000000000000007</v>
      </c>
      <c r="AK16" s="73">
        <f t="shared" si="1"/>
        <v>0.34583333333333338</v>
      </c>
      <c r="AL16" s="74">
        <f t="shared" si="2"/>
        <v>8.3000000000000007</v>
      </c>
      <c r="AM16" s="32"/>
      <c r="AN16" s="33">
        <f t="shared" si="8"/>
        <v>0.34583333333333338</v>
      </c>
      <c r="AO16" s="33">
        <f t="shared" si="8"/>
        <v>8.3000000000000007</v>
      </c>
      <c r="AP16" s="33">
        <f t="shared" si="3"/>
        <v>0.3769583333333334</v>
      </c>
      <c r="AQ16" s="33">
        <f t="shared" si="4"/>
        <v>9.0470000000000006</v>
      </c>
      <c r="AR16" s="34">
        <v>0.55000000000000004</v>
      </c>
      <c r="AS16" s="35">
        <f t="shared" si="5"/>
        <v>13.200000000000001</v>
      </c>
      <c r="AT16" s="35">
        <f t="shared" si="9"/>
        <v>0.17304166666666665</v>
      </c>
      <c r="AU16" s="35">
        <f t="shared" si="6"/>
        <v>4.1529999999999996</v>
      </c>
      <c r="AV16" s="36">
        <f t="shared" si="7"/>
        <v>0.31462121212121208</v>
      </c>
      <c r="AW16" s="121"/>
      <c r="AX16" s="112">
        <f t="shared" si="10"/>
        <v>0.55000000000000004</v>
      </c>
      <c r="AY16" s="113">
        <v>0.16350000000000001</v>
      </c>
      <c r="AZ16" s="111">
        <f t="shared" si="11"/>
        <v>0.63992500000000008</v>
      </c>
      <c r="BA16" s="114">
        <f t="shared" si="12"/>
        <v>8.2500000000000032E-2</v>
      </c>
      <c r="BB16" s="114">
        <f t="shared" si="13"/>
        <v>7.4250000000000028E-3</v>
      </c>
      <c r="BC16" s="114">
        <f t="shared" si="14"/>
        <v>8.9925000000000033E-2</v>
      </c>
      <c r="BD16" s="114">
        <f t="shared" si="15"/>
        <v>0.55000000000000004</v>
      </c>
      <c r="BE16" s="115">
        <f t="shared" si="16"/>
        <v>0.31462121212121208</v>
      </c>
      <c r="BF16" s="113">
        <f t="shared" si="17"/>
        <v>0</v>
      </c>
      <c r="BG16" s="104">
        <v>0.85</v>
      </c>
    </row>
    <row r="17" spans="1:59" ht="45" customHeight="1" x14ac:dyDescent="0.25">
      <c r="A17" s="2">
        <v>11</v>
      </c>
      <c r="B17" s="102" t="s">
        <v>77</v>
      </c>
      <c r="C17" s="31">
        <v>1</v>
      </c>
      <c r="D17" s="3" t="s">
        <v>24</v>
      </c>
      <c r="E17" s="31">
        <f t="shared" si="0"/>
        <v>24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71">
        <v>8.3000000000000007</v>
      </c>
      <c r="AK17" s="73">
        <f t="shared" si="1"/>
        <v>0.34583333333333338</v>
      </c>
      <c r="AL17" s="74">
        <f t="shared" si="2"/>
        <v>8.3000000000000007</v>
      </c>
      <c r="AM17" s="32"/>
      <c r="AN17" s="33">
        <f t="shared" si="8"/>
        <v>0.34583333333333338</v>
      </c>
      <c r="AO17" s="33">
        <f t="shared" si="8"/>
        <v>8.3000000000000007</v>
      </c>
      <c r="AP17" s="33">
        <f t="shared" si="3"/>
        <v>0.3769583333333334</v>
      </c>
      <c r="AQ17" s="33">
        <f t="shared" si="4"/>
        <v>9.0470000000000006</v>
      </c>
      <c r="AR17" s="34">
        <v>0.55000000000000004</v>
      </c>
      <c r="AS17" s="35">
        <f t="shared" si="5"/>
        <v>13.200000000000001</v>
      </c>
      <c r="AT17" s="35">
        <f t="shared" si="9"/>
        <v>0.17304166666666665</v>
      </c>
      <c r="AU17" s="35">
        <f t="shared" si="6"/>
        <v>4.1529999999999996</v>
      </c>
      <c r="AV17" s="36">
        <f t="shared" si="7"/>
        <v>0.31462121212121208</v>
      </c>
      <c r="AW17" s="121"/>
      <c r="AX17" s="112">
        <f t="shared" si="10"/>
        <v>0.55000000000000004</v>
      </c>
      <c r="AY17" s="113">
        <v>0.16350000000000001</v>
      </c>
      <c r="AZ17" s="111">
        <f t="shared" si="11"/>
        <v>0.63992500000000008</v>
      </c>
      <c r="BA17" s="114">
        <f t="shared" si="12"/>
        <v>8.2500000000000032E-2</v>
      </c>
      <c r="BB17" s="114">
        <f t="shared" si="13"/>
        <v>7.4250000000000028E-3</v>
      </c>
      <c r="BC17" s="114">
        <f t="shared" si="14"/>
        <v>8.9925000000000033E-2</v>
      </c>
      <c r="BD17" s="114">
        <f t="shared" si="15"/>
        <v>0.55000000000000004</v>
      </c>
      <c r="BE17" s="115">
        <f t="shared" si="16"/>
        <v>0.31462121212121208</v>
      </c>
      <c r="BF17" s="113">
        <f t="shared" si="17"/>
        <v>0</v>
      </c>
      <c r="BG17" s="104">
        <v>0.85</v>
      </c>
    </row>
    <row r="18" spans="1:59" ht="45" customHeight="1" x14ac:dyDescent="0.25">
      <c r="A18" s="2">
        <v>12</v>
      </c>
      <c r="B18" s="100" t="s">
        <v>46</v>
      </c>
      <c r="C18" s="31">
        <v>1</v>
      </c>
      <c r="D18" s="3" t="s">
        <v>54</v>
      </c>
      <c r="E18" s="31">
        <f t="shared" si="0"/>
        <v>12</v>
      </c>
      <c r="F18" s="31"/>
      <c r="G18" s="31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71">
        <v>8.4499999999999993</v>
      </c>
      <c r="AK18" s="73">
        <f t="shared" si="1"/>
        <v>0.70416666666666661</v>
      </c>
      <c r="AL18" s="74">
        <f t="shared" si="2"/>
        <v>8.4499999999999993</v>
      </c>
      <c r="AM18" s="32"/>
      <c r="AN18" s="33">
        <f t="shared" si="8"/>
        <v>0.70416666666666661</v>
      </c>
      <c r="AO18" s="33">
        <f t="shared" si="8"/>
        <v>8.4499999999999993</v>
      </c>
      <c r="AP18" s="33">
        <f t="shared" si="3"/>
        <v>0.76754166666666668</v>
      </c>
      <c r="AQ18" s="33">
        <f t="shared" si="4"/>
        <v>9.2104999999999997</v>
      </c>
      <c r="AR18" s="34">
        <v>1</v>
      </c>
      <c r="AS18" s="35">
        <f t="shared" si="5"/>
        <v>12</v>
      </c>
      <c r="AT18" s="35">
        <f t="shared" si="9"/>
        <v>0.23245833333333332</v>
      </c>
      <c r="AU18" s="35">
        <f t="shared" si="6"/>
        <v>2.7894999999999999</v>
      </c>
      <c r="AV18" s="36">
        <f t="shared" si="7"/>
        <v>0.23245833333333332</v>
      </c>
      <c r="AW18" s="118"/>
      <c r="AX18" s="112">
        <f t="shared" si="10"/>
        <v>1</v>
      </c>
      <c r="AY18" s="113">
        <v>0.16350000000000001</v>
      </c>
      <c r="AZ18" s="111">
        <f t="shared" si="11"/>
        <v>1.1635</v>
      </c>
      <c r="BA18" s="114">
        <f t="shared" si="12"/>
        <v>0.15</v>
      </c>
      <c r="BB18" s="114">
        <f t="shared" si="13"/>
        <v>1.35E-2</v>
      </c>
      <c r="BC18" s="114">
        <f t="shared" si="14"/>
        <v>0.16349999999999998</v>
      </c>
      <c r="BD18" s="114">
        <f t="shared" si="15"/>
        <v>1</v>
      </c>
      <c r="BE18" s="115">
        <f t="shared" si="16"/>
        <v>0.23245833333333332</v>
      </c>
      <c r="BF18" s="113">
        <f t="shared" si="17"/>
        <v>0</v>
      </c>
      <c r="BG18" s="104" t="s">
        <v>122</v>
      </c>
    </row>
    <row r="19" spans="1:59" ht="45" customHeight="1" x14ac:dyDescent="0.25">
      <c r="A19" s="2">
        <v>13</v>
      </c>
      <c r="B19" s="100" t="s">
        <v>84</v>
      </c>
      <c r="C19" s="31">
        <v>1</v>
      </c>
      <c r="D19" s="3" t="s">
        <v>54</v>
      </c>
      <c r="E19" s="31">
        <f t="shared" si="0"/>
        <v>12</v>
      </c>
      <c r="F19" s="31"/>
      <c r="G19" s="31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71">
        <v>8.4499999999999993</v>
      </c>
      <c r="AK19" s="73">
        <f t="shared" si="1"/>
        <v>0.70416666666666661</v>
      </c>
      <c r="AL19" s="74">
        <f t="shared" si="2"/>
        <v>8.4499999999999993</v>
      </c>
      <c r="AM19" s="32"/>
      <c r="AN19" s="33">
        <f t="shared" si="8"/>
        <v>0.70416666666666661</v>
      </c>
      <c r="AO19" s="33">
        <f t="shared" si="8"/>
        <v>8.4499999999999993</v>
      </c>
      <c r="AP19" s="33">
        <f t="shared" si="3"/>
        <v>0.76754166666666668</v>
      </c>
      <c r="AQ19" s="33">
        <f t="shared" si="4"/>
        <v>9.2104999999999997</v>
      </c>
      <c r="AR19" s="34">
        <v>1</v>
      </c>
      <c r="AS19" s="35">
        <f t="shared" si="5"/>
        <v>12</v>
      </c>
      <c r="AT19" s="35">
        <f t="shared" si="9"/>
        <v>0.23245833333333332</v>
      </c>
      <c r="AU19" s="35">
        <f t="shared" si="6"/>
        <v>2.7894999999999999</v>
      </c>
      <c r="AV19" s="36">
        <f t="shared" si="7"/>
        <v>0.23245833333333332</v>
      </c>
      <c r="AW19" s="119"/>
      <c r="AX19" s="112">
        <f t="shared" si="10"/>
        <v>1</v>
      </c>
      <c r="AY19" s="113">
        <v>0.16350000000000001</v>
      </c>
      <c r="AZ19" s="111">
        <f t="shared" si="11"/>
        <v>1.1635</v>
      </c>
      <c r="BA19" s="114">
        <f t="shared" si="12"/>
        <v>0.15</v>
      </c>
      <c r="BB19" s="114">
        <f t="shared" si="13"/>
        <v>1.35E-2</v>
      </c>
      <c r="BC19" s="114">
        <f t="shared" si="14"/>
        <v>0.16349999999999998</v>
      </c>
      <c r="BD19" s="114">
        <f t="shared" si="15"/>
        <v>1</v>
      </c>
      <c r="BE19" s="115">
        <f t="shared" si="16"/>
        <v>0.23245833333333332</v>
      </c>
      <c r="BF19" s="113">
        <f t="shared" si="17"/>
        <v>0</v>
      </c>
      <c r="BG19" s="104" t="s">
        <v>122</v>
      </c>
    </row>
    <row r="20" spans="1:59" ht="45" customHeight="1" x14ac:dyDescent="0.25">
      <c r="A20" s="2">
        <v>14</v>
      </c>
      <c r="B20" s="100" t="s">
        <v>47</v>
      </c>
      <c r="C20" s="31">
        <v>1</v>
      </c>
      <c r="D20" s="3" t="s">
        <v>24</v>
      </c>
      <c r="E20" s="31">
        <f t="shared" si="0"/>
        <v>24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71">
        <v>2.4</v>
      </c>
      <c r="AK20" s="73">
        <f t="shared" si="1"/>
        <v>9.9999999999999992E-2</v>
      </c>
      <c r="AL20" s="74">
        <f t="shared" si="2"/>
        <v>2.4</v>
      </c>
      <c r="AM20" s="32"/>
      <c r="AN20" s="33">
        <f t="shared" si="8"/>
        <v>9.9999999999999992E-2</v>
      </c>
      <c r="AO20" s="33">
        <f t="shared" si="8"/>
        <v>2.4</v>
      </c>
      <c r="AP20" s="33">
        <f t="shared" si="3"/>
        <v>0.109</v>
      </c>
      <c r="AQ20" s="33">
        <f t="shared" si="4"/>
        <v>2.6160000000000001</v>
      </c>
      <c r="AR20" s="34">
        <v>0.35</v>
      </c>
      <c r="AS20" s="35">
        <f t="shared" si="5"/>
        <v>8.3999999999999986</v>
      </c>
      <c r="AT20" s="35">
        <f t="shared" si="9"/>
        <v>0.24099999999999999</v>
      </c>
      <c r="AU20" s="35">
        <f t="shared" si="6"/>
        <v>5.7839999999999998</v>
      </c>
      <c r="AV20" s="36">
        <f t="shared" si="7"/>
        <v>0.68857142857142861</v>
      </c>
      <c r="AW20" s="120"/>
      <c r="AX20" s="112">
        <f t="shared" si="10"/>
        <v>0.35</v>
      </c>
      <c r="AY20" s="113">
        <v>0.16350000000000001</v>
      </c>
      <c r="AZ20" s="111">
        <f t="shared" si="11"/>
        <v>0.40722499999999995</v>
      </c>
      <c r="BA20" s="114">
        <f t="shared" si="12"/>
        <v>5.2499999999999977E-2</v>
      </c>
      <c r="BB20" s="114">
        <f t="shared" si="13"/>
        <v>4.7249999999999974E-3</v>
      </c>
      <c r="BC20" s="114">
        <f t="shared" si="14"/>
        <v>5.722499999999997E-2</v>
      </c>
      <c r="BD20" s="114">
        <f t="shared" si="15"/>
        <v>0.35</v>
      </c>
      <c r="BE20" s="115">
        <f t="shared" si="16"/>
        <v>0.68857142857142861</v>
      </c>
      <c r="BF20" s="113">
        <f t="shared" si="17"/>
        <v>0</v>
      </c>
      <c r="BG20" s="104">
        <v>0.85</v>
      </c>
    </row>
    <row r="21" spans="1:59" ht="45" customHeight="1" x14ac:dyDescent="0.25">
      <c r="A21" s="2">
        <v>15</v>
      </c>
      <c r="B21" s="101" t="s">
        <v>48</v>
      </c>
      <c r="C21" s="31">
        <v>1</v>
      </c>
      <c r="D21" s="3" t="s">
        <v>54</v>
      </c>
      <c r="E21" s="31">
        <f t="shared" si="0"/>
        <v>12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71">
        <v>2.4</v>
      </c>
      <c r="AK21" s="73">
        <f t="shared" si="1"/>
        <v>0.19999999999999998</v>
      </c>
      <c r="AL21" s="74">
        <f t="shared" si="2"/>
        <v>2.4</v>
      </c>
      <c r="AM21" s="32"/>
      <c r="AN21" s="33">
        <f t="shared" si="8"/>
        <v>0.19999999999999998</v>
      </c>
      <c r="AO21" s="33">
        <f t="shared" si="8"/>
        <v>2.4</v>
      </c>
      <c r="AP21" s="33">
        <f t="shared" si="3"/>
        <v>0.218</v>
      </c>
      <c r="AQ21" s="33">
        <f t="shared" si="4"/>
        <v>2.6160000000000001</v>
      </c>
      <c r="AR21" s="34">
        <v>0.65</v>
      </c>
      <c r="AS21" s="35">
        <f t="shared" si="5"/>
        <v>7.8000000000000007</v>
      </c>
      <c r="AT21" s="35">
        <f t="shared" si="9"/>
        <v>0.43200000000000005</v>
      </c>
      <c r="AU21" s="35">
        <f t="shared" si="6"/>
        <v>5.1840000000000011</v>
      </c>
      <c r="AV21" s="36">
        <f t="shared" si="7"/>
        <v>0.66461538461538472</v>
      </c>
      <c r="AW21" s="120"/>
      <c r="AX21" s="112">
        <f t="shared" si="10"/>
        <v>0.65</v>
      </c>
      <c r="AY21" s="113">
        <v>0.16350000000000001</v>
      </c>
      <c r="AZ21" s="111">
        <f t="shared" si="11"/>
        <v>0.75627500000000003</v>
      </c>
      <c r="BA21" s="114">
        <f t="shared" si="12"/>
        <v>9.7500000000000017E-2</v>
      </c>
      <c r="BB21" s="114">
        <f t="shared" si="13"/>
        <v>8.7750000000000015E-3</v>
      </c>
      <c r="BC21" s="114">
        <f t="shared" si="14"/>
        <v>0.10627500000000001</v>
      </c>
      <c r="BD21" s="114">
        <f t="shared" si="15"/>
        <v>0.65</v>
      </c>
      <c r="BE21" s="115">
        <f t="shared" si="16"/>
        <v>0.66461538461538472</v>
      </c>
      <c r="BF21" s="113">
        <f t="shared" si="17"/>
        <v>0</v>
      </c>
      <c r="BG21" s="116">
        <v>1</v>
      </c>
    </row>
    <row r="22" spans="1:59" ht="45" customHeight="1" x14ac:dyDescent="0.25">
      <c r="A22" s="2">
        <v>16</v>
      </c>
      <c r="B22" s="101" t="s">
        <v>49</v>
      </c>
      <c r="C22" s="31">
        <v>1</v>
      </c>
      <c r="D22" s="3" t="s">
        <v>54</v>
      </c>
      <c r="E22" s="31">
        <f t="shared" si="0"/>
        <v>12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71">
        <v>8.9499999999999993</v>
      </c>
      <c r="AK22" s="73">
        <f t="shared" si="1"/>
        <v>0.74583333333333324</v>
      </c>
      <c r="AL22" s="74">
        <f t="shared" si="2"/>
        <v>8.9499999999999993</v>
      </c>
      <c r="AM22" s="32"/>
      <c r="AN22" s="33">
        <f t="shared" si="8"/>
        <v>0.74583333333333324</v>
      </c>
      <c r="AO22" s="33">
        <f t="shared" si="8"/>
        <v>8.9499999999999993</v>
      </c>
      <c r="AP22" s="33">
        <f t="shared" si="3"/>
        <v>0.81295833333333334</v>
      </c>
      <c r="AQ22" s="33">
        <f t="shared" si="4"/>
        <v>9.7554999999999996</v>
      </c>
      <c r="AR22" s="34">
        <v>1.25</v>
      </c>
      <c r="AS22" s="35">
        <f t="shared" si="5"/>
        <v>15</v>
      </c>
      <c r="AT22" s="35">
        <f t="shared" si="9"/>
        <v>0.43704166666666666</v>
      </c>
      <c r="AU22" s="35">
        <f t="shared" si="6"/>
        <v>5.2445000000000004</v>
      </c>
      <c r="AV22" s="36">
        <f t="shared" si="7"/>
        <v>0.34963333333333335</v>
      </c>
      <c r="AW22" s="120"/>
      <c r="AX22" s="112">
        <f t="shared" si="10"/>
        <v>1.25</v>
      </c>
      <c r="AY22" s="113">
        <v>0.16350000000000001</v>
      </c>
      <c r="AZ22" s="111">
        <f t="shared" si="11"/>
        <v>1.454375</v>
      </c>
      <c r="BA22" s="114">
        <f t="shared" si="12"/>
        <v>0.18749999999999997</v>
      </c>
      <c r="BB22" s="114">
        <f t="shared" si="13"/>
        <v>1.6874999999999998E-2</v>
      </c>
      <c r="BC22" s="114">
        <f t="shared" si="14"/>
        <v>0.20437499999999997</v>
      </c>
      <c r="BD22" s="114">
        <f t="shared" si="15"/>
        <v>1.25</v>
      </c>
      <c r="BE22" s="115">
        <f t="shared" si="16"/>
        <v>0.34963333333333335</v>
      </c>
      <c r="BF22" s="113">
        <f t="shared" si="17"/>
        <v>0</v>
      </c>
      <c r="BG22" s="104" t="s">
        <v>122</v>
      </c>
    </row>
    <row r="23" spans="1:59" ht="45" customHeight="1" x14ac:dyDescent="0.25">
      <c r="A23" s="2">
        <v>17</v>
      </c>
      <c r="B23" s="102" t="s">
        <v>50</v>
      </c>
      <c r="C23" s="31">
        <v>1</v>
      </c>
      <c r="D23" s="3" t="s">
        <v>54</v>
      </c>
      <c r="E23" s="31">
        <f t="shared" si="0"/>
        <v>12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71">
        <v>8.9499999999999993</v>
      </c>
      <c r="AK23" s="73">
        <f t="shared" si="1"/>
        <v>0.74583333333333324</v>
      </c>
      <c r="AL23" s="74">
        <f t="shared" si="2"/>
        <v>8.9499999999999993</v>
      </c>
      <c r="AM23" s="32"/>
      <c r="AN23" s="33">
        <f t="shared" si="8"/>
        <v>0.74583333333333324</v>
      </c>
      <c r="AO23" s="33">
        <f t="shared" si="8"/>
        <v>8.9499999999999993</v>
      </c>
      <c r="AP23" s="33">
        <f t="shared" si="3"/>
        <v>0.81295833333333334</v>
      </c>
      <c r="AQ23" s="33">
        <f t="shared" si="4"/>
        <v>9.7554999999999996</v>
      </c>
      <c r="AR23" s="34">
        <v>1.25</v>
      </c>
      <c r="AS23" s="35">
        <f t="shared" si="5"/>
        <v>15</v>
      </c>
      <c r="AT23" s="35">
        <f>AR23-AP23</f>
        <v>0.43704166666666666</v>
      </c>
      <c r="AU23" s="35">
        <f t="shared" si="6"/>
        <v>5.2445000000000004</v>
      </c>
      <c r="AV23" s="36">
        <f t="shared" si="7"/>
        <v>0.34963333333333335</v>
      </c>
      <c r="AW23" s="121"/>
      <c r="AX23" s="112">
        <f t="shared" si="10"/>
        <v>1.25</v>
      </c>
      <c r="AY23" s="113">
        <v>0.16350000000000001</v>
      </c>
      <c r="AZ23" s="111">
        <f t="shared" si="11"/>
        <v>1.454375</v>
      </c>
      <c r="BA23" s="114">
        <f t="shared" si="12"/>
        <v>0.18749999999999997</v>
      </c>
      <c r="BB23" s="114">
        <f t="shared" si="13"/>
        <v>1.6874999999999998E-2</v>
      </c>
      <c r="BC23" s="114">
        <f t="shared" si="14"/>
        <v>0.20437499999999997</v>
      </c>
      <c r="BD23" s="114">
        <f t="shared" si="15"/>
        <v>1.25</v>
      </c>
      <c r="BE23" s="115">
        <f t="shared" si="16"/>
        <v>0.34963333333333335</v>
      </c>
      <c r="BF23" s="113">
        <f t="shared" si="17"/>
        <v>0</v>
      </c>
      <c r="BG23" s="104" t="s">
        <v>122</v>
      </c>
    </row>
    <row r="24" spans="1:59" ht="45" customHeight="1" x14ac:dyDescent="0.25">
      <c r="A24" s="2">
        <v>18</v>
      </c>
      <c r="B24" s="100" t="s">
        <v>51</v>
      </c>
      <c r="C24" s="31">
        <v>1</v>
      </c>
      <c r="D24" s="3" t="s">
        <v>54</v>
      </c>
      <c r="E24" s="31">
        <f t="shared" si="0"/>
        <v>12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103">
        <v>8.6</v>
      </c>
      <c r="W24" s="103"/>
      <c r="X24" s="103"/>
      <c r="Y24" s="103"/>
      <c r="Z24" s="103"/>
      <c r="AA24" s="103"/>
      <c r="AB24" s="103"/>
      <c r="AC24" s="103"/>
      <c r="AD24" s="103">
        <v>8.9499999999999993</v>
      </c>
      <c r="AE24" s="103"/>
      <c r="AF24" s="103"/>
      <c r="AG24" s="103"/>
      <c r="AH24" s="103"/>
      <c r="AI24" s="103"/>
      <c r="AJ24" s="71">
        <v>8.9499999999999993</v>
      </c>
      <c r="AK24" s="73">
        <f t="shared" si="1"/>
        <v>0.74583333333333324</v>
      </c>
      <c r="AL24" s="74">
        <f t="shared" si="2"/>
        <v>8.9499999999999993</v>
      </c>
      <c r="AM24" s="32"/>
      <c r="AN24" s="33">
        <f t="shared" si="8"/>
        <v>0.74583333333333324</v>
      </c>
      <c r="AO24" s="33">
        <f t="shared" si="8"/>
        <v>8.9499999999999993</v>
      </c>
      <c r="AP24" s="33">
        <f t="shared" si="3"/>
        <v>0.81295833333333334</v>
      </c>
      <c r="AQ24" s="33">
        <f t="shared" si="4"/>
        <v>9.7554999999999996</v>
      </c>
      <c r="AR24" s="34">
        <v>1.25</v>
      </c>
      <c r="AS24" s="35">
        <f t="shared" si="5"/>
        <v>15</v>
      </c>
      <c r="AT24" s="35">
        <f t="shared" si="9"/>
        <v>0.43704166666666666</v>
      </c>
      <c r="AU24" s="35">
        <f t="shared" si="6"/>
        <v>5.2445000000000004</v>
      </c>
      <c r="AV24" s="36">
        <f t="shared" si="7"/>
        <v>0.34963333333333335</v>
      </c>
      <c r="AW24" s="118"/>
      <c r="AX24" s="112">
        <f t="shared" si="10"/>
        <v>1.25</v>
      </c>
      <c r="AY24" s="113">
        <v>0.16350000000000001</v>
      </c>
      <c r="AZ24" s="111">
        <f t="shared" si="11"/>
        <v>1.454375</v>
      </c>
      <c r="BA24" s="114">
        <f t="shared" si="12"/>
        <v>0.18749999999999997</v>
      </c>
      <c r="BB24" s="114">
        <f t="shared" si="13"/>
        <v>1.6874999999999998E-2</v>
      </c>
      <c r="BC24" s="114">
        <f t="shared" si="14"/>
        <v>0.20437499999999997</v>
      </c>
      <c r="BD24" s="114">
        <f t="shared" si="15"/>
        <v>1.25</v>
      </c>
      <c r="BE24" s="115">
        <f t="shared" si="16"/>
        <v>0.34963333333333335</v>
      </c>
      <c r="BF24" s="113">
        <f t="shared" si="17"/>
        <v>0</v>
      </c>
      <c r="BG24" s="104" t="s">
        <v>122</v>
      </c>
    </row>
    <row r="25" spans="1:59" ht="45" customHeight="1" x14ac:dyDescent="0.25">
      <c r="A25" s="2">
        <v>19</v>
      </c>
      <c r="B25" s="100" t="s">
        <v>75</v>
      </c>
      <c r="C25" s="31">
        <v>1</v>
      </c>
      <c r="D25" s="3" t="s">
        <v>24</v>
      </c>
      <c r="E25" s="31">
        <f t="shared" si="0"/>
        <v>24</v>
      </c>
      <c r="F25" s="103">
        <v>12.65</v>
      </c>
      <c r="G25" s="31"/>
      <c r="I25" s="103"/>
      <c r="J25" s="103"/>
      <c r="K25" s="103"/>
      <c r="L25" s="103"/>
      <c r="M25" s="103">
        <v>12.8</v>
      </c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71">
        <v>12.8</v>
      </c>
      <c r="AK25" s="73">
        <f t="shared" si="1"/>
        <v>0.53333333333333333</v>
      </c>
      <c r="AL25" s="74">
        <f t="shared" si="2"/>
        <v>12.8</v>
      </c>
      <c r="AM25" s="32"/>
      <c r="AN25" s="33">
        <f t="shared" si="8"/>
        <v>0.53333333333333333</v>
      </c>
      <c r="AO25" s="33">
        <f t="shared" si="8"/>
        <v>12.8</v>
      </c>
      <c r="AP25" s="33">
        <f t="shared" si="3"/>
        <v>0.58133333333333337</v>
      </c>
      <c r="AQ25" s="33">
        <f t="shared" si="4"/>
        <v>13.952000000000002</v>
      </c>
      <c r="AR25" s="34">
        <v>0.9</v>
      </c>
      <c r="AS25" s="35">
        <f t="shared" si="5"/>
        <v>21.6</v>
      </c>
      <c r="AT25" s="35">
        <f>AR25-AP25</f>
        <v>0.31866666666666665</v>
      </c>
      <c r="AU25" s="35">
        <f t="shared" si="6"/>
        <v>7.6479999999999997</v>
      </c>
      <c r="AV25" s="36">
        <f t="shared" si="7"/>
        <v>0.35407407407407404</v>
      </c>
      <c r="AW25" s="119"/>
      <c r="AX25" s="112">
        <f t="shared" si="10"/>
        <v>0.9</v>
      </c>
      <c r="AY25" s="113">
        <v>0.16350000000000001</v>
      </c>
      <c r="AZ25" s="111">
        <f t="shared" si="11"/>
        <v>1.04715</v>
      </c>
      <c r="BA25" s="114">
        <f t="shared" si="12"/>
        <v>0.13500000000000001</v>
      </c>
      <c r="BB25" s="114">
        <f t="shared" si="13"/>
        <v>1.2150000000000001E-2</v>
      </c>
      <c r="BC25" s="114">
        <f t="shared" si="14"/>
        <v>0.14715</v>
      </c>
      <c r="BD25" s="114">
        <f t="shared" si="15"/>
        <v>0.9</v>
      </c>
      <c r="BE25" s="115">
        <f t="shared" si="16"/>
        <v>0.35407407407407404</v>
      </c>
      <c r="BF25" s="113">
        <f t="shared" si="17"/>
        <v>0</v>
      </c>
      <c r="BG25" s="104" t="s">
        <v>122</v>
      </c>
    </row>
    <row r="26" spans="1:59" ht="45" customHeight="1" x14ac:dyDescent="0.25">
      <c r="A26" s="2">
        <v>20</v>
      </c>
      <c r="B26" s="100" t="s">
        <v>52</v>
      </c>
      <c r="C26" s="31">
        <v>1</v>
      </c>
      <c r="D26" s="3" t="s">
        <v>24</v>
      </c>
      <c r="E26" s="31">
        <f t="shared" si="0"/>
        <v>24</v>
      </c>
      <c r="F26" s="103">
        <v>12.65</v>
      </c>
      <c r="G26" s="31"/>
      <c r="I26" s="103"/>
      <c r="J26" s="103"/>
      <c r="K26" s="103"/>
      <c r="L26" s="103"/>
      <c r="M26" s="103">
        <v>12.8</v>
      </c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71">
        <v>12.8</v>
      </c>
      <c r="AK26" s="73">
        <f t="shared" si="1"/>
        <v>0.53333333333333333</v>
      </c>
      <c r="AL26" s="74">
        <f t="shared" si="2"/>
        <v>12.8</v>
      </c>
      <c r="AM26" s="32"/>
      <c r="AN26" s="33">
        <f t="shared" si="8"/>
        <v>0.53333333333333333</v>
      </c>
      <c r="AO26" s="33">
        <f t="shared" si="8"/>
        <v>12.8</v>
      </c>
      <c r="AP26" s="33">
        <f t="shared" si="3"/>
        <v>0.58133333333333337</v>
      </c>
      <c r="AQ26" s="33">
        <f t="shared" si="4"/>
        <v>13.952000000000002</v>
      </c>
      <c r="AR26" s="34">
        <v>0.9</v>
      </c>
      <c r="AS26" s="35">
        <f t="shared" si="5"/>
        <v>21.6</v>
      </c>
      <c r="AT26" s="35">
        <f t="shared" ref="AT26:AT52" si="18">AR26-AP26</f>
        <v>0.31866666666666665</v>
      </c>
      <c r="AU26" s="35">
        <f t="shared" si="6"/>
        <v>7.6479999999999997</v>
      </c>
      <c r="AV26" s="36">
        <f t="shared" si="7"/>
        <v>0.35407407407407404</v>
      </c>
      <c r="AW26" s="119"/>
      <c r="AX26" s="112">
        <f t="shared" si="10"/>
        <v>0.9</v>
      </c>
      <c r="AY26" s="113">
        <v>0.16350000000000001</v>
      </c>
      <c r="AZ26" s="111">
        <f t="shared" si="11"/>
        <v>1.04715</v>
      </c>
      <c r="BA26" s="114">
        <f t="shared" si="12"/>
        <v>0.13500000000000001</v>
      </c>
      <c r="BB26" s="114">
        <f t="shared" si="13"/>
        <v>1.2150000000000001E-2</v>
      </c>
      <c r="BC26" s="114">
        <f t="shared" si="14"/>
        <v>0.14715</v>
      </c>
      <c r="BD26" s="114">
        <f t="shared" si="15"/>
        <v>0.9</v>
      </c>
      <c r="BE26" s="115">
        <f t="shared" si="16"/>
        <v>0.35407407407407404</v>
      </c>
      <c r="BF26" s="113">
        <f t="shared" si="17"/>
        <v>0</v>
      </c>
      <c r="BG26" s="104" t="s">
        <v>122</v>
      </c>
    </row>
    <row r="27" spans="1:59" ht="45" customHeight="1" x14ac:dyDescent="0.25">
      <c r="A27" s="2">
        <v>21</v>
      </c>
      <c r="B27" s="100" t="s">
        <v>53</v>
      </c>
      <c r="C27" s="31">
        <v>1</v>
      </c>
      <c r="D27" s="3" t="s">
        <v>21</v>
      </c>
      <c r="E27" s="31">
        <f t="shared" si="0"/>
        <v>4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71">
        <v>24.2</v>
      </c>
      <c r="AK27" s="73">
        <f t="shared" si="1"/>
        <v>6.05</v>
      </c>
      <c r="AL27" s="74">
        <f t="shared" si="2"/>
        <v>24.2</v>
      </c>
      <c r="AM27" s="32"/>
      <c r="AN27" s="33">
        <f>AK27/$AU$2</f>
        <v>6.05</v>
      </c>
      <c r="AO27" s="33">
        <f t="shared" si="8"/>
        <v>24.2</v>
      </c>
      <c r="AP27" s="33">
        <f t="shared" si="3"/>
        <v>6.5945</v>
      </c>
      <c r="AQ27" s="33">
        <f t="shared" si="4"/>
        <v>26.378</v>
      </c>
      <c r="AR27" s="34">
        <v>8.5</v>
      </c>
      <c r="AS27" s="35">
        <f t="shared" si="5"/>
        <v>34</v>
      </c>
      <c r="AT27" s="35">
        <f t="shared" si="18"/>
        <v>1.9055</v>
      </c>
      <c r="AU27" s="35">
        <f t="shared" si="6"/>
        <v>7.6219999999999999</v>
      </c>
      <c r="AV27" s="36">
        <f t="shared" si="7"/>
        <v>0.22417647058823528</v>
      </c>
      <c r="AW27" s="120"/>
      <c r="AX27" s="112">
        <f t="shared" si="10"/>
        <v>8.5</v>
      </c>
      <c r="AY27" s="113">
        <v>0.16350000000000001</v>
      </c>
      <c r="AZ27" s="111">
        <f t="shared" si="11"/>
        <v>9.8897499999999994</v>
      </c>
      <c r="BA27" s="114">
        <f t="shared" si="12"/>
        <v>1.2749999999999995</v>
      </c>
      <c r="BB27" s="114">
        <f t="shared" si="13"/>
        <v>0.11474999999999995</v>
      </c>
      <c r="BC27" s="114">
        <f t="shared" si="14"/>
        <v>1.3897499999999994</v>
      </c>
      <c r="BD27" s="114">
        <f t="shared" si="15"/>
        <v>8.5</v>
      </c>
      <c r="BE27" s="115">
        <f t="shared" si="16"/>
        <v>0.22417647058823528</v>
      </c>
      <c r="BF27" s="113">
        <f t="shared" si="17"/>
        <v>0</v>
      </c>
      <c r="BG27" s="104" t="s">
        <v>122</v>
      </c>
    </row>
    <row r="28" spans="1:59" ht="45" customHeight="1" x14ac:dyDescent="0.25">
      <c r="A28" s="2">
        <v>22</v>
      </c>
      <c r="B28" s="100" t="s">
        <v>55</v>
      </c>
      <c r="C28" s="31">
        <v>1</v>
      </c>
      <c r="D28" s="3" t="s">
        <v>54</v>
      </c>
      <c r="E28" s="31">
        <f t="shared" si="0"/>
        <v>12</v>
      </c>
      <c r="F28" s="31"/>
      <c r="G28" s="31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71">
        <v>8.4499999999999993</v>
      </c>
      <c r="AK28" s="73">
        <f t="shared" si="1"/>
        <v>0.70416666666666661</v>
      </c>
      <c r="AL28" s="74">
        <f t="shared" si="2"/>
        <v>8.4499999999999993</v>
      </c>
      <c r="AM28" s="32"/>
      <c r="AN28" s="33">
        <f>AK28/$AU$2</f>
        <v>0.70416666666666661</v>
      </c>
      <c r="AO28" s="33">
        <f t="shared" si="8"/>
        <v>8.4499999999999993</v>
      </c>
      <c r="AP28" s="33">
        <f t="shared" si="3"/>
        <v>0.76754166666666668</v>
      </c>
      <c r="AQ28" s="33">
        <f t="shared" si="4"/>
        <v>9.2104999999999997</v>
      </c>
      <c r="AR28" s="34">
        <v>1</v>
      </c>
      <c r="AS28" s="35">
        <f t="shared" si="5"/>
        <v>12</v>
      </c>
      <c r="AT28" s="35">
        <f t="shared" si="18"/>
        <v>0.23245833333333332</v>
      </c>
      <c r="AU28" s="35">
        <f t="shared" si="6"/>
        <v>2.7894999999999999</v>
      </c>
      <c r="AV28" s="36">
        <f t="shared" si="7"/>
        <v>0.23245833333333332</v>
      </c>
      <c r="AW28" s="118"/>
      <c r="AX28" s="112">
        <f t="shared" si="10"/>
        <v>1</v>
      </c>
      <c r="AY28" s="113">
        <v>0.16350000000000001</v>
      </c>
      <c r="AZ28" s="111">
        <f t="shared" si="11"/>
        <v>1.1635</v>
      </c>
      <c r="BA28" s="114">
        <f t="shared" si="12"/>
        <v>0.15</v>
      </c>
      <c r="BB28" s="114">
        <f t="shared" si="13"/>
        <v>1.35E-2</v>
      </c>
      <c r="BC28" s="114">
        <f t="shared" si="14"/>
        <v>0.16349999999999998</v>
      </c>
      <c r="BD28" s="114">
        <f t="shared" si="15"/>
        <v>1</v>
      </c>
      <c r="BE28" s="115">
        <f t="shared" si="16"/>
        <v>0.23245833333333332</v>
      </c>
      <c r="BF28" s="113">
        <f t="shared" si="17"/>
        <v>0</v>
      </c>
      <c r="BG28" s="104" t="s">
        <v>122</v>
      </c>
    </row>
    <row r="29" spans="1:59" ht="45" customHeight="1" x14ac:dyDescent="0.25">
      <c r="A29" s="2">
        <v>23</v>
      </c>
      <c r="B29" s="101" t="s">
        <v>56</v>
      </c>
      <c r="C29" s="31">
        <v>1</v>
      </c>
      <c r="D29" s="3" t="s">
        <v>54</v>
      </c>
      <c r="E29" s="31">
        <f t="shared" si="0"/>
        <v>12</v>
      </c>
      <c r="F29" s="31"/>
      <c r="G29" s="31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71">
        <v>8.4499999999999993</v>
      </c>
      <c r="AK29" s="73">
        <f t="shared" si="1"/>
        <v>0.70416666666666661</v>
      </c>
      <c r="AL29" s="74">
        <f t="shared" si="2"/>
        <v>8.4499999999999993</v>
      </c>
      <c r="AM29" s="32"/>
      <c r="AN29" s="33">
        <f t="shared" ref="AN29:AO44" si="19">AK29/$AU$2</f>
        <v>0.70416666666666661</v>
      </c>
      <c r="AO29" s="33">
        <f t="shared" si="19"/>
        <v>8.4499999999999993</v>
      </c>
      <c r="AP29" s="33">
        <f t="shared" si="3"/>
        <v>0.76754166666666668</v>
      </c>
      <c r="AQ29" s="33">
        <f t="shared" si="4"/>
        <v>9.2104999999999997</v>
      </c>
      <c r="AR29" s="34">
        <v>1</v>
      </c>
      <c r="AS29" s="35">
        <f t="shared" si="5"/>
        <v>12</v>
      </c>
      <c r="AT29" s="35">
        <f t="shared" si="18"/>
        <v>0.23245833333333332</v>
      </c>
      <c r="AU29" s="35">
        <f t="shared" si="6"/>
        <v>2.7894999999999999</v>
      </c>
      <c r="AV29" s="36">
        <f t="shared" si="7"/>
        <v>0.23245833333333332</v>
      </c>
      <c r="AW29" s="120"/>
      <c r="AX29" s="112">
        <f t="shared" si="10"/>
        <v>1</v>
      </c>
      <c r="AY29" s="113">
        <v>0.16350000000000001</v>
      </c>
      <c r="AZ29" s="111">
        <f t="shared" si="11"/>
        <v>1.1635</v>
      </c>
      <c r="BA29" s="114">
        <f t="shared" si="12"/>
        <v>0.15</v>
      </c>
      <c r="BB29" s="114">
        <f t="shared" si="13"/>
        <v>1.35E-2</v>
      </c>
      <c r="BC29" s="114">
        <f t="shared" si="14"/>
        <v>0.16349999999999998</v>
      </c>
      <c r="BD29" s="114">
        <f t="shared" si="15"/>
        <v>1</v>
      </c>
      <c r="BE29" s="115">
        <f t="shared" si="16"/>
        <v>0.23245833333333332</v>
      </c>
      <c r="BF29" s="113">
        <f t="shared" si="17"/>
        <v>0</v>
      </c>
      <c r="BG29" s="104" t="s">
        <v>122</v>
      </c>
    </row>
    <row r="30" spans="1:59" ht="45" customHeight="1" x14ac:dyDescent="0.25">
      <c r="A30" s="2">
        <v>24</v>
      </c>
      <c r="B30" s="102" t="s">
        <v>57</v>
      </c>
      <c r="C30" s="31">
        <v>1</v>
      </c>
      <c r="D30" s="3" t="s">
        <v>54</v>
      </c>
      <c r="E30" s="31">
        <f t="shared" si="0"/>
        <v>12</v>
      </c>
      <c r="F30" s="31"/>
      <c r="G30" s="31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71">
        <v>8.4499999999999993</v>
      </c>
      <c r="AK30" s="73">
        <f t="shared" si="1"/>
        <v>0.70416666666666661</v>
      </c>
      <c r="AL30" s="74">
        <f t="shared" si="2"/>
        <v>8.4499999999999993</v>
      </c>
      <c r="AM30" s="32"/>
      <c r="AN30" s="33">
        <f t="shared" si="19"/>
        <v>0.70416666666666661</v>
      </c>
      <c r="AO30" s="33">
        <f t="shared" si="19"/>
        <v>8.4499999999999993</v>
      </c>
      <c r="AP30" s="33">
        <f t="shared" si="3"/>
        <v>0.76754166666666668</v>
      </c>
      <c r="AQ30" s="33">
        <f t="shared" si="4"/>
        <v>9.2104999999999997</v>
      </c>
      <c r="AR30" s="34">
        <v>1</v>
      </c>
      <c r="AS30" s="35">
        <f t="shared" si="5"/>
        <v>12</v>
      </c>
      <c r="AT30" s="35">
        <f t="shared" si="18"/>
        <v>0.23245833333333332</v>
      </c>
      <c r="AU30" s="35">
        <f t="shared" si="6"/>
        <v>2.7894999999999999</v>
      </c>
      <c r="AV30" s="36">
        <f t="shared" si="7"/>
        <v>0.23245833333333332</v>
      </c>
      <c r="AW30" s="121"/>
      <c r="AX30" s="112">
        <f t="shared" si="10"/>
        <v>1</v>
      </c>
      <c r="AY30" s="113">
        <v>0.16350000000000001</v>
      </c>
      <c r="AZ30" s="111">
        <f t="shared" si="11"/>
        <v>1.1635</v>
      </c>
      <c r="BA30" s="114">
        <f t="shared" si="12"/>
        <v>0.15</v>
      </c>
      <c r="BB30" s="114">
        <f t="shared" si="13"/>
        <v>1.35E-2</v>
      </c>
      <c r="BC30" s="114">
        <f t="shared" si="14"/>
        <v>0.16349999999999998</v>
      </c>
      <c r="BD30" s="114">
        <f t="shared" si="15"/>
        <v>1</v>
      </c>
      <c r="BE30" s="115">
        <f t="shared" si="16"/>
        <v>0.23245833333333332</v>
      </c>
      <c r="BF30" s="113">
        <f t="shared" si="17"/>
        <v>0</v>
      </c>
      <c r="BG30" s="104" t="s">
        <v>122</v>
      </c>
    </row>
    <row r="31" spans="1:59" ht="45" customHeight="1" x14ac:dyDescent="0.25">
      <c r="A31" s="2">
        <v>25</v>
      </c>
      <c r="B31" s="101" t="s">
        <v>58</v>
      </c>
      <c r="C31" s="31">
        <v>1</v>
      </c>
      <c r="D31" s="3" t="s">
        <v>24</v>
      </c>
      <c r="E31" s="31">
        <f t="shared" si="0"/>
        <v>24</v>
      </c>
      <c r="F31" s="31"/>
      <c r="G31" s="31"/>
      <c r="H31" s="103">
        <v>12.45</v>
      </c>
      <c r="I31" s="31"/>
      <c r="J31" s="31"/>
      <c r="K31" s="31"/>
      <c r="L31" s="31"/>
      <c r="M31" s="103">
        <v>12.8</v>
      </c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71">
        <v>13.2</v>
      </c>
      <c r="AK31" s="73">
        <f t="shared" si="1"/>
        <v>0.54999999999999993</v>
      </c>
      <c r="AL31" s="74">
        <f t="shared" si="2"/>
        <v>13.2</v>
      </c>
      <c r="AM31" s="32"/>
      <c r="AN31" s="33">
        <f t="shared" si="19"/>
        <v>0.54999999999999993</v>
      </c>
      <c r="AO31" s="33">
        <f t="shared" si="19"/>
        <v>13.2</v>
      </c>
      <c r="AP31" s="33">
        <f t="shared" si="3"/>
        <v>0.59949999999999992</v>
      </c>
      <c r="AQ31" s="33">
        <f t="shared" si="4"/>
        <v>14.387999999999998</v>
      </c>
      <c r="AR31" s="34">
        <v>1</v>
      </c>
      <c r="AS31" s="35">
        <f t="shared" si="5"/>
        <v>24</v>
      </c>
      <c r="AT31" s="35">
        <f t="shared" si="18"/>
        <v>0.40050000000000008</v>
      </c>
      <c r="AU31" s="35">
        <f t="shared" si="6"/>
        <v>9.6120000000000019</v>
      </c>
      <c r="AV31" s="36">
        <f t="shared" si="7"/>
        <v>0.40050000000000008</v>
      </c>
      <c r="AW31" s="120"/>
      <c r="AX31" s="112">
        <f t="shared" si="10"/>
        <v>1</v>
      </c>
      <c r="AY31" s="113">
        <v>0.16350000000000001</v>
      </c>
      <c r="AZ31" s="111">
        <f t="shared" si="11"/>
        <v>1.1635</v>
      </c>
      <c r="BA31" s="114">
        <f t="shared" si="12"/>
        <v>0.15</v>
      </c>
      <c r="BB31" s="114">
        <f t="shared" si="13"/>
        <v>1.35E-2</v>
      </c>
      <c r="BC31" s="114">
        <f t="shared" si="14"/>
        <v>0.16349999999999998</v>
      </c>
      <c r="BD31" s="114">
        <f t="shared" si="15"/>
        <v>1</v>
      </c>
      <c r="BE31" s="115">
        <f t="shared" si="16"/>
        <v>0.40050000000000008</v>
      </c>
      <c r="BF31" s="113">
        <f t="shared" si="17"/>
        <v>0</v>
      </c>
      <c r="BG31" s="104" t="s">
        <v>122</v>
      </c>
    </row>
    <row r="32" spans="1:59" ht="45" customHeight="1" x14ac:dyDescent="0.25">
      <c r="A32" s="2">
        <v>26</v>
      </c>
      <c r="B32" s="102" t="s">
        <v>59</v>
      </c>
      <c r="C32" s="31">
        <v>1</v>
      </c>
      <c r="D32" s="3" t="s">
        <v>24</v>
      </c>
      <c r="E32" s="31">
        <f t="shared" si="0"/>
        <v>24</v>
      </c>
      <c r="F32" s="103">
        <v>8.1</v>
      </c>
      <c r="G32" s="31"/>
      <c r="H32" s="103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103">
        <v>8.3000000000000007</v>
      </c>
      <c r="AC32" s="103"/>
      <c r="AD32" s="103"/>
      <c r="AE32" s="103"/>
      <c r="AF32" s="103"/>
      <c r="AG32" s="103"/>
      <c r="AH32" s="103"/>
      <c r="AI32" s="103"/>
      <c r="AJ32" s="71">
        <v>8.5</v>
      </c>
      <c r="AK32" s="73">
        <f t="shared" si="1"/>
        <v>0.35416666666666669</v>
      </c>
      <c r="AL32" s="74">
        <f t="shared" si="2"/>
        <v>8.5</v>
      </c>
      <c r="AM32" s="32"/>
      <c r="AN32" s="33">
        <f t="shared" si="19"/>
        <v>0.35416666666666669</v>
      </c>
      <c r="AO32" s="33">
        <f t="shared" si="19"/>
        <v>8.5</v>
      </c>
      <c r="AP32" s="33">
        <f t="shared" si="3"/>
        <v>0.38604166666666673</v>
      </c>
      <c r="AQ32" s="33">
        <f t="shared" si="4"/>
        <v>9.2650000000000006</v>
      </c>
      <c r="AR32" s="34">
        <v>0.55000000000000004</v>
      </c>
      <c r="AS32" s="35">
        <f t="shared" si="5"/>
        <v>13.200000000000001</v>
      </c>
      <c r="AT32" s="35">
        <f t="shared" si="18"/>
        <v>0.16395833333333332</v>
      </c>
      <c r="AU32" s="35">
        <f t="shared" si="6"/>
        <v>3.9349999999999996</v>
      </c>
      <c r="AV32" s="36">
        <f t="shared" si="7"/>
        <v>0.29810606060606054</v>
      </c>
      <c r="AW32" s="121"/>
      <c r="AX32" s="112">
        <f t="shared" si="10"/>
        <v>0.55000000000000004</v>
      </c>
      <c r="AY32" s="113">
        <v>0.16350000000000001</v>
      </c>
      <c r="AZ32" s="111">
        <f t="shared" si="11"/>
        <v>0.63992500000000008</v>
      </c>
      <c r="BA32" s="114">
        <f t="shared" si="12"/>
        <v>8.2500000000000032E-2</v>
      </c>
      <c r="BB32" s="114">
        <f t="shared" si="13"/>
        <v>7.4250000000000028E-3</v>
      </c>
      <c r="BC32" s="114">
        <f t="shared" si="14"/>
        <v>8.9925000000000033E-2</v>
      </c>
      <c r="BD32" s="114">
        <f t="shared" si="15"/>
        <v>0.55000000000000004</v>
      </c>
      <c r="BE32" s="115">
        <f t="shared" si="16"/>
        <v>0.29810606060606054</v>
      </c>
      <c r="BF32" s="113">
        <f t="shared" si="17"/>
        <v>0</v>
      </c>
      <c r="BG32" s="104">
        <v>0.85</v>
      </c>
    </row>
    <row r="33" spans="1:59" ht="45" customHeight="1" x14ac:dyDescent="0.25">
      <c r="A33" s="2">
        <v>27</v>
      </c>
      <c r="B33" s="100" t="s">
        <v>88</v>
      </c>
      <c r="C33" s="31">
        <v>1</v>
      </c>
      <c r="D33" s="3" t="s">
        <v>54</v>
      </c>
      <c r="E33" s="31">
        <f t="shared" si="0"/>
        <v>12</v>
      </c>
      <c r="F33" s="31"/>
      <c r="G33" s="31"/>
      <c r="H33" s="103"/>
      <c r="I33" s="31"/>
      <c r="J33" s="31"/>
      <c r="K33" s="31"/>
      <c r="L33" s="31"/>
      <c r="M33" s="31"/>
      <c r="N33" s="31"/>
      <c r="O33" s="31"/>
      <c r="P33" s="31"/>
      <c r="Q33" s="103">
        <v>7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71">
        <v>7</v>
      </c>
      <c r="AK33" s="73">
        <f t="shared" si="1"/>
        <v>0.58333333333333337</v>
      </c>
      <c r="AL33" s="74">
        <f t="shared" si="2"/>
        <v>7</v>
      </c>
      <c r="AM33" s="32"/>
      <c r="AN33" s="33">
        <f t="shared" si="19"/>
        <v>0.58333333333333337</v>
      </c>
      <c r="AO33" s="33">
        <f t="shared" si="19"/>
        <v>7</v>
      </c>
      <c r="AP33" s="33">
        <f t="shared" si="3"/>
        <v>0.63583333333333347</v>
      </c>
      <c r="AQ33" s="33">
        <f t="shared" si="4"/>
        <v>7.6300000000000017</v>
      </c>
      <c r="AR33" s="34"/>
      <c r="AS33" s="35">
        <f t="shared" si="5"/>
        <v>0</v>
      </c>
      <c r="AT33" s="35">
        <f t="shared" si="18"/>
        <v>-0.63583333333333347</v>
      </c>
      <c r="AU33" s="35">
        <f t="shared" si="6"/>
        <v>-7.6300000000000017</v>
      </c>
      <c r="AV33" s="36" t="e">
        <f t="shared" si="7"/>
        <v>#DIV/0!</v>
      </c>
      <c r="AW33" s="118"/>
      <c r="AX33" s="112">
        <f t="shared" si="10"/>
        <v>0</v>
      </c>
      <c r="AY33" s="113">
        <v>0.16350000000000001</v>
      </c>
      <c r="AZ33" s="111">
        <f t="shared" si="11"/>
        <v>0</v>
      </c>
      <c r="BA33" s="114">
        <f t="shared" si="12"/>
        <v>0</v>
      </c>
      <c r="BB33" s="114">
        <f t="shared" si="13"/>
        <v>0</v>
      </c>
      <c r="BC33" s="114">
        <f t="shared" si="14"/>
        <v>0</v>
      </c>
      <c r="BD33" s="114">
        <f t="shared" si="15"/>
        <v>0</v>
      </c>
      <c r="BE33" s="115" t="e">
        <f t="shared" si="16"/>
        <v>#DIV/0!</v>
      </c>
      <c r="BF33" s="113" t="e">
        <f t="shared" si="17"/>
        <v>#DIV/0!</v>
      </c>
      <c r="BG33" s="104" t="s">
        <v>122</v>
      </c>
    </row>
    <row r="34" spans="1:59" ht="45" customHeight="1" x14ac:dyDescent="0.25">
      <c r="A34" s="2">
        <v>27</v>
      </c>
      <c r="B34" s="100" t="s">
        <v>87</v>
      </c>
      <c r="C34" s="31">
        <v>1</v>
      </c>
      <c r="D34" s="3" t="s">
        <v>24</v>
      </c>
      <c r="E34" s="31">
        <f t="shared" si="0"/>
        <v>24</v>
      </c>
      <c r="F34" s="31"/>
      <c r="G34" s="31"/>
      <c r="H34" s="103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103">
        <v>13.5</v>
      </c>
      <c r="AC34" s="103"/>
      <c r="AD34" s="103"/>
      <c r="AE34" s="103"/>
      <c r="AF34" s="103"/>
      <c r="AG34" s="103"/>
      <c r="AH34" s="103"/>
      <c r="AI34" s="103"/>
      <c r="AJ34" s="71">
        <v>13.5</v>
      </c>
      <c r="AK34" s="73">
        <f t="shared" si="1"/>
        <v>0.5625</v>
      </c>
      <c r="AL34" s="74">
        <f t="shared" si="2"/>
        <v>13.5</v>
      </c>
      <c r="AM34" s="32"/>
      <c r="AN34" s="33">
        <f t="shared" si="19"/>
        <v>0.5625</v>
      </c>
      <c r="AO34" s="33">
        <f t="shared" si="19"/>
        <v>13.5</v>
      </c>
      <c r="AP34" s="33">
        <f t="shared" si="3"/>
        <v>0.61312500000000003</v>
      </c>
      <c r="AQ34" s="33">
        <f t="shared" si="4"/>
        <v>14.715</v>
      </c>
      <c r="AR34" s="34"/>
      <c r="AS34" s="35">
        <f t="shared" si="5"/>
        <v>0</v>
      </c>
      <c r="AT34" s="35">
        <f t="shared" si="18"/>
        <v>-0.61312500000000003</v>
      </c>
      <c r="AU34" s="35">
        <f t="shared" si="6"/>
        <v>-14.715</v>
      </c>
      <c r="AV34" s="36" t="e">
        <f t="shared" si="7"/>
        <v>#DIV/0!</v>
      </c>
      <c r="AW34" s="118"/>
      <c r="AX34" s="112">
        <f t="shared" si="10"/>
        <v>0</v>
      </c>
      <c r="AY34" s="113">
        <v>0.16350000000000001</v>
      </c>
      <c r="AZ34" s="111">
        <f t="shared" si="11"/>
        <v>0</v>
      </c>
      <c r="BA34" s="114">
        <f t="shared" si="12"/>
        <v>0</v>
      </c>
      <c r="BB34" s="114">
        <f t="shared" si="13"/>
        <v>0</v>
      </c>
      <c r="BC34" s="114">
        <f t="shared" si="14"/>
        <v>0</v>
      </c>
      <c r="BD34" s="114">
        <f t="shared" si="15"/>
        <v>0</v>
      </c>
      <c r="BE34" s="115" t="e">
        <f t="shared" si="16"/>
        <v>#DIV/0!</v>
      </c>
      <c r="BF34" s="113" t="e">
        <f t="shared" si="17"/>
        <v>#DIV/0!</v>
      </c>
      <c r="BG34" s="104" t="s">
        <v>122</v>
      </c>
    </row>
    <row r="35" spans="1:59" ht="45" customHeight="1" x14ac:dyDescent="0.25">
      <c r="A35" s="2">
        <v>27</v>
      </c>
      <c r="B35" s="100" t="s">
        <v>60</v>
      </c>
      <c r="C35" s="31">
        <v>1</v>
      </c>
      <c r="D35" s="3" t="s">
        <v>24</v>
      </c>
      <c r="E35" s="31">
        <f t="shared" si="0"/>
        <v>24</v>
      </c>
      <c r="F35" s="31"/>
      <c r="G35" s="31"/>
      <c r="H35" s="103"/>
      <c r="I35" s="31"/>
      <c r="J35" s="31"/>
      <c r="K35" s="103">
        <v>8.9</v>
      </c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>
        <v>9.1999999999999993</v>
      </c>
      <c r="X35" s="103"/>
      <c r="Y35" s="103"/>
      <c r="Z35" s="103"/>
      <c r="AA35" s="103"/>
      <c r="AB35" s="103"/>
      <c r="AC35" s="103"/>
      <c r="AD35" s="103">
        <v>9.1999999999999993</v>
      </c>
      <c r="AE35" s="103"/>
      <c r="AF35" s="103"/>
      <c r="AG35" s="103"/>
      <c r="AH35" s="103"/>
      <c r="AI35" s="103"/>
      <c r="AJ35" s="71">
        <v>9.3000000000000007</v>
      </c>
      <c r="AK35" s="73">
        <f t="shared" si="1"/>
        <v>0.38750000000000001</v>
      </c>
      <c r="AL35" s="74">
        <f t="shared" si="2"/>
        <v>9.3000000000000007</v>
      </c>
      <c r="AM35" s="32"/>
      <c r="AN35" s="33">
        <f t="shared" si="19"/>
        <v>0.38750000000000001</v>
      </c>
      <c r="AO35" s="33">
        <f t="shared" si="19"/>
        <v>9.3000000000000007</v>
      </c>
      <c r="AP35" s="33">
        <f t="shared" si="3"/>
        <v>0.42237500000000006</v>
      </c>
      <c r="AQ35" s="33">
        <f t="shared" si="4"/>
        <v>10.137</v>
      </c>
      <c r="AR35" s="34">
        <v>0.65</v>
      </c>
      <c r="AS35" s="35">
        <f t="shared" si="5"/>
        <v>15.600000000000001</v>
      </c>
      <c r="AT35" s="35">
        <f t="shared" si="18"/>
        <v>0.22762499999999997</v>
      </c>
      <c r="AU35" s="35">
        <f t="shared" si="6"/>
        <v>5.4629999999999992</v>
      </c>
      <c r="AV35" s="36">
        <f t="shared" si="7"/>
        <v>0.35019230769230764</v>
      </c>
      <c r="AW35" s="118"/>
      <c r="AX35" s="112">
        <f t="shared" si="10"/>
        <v>0.65</v>
      </c>
      <c r="AY35" s="113">
        <v>0.16350000000000001</v>
      </c>
      <c r="AZ35" s="111">
        <f t="shared" si="11"/>
        <v>0.75627500000000003</v>
      </c>
      <c r="BA35" s="114">
        <f t="shared" si="12"/>
        <v>9.7500000000000017E-2</v>
      </c>
      <c r="BB35" s="114">
        <f t="shared" si="13"/>
        <v>8.7750000000000015E-3</v>
      </c>
      <c r="BC35" s="114">
        <f t="shared" si="14"/>
        <v>0.10627500000000001</v>
      </c>
      <c r="BD35" s="114">
        <f t="shared" si="15"/>
        <v>0.65</v>
      </c>
      <c r="BE35" s="115">
        <f t="shared" si="16"/>
        <v>0.35019230769230764</v>
      </c>
      <c r="BF35" s="113">
        <f t="shared" si="17"/>
        <v>0</v>
      </c>
      <c r="BG35" s="104">
        <v>0.85</v>
      </c>
    </row>
    <row r="36" spans="1:59" ht="45" customHeight="1" x14ac:dyDescent="0.25">
      <c r="A36" s="2">
        <v>28</v>
      </c>
      <c r="B36" s="100" t="s">
        <v>61</v>
      </c>
      <c r="C36" s="31">
        <v>1</v>
      </c>
      <c r="D36" s="3" t="s">
        <v>54</v>
      </c>
      <c r="E36" s="31">
        <f t="shared" si="0"/>
        <v>12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71">
        <v>14.8</v>
      </c>
      <c r="AK36" s="73">
        <f t="shared" si="1"/>
        <v>1.2333333333333334</v>
      </c>
      <c r="AL36" s="74">
        <f t="shared" si="2"/>
        <v>14.8</v>
      </c>
      <c r="AM36" s="32"/>
      <c r="AN36" s="33">
        <f t="shared" si="19"/>
        <v>1.2333333333333334</v>
      </c>
      <c r="AO36" s="33">
        <f t="shared" si="19"/>
        <v>14.8</v>
      </c>
      <c r="AP36" s="33">
        <f t="shared" si="3"/>
        <v>1.3443333333333336</v>
      </c>
      <c r="AQ36" s="33">
        <f t="shared" si="4"/>
        <v>16.132000000000005</v>
      </c>
      <c r="AR36" s="34">
        <v>1.95</v>
      </c>
      <c r="AS36" s="35">
        <f t="shared" si="5"/>
        <v>23.4</v>
      </c>
      <c r="AT36" s="35">
        <f t="shared" si="18"/>
        <v>0.60566666666666635</v>
      </c>
      <c r="AU36" s="35">
        <f t="shared" si="6"/>
        <v>7.2679999999999962</v>
      </c>
      <c r="AV36" s="36">
        <f t="shared" si="7"/>
        <v>0.31059829059829047</v>
      </c>
      <c r="AW36" s="119"/>
      <c r="AX36" s="112">
        <f t="shared" si="10"/>
        <v>1.95</v>
      </c>
      <c r="AY36" s="113">
        <v>0.16350000000000001</v>
      </c>
      <c r="AZ36" s="111">
        <f t="shared" si="11"/>
        <v>2.2688250000000001</v>
      </c>
      <c r="BA36" s="114">
        <f t="shared" si="12"/>
        <v>0.29250000000000015</v>
      </c>
      <c r="BB36" s="114">
        <f t="shared" si="13"/>
        <v>2.6325000000000012E-2</v>
      </c>
      <c r="BC36" s="114">
        <f t="shared" si="14"/>
        <v>0.31882500000000014</v>
      </c>
      <c r="BD36" s="114">
        <f t="shared" si="15"/>
        <v>1.95</v>
      </c>
      <c r="BE36" s="115">
        <f t="shared" si="16"/>
        <v>0.31059829059829047</v>
      </c>
      <c r="BF36" s="113">
        <f t="shared" si="17"/>
        <v>0</v>
      </c>
      <c r="BG36" s="104">
        <v>2.0499999999999998</v>
      </c>
    </row>
    <row r="37" spans="1:59" ht="45" customHeight="1" x14ac:dyDescent="0.25">
      <c r="A37" s="2">
        <v>29</v>
      </c>
      <c r="B37" s="100" t="s">
        <v>62</v>
      </c>
      <c r="C37" s="31">
        <v>1</v>
      </c>
      <c r="D37" s="3" t="s">
        <v>54</v>
      </c>
      <c r="E37" s="31">
        <f t="shared" si="0"/>
        <v>12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71">
        <v>14.8</v>
      </c>
      <c r="AK37" s="73">
        <f t="shared" si="1"/>
        <v>1.2333333333333334</v>
      </c>
      <c r="AL37" s="74">
        <f t="shared" si="2"/>
        <v>14.8</v>
      </c>
      <c r="AM37" s="32"/>
      <c r="AN37" s="33">
        <f t="shared" si="19"/>
        <v>1.2333333333333334</v>
      </c>
      <c r="AO37" s="33">
        <f t="shared" si="19"/>
        <v>14.8</v>
      </c>
      <c r="AP37" s="33">
        <f t="shared" si="3"/>
        <v>1.3443333333333336</v>
      </c>
      <c r="AQ37" s="33">
        <f t="shared" si="4"/>
        <v>16.132000000000005</v>
      </c>
      <c r="AR37" s="34">
        <v>1.95</v>
      </c>
      <c r="AS37" s="35">
        <f t="shared" si="5"/>
        <v>23.4</v>
      </c>
      <c r="AT37" s="35">
        <f t="shared" si="18"/>
        <v>0.60566666666666635</v>
      </c>
      <c r="AU37" s="35">
        <f t="shared" si="6"/>
        <v>7.2679999999999962</v>
      </c>
      <c r="AV37" s="36">
        <f t="shared" si="7"/>
        <v>0.31059829059829047</v>
      </c>
      <c r="AW37" s="120"/>
      <c r="AX37" s="112">
        <f t="shared" si="10"/>
        <v>1.95</v>
      </c>
      <c r="AY37" s="113">
        <v>0.16350000000000001</v>
      </c>
      <c r="AZ37" s="111">
        <f t="shared" si="11"/>
        <v>2.2688250000000001</v>
      </c>
      <c r="BA37" s="114">
        <f t="shared" si="12"/>
        <v>0.29250000000000015</v>
      </c>
      <c r="BB37" s="114">
        <f t="shared" si="13"/>
        <v>2.6325000000000012E-2</v>
      </c>
      <c r="BC37" s="114">
        <f t="shared" si="14"/>
        <v>0.31882500000000014</v>
      </c>
      <c r="BD37" s="114">
        <f t="shared" si="15"/>
        <v>1.95</v>
      </c>
      <c r="BE37" s="115">
        <f t="shared" si="16"/>
        <v>0.31059829059829047</v>
      </c>
      <c r="BF37" s="113">
        <f t="shared" si="17"/>
        <v>0</v>
      </c>
      <c r="BG37" s="104">
        <v>2.0499999999999998</v>
      </c>
    </row>
    <row r="38" spans="1:59" ht="45" customHeight="1" x14ac:dyDescent="0.25">
      <c r="A38" s="2">
        <v>30</v>
      </c>
      <c r="B38" s="101" t="s">
        <v>63</v>
      </c>
      <c r="C38" s="31">
        <v>1</v>
      </c>
      <c r="D38" s="3" t="s">
        <v>21</v>
      </c>
      <c r="E38" s="31">
        <f t="shared" si="0"/>
        <v>4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71">
        <v>24.2</v>
      </c>
      <c r="AK38" s="73">
        <f t="shared" si="1"/>
        <v>6.05</v>
      </c>
      <c r="AL38" s="74">
        <f t="shared" si="2"/>
        <v>24.2</v>
      </c>
      <c r="AM38" s="32"/>
      <c r="AN38" s="33">
        <f t="shared" si="19"/>
        <v>6.05</v>
      </c>
      <c r="AO38" s="33">
        <f t="shared" si="19"/>
        <v>24.2</v>
      </c>
      <c r="AP38" s="33">
        <f t="shared" si="3"/>
        <v>6.5945</v>
      </c>
      <c r="AQ38" s="33">
        <f t="shared" si="4"/>
        <v>26.378</v>
      </c>
      <c r="AR38" s="34">
        <v>8.5</v>
      </c>
      <c r="AS38" s="35">
        <f t="shared" si="5"/>
        <v>34</v>
      </c>
      <c r="AT38" s="35">
        <f t="shared" si="18"/>
        <v>1.9055</v>
      </c>
      <c r="AU38" s="35">
        <f t="shared" si="6"/>
        <v>7.6219999999999999</v>
      </c>
      <c r="AV38" s="36">
        <f t="shared" si="7"/>
        <v>0.22417647058823528</v>
      </c>
      <c r="AW38" s="120"/>
      <c r="AX38" s="112">
        <f t="shared" si="10"/>
        <v>8.5</v>
      </c>
      <c r="AY38" s="113">
        <v>0.16350000000000001</v>
      </c>
      <c r="AZ38" s="111">
        <f t="shared" si="11"/>
        <v>9.8897499999999994</v>
      </c>
      <c r="BA38" s="114">
        <f t="shared" si="12"/>
        <v>1.2749999999999995</v>
      </c>
      <c r="BB38" s="114">
        <f t="shared" si="13"/>
        <v>0.11474999999999995</v>
      </c>
      <c r="BC38" s="114">
        <f t="shared" si="14"/>
        <v>1.3897499999999994</v>
      </c>
      <c r="BD38" s="114">
        <f t="shared" si="15"/>
        <v>8.5</v>
      </c>
      <c r="BE38" s="115">
        <f t="shared" si="16"/>
        <v>0.22417647058823528</v>
      </c>
      <c r="BF38" s="113">
        <f t="shared" si="17"/>
        <v>0</v>
      </c>
      <c r="BG38" s="104" t="s">
        <v>122</v>
      </c>
    </row>
    <row r="39" spans="1:59" ht="45" customHeight="1" x14ac:dyDescent="0.25">
      <c r="A39" s="2">
        <v>31</v>
      </c>
      <c r="B39" s="101" t="s">
        <v>64</v>
      </c>
      <c r="C39" s="31">
        <v>1</v>
      </c>
      <c r="D39" s="3" t="s">
        <v>21</v>
      </c>
      <c r="E39" s="31">
        <f t="shared" si="0"/>
        <v>4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71">
        <v>24.8</v>
      </c>
      <c r="AK39" s="73">
        <f t="shared" si="1"/>
        <v>6.2</v>
      </c>
      <c r="AL39" s="74">
        <f t="shared" si="2"/>
        <v>24.8</v>
      </c>
      <c r="AM39" s="32"/>
      <c r="AN39" s="33">
        <f t="shared" si="19"/>
        <v>6.2</v>
      </c>
      <c r="AO39" s="33">
        <f t="shared" si="19"/>
        <v>24.8</v>
      </c>
      <c r="AP39" s="33">
        <f t="shared" si="3"/>
        <v>6.7580000000000009</v>
      </c>
      <c r="AQ39" s="33">
        <f t="shared" si="4"/>
        <v>27.032000000000004</v>
      </c>
      <c r="AR39" s="34">
        <v>8.5</v>
      </c>
      <c r="AS39" s="35">
        <f t="shared" si="5"/>
        <v>34</v>
      </c>
      <c r="AT39" s="35">
        <f t="shared" si="18"/>
        <v>1.7419999999999991</v>
      </c>
      <c r="AU39" s="35">
        <f t="shared" si="6"/>
        <v>6.9679999999999964</v>
      </c>
      <c r="AV39" s="36">
        <f t="shared" si="7"/>
        <v>0.20494117647058813</v>
      </c>
      <c r="AW39" s="120"/>
      <c r="AX39" s="112">
        <f t="shared" si="10"/>
        <v>8.5</v>
      </c>
      <c r="AY39" s="113">
        <v>0.16350000000000001</v>
      </c>
      <c r="AZ39" s="111">
        <f t="shared" si="11"/>
        <v>9.8897499999999994</v>
      </c>
      <c r="BA39" s="114">
        <f t="shared" si="12"/>
        <v>1.2749999999999995</v>
      </c>
      <c r="BB39" s="114">
        <f t="shared" si="13"/>
        <v>0.11474999999999995</v>
      </c>
      <c r="BC39" s="114">
        <f t="shared" si="14"/>
        <v>1.3897499999999994</v>
      </c>
      <c r="BD39" s="114">
        <f t="shared" si="15"/>
        <v>8.5</v>
      </c>
      <c r="BE39" s="115">
        <f t="shared" si="16"/>
        <v>0.20494117647058813</v>
      </c>
      <c r="BF39" s="113">
        <f t="shared" si="17"/>
        <v>0</v>
      </c>
      <c r="BG39" s="104" t="s">
        <v>122</v>
      </c>
    </row>
    <row r="40" spans="1:59" ht="45" customHeight="1" x14ac:dyDescent="0.25">
      <c r="A40" s="2">
        <v>32</v>
      </c>
      <c r="B40" s="100" t="s">
        <v>65</v>
      </c>
      <c r="C40" s="31">
        <v>1</v>
      </c>
      <c r="D40" s="3" t="s">
        <v>24</v>
      </c>
      <c r="E40" s="31">
        <f t="shared" si="0"/>
        <v>24</v>
      </c>
      <c r="F40" s="31"/>
      <c r="G40" s="103">
        <v>12.4</v>
      </c>
      <c r="H40" s="103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71">
        <v>12.3</v>
      </c>
      <c r="AK40" s="73">
        <f t="shared" si="1"/>
        <v>0.51250000000000007</v>
      </c>
      <c r="AL40" s="74">
        <f t="shared" si="2"/>
        <v>12.3</v>
      </c>
      <c r="AM40" s="32"/>
      <c r="AN40" s="33">
        <f t="shared" si="19"/>
        <v>0.51250000000000007</v>
      </c>
      <c r="AO40" s="33">
        <f t="shared" si="19"/>
        <v>12.3</v>
      </c>
      <c r="AP40" s="33">
        <f t="shared" si="3"/>
        <v>0.55862500000000015</v>
      </c>
      <c r="AQ40" s="33">
        <f t="shared" si="4"/>
        <v>13.407000000000004</v>
      </c>
      <c r="AR40" s="34">
        <v>0.9</v>
      </c>
      <c r="AS40" s="35">
        <f t="shared" si="5"/>
        <v>21.6</v>
      </c>
      <c r="AT40" s="35">
        <f t="shared" si="18"/>
        <v>0.34137499999999987</v>
      </c>
      <c r="AU40" s="35">
        <f t="shared" si="6"/>
        <v>8.1929999999999978</v>
      </c>
      <c r="AV40" s="36">
        <f t="shared" si="7"/>
        <v>0.3793055555555554</v>
      </c>
      <c r="AW40" s="118"/>
      <c r="AX40" s="112">
        <f t="shared" si="10"/>
        <v>0.9</v>
      </c>
      <c r="AY40" s="113">
        <v>0.16350000000000001</v>
      </c>
      <c r="AZ40" s="111">
        <f t="shared" si="11"/>
        <v>1.04715</v>
      </c>
      <c r="BA40" s="114">
        <f t="shared" si="12"/>
        <v>0.13500000000000001</v>
      </c>
      <c r="BB40" s="114">
        <f t="shared" si="13"/>
        <v>1.2150000000000001E-2</v>
      </c>
      <c r="BC40" s="114">
        <f t="shared" si="14"/>
        <v>0.14715</v>
      </c>
      <c r="BD40" s="114">
        <f t="shared" si="15"/>
        <v>0.9</v>
      </c>
      <c r="BE40" s="115">
        <f t="shared" si="16"/>
        <v>0.3793055555555554</v>
      </c>
      <c r="BF40" s="113">
        <f t="shared" si="17"/>
        <v>0</v>
      </c>
      <c r="BG40" s="104" t="s">
        <v>122</v>
      </c>
    </row>
    <row r="41" spans="1:59" ht="45" customHeight="1" x14ac:dyDescent="0.25">
      <c r="A41" s="2">
        <v>33</v>
      </c>
      <c r="B41" s="100" t="s">
        <v>66</v>
      </c>
      <c r="C41" s="31">
        <v>1</v>
      </c>
      <c r="D41" s="3" t="s">
        <v>54</v>
      </c>
      <c r="E41" s="31">
        <f t="shared" si="0"/>
        <v>12</v>
      </c>
      <c r="F41" s="31"/>
      <c r="G41" s="31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71">
        <v>8.4499999999999993</v>
      </c>
      <c r="AK41" s="73">
        <f t="shared" si="1"/>
        <v>0.70416666666666661</v>
      </c>
      <c r="AL41" s="74">
        <f t="shared" si="2"/>
        <v>8.4499999999999993</v>
      </c>
      <c r="AM41" s="32"/>
      <c r="AN41" s="33">
        <f t="shared" si="19"/>
        <v>0.70416666666666661</v>
      </c>
      <c r="AO41" s="33">
        <f t="shared" si="19"/>
        <v>8.4499999999999993</v>
      </c>
      <c r="AP41" s="33">
        <f t="shared" si="3"/>
        <v>0.76754166666666668</v>
      </c>
      <c r="AQ41" s="33">
        <f t="shared" si="4"/>
        <v>9.2104999999999997</v>
      </c>
      <c r="AR41" s="34">
        <v>1</v>
      </c>
      <c r="AS41" s="35">
        <f t="shared" si="5"/>
        <v>12</v>
      </c>
      <c r="AT41" s="35">
        <f t="shared" si="18"/>
        <v>0.23245833333333332</v>
      </c>
      <c r="AU41" s="35">
        <f t="shared" si="6"/>
        <v>2.7894999999999999</v>
      </c>
      <c r="AV41" s="36">
        <f t="shared" si="7"/>
        <v>0.23245833333333332</v>
      </c>
      <c r="AW41" s="120"/>
      <c r="AX41" s="112">
        <f t="shared" si="10"/>
        <v>1</v>
      </c>
      <c r="AY41" s="113">
        <v>0.16350000000000001</v>
      </c>
      <c r="AZ41" s="111">
        <f t="shared" si="11"/>
        <v>1.1635</v>
      </c>
      <c r="BA41" s="114">
        <f t="shared" si="12"/>
        <v>0.15</v>
      </c>
      <c r="BB41" s="114">
        <f t="shared" si="13"/>
        <v>1.35E-2</v>
      </c>
      <c r="BC41" s="114">
        <f t="shared" si="14"/>
        <v>0.16349999999999998</v>
      </c>
      <c r="BD41" s="114">
        <f t="shared" si="15"/>
        <v>1</v>
      </c>
      <c r="BE41" s="115">
        <f t="shared" si="16"/>
        <v>0.23245833333333332</v>
      </c>
      <c r="BF41" s="113">
        <f t="shared" si="17"/>
        <v>0</v>
      </c>
      <c r="BG41" s="104" t="s">
        <v>122</v>
      </c>
    </row>
    <row r="42" spans="1:59" ht="45" customHeight="1" x14ac:dyDescent="0.25">
      <c r="A42" s="2">
        <v>34</v>
      </c>
      <c r="B42" s="101" t="s">
        <v>67</v>
      </c>
      <c r="C42" s="31">
        <v>1</v>
      </c>
      <c r="D42" s="3" t="s">
        <v>54</v>
      </c>
      <c r="E42" s="31">
        <f t="shared" si="0"/>
        <v>12</v>
      </c>
      <c r="F42" s="31"/>
      <c r="G42" s="31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71">
        <v>8.4499999999999993</v>
      </c>
      <c r="AK42" s="73">
        <f t="shared" si="1"/>
        <v>0.70416666666666661</v>
      </c>
      <c r="AL42" s="74">
        <f t="shared" si="2"/>
        <v>8.4499999999999993</v>
      </c>
      <c r="AM42" s="32"/>
      <c r="AN42" s="33">
        <f t="shared" si="19"/>
        <v>0.70416666666666661</v>
      </c>
      <c r="AO42" s="33">
        <f t="shared" si="19"/>
        <v>8.4499999999999993</v>
      </c>
      <c r="AP42" s="33">
        <f t="shared" si="3"/>
        <v>0.76754166666666668</v>
      </c>
      <c r="AQ42" s="33">
        <f t="shared" si="4"/>
        <v>9.2104999999999997</v>
      </c>
      <c r="AR42" s="34">
        <v>1</v>
      </c>
      <c r="AS42" s="35">
        <f t="shared" si="5"/>
        <v>12</v>
      </c>
      <c r="AT42" s="35">
        <f t="shared" si="18"/>
        <v>0.23245833333333332</v>
      </c>
      <c r="AU42" s="35">
        <f t="shared" si="6"/>
        <v>2.7894999999999999</v>
      </c>
      <c r="AV42" s="36">
        <f t="shared" si="7"/>
        <v>0.23245833333333332</v>
      </c>
      <c r="AW42" s="120"/>
      <c r="AX42" s="112">
        <f t="shared" si="10"/>
        <v>1</v>
      </c>
      <c r="AY42" s="113">
        <v>0.16350000000000001</v>
      </c>
      <c r="AZ42" s="111">
        <f t="shared" si="11"/>
        <v>1.1635</v>
      </c>
      <c r="BA42" s="114">
        <f t="shared" si="12"/>
        <v>0.15</v>
      </c>
      <c r="BB42" s="114">
        <f t="shared" si="13"/>
        <v>1.35E-2</v>
      </c>
      <c r="BC42" s="114">
        <f t="shared" si="14"/>
        <v>0.16349999999999998</v>
      </c>
      <c r="BD42" s="114">
        <f t="shared" si="15"/>
        <v>1</v>
      </c>
      <c r="BE42" s="115">
        <f t="shared" si="16"/>
        <v>0.23245833333333332</v>
      </c>
      <c r="BF42" s="113">
        <f t="shared" si="17"/>
        <v>0</v>
      </c>
      <c r="BG42" s="104" t="s">
        <v>122</v>
      </c>
    </row>
    <row r="43" spans="1:59" ht="45" customHeight="1" x14ac:dyDescent="0.25">
      <c r="A43" s="2">
        <v>35</v>
      </c>
      <c r="B43" s="100" t="s">
        <v>68</v>
      </c>
      <c r="C43" s="31">
        <v>1</v>
      </c>
      <c r="D43" s="3" t="s">
        <v>24</v>
      </c>
      <c r="E43" s="31">
        <f t="shared" si="0"/>
        <v>24</v>
      </c>
      <c r="F43" s="103">
        <v>12.65</v>
      </c>
      <c r="G43" s="31"/>
      <c r="H43" s="104"/>
      <c r="I43" s="103"/>
      <c r="J43" s="103"/>
      <c r="K43" s="103"/>
      <c r="L43" s="103"/>
      <c r="M43" s="103">
        <v>12.8</v>
      </c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71">
        <v>12.8</v>
      </c>
      <c r="AK43" s="73">
        <f t="shared" si="1"/>
        <v>0.53333333333333333</v>
      </c>
      <c r="AL43" s="74">
        <f t="shared" si="2"/>
        <v>12.8</v>
      </c>
      <c r="AM43" s="32"/>
      <c r="AN43" s="33">
        <f t="shared" si="19"/>
        <v>0.53333333333333333</v>
      </c>
      <c r="AO43" s="33">
        <f t="shared" si="19"/>
        <v>12.8</v>
      </c>
      <c r="AP43" s="33">
        <f t="shared" si="3"/>
        <v>0.58133333333333337</v>
      </c>
      <c r="AQ43" s="33">
        <f t="shared" si="4"/>
        <v>13.952000000000002</v>
      </c>
      <c r="AR43" s="34">
        <v>0.9</v>
      </c>
      <c r="AS43" s="35">
        <f t="shared" si="5"/>
        <v>21.6</v>
      </c>
      <c r="AT43" s="35">
        <f t="shared" si="18"/>
        <v>0.31866666666666665</v>
      </c>
      <c r="AU43" s="35">
        <f t="shared" si="6"/>
        <v>7.6479999999999997</v>
      </c>
      <c r="AV43" s="36">
        <f t="shared" si="7"/>
        <v>0.35407407407407404</v>
      </c>
      <c r="AW43" s="118"/>
      <c r="AX43" s="112">
        <f t="shared" si="10"/>
        <v>0.9</v>
      </c>
      <c r="AY43" s="113">
        <v>0.16350000000000001</v>
      </c>
      <c r="AZ43" s="111">
        <f t="shared" si="11"/>
        <v>1.04715</v>
      </c>
      <c r="BA43" s="114">
        <f t="shared" si="12"/>
        <v>0.13500000000000001</v>
      </c>
      <c r="BB43" s="114">
        <f t="shared" si="13"/>
        <v>1.2150000000000001E-2</v>
      </c>
      <c r="BC43" s="114">
        <f t="shared" si="14"/>
        <v>0.14715</v>
      </c>
      <c r="BD43" s="114">
        <f t="shared" si="15"/>
        <v>0.9</v>
      </c>
      <c r="BE43" s="115">
        <f t="shared" si="16"/>
        <v>0.35407407407407404</v>
      </c>
      <c r="BF43" s="113">
        <f t="shared" si="17"/>
        <v>0</v>
      </c>
      <c r="BG43" s="104" t="s">
        <v>122</v>
      </c>
    </row>
    <row r="44" spans="1:59" ht="45" customHeight="1" x14ac:dyDescent="0.25">
      <c r="A44" s="2">
        <v>36</v>
      </c>
      <c r="B44" s="101" t="s">
        <v>69</v>
      </c>
      <c r="C44" s="31">
        <v>1</v>
      </c>
      <c r="D44" s="3" t="s">
        <v>24</v>
      </c>
      <c r="E44" s="31">
        <f t="shared" si="0"/>
        <v>24</v>
      </c>
      <c r="F44" s="103">
        <v>12.65</v>
      </c>
      <c r="G44" s="31"/>
      <c r="H44" s="104"/>
      <c r="I44" s="103"/>
      <c r="J44" s="103"/>
      <c r="K44" s="103"/>
      <c r="L44" s="103"/>
      <c r="M44" s="103">
        <v>12.8</v>
      </c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71">
        <v>12.8</v>
      </c>
      <c r="AK44" s="73">
        <f t="shared" si="1"/>
        <v>0.53333333333333333</v>
      </c>
      <c r="AL44" s="74">
        <f t="shared" si="2"/>
        <v>12.8</v>
      </c>
      <c r="AM44" s="32"/>
      <c r="AN44" s="33">
        <f t="shared" si="19"/>
        <v>0.53333333333333333</v>
      </c>
      <c r="AO44" s="33">
        <f t="shared" si="19"/>
        <v>12.8</v>
      </c>
      <c r="AP44" s="33">
        <f t="shared" si="3"/>
        <v>0.58133333333333337</v>
      </c>
      <c r="AQ44" s="33">
        <f t="shared" si="4"/>
        <v>13.952000000000002</v>
      </c>
      <c r="AR44" s="34">
        <v>0.9</v>
      </c>
      <c r="AS44" s="35">
        <f t="shared" si="5"/>
        <v>21.6</v>
      </c>
      <c r="AT44" s="35">
        <f t="shared" si="18"/>
        <v>0.31866666666666665</v>
      </c>
      <c r="AU44" s="35">
        <f t="shared" si="6"/>
        <v>7.6479999999999997</v>
      </c>
      <c r="AV44" s="36">
        <f t="shared" si="7"/>
        <v>0.35407407407407404</v>
      </c>
      <c r="AW44" s="120"/>
      <c r="AX44" s="112">
        <f t="shared" si="10"/>
        <v>0.9</v>
      </c>
      <c r="AY44" s="113">
        <v>0.16350000000000001</v>
      </c>
      <c r="AZ44" s="111">
        <f t="shared" si="11"/>
        <v>1.04715</v>
      </c>
      <c r="BA44" s="114">
        <f t="shared" si="12"/>
        <v>0.13500000000000001</v>
      </c>
      <c r="BB44" s="114">
        <f t="shared" si="13"/>
        <v>1.2150000000000001E-2</v>
      </c>
      <c r="BC44" s="114">
        <f t="shared" si="14"/>
        <v>0.14715</v>
      </c>
      <c r="BD44" s="114">
        <f t="shared" si="15"/>
        <v>0.9</v>
      </c>
      <c r="BE44" s="115">
        <f t="shared" si="16"/>
        <v>0.35407407407407404</v>
      </c>
      <c r="BF44" s="113">
        <f t="shared" si="17"/>
        <v>0</v>
      </c>
      <c r="BG44" s="104" t="s">
        <v>122</v>
      </c>
    </row>
    <row r="45" spans="1:59" ht="45" customHeight="1" x14ac:dyDescent="0.25">
      <c r="A45" s="2">
        <v>37</v>
      </c>
      <c r="B45" s="102" t="s">
        <v>85</v>
      </c>
      <c r="C45" s="31">
        <v>1</v>
      </c>
      <c r="D45" s="3" t="s">
        <v>24</v>
      </c>
      <c r="E45" s="31">
        <f t="shared" si="0"/>
        <v>24</v>
      </c>
      <c r="F45" s="103">
        <v>12.65</v>
      </c>
      <c r="G45" s="31"/>
      <c r="H45" s="104"/>
      <c r="I45" s="103"/>
      <c r="J45" s="103"/>
      <c r="K45" s="103"/>
      <c r="L45" s="103"/>
      <c r="M45" s="103">
        <v>12.8</v>
      </c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71">
        <v>12.8</v>
      </c>
      <c r="AK45" s="73">
        <f t="shared" si="1"/>
        <v>0.53333333333333333</v>
      </c>
      <c r="AL45" s="74">
        <f t="shared" si="2"/>
        <v>12.8</v>
      </c>
      <c r="AM45" s="32"/>
      <c r="AN45" s="33">
        <f t="shared" ref="AN45:AO52" si="20">AK45/$AU$2</f>
        <v>0.53333333333333333</v>
      </c>
      <c r="AO45" s="33">
        <f t="shared" si="20"/>
        <v>12.8</v>
      </c>
      <c r="AP45" s="33">
        <f t="shared" si="3"/>
        <v>0.58133333333333337</v>
      </c>
      <c r="AQ45" s="33">
        <f t="shared" si="4"/>
        <v>13.952000000000002</v>
      </c>
      <c r="AR45" s="34">
        <v>0.9</v>
      </c>
      <c r="AS45" s="35">
        <f t="shared" si="5"/>
        <v>21.6</v>
      </c>
      <c r="AT45" s="35">
        <f t="shared" si="18"/>
        <v>0.31866666666666665</v>
      </c>
      <c r="AU45" s="35">
        <f t="shared" si="6"/>
        <v>7.6479999999999997</v>
      </c>
      <c r="AV45" s="36">
        <f t="shared" si="7"/>
        <v>0.35407407407407404</v>
      </c>
      <c r="AW45" s="121"/>
      <c r="AX45" s="112">
        <f t="shared" si="10"/>
        <v>0.9</v>
      </c>
      <c r="AY45" s="113">
        <v>0.16350000000000001</v>
      </c>
      <c r="AZ45" s="111">
        <f t="shared" si="11"/>
        <v>1.04715</v>
      </c>
      <c r="BA45" s="114">
        <f t="shared" si="12"/>
        <v>0.13500000000000001</v>
      </c>
      <c r="BB45" s="114">
        <f t="shared" si="13"/>
        <v>1.2150000000000001E-2</v>
      </c>
      <c r="BC45" s="114">
        <f t="shared" si="14"/>
        <v>0.14715</v>
      </c>
      <c r="BD45" s="114">
        <f t="shared" si="15"/>
        <v>0.9</v>
      </c>
      <c r="BE45" s="115">
        <f t="shared" si="16"/>
        <v>0.35407407407407404</v>
      </c>
      <c r="BF45" s="113">
        <f t="shared" si="17"/>
        <v>0</v>
      </c>
      <c r="BG45" s="104" t="s">
        <v>122</v>
      </c>
    </row>
    <row r="46" spans="1:59" ht="45" customHeight="1" x14ac:dyDescent="0.25">
      <c r="A46" s="2">
        <v>38</v>
      </c>
      <c r="B46" s="101" t="s">
        <v>70</v>
      </c>
      <c r="C46" s="31">
        <v>1</v>
      </c>
      <c r="D46" s="3" t="s">
        <v>24</v>
      </c>
      <c r="E46" s="31">
        <f t="shared" si="0"/>
        <v>24</v>
      </c>
      <c r="F46" s="103">
        <v>12.65</v>
      </c>
      <c r="G46" s="31"/>
      <c r="H46" s="104"/>
      <c r="I46" s="103"/>
      <c r="J46" s="103"/>
      <c r="K46" s="103"/>
      <c r="L46" s="103"/>
      <c r="M46" s="103">
        <v>12.8</v>
      </c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71">
        <v>12.8</v>
      </c>
      <c r="AK46" s="73">
        <f t="shared" si="1"/>
        <v>0.53333333333333333</v>
      </c>
      <c r="AL46" s="74">
        <f t="shared" si="2"/>
        <v>12.8</v>
      </c>
      <c r="AM46" s="32"/>
      <c r="AN46" s="33">
        <f t="shared" si="20"/>
        <v>0.53333333333333333</v>
      </c>
      <c r="AO46" s="33">
        <f t="shared" si="20"/>
        <v>12.8</v>
      </c>
      <c r="AP46" s="33">
        <f t="shared" si="3"/>
        <v>0.58133333333333337</v>
      </c>
      <c r="AQ46" s="33">
        <f t="shared" si="4"/>
        <v>13.952000000000002</v>
      </c>
      <c r="AR46" s="34">
        <v>0.9</v>
      </c>
      <c r="AS46" s="35">
        <f t="shared" si="5"/>
        <v>21.6</v>
      </c>
      <c r="AT46" s="35">
        <f t="shared" si="18"/>
        <v>0.31866666666666665</v>
      </c>
      <c r="AU46" s="35">
        <f t="shared" si="6"/>
        <v>7.6479999999999997</v>
      </c>
      <c r="AV46" s="36">
        <f t="shared" si="7"/>
        <v>0.35407407407407404</v>
      </c>
      <c r="AW46" s="120"/>
      <c r="AX46" s="112">
        <f t="shared" si="10"/>
        <v>0.9</v>
      </c>
      <c r="AY46" s="113">
        <v>0.16350000000000001</v>
      </c>
      <c r="AZ46" s="111">
        <f t="shared" si="11"/>
        <v>1.04715</v>
      </c>
      <c r="BA46" s="114">
        <f t="shared" si="12"/>
        <v>0.13500000000000001</v>
      </c>
      <c r="BB46" s="114">
        <f t="shared" si="13"/>
        <v>1.2150000000000001E-2</v>
      </c>
      <c r="BC46" s="114">
        <f t="shared" si="14"/>
        <v>0.14715</v>
      </c>
      <c r="BD46" s="114">
        <f t="shared" si="15"/>
        <v>0.9</v>
      </c>
      <c r="BE46" s="115">
        <f t="shared" si="16"/>
        <v>0.35407407407407404</v>
      </c>
      <c r="BF46" s="113">
        <f t="shared" si="17"/>
        <v>0</v>
      </c>
      <c r="BG46" s="104" t="s">
        <v>122</v>
      </c>
    </row>
    <row r="47" spans="1:59" ht="45" customHeight="1" x14ac:dyDescent="0.25">
      <c r="A47" s="2">
        <v>39</v>
      </c>
      <c r="B47" s="100" t="s">
        <v>83</v>
      </c>
      <c r="C47" s="31">
        <v>1</v>
      </c>
      <c r="D47" s="3" t="s">
        <v>54</v>
      </c>
      <c r="E47" s="31">
        <f t="shared" si="0"/>
        <v>12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103">
        <v>12.45</v>
      </c>
      <c r="T47" s="103"/>
      <c r="U47" s="31"/>
      <c r="V47" s="31"/>
      <c r="W47" s="31"/>
      <c r="X47" s="31"/>
      <c r="Y47" s="31"/>
      <c r="Z47" s="31"/>
      <c r="AA47" s="103">
        <v>12.6</v>
      </c>
      <c r="AB47" s="103"/>
      <c r="AC47" s="103"/>
      <c r="AD47" s="103"/>
      <c r="AE47" s="103"/>
      <c r="AF47" s="103"/>
      <c r="AG47" s="103"/>
      <c r="AH47" s="103"/>
      <c r="AI47" s="103"/>
      <c r="AJ47" s="71">
        <v>12.9</v>
      </c>
      <c r="AK47" s="73">
        <f t="shared" si="1"/>
        <v>1.075</v>
      </c>
      <c r="AL47" s="74">
        <f t="shared" si="2"/>
        <v>12.899999999999999</v>
      </c>
      <c r="AM47" s="32"/>
      <c r="AN47" s="33">
        <f t="shared" si="20"/>
        <v>1.075</v>
      </c>
      <c r="AO47" s="33">
        <f t="shared" si="20"/>
        <v>12.899999999999999</v>
      </c>
      <c r="AP47" s="33">
        <f t="shared" si="3"/>
        <v>1.1717500000000001</v>
      </c>
      <c r="AQ47" s="33">
        <f t="shared" si="4"/>
        <v>14.061</v>
      </c>
      <c r="AR47" s="34"/>
      <c r="AS47" s="35">
        <f t="shared" si="5"/>
        <v>0</v>
      </c>
      <c r="AT47" s="35">
        <f t="shared" si="18"/>
        <v>-1.1717500000000001</v>
      </c>
      <c r="AU47" s="35">
        <f t="shared" si="6"/>
        <v>-14.061</v>
      </c>
      <c r="AV47" s="36" t="e">
        <f t="shared" si="7"/>
        <v>#DIV/0!</v>
      </c>
      <c r="AW47" s="118"/>
      <c r="AX47" s="112">
        <f t="shared" si="10"/>
        <v>0</v>
      </c>
      <c r="AY47" s="113">
        <v>0.16350000000000001</v>
      </c>
      <c r="AZ47" s="111">
        <f t="shared" si="11"/>
        <v>0</v>
      </c>
      <c r="BA47" s="114">
        <f t="shared" si="12"/>
        <v>0</v>
      </c>
      <c r="BB47" s="114">
        <f t="shared" si="13"/>
        <v>0</v>
      </c>
      <c r="BC47" s="114">
        <f t="shared" si="14"/>
        <v>0</v>
      </c>
      <c r="BD47" s="114">
        <f t="shared" si="15"/>
        <v>0</v>
      </c>
      <c r="BE47" s="115" t="e">
        <f t="shared" si="16"/>
        <v>#DIV/0!</v>
      </c>
      <c r="BF47" s="113" t="e">
        <f t="shared" si="17"/>
        <v>#DIV/0!</v>
      </c>
      <c r="BG47" s="104">
        <v>1.55</v>
      </c>
    </row>
    <row r="48" spans="1:59" ht="45" customHeight="1" x14ac:dyDescent="0.25">
      <c r="A48" s="2">
        <v>40</v>
      </c>
      <c r="B48" s="100" t="s">
        <v>78</v>
      </c>
      <c r="C48" s="31">
        <v>1</v>
      </c>
      <c r="D48" s="3" t="s">
        <v>80</v>
      </c>
      <c r="E48" s="31">
        <f t="shared" si="0"/>
        <v>72</v>
      </c>
      <c r="F48" s="31"/>
      <c r="G48" s="31"/>
      <c r="H48" s="31"/>
      <c r="I48" s="103">
        <v>133.19999999999999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103">
        <v>136.80000000000001</v>
      </c>
      <c r="AE48" s="103"/>
      <c r="AF48" s="103"/>
      <c r="AG48" s="103"/>
      <c r="AH48" s="103"/>
      <c r="AI48" s="103"/>
      <c r="AJ48" s="71">
        <v>133.19999999999999</v>
      </c>
      <c r="AK48" s="73">
        <f t="shared" si="1"/>
        <v>1.8499999999999999</v>
      </c>
      <c r="AL48" s="74">
        <f t="shared" si="2"/>
        <v>133.19999999999999</v>
      </c>
      <c r="AM48" s="32"/>
      <c r="AN48" s="33">
        <f t="shared" si="20"/>
        <v>1.8499999999999999</v>
      </c>
      <c r="AO48" s="33">
        <f t="shared" si="20"/>
        <v>133.19999999999999</v>
      </c>
      <c r="AP48" s="33">
        <f t="shared" si="3"/>
        <v>2.0165000000000002</v>
      </c>
      <c r="AQ48" s="33">
        <f t="shared" si="4"/>
        <v>145.18800000000002</v>
      </c>
      <c r="AR48" s="34">
        <v>2.95</v>
      </c>
      <c r="AS48" s="35">
        <f t="shared" si="5"/>
        <v>212.4</v>
      </c>
      <c r="AT48" s="35">
        <f t="shared" si="18"/>
        <v>0.9335</v>
      </c>
      <c r="AU48" s="35">
        <f t="shared" si="6"/>
        <v>67.212000000000003</v>
      </c>
      <c r="AV48" s="36">
        <f t="shared" si="7"/>
        <v>0.3164406779661017</v>
      </c>
      <c r="AW48" s="118"/>
      <c r="AX48" s="112">
        <f t="shared" si="10"/>
        <v>2.95</v>
      </c>
      <c r="AY48" s="113">
        <v>0.16350000000000001</v>
      </c>
      <c r="AZ48" s="111">
        <f t="shared" si="11"/>
        <v>3.4323250000000001</v>
      </c>
      <c r="BA48" s="114">
        <f t="shared" si="12"/>
        <v>0.44249999999999995</v>
      </c>
      <c r="BB48" s="114">
        <f t="shared" si="13"/>
        <v>3.9824999999999992E-2</v>
      </c>
      <c r="BC48" s="114">
        <f t="shared" si="14"/>
        <v>0.48232499999999989</v>
      </c>
      <c r="BD48" s="114">
        <f t="shared" si="15"/>
        <v>2.95</v>
      </c>
      <c r="BE48" s="115">
        <f t="shared" si="16"/>
        <v>0.3164406779661017</v>
      </c>
      <c r="BF48" s="113">
        <f t="shared" si="17"/>
        <v>0</v>
      </c>
      <c r="BG48" s="104" t="s">
        <v>122</v>
      </c>
    </row>
    <row r="49" spans="1:59" ht="45" customHeight="1" x14ac:dyDescent="0.25">
      <c r="A49" s="2">
        <v>41</v>
      </c>
      <c r="B49" s="100" t="s">
        <v>81</v>
      </c>
      <c r="C49" s="31">
        <v>1</v>
      </c>
      <c r="D49" s="3" t="s">
        <v>80</v>
      </c>
      <c r="E49" s="31">
        <f t="shared" si="0"/>
        <v>72</v>
      </c>
      <c r="F49" s="31"/>
      <c r="G49" s="31"/>
      <c r="H49" s="31"/>
      <c r="I49" s="103">
        <v>133.19999999999999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103">
        <v>136.80000000000001</v>
      </c>
      <c r="AE49" s="103"/>
      <c r="AF49" s="103"/>
      <c r="AG49" s="103"/>
      <c r="AH49" s="103"/>
      <c r="AI49" s="103"/>
      <c r="AJ49" s="71">
        <v>133.19999999999999</v>
      </c>
      <c r="AK49" s="73">
        <f t="shared" si="1"/>
        <v>1.8499999999999999</v>
      </c>
      <c r="AL49" s="74">
        <f t="shared" si="2"/>
        <v>133.19999999999999</v>
      </c>
      <c r="AM49" s="32"/>
      <c r="AN49" s="33">
        <f t="shared" si="20"/>
        <v>1.8499999999999999</v>
      </c>
      <c r="AO49" s="33">
        <f t="shared" si="20"/>
        <v>133.19999999999999</v>
      </c>
      <c r="AP49" s="33">
        <f t="shared" si="3"/>
        <v>2.0165000000000002</v>
      </c>
      <c r="AQ49" s="33">
        <f t="shared" si="4"/>
        <v>145.18800000000002</v>
      </c>
      <c r="AR49" s="34">
        <v>2.95</v>
      </c>
      <c r="AS49" s="35">
        <f t="shared" si="5"/>
        <v>212.4</v>
      </c>
      <c r="AT49" s="35">
        <f t="shared" si="18"/>
        <v>0.9335</v>
      </c>
      <c r="AU49" s="35">
        <f t="shared" si="6"/>
        <v>67.212000000000003</v>
      </c>
      <c r="AV49" s="36">
        <f t="shared" si="7"/>
        <v>0.3164406779661017</v>
      </c>
      <c r="AW49" s="118"/>
      <c r="AX49" s="112">
        <f t="shared" si="10"/>
        <v>2.95</v>
      </c>
      <c r="AY49" s="113">
        <v>0.16350000000000001</v>
      </c>
      <c r="AZ49" s="111">
        <f t="shared" si="11"/>
        <v>3.4323250000000001</v>
      </c>
      <c r="BA49" s="114">
        <f t="shared" si="12"/>
        <v>0.44249999999999995</v>
      </c>
      <c r="BB49" s="114">
        <f t="shared" si="13"/>
        <v>3.9824999999999992E-2</v>
      </c>
      <c r="BC49" s="114">
        <f t="shared" si="14"/>
        <v>0.48232499999999989</v>
      </c>
      <c r="BD49" s="114">
        <f t="shared" si="15"/>
        <v>2.95</v>
      </c>
      <c r="BE49" s="115">
        <f t="shared" si="16"/>
        <v>0.3164406779661017</v>
      </c>
      <c r="BF49" s="113">
        <f t="shared" si="17"/>
        <v>0</v>
      </c>
      <c r="BG49" s="104" t="s">
        <v>122</v>
      </c>
    </row>
    <row r="50" spans="1:59" ht="45" customHeight="1" x14ac:dyDescent="0.25">
      <c r="A50" s="2">
        <v>42</v>
      </c>
      <c r="B50" s="100" t="s">
        <v>79</v>
      </c>
      <c r="C50" s="31">
        <v>1</v>
      </c>
      <c r="D50" s="3" t="s">
        <v>80</v>
      </c>
      <c r="E50" s="31">
        <f t="shared" si="0"/>
        <v>72</v>
      </c>
      <c r="F50" s="31"/>
      <c r="G50" s="31"/>
      <c r="H50" s="31"/>
      <c r="I50" s="103">
        <v>133.19999999999999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103">
        <v>136.80000000000001</v>
      </c>
      <c r="AE50" s="103"/>
      <c r="AF50" s="103"/>
      <c r="AG50" s="103"/>
      <c r="AH50" s="103"/>
      <c r="AI50" s="103"/>
      <c r="AJ50" s="71">
        <v>133.19999999999999</v>
      </c>
      <c r="AK50" s="73">
        <f t="shared" si="1"/>
        <v>1.8499999999999999</v>
      </c>
      <c r="AL50" s="74">
        <f t="shared" si="2"/>
        <v>133.19999999999999</v>
      </c>
      <c r="AM50" s="32"/>
      <c r="AN50" s="33">
        <f t="shared" si="20"/>
        <v>1.8499999999999999</v>
      </c>
      <c r="AO50" s="33">
        <f t="shared" si="20"/>
        <v>133.19999999999999</v>
      </c>
      <c r="AP50" s="33">
        <f>AN50*(1+$AQ$56+9%)</f>
        <v>2.0165000000000002</v>
      </c>
      <c r="AQ50" s="33">
        <f t="shared" si="4"/>
        <v>145.18800000000002</v>
      </c>
      <c r="AR50" s="34">
        <v>2.95</v>
      </c>
      <c r="AS50" s="35">
        <f t="shared" si="5"/>
        <v>212.4</v>
      </c>
      <c r="AT50" s="35">
        <f t="shared" si="18"/>
        <v>0.9335</v>
      </c>
      <c r="AU50" s="35">
        <f t="shared" si="6"/>
        <v>67.212000000000003</v>
      </c>
      <c r="AV50" s="36">
        <f t="shared" si="7"/>
        <v>0.3164406779661017</v>
      </c>
      <c r="AW50" s="118"/>
      <c r="AX50" s="112">
        <f t="shared" si="10"/>
        <v>2.95</v>
      </c>
      <c r="AY50" s="113">
        <v>0.16350000000000001</v>
      </c>
      <c r="AZ50" s="111">
        <f t="shared" si="11"/>
        <v>3.4323250000000001</v>
      </c>
      <c r="BA50" s="114">
        <f t="shared" si="12"/>
        <v>0.44249999999999995</v>
      </c>
      <c r="BB50" s="114">
        <f t="shared" si="13"/>
        <v>3.9824999999999992E-2</v>
      </c>
      <c r="BC50" s="114">
        <f t="shared" si="14"/>
        <v>0.48232499999999989</v>
      </c>
      <c r="BD50" s="114">
        <f t="shared" si="15"/>
        <v>2.95</v>
      </c>
      <c r="BE50" s="115">
        <f t="shared" si="16"/>
        <v>0.3164406779661017</v>
      </c>
      <c r="BF50" s="113">
        <f t="shared" si="17"/>
        <v>0</v>
      </c>
      <c r="BG50" s="104" t="s">
        <v>122</v>
      </c>
    </row>
    <row r="51" spans="1:59" ht="45" customHeight="1" x14ac:dyDescent="0.25">
      <c r="A51" s="2">
        <v>43</v>
      </c>
      <c r="B51" s="100" t="s">
        <v>71</v>
      </c>
      <c r="C51" s="31">
        <v>1</v>
      </c>
      <c r="D51" s="3" t="s">
        <v>24</v>
      </c>
      <c r="E51" s="31">
        <f t="shared" si="0"/>
        <v>24</v>
      </c>
      <c r="F51" s="31"/>
      <c r="G51" s="103">
        <v>13.7</v>
      </c>
      <c r="H51" s="31"/>
      <c r="I51" s="31"/>
      <c r="J51" s="31"/>
      <c r="K51" s="31"/>
      <c r="L51" s="103">
        <v>12.8</v>
      </c>
      <c r="M51" s="103"/>
      <c r="N51" s="103"/>
      <c r="O51" s="103"/>
      <c r="P51" s="103"/>
      <c r="Q51" s="103"/>
      <c r="R51" s="103">
        <v>13.8</v>
      </c>
      <c r="S51" s="103"/>
      <c r="T51" s="103"/>
      <c r="U51" s="103"/>
      <c r="V51" s="103"/>
      <c r="W51" s="103"/>
      <c r="X51" s="103"/>
      <c r="Y51" s="103">
        <v>13.9</v>
      </c>
      <c r="Z51" s="103"/>
      <c r="AA51" s="103"/>
      <c r="AB51" s="103"/>
      <c r="AC51" s="103"/>
      <c r="AD51" s="103">
        <v>13.2</v>
      </c>
      <c r="AE51" s="103"/>
      <c r="AF51" s="103"/>
      <c r="AG51" s="103"/>
      <c r="AH51" s="103"/>
      <c r="AI51" s="103"/>
      <c r="AJ51" s="71">
        <v>13.2</v>
      </c>
      <c r="AK51" s="73">
        <f t="shared" si="1"/>
        <v>0.54999999999999993</v>
      </c>
      <c r="AL51" s="74">
        <f t="shared" si="2"/>
        <v>13.2</v>
      </c>
      <c r="AM51" s="32"/>
      <c r="AN51" s="33">
        <f t="shared" si="20"/>
        <v>0.54999999999999993</v>
      </c>
      <c r="AO51" s="33">
        <f t="shared" si="20"/>
        <v>13.2</v>
      </c>
      <c r="AP51" s="33">
        <f>AN51*(1+$AQ$56+9%)</f>
        <v>0.59949999999999992</v>
      </c>
      <c r="AQ51" s="33">
        <f t="shared" si="4"/>
        <v>14.387999999999998</v>
      </c>
      <c r="AR51" s="34">
        <v>0.9</v>
      </c>
      <c r="AS51" s="35">
        <f t="shared" si="5"/>
        <v>21.6</v>
      </c>
      <c r="AT51" s="35">
        <f t="shared" si="18"/>
        <v>0.3005000000000001</v>
      </c>
      <c r="AU51" s="35">
        <f t="shared" si="6"/>
        <v>7.2120000000000024</v>
      </c>
      <c r="AV51" s="36">
        <f t="shared" si="7"/>
        <v>0.33388888888888901</v>
      </c>
      <c r="AW51" s="118"/>
      <c r="AX51" s="112">
        <f t="shared" si="10"/>
        <v>0.9</v>
      </c>
      <c r="AY51" s="113">
        <v>0.16350000000000001</v>
      </c>
      <c r="AZ51" s="111">
        <f t="shared" si="11"/>
        <v>1.04715</v>
      </c>
      <c r="BA51" s="114">
        <f t="shared" si="12"/>
        <v>0.13500000000000001</v>
      </c>
      <c r="BB51" s="114">
        <f t="shared" si="13"/>
        <v>1.2150000000000001E-2</v>
      </c>
      <c r="BC51" s="114">
        <f t="shared" si="14"/>
        <v>0.14715</v>
      </c>
      <c r="BD51" s="114">
        <f t="shared" si="15"/>
        <v>0.9</v>
      </c>
      <c r="BE51" s="115">
        <f t="shared" si="16"/>
        <v>0.33388888888888901</v>
      </c>
      <c r="BF51" s="113">
        <f t="shared" si="17"/>
        <v>0</v>
      </c>
      <c r="BG51" s="104" t="s">
        <v>122</v>
      </c>
    </row>
    <row r="52" spans="1:59" ht="45" customHeight="1" x14ac:dyDescent="0.25">
      <c r="A52" s="2">
        <v>44</v>
      </c>
      <c r="B52" s="100" t="s">
        <v>72</v>
      </c>
      <c r="C52" s="31">
        <v>1</v>
      </c>
      <c r="D52" s="3" t="s">
        <v>24</v>
      </c>
      <c r="E52" s="31">
        <f t="shared" si="0"/>
        <v>24</v>
      </c>
      <c r="F52" s="31"/>
      <c r="G52" s="103">
        <v>13.7</v>
      </c>
      <c r="H52" s="103"/>
      <c r="I52" s="103"/>
      <c r="J52" s="103"/>
      <c r="K52" s="103"/>
      <c r="L52" s="103">
        <v>12.8</v>
      </c>
      <c r="M52" s="103"/>
      <c r="N52" s="103"/>
      <c r="O52" s="103"/>
      <c r="P52" s="103"/>
      <c r="Q52" s="103"/>
      <c r="R52" s="103"/>
      <c r="S52" s="103"/>
      <c r="T52" s="103"/>
      <c r="U52" s="103">
        <v>13.8</v>
      </c>
      <c r="V52" s="103"/>
      <c r="W52" s="103"/>
      <c r="X52" s="103"/>
      <c r="Y52" s="103">
        <v>13.9</v>
      </c>
      <c r="Z52" s="103"/>
      <c r="AA52" s="103"/>
      <c r="AB52" s="103"/>
      <c r="AC52" s="103"/>
      <c r="AD52" s="103">
        <v>13.2</v>
      </c>
      <c r="AE52" s="103"/>
      <c r="AF52" s="103"/>
      <c r="AG52" s="103"/>
      <c r="AH52" s="103"/>
      <c r="AI52" s="103"/>
      <c r="AJ52" s="71">
        <v>13.2</v>
      </c>
      <c r="AK52" s="73">
        <f t="shared" si="1"/>
        <v>0.54999999999999993</v>
      </c>
      <c r="AL52" s="74">
        <f t="shared" si="2"/>
        <v>13.2</v>
      </c>
      <c r="AM52" s="32"/>
      <c r="AN52" s="33">
        <f t="shared" si="20"/>
        <v>0.54999999999999993</v>
      </c>
      <c r="AO52" s="33">
        <f t="shared" si="20"/>
        <v>13.2</v>
      </c>
      <c r="AP52" s="33">
        <f>AN52*(1+$AQ$56+9%)</f>
        <v>0.59949999999999992</v>
      </c>
      <c r="AQ52" s="33">
        <f t="shared" si="4"/>
        <v>14.387999999999998</v>
      </c>
      <c r="AR52" s="34">
        <v>0.9</v>
      </c>
      <c r="AS52" s="35">
        <f t="shared" si="5"/>
        <v>21.6</v>
      </c>
      <c r="AT52" s="35">
        <f t="shared" si="18"/>
        <v>0.3005000000000001</v>
      </c>
      <c r="AU52" s="35">
        <f t="shared" si="6"/>
        <v>7.2120000000000024</v>
      </c>
      <c r="AV52" s="36">
        <f t="shared" si="7"/>
        <v>0.33388888888888901</v>
      </c>
      <c r="AW52" s="119"/>
      <c r="AX52" s="112">
        <f t="shared" si="10"/>
        <v>0.9</v>
      </c>
      <c r="AY52" s="113">
        <v>0.16350000000000001</v>
      </c>
      <c r="AZ52" s="111">
        <f t="shared" si="11"/>
        <v>1.04715</v>
      </c>
      <c r="BA52" s="114">
        <f t="shared" si="12"/>
        <v>0.13500000000000001</v>
      </c>
      <c r="BB52" s="114">
        <f t="shared" si="13"/>
        <v>1.2150000000000001E-2</v>
      </c>
      <c r="BC52" s="114">
        <f t="shared" si="14"/>
        <v>0.14715</v>
      </c>
      <c r="BD52" s="114">
        <f t="shared" si="15"/>
        <v>0.9</v>
      </c>
      <c r="BE52" s="115">
        <f t="shared" si="16"/>
        <v>0.33388888888888901</v>
      </c>
      <c r="BF52" s="113">
        <f t="shared" si="17"/>
        <v>0</v>
      </c>
      <c r="BG52" s="104" t="s">
        <v>122</v>
      </c>
    </row>
    <row r="53" spans="1:59" ht="30.75" thickBot="1" x14ac:dyDescent="0.3">
      <c r="A53" s="138" t="s">
        <v>25</v>
      </c>
      <c r="B53" s="139"/>
      <c r="C53" s="139"/>
      <c r="D53" s="140"/>
      <c r="E53" s="75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144" t="s">
        <v>26</v>
      </c>
      <c r="AL53" s="146">
        <f>SUM(AL7:AL52)</f>
        <v>863.80000000000018</v>
      </c>
      <c r="AM53" s="93"/>
      <c r="AN53" s="77" t="s">
        <v>27</v>
      </c>
      <c r="AO53" s="78">
        <f>SUM(AO7:AO52)</f>
        <v>863.80000000000018</v>
      </c>
      <c r="AP53" s="148" t="s">
        <v>28</v>
      </c>
      <c r="AQ53" s="149"/>
      <c r="AR53" s="150">
        <f>SUM(AS7:AS52)</f>
        <v>1299.3999999999999</v>
      </c>
      <c r="AS53" s="151"/>
      <c r="AT53" s="152" t="s">
        <v>29</v>
      </c>
      <c r="AU53" s="153"/>
      <c r="AV53" s="156">
        <f>AR53-AO56</f>
        <v>357.85799999999972</v>
      </c>
      <c r="AW53" s="94"/>
      <c r="BC53" s="110"/>
      <c r="BD53" s="110"/>
      <c r="BF53" s="109"/>
    </row>
    <row r="54" spans="1:59" ht="16.5" thickBot="1" x14ac:dyDescent="0.3">
      <c r="A54" s="138"/>
      <c r="B54" s="139"/>
      <c r="C54" s="139"/>
      <c r="D54" s="140"/>
      <c r="E54" s="75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145"/>
      <c r="AL54" s="147"/>
      <c r="AM54" s="95"/>
      <c r="AN54" s="80" t="s">
        <v>30</v>
      </c>
      <c r="AO54" s="81">
        <f>AO53*0.09</f>
        <v>77.742000000000019</v>
      </c>
      <c r="AP54" s="158"/>
      <c r="AQ54" s="159"/>
      <c r="AR54" s="159"/>
      <c r="AS54" s="160"/>
      <c r="AT54" s="154"/>
      <c r="AU54" s="155"/>
      <c r="AV54" s="157"/>
      <c r="AW54" s="96"/>
      <c r="BC54" s="110"/>
      <c r="BD54" s="110"/>
      <c r="BF54" s="109"/>
    </row>
    <row r="55" spans="1:59" ht="32.25" thickBot="1" x14ac:dyDescent="0.3">
      <c r="A55" s="138"/>
      <c r="B55" s="139"/>
      <c r="C55" s="139"/>
      <c r="D55" s="140"/>
      <c r="E55" s="82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4" t="s">
        <v>31</v>
      </c>
      <c r="AL55" s="85" t="s">
        <v>32</v>
      </c>
      <c r="AM55" s="95"/>
      <c r="AN55" s="86" t="s">
        <v>33</v>
      </c>
      <c r="AO55" s="41">
        <v>0</v>
      </c>
      <c r="AP55" s="161"/>
      <c r="AQ55" s="162"/>
      <c r="AR55" s="162"/>
      <c r="AS55" s="163"/>
      <c r="AT55" s="164" t="s">
        <v>34</v>
      </c>
      <c r="AU55" s="165"/>
      <c r="AV55" s="42">
        <f>AV53/AR53</f>
        <v>0.27540249345851914</v>
      </c>
      <c r="AW55" s="43"/>
      <c r="BC55" s="110"/>
      <c r="BD55" s="110"/>
      <c r="BF55" s="109"/>
    </row>
    <row r="56" spans="1:59" ht="63.75" thickBot="1" x14ac:dyDescent="0.3">
      <c r="A56" s="141"/>
      <c r="B56" s="142"/>
      <c r="C56" s="142"/>
      <c r="D56" s="143"/>
      <c r="E56" s="87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9" t="s">
        <v>35</v>
      </c>
      <c r="AL56" s="90">
        <f>SUM(AL53:AL55)</f>
        <v>863.80000000000018</v>
      </c>
      <c r="AM56" s="95"/>
      <c r="AN56" s="91" t="s">
        <v>35</v>
      </c>
      <c r="AO56" s="44">
        <f>SUM(AO53:AO55)</f>
        <v>941.54200000000014</v>
      </c>
      <c r="AP56" s="45" t="s">
        <v>36</v>
      </c>
      <c r="AQ56" s="166">
        <f>AO55/AO53</f>
        <v>0</v>
      </c>
      <c r="AR56" s="167"/>
      <c r="AS56" s="92"/>
      <c r="AT56" s="97"/>
      <c r="AU56" s="97"/>
      <c r="AV56" s="97"/>
      <c r="AW56" s="98"/>
    </row>
    <row r="57" spans="1:59" x14ac:dyDescent="0.25">
      <c r="A57" s="47"/>
      <c r="B57" s="14"/>
      <c r="C57" s="14"/>
      <c r="D57" s="14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9"/>
      <c r="AM57" s="50"/>
      <c r="AN57" s="14"/>
      <c r="AO57" s="14"/>
      <c r="AP57" s="51"/>
      <c r="AQ57" s="51"/>
      <c r="AR57" s="52"/>
      <c r="AS57" s="53"/>
      <c r="AT57" s="53"/>
      <c r="AU57" s="54"/>
      <c r="AV57" s="53"/>
      <c r="AW57" s="46"/>
    </row>
    <row r="58" spans="1:59" x14ac:dyDescent="0.25">
      <c r="A58" s="50"/>
      <c r="B58" s="53"/>
      <c r="C58" s="53"/>
      <c r="D58" s="5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6"/>
      <c r="AM58" s="50"/>
      <c r="AN58" s="122"/>
      <c r="AO58" s="123"/>
      <c r="AP58" s="123"/>
      <c r="AQ58" s="123"/>
      <c r="AR58" s="124"/>
      <c r="AS58" s="53"/>
      <c r="AT58" s="53"/>
      <c r="AU58" s="53"/>
      <c r="AV58" s="53"/>
      <c r="AW58" s="46"/>
    </row>
    <row r="59" spans="1:59" x14ac:dyDescent="0.25">
      <c r="A59" s="50"/>
      <c r="B59" s="53"/>
      <c r="C59" s="53"/>
      <c r="D59" s="53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6"/>
      <c r="AM59" s="50"/>
      <c r="AN59" s="57"/>
      <c r="AO59" s="58"/>
      <c r="AP59" s="59"/>
      <c r="AQ59" s="59"/>
      <c r="AR59" s="60"/>
      <c r="AS59" s="53"/>
      <c r="AT59" s="53"/>
      <c r="AU59" s="53"/>
      <c r="AV59" s="53"/>
      <c r="AW59" s="46"/>
    </row>
    <row r="60" spans="1:59" x14ac:dyDescent="0.25">
      <c r="A60" s="61" t="s">
        <v>37</v>
      </c>
      <c r="B60" s="53"/>
      <c r="C60" s="53"/>
      <c r="D60" s="53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6"/>
      <c r="AM60" s="50"/>
      <c r="AN60" s="62"/>
      <c r="AO60" s="62"/>
      <c r="AP60" s="62"/>
      <c r="AQ60" s="62"/>
      <c r="AR60" s="60"/>
      <c r="AS60" s="53"/>
      <c r="AT60" s="53"/>
      <c r="AU60" s="53"/>
      <c r="AV60" s="53"/>
      <c r="AW60" s="46"/>
    </row>
    <row r="61" spans="1:59" x14ac:dyDescent="0.25">
      <c r="A61" s="61" t="s">
        <v>38</v>
      </c>
      <c r="B61" s="53"/>
      <c r="C61" s="53"/>
      <c r="D61" s="53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6"/>
      <c r="AM61" s="50"/>
      <c r="AN61" s="62"/>
      <c r="AO61" s="62"/>
      <c r="AP61" s="57"/>
      <c r="AQ61" s="57"/>
      <c r="AR61" s="63"/>
      <c r="AS61" s="53"/>
      <c r="AT61" s="64"/>
      <c r="AU61" s="53"/>
      <c r="AV61" s="53"/>
      <c r="AW61" s="46"/>
    </row>
    <row r="62" spans="1:59" ht="16.5" thickBot="1" x14ac:dyDescent="0.3">
      <c r="A62" s="65"/>
      <c r="B62" s="66"/>
      <c r="C62" s="66"/>
      <c r="D62" s="66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8"/>
      <c r="AM62" s="50"/>
      <c r="AN62" s="69"/>
      <c r="AO62" s="69"/>
      <c r="AP62" s="69"/>
      <c r="AQ62" s="69"/>
      <c r="AR62" s="70"/>
      <c r="AS62" s="53"/>
      <c r="AT62" s="53"/>
      <c r="AU62" s="53"/>
      <c r="AV62" s="53"/>
      <c r="AW62" s="46"/>
    </row>
  </sheetData>
  <autoFilter ref="A6:BG56" xr:uid="{4B5413D7-DAE7-3F41-9E26-496BC8FE03B6}"/>
  <mergeCells count="16">
    <mergeCell ref="AN58:AR58"/>
    <mergeCell ref="A1:AS1"/>
    <mergeCell ref="AU1:AV1"/>
    <mergeCell ref="A2:AS2"/>
    <mergeCell ref="A4:AL4"/>
    <mergeCell ref="AN4:AW4"/>
    <mergeCell ref="A53:D56"/>
    <mergeCell ref="AK53:AK54"/>
    <mergeCell ref="AL53:AL54"/>
    <mergeCell ref="AP53:AQ53"/>
    <mergeCell ref="AR53:AS53"/>
    <mergeCell ref="AT53:AU54"/>
    <mergeCell ref="AV53:AV54"/>
    <mergeCell ref="AP54:AS55"/>
    <mergeCell ref="AT55:AU55"/>
    <mergeCell ref="AQ56:AR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13A2-51B0-9A49-B4CE-347947933622}">
  <dimension ref="A1:AW62"/>
  <sheetViews>
    <sheetView topLeftCell="P1" workbookViewId="0">
      <selection activeCell="AB6" sqref="AB6:AI52"/>
    </sheetView>
  </sheetViews>
  <sheetFormatPr defaultColWidth="11" defaultRowHeight="15.75" x14ac:dyDescent="0.25"/>
  <cols>
    <col min="1" max="1" width="4" customWidth="1"/>
    <col min="2" max="2" width="33.125" customWidth="1"/>
    <col min="3" max="4" width="7.875" customWidth="1"/>
    <col min="5" max="5" width="11.125" bestFit="1" customWidth="1"/>
    <col min="6" max="35" width="11.125" customWidth="1"/>
    <col min="36" max="37" width="11.125" bestFit="1" customWidth="1"/>
    <col min="38" max="38" width="11.875" bestFit="1" customWidth="1"/>
    <col min="40" max="40" width="11.125" bestFit="1" customWidth="1"/>
    <col min="41" max="41" width="12.375" bestFit="1" customWidth="1"/>
    <col min="42" max="42" width="11.125" bestFit="1" customWidth="1"/>
    <col min="43" max="43" width="15.375" bestFit="1" customWidth="1"/>
    <col min="45" max="46" width="11.125" bestFit="1" customWidth="1"/>
    <col min="47" max="47" width="13.875" bestFit="1" customWidth="1"/>
    <col min="48" max="48" width="11.5" bestFit="1" customWidth="1"/>
  </cols>
  <sheetData>
    <row r="1" spans="1:49" ht="32.25" x14ac:dyDescent="0.5">
      <c r="A1" s="125" t="s">
        <v>82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7"/>
      <c r="AT1" s="4" t="s">
        <v>0</v>
      </c>
      <c r="AU1" s="128">
        <v>46146</v>
      </c>
      <c r="AV1" s="128"/>
      <c r="AW1" s="5"/>
    </row>
    <row r="2" spans="1:49" ht="32.25" thickBot="1" x14ac:dyDescent="0.55000000000000004">
      <c r="A2" s="129" t="s">
        <v>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1"/>
      <c r="AT2" s="6" t="s">
        <v>2</v>
      </c>
      <c r="AU2" s="7">
        <v>1</v>
      </c>
      <c r="AV2" s="8"/>
      <c r="AW2" s="9"/>
    </row>
    <row r="3" spans="1:49" ht="24" thickBot="1" x14ac:dyDescent="0.4">
      <c r="A3" s="10"/>
      <c r="B3" s="11" t="s">
        <v>39</v>
      </c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3"/>
      <c r="AM3" s="14"/>
      <c r="AN3" s="15"/>
      <c r="AO3" s="16"/>
      <c r="AP3" s="16"/>
      <c r="AQ3" s="16"/>
      <c r="AR3" s="1"/>
      <c r="AS3" s="16"/>
      <c r="AT3" s="17"/>
      <c r="AU3" s="17"/>
      <c r="AV3" s="17"/>
      <c r="AW3" s="18"/>
    </row>
    <row r="4" spans="1:49" ht="27" thickBot="1" x14ac:dyDescent="0.3">
      <c r="A4" s="132" t="s">
        <v>3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4"/>
      <c r="AM4" s="19"/>
      <c r="AN4" s="135" t="s">
        <v>4</v>
      </c>
      <c r="AO4" s="136"/>
      <c r="AP4" s="136"/>
      <c r="AQ4" s="136"/>
      <c r="AR4" s="136"/>
      <c r="AS4" s="136"/>
      <c r="AT4" s="136"/>
      <c r="AU4" s="136"/>
      <c r="AV4" s="136"/>
      <c r="AW4" s="137"/>
    </row>
    <row r="5" spans="1:49" ht="16.5" thickBot="1" x14ac:dyDescent="0.3">
      <c r="A5" s="10"/>
      <c r="B5" s="10"/>
      <c r="C5" s="10"/>
      <c r="D5" s="10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3"/>
      <c r="AM5" s="20"/>
      <c r="AN5" s="21"/>
      <c r="AO5" s="21"/>
      <c r="AP5" s="21"/>
      <c r="AQ5" s="21"/>
      <c r="AR5" s="22"/>
      <c r="AS5" s="21"/>
      <c r="AT5" s="21"/>
      <c r="AU5" s="21"/>
      <c r="AV5" s="21"/>
      <c r="AW5" s="18"/>
    </row>
    <row r="6" spans="1:49" ht="75" x14ac:dyDescent="0.25">
      <c r="A6" s="23" t="s">
        <v>5</v>
      </c>
      <c r="B6" s="24" t="s">
        <v>6</v>
      </c>
      <c r="C6" s="25" t="s">
        <v>7</v>
      </c>
      <c r="D6" s="99" t="s">
        <v>8</v>
      </c>
      <c r="E6" s="25" t="s">
        <v>9</v>
      </c>
      <c r="F6" s="25" t="s">
        <v>93</v>
      </c>
      <c r="G6" s="25" t="s">
        <v>89</v>
      </c>
      <c r="H6" s="25" t="s">
        <v>90</v>
      </c>
      <c r="I6" s="25" t="s">
        <v>91</v>
      </c>
      <c r="J6" s="25" t="s">
        <v>92</v>
      </c>
      <c r="K6" s="25" t="s">
        <v>94</v>
      </c>
      <c r="L6" s="25" t="s">
        <v>95</v>
      </c>
      <c r="M6" s="25" t="s">
        <v>96</v>
      </c>
      <c r="N6" s="25" t="s">
        <v>97</v>
      </c>
      <c r="O6" s="25" t="s">
        <v>98</v>
      </c>
      <c r="P6" s="25" t="s">
        <v>99</v>
      </c>
      <c r="Q6" s="25" t="s">
        <v>100</v>
      </c>
      <c r="R6" s="25" t="s">
        <v>100</v>
      </c>
      <c r="S6" s="25" t="s">
        <v>100</v>
      </c>
      <c r="T6" s="25" t="s">
        <v>102</v>
      </c>
      <c r="U6" s="25" t="s">
        <v>101</v>
      </c>
      <c r="V6" s="25" t="s">
        <v>101</v>
      </c>
      <c r="W6" s="25" t="s">
        <v>105</v>
      </c>
      <c r="X6" s="25" t="s">
        <v>103</v>
      </c>
      <c r="Y6" s="25" t="s">
        <v>104</v>
      </c>
      <c r="Z6" s="25" t="s">
        <v>106</v>
      </c>
      <c r="AA6" s="25" t="s">
        <v>106</v>
      </c>
      <c r="AB6" s="25" t="s">
        <v>107</v>
      </c>
      <c r="AC6" s="25" t="s">
        <v>108</v>
      </c>
      <c r="AD6" s="25" t="s">
        <v>109</v>
      </c>
      <c r="AE6" s="25" t="s">
        <v>110</v>
      </c>
      <c r="AF6" s="25" t="s">
        <v>110</v>
      </c>
      <c r="AG6" s="25" t="s">
        <v>110</v>
      </c>
      <c r="AH6" s="25" t="s">
        <v>111</v>
      </c>
      <c r="AI6" s="25" t="s">
        <v>111</v>
      </c>
      <c r="AJ6" s="25" t="s">
        <v>10</v>
      </c>
      <c r="AK6" s="25" t="s">
        <v>11</v>
      </c>
      <c r="AL6" s="26" t="s">
        <v>12</v>
      </c>
      <c r="AM6" s="27"/>
      <c r="AN6" s="28" t="s">
        <v>13</v>
      </c>
      <c r="AO6" s="29" t="s">
        <v>14</v>
      </c>
      <c r="AP6" s="29" t="s">
        <v>22</v>
      </c>
      <c r="AQ6" s="29" t="s">
        <v>15</v>
      </c>
      <c r="AR6" s="72" t="s">
        <v>16</v>
      </c>
      <c r="AS6" s="29" t="s">
        <v>17</v>
      </c>
      <c r="AT6" s="29" t="s">
        <v>18</v>
      </c>
      <c r="AU6" s="29" t="s">
        <v>23</v>
      </c>
      <c r="AV6" s="29" t="s">
        <v>19</v>
      </c>
      <c r="AW6" s="30" t="s">
        <v>20</v>
      </c>
    </row>
    <row r="7" spans="1:49" ht="45" customHeight="1" x14ac:dyDescent="0.25">
      <c r="A7" s="2">
        <v>1</v>
      </c>
      <c r="B7" s="100" t="s">
        <v>40</v>
      </c>
      <c r="C7" s="31">
        <v>1</v>
      </c>
      <c r="D7" s="3" t="s">
        <v>21</v>
      </c>
      <c r="E7" s="31">
        <f t="shared" ref="E7:E52" si="0">D7*C7</f>
        <v>4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71">
        <v>5.95</v>
      </c>
      <c r="AK7" s="73">
        <f t="shared" ref="AK7:AK52" si="1">AJ7/D7</f>
        <v>1.4875</v>
      </c>
      <c r="AL7" s="74">
        <f t="shared" ref="AL7:AL52" si="2">AK7*E7</f>
        <v>5.95</v>
      </c>
      <c r="AM7" s="32"/>
      <c r="AN7" s="33">
        <f>AK7/$AU$2</f>
        <v>1.4875</v>
      </c>
      <c r="AO7" s="33">
        <f>AL7/$AU$2</f>
        <v>5.95</v>
      </c>
      <c r="AP7" s="33">
        <f t="shared" ref="AP7:AP49" si="3">AN7*(1+$AQ$56+9%)</f>
        <v>1.6213750000000002</v>
      </c>
      <c r="AQ7" s="33">
        <f t="shared" ref="AQ7:AQ52" si="4">AP7*E7</f>
        <v>6.4855000000000009</v>
      </c>
      <c r="AR7" s="34">
        <v>2.25</v>
      </c>
      <c r="AS7" s="35">
        <f t="shared" ref="AS7:AS52" si="5">AR7*E7</f>
        <v>9</v>
      </c>
      <c r="AT7" s="35">
        <f>AR7-AP7</f>
        <v>0.62862499999999977</v>
      </c>
      <c r="AU7" s="35">
        <f t="shared" ref="AU7:AU52" si="6">AT7*E7</f>
        <v>2.5144999999999991</v>
      </c>
      <c r="AV7" s="36">
        <f t="shared" ref="AV7:AV52" si="7">AT7/AR7</f>
        <v>0.2793888888888888</v>
      </c>
      <c r="AW7" s="37"/>
    </row>
    <row r="8" spans="1:49" ht="45" customHeight="1" x14ac:dyDescent="0.25">
      <c r="A8" s="2">
        <v>2</v>
      </c>
      <c r="B8" s="100" t="s">
        <v>41</v>
      </c>
      <c r="C8" s="31">
        <v>1</v>
      </c>
      <c r="D8" s="3" t="s">
        <v>21</v>
      </c>
      <c r="E8" s="31">
        <f t="shared" si="0"/>
        <v>4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71">
        <v>5.95</v>
      </c>
      <c r="AK8" s="73">
        <f t="shared" si="1"/>
        <v>1.4875</v>
      </c>
      <c r="AL8" s="74">
        <f t="shared" si="2"/>
        <v>5.95</v>
      </c>
      <c r="AM8" s="32"/>
      <c r="AN8" s="33">
        <f t="shared" ref="AN8:AO28" si="8">AK8/$AU$2</f>
        <v>1.4875</v>
      </c>
      <c r="AO8" s="33">
        <f t="shared" si="8"/>
        <v>5.95</v>
      </c>
      <c r="AP8" s="33">
        <f t="shared" si="3"/>
        <v>1.6213750000000002</v>
      </c>
      <c r="AQ8" s="33">
        <f t="shared" si="4"/>
        <v>6.4855000000000009</v>
      </c>
      <c r="AR8" s="34">
        <v>2.25</v>
      </c>
      <c r="AS8" s="35">
        <f t="shared" si="5"/>
        <v>9</v>
      </c>
      <c r="AT8" s="35">
        <f t="shared" ref="AT8:AT24" si="9">AR8-AP8</f>
        <v>0.62862499999999977</v>
      </c>
      <c r="AU8" s="35">
        <f t="shared" si="6"/>
        <v>2.5144999999999991</v>
      </c>
      <c r="AV8" s="36">
        <f t="shared" si="7"/>
        <v>0.2793888888888888</v>
      </c>
      <c r="AW8" s="38"/>
    </row>
    <row r="9" spans="1:49" ht="45" customHeight="1" x14ac:dyDescent="0.25">
      <c r="A9" s="2">
        <v>3</v>
      </c>
      <c r="B9" s="100" t="s">
        <v>86</v>
      </c>
      <c r="C9" s="31">
        <v>1</v>
      </c>
      <c r="D9" s="3" t="s">
        <v>24</v>
      </c>
      <c r="E9" s="31">
        <f t="shared" si="0"/>
        <v>24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71">
        <v>12.8</v>
      </c>
      <c r="AK9" s="73">
        <f t="shared" si="1"/>
        <v>0.53333333333333333</v>
      </c>
      <c r="AL9" s="74">
        <f t="shared" si="2"/>
        <v>12.8</v>
      </c>
      <c r="AM9" s="32"/>
      <c r="AN9" s="33">
        <f t="shared" si="8"/>
        <v>0.53333333333333333</v>
      </c>
      <c r="AO9" s="33">
        <f t="shared" si="8"/>
        <v>12.8</v>
      </c>
      <c r="AP9" s="33">
        <f t="shared" si="3"/>
        <v>0.58133333333333337</v>
      </c>
      <c r="AQ9" s="33">
        <f t="shared" si="4"/>
        <v>13.952000000000002</v>
      </c>
      <c r="AR9" s="34"/>
      <c r="AS9" s="35">
        <f t="shared" si="5"/>
        <v>0</v>
      </c>
      <c r="AT9" s="35">
        <f t="shared" si="9"/>
        <v>-0.58133333333333337</v>
      </c>
      <c r="AU9" s="35">
        <f t="shared" si="6"/>
        <v>-13.952000000000002</v>
      </c>
      <c r="AV9" s="36" t="e">
        <f t="shared" si="7"/>
        <v>#DIV/0!</v>
      </c>
      <c r="AW9" s="38"/>
    </row>
    <row r="10" spans="1:49" ht="45" customHeight="1" x14ac:dyDescent="0.25">
      <c r="A10" s="2">
        <v>4</v>
      </c>
      <c r="B10" s="100" t="s">
        <v>73</v>
      </c>
      <c r="C10" s="31">
        <v>1</v>
      </c>
      <c r="D10" s="3" t="s">
        <v>24</v>
      </c>
      <c r="E10" s="31">
        <f t="shared" si="0"/>
        <v>24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71">
        <v>11.5</v>
      </c>
      <c r="AK10" s="73">
        <f t="shared" si="1"/>
        <v>0.47916666666666669</v>
      </c>
      <c r="AL10" s="74">
        <f t="shared" si="2"/>
        <v>11.5</v>
      </c>
      <c r="AM10" s="32"/>
      <c r="AN10" s="33">
        <f t="shared" si="8"/>
        <v>0.47916666666666669</v>
      </c>
      <c r="AO10" s="33">
        <f t="shared" si="8"/>
        <v>11.5</v>
      </c>
      <c r="AP10" s="33">
        <f t="shared" si="3"/>
        <v>0.52229166666666671</v>
      </c>
      <c r="AQ10" s="33">
        <f t="shared" si="4"/>
        <v>12.535</v>
      </c>
      <c r="AR10" s="34">
        <f>17.8/24</f>
        <v>0.7416666666666667</v>
      </c>
      <c r="AS10" s="35">
        <f t="shared" si="5"/>
        <v>17.8</v>
      </c>
      <c r="AT10" s="35">
        <f t="shared" si="9"/>
        <v>0.21937499999999999</v>
      </c>
      <c r="AU10" s="35">
        <f t="shared" si="6"/>
        <v>5.2649999999999997</v>
      </c>
      <c r="AV10" s="36">
        <f t="shared" si="7"/>
        <v>0.29578651685393254</v>
      </c>
      <c r="AW10" s="39"/>
    </row>
    <row r="11" spans="1:49" ht="45" customHeight="1" x14ac:dyDescent="0.25">
      <c r="A11" s="2">
        <v>5</v>
      </c>
      <c r="B11" s="100" t="s">
        <v>74</v>
      </c>
      <c r="C11" s="31">
        <v>1</v>
      </c>
      <c r="D11" s="3" t="s">
        <v>24</v>
      </c>
      <c r="E11" s="31">
        <f t="shared" si="0"/>
        <v>24</v>
      </c>
      <c r="F11" s="31"/>
      <c r="G11" s="103">
        <v>9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103">
        <v>9.3000000000000007</v>
      </c>
      <c r="AD11" s="103"/>
      <c r="AE11" s="103"/>
      <c r="AF11" s="103"/>
      <c r="AG11" s="103"/>
      <c r="AH11" s="103"/>
      <c r="AI11" s="103"/>
      <c r="AJ11" s="71">
        <v>9.3000000000000007</v>
      </c>
      <c r="AK11" s="73">
        <f t="shared" si="1"/>
        <v>0.38750000000000001</v>
      </c>
      <c r="AL11" s="74">
        <f t="shared" si="2"/>
        <v>9.3000000000000007</v>
      </c>
      <c r="AM11" s="32"/>
      <c r="AN11" s="33">
        <f t="shared" si="8"/>
        <v>0.38750000000000001</v>
      </c>
      <c r="AO11" s="33">
        <f t="shared" si="8"/>
        <v>9.3000000000000007</v>
      </c>
      <c r="AP11" s="33">
        <f t="shared" si="3"/>
        <v>0.42237500000000006</v>
      </c>
      <c r="AQ11" s="33">
        <f t="shared" si="4"/>
        <v>10.137</v>
      </c>
      <c r="AR11" s="34">
        <v>0.6</v>
      </c>
      <c r="AS11" s="35">
        <f t="shared" si="5"/>
        <v>14.399999999999999</v>
      </c>
      <c r="AT11" s="35">
        <f t="shared" si="9"/>
        <v>0.17762499999999992</v>
      </c>
      <c r="AU11" s="35">
        <f t="shared" si="6"/>
        <v>4.2629999999999981</v>
      </c>
      <c r="AV11" s="36">
        <f t="shared" si="7"/>
        <v>0.29604166666666654</v>
      </c>
      <c r="AW11" s="39"/>
    </row>
    <row r="12" spans="1:49" ht="45" customHeight="1" x14ac:dyDescent="0.25">
      <c r="A12" s="2">
        <v>6</v>
      </c>
      <c r="B12" s="100" t="s">
        <v>42</v>
      </c>
      <c r="C12" s="31">
        <v>1</v>
      </c>
      <c r="D12" s="3" t="s">
        <v>21</v>
      </c>
      <c r="E12" s="31">
        <f t="shared" si="0"/>
        <v>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71">
        <v>5.95</v>
      </c>
      <c r="AK12" s="73">
        <f t="shared" si="1"/>
        <v>1.4875</v>
      </c>
      <c r="AL12" s="74">
        <f t="shared" si="2"/>
        <v>5.95</v>
      </c>
      <c r="AM12" s="32"/>
      <c r="AN12" s="33">
        <f t="shared" si="8"/>
        <v>1.4875</v>
      </c>
      <c r="AO12" s="33">
        <f t="shared" si="8"/>
        <v>5.95</v>
      </c>
      <c r="AP12" s="33">
        <f t="shared" si="3"/>
        <v>1.6213750000000002</v>
      </c>
      <c r="AQ12" s="33">
        <f t="shared" si="4"/>
        <v>6.4855000000000009</v>
      </c>
      <c r="AR12" s="34">
        <v>2.25</v>
      </c>
      <c r="AS12" s="35">
        <f t="shared" si="5"/>
        <v>9</v>
      </c>
      <c r="AT12" s="35">
        <f t="shared" si="9"/>
        <v>0.62862499999999977</v>
      </c>
      <c r="AU12" s="35">
        <f t="shared" si="6"/>
        <v>2.5144999999999991</v>
      </c>
      <c r="AV12" s="36">
        <f t="shared" si="7"/>
        <v>0.2793888888888888</v>
      </c>
      <c r="AW12" s="39"/>
    </row>
    <row r="13" spans="1:49" ht="45" customHeight="1" x14ac:dyDescent="0.25">
      <c r="A13" s="2">
        <v>7</v>
      </c>
      <c r="B13" s="101" t="s">
        <v>43</v>
      </c>
      <c r="C13" s="31">
        <v>1</v>
      </c>
      <c r="D13" s="3" t="s">
        <v>21</v>
      </c>
      <c r="E13" s="31">
        <f t="shared" si="0"/>
        <v>4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71">
        <v>5.95</v>
      </c>
      <c r="AK13" s="73">
        <f t="shared" si="1"/>
        <v>1.4875</v>
      </c>
      <c r="AL13" s="74">
        <f t="shared" si="2"/>
        <v>5.95</v>
      </c>
      <c r="AM13" s="32"/>
      <c r="AN13" s="33">
        <f t="shared" si="8"/>
        <v>1.4875</v>
      </c>
      <c r="AO13" s="33">
        <f t="shared" si="8"/>
        <v>5.95</v>
      </c>
      <c r="AP13" s="33">
        <f t="shared" si="3"/>
        <v>1.6213750000000002</v>
      </c>
      <c r="AQ13" s="33">
        <f t="shared" si="4"/>
        <v>6.4855000000000009</v>
      </c>
      <c r="AR13" s="34">
        <v>2.25</v>
      </c>
      <c r="AS13" s="35">
        <f t="shared" si="5"/>
        <v>9</v>
      </c>
      <c r="AT13" s="35">
        <f t="shared" si="9"/>
        <v>0.62862499999999977</v>
      </c>
      <c r="AU13" s="35">
        <f t="shared" si="6"/>
        <v>2.5144999999999991</v>
      </c>
      <c r="AV13" s="36">
        <f t="shared" si="7"/>
        <v>0.2793888888888888</v>
      </c>
      <c r="AW13" s="39"/>
    </row>
    <row r="14" spans="1:49" ht="45" customHeight="1" x14ac:dyDescent="0.25">
      <c r="A14" s="2">
        <v>8</v>
      </c>
      <c r="B14" s="101" t="s">
        <v>44</v>
      </c>
      <c r="C14" s="31">
        <v>1</v>
      </c>
      <c r="D14" s="3" t="s">
        <v>24</v>
      </c>
      <c r="E14" s="31">
        <f t="shared" si="0"/>
        <v>24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103">
        <v>8.1999999999999993</v>
      </c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71">
        <v>8.3000000000000007</v>
      </c>
      <c r="AK14" s="73">
        <f t="shared" si="1"/>
        <v>0.34583333333333338</v>
      </c>
      <c r="AL14" s="74">
        <f t="shared" si="2"/>
        <v>8.3000000000000007</v>
      </c>
      <c r="AM14" s="32"/>
      <c r="AN14" s="33">
        <f t="shared" si="8"/>
        <v>0.34583333333333338</v>
      </c>
      <c r="AO14" s="33">
        <f t="shared" si="8"/>
        <v>8.3000000000000007</v>
      </c>
      <c r="AP14" s="33">
        <f t="shared" si="3"/>
        <v>0.3769583333333334</v>
      </c>
      <c r="AQ14" s="33">
        <f t="shared" si="4"/>
        <v>9.0470000000000006</v>
      </c>
      <c r="AR14" s="34">
        <v>0.55000000000000004</v>
      </c>
      <c r="AS14" s="35">
        <f t="shared" si="5"/>
        <v>13.200000000000001</v>
      </c>
      <c r="AT14" s="35">
        <f t="shared" si="9"/>
        <v>0.17304166666666665</v>
      </c>
      <c r="AU14" s="35">
        <f t="shared" si="6"/>
        <v>4.1529999999999996</v>
      </c>
      <c r="AV14" s="36">
        <f t="shared" si="7"/>
        <v>0.31462121212121208</v>
      </c>
      <c r="AW14" s="39"/>
    </row>
    <row r="15" spans="1:49" ht="45" customHeight="1" x14ac:dyDescent="0.25">
      <c r="A15" s="2">
        <v>9</v>
      </c>
      <c r="B15" s="102" t="s">
        <v>45</v>
      </c>
      <c r="C15" s="31">
        <v>1</v>
      </c>
      <c r="D15" s="3" t="s">
        <v>24</v>
      </c>
      <c r="E15" s="31">
        <f t="shared" si="0"/>
        <v>24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71">
        <v>8.3000000000000007</v>
      </c>
      <c r="AK15" s="73">
        <f t="shared" si="1"/>
        <v>0.34583333333333338</v>
      </c>
      <c r="AL15" s="74">
        <f t="shared" si="2"/>
        <v>8.3000000000000007</v>
      </c>
      <c r="AM15" s="32"/>
      <c r="AN15" s="33">
        <f t="shared" si="8"/>
        <v>0.34583333333333338</v>
      </c>
      <c r="AO15" s="33">
        <f t="shared" si="8"/>
        <v>8.3000000000000007</v>
      </c>
      <c r="AP15" s="33">
        <f t="shared" si="3"/>
        <v>0.3769583333333334</v>
      </c>
      <c r="AQ15" s="33">
        <f t="shared" si="4"/>
        <v>9.0470000000000006</v>
      </c>
      <c r="AR15" s="34">
        <v>0.55000000000000004</v>
      </c>
      <c r="AS15" s="35">
        <f t="shared" si="5"/>
        <v>13.200000000000001</v>
      </c>
      <c r="AT15" s="35">
        <f t="shared" si="9"/>
        <v>0.17304166666666665</v>
      </c>
      <c r="AU15" s="35">
        <f t="shared" si="6"/>
        <v>4.1529999999999996</v>
      </c>
      <c r="AV15" s="36">
        <f t="shared" si="7"/>
        <v>0.31462121212121208</v>
      </c>
      <c r="AW15" s="40"/>
    </row>
    <row r="16" spans="1:49" ht="45" customHeight="1" x14ac:dyDescent="0.25">
      <c r="A16" s="2">
        <v>10</v>
      </c>
      <c r="B16" s="102" t="s">
        <v>76</v>
      </c>
      <c r="C16" s="31">
        <v>1</v>
      </c>
      <c r="D16" s="3" t="s">
        <v>24</v>
      </c>
      <c r="E16" s="31">
        <f t="shared" si="0"/>
        <v>24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71">
        <v>8.3000000000000007</v>
      </c>
      <c r="AK16" s="73">
        <f t="shared" si="1"/>
        <v>0.34583333333333338</v>
      </c>
      <c r="AL16" s="74">
        <f t="shared" si="2"/>
        <v>8.3000000000000007</v>
      </c>
      <c r="AM16" s="32"/>
      <c r="AN16" s="33">
        <f t="shared" si="8"/>
        <v>0.34583333333333338</v>
      </c>
      <c r="AO16" s="33">
        <f t="shared" si="8"/>
        <v>8.3000000000000007</v>
      </c>
      <c r="AP16" s="33">
        <f t="shared" si="3"/>
        <v>0.3769583333333334</v>
      </c>
      <c r="AQ16" s="33">
        <f t="shared" si="4"/>
        <v>9.0470000000000006</v>
      </c>
      <c r="AR16" s="34">
        <v>0.55000000000000004</v>
      </c>
      <c r="AS16" s="35">
        <f t="shared" si="5"/>
        <v>13.200000000000001</v>
      </c>
      <c r="AT16" s="35">
        <f t="shared" si="9"/>
        <v>0.17304166666666665</v>
      </c>
      <c r="AU16" s="35">
        <f t="shared" si="6"/>
        <v>4.1529999999999996</v>
      </c>
      <c r="AV16" s="36">
        <f t="shared" si="7"/>
        <v>0.31462121212121208</v>
      </c>
      <c r="AW16" s="40"/>
    </row>
    <row r="17" spans="1:49" ht="45" customHeight="1" x14ac:dyDescent="0.25">
      <c r="A17" s="2">
        <v>11</v>
      </c>
      <c r="B17" s="102" t="s">
        <v>77</v>
      </c>
      <c r="C17" s="31">
        <v>1</v>
      </c>
      <c r="D17" s="3" t="s">
        <v>24</v>
      </c>
      <c r="E17" s="31">
        <f t="shared" si="0"/>
        <v>24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71">
        <v>8.3000000000000007</v>
      </c>
      <c r="AK17" s="73">
        <f t="shared" si="1"/>
        <v>0.34583333333333338</v>
      </c>
      <c r="AL17" s="74">
        <f t="shared" si="2"/>
        <v>8.3000000000000007</v>
      </c>
      <c r="AM17" s="32"/>
      <c r="AN17" s="33">
        <f t="shared" si="8"/>
        <v>0.34583333333333338</v>
      </c>
      <c r="AO17" s="33">
        <f t="shared" si="8"/>
        <v>8.3000000000000007</v>
      </c>
      <c r="AP17" s="33">
        <f t="shared" si="3"/>
        <v>0.3769583333333334</v>
      </c>
      <c r="AQ17" s="33">
        <f t="shared" si="4"/>
        <v>9.0470000000000006</v>
      </c>
      <c r="AR17" s="34">
        <v>0.55000000000000004</v>
      </c>
      <c r="AS17" s="35">
        <f t="shared" si="5"/>
        <v>13.200000000000001</v>
      </c>
      <c r="AT17" s="35">
        <f t="shared" si="9"/>
        <v>0.17304166666666665</v>
      </c>
      <c r="AU17" s="35">
        <f t="shared" si="6"/>
        <v>4.1529999999999996</v>
      </c>
      <c r="AV17" s="36">
        <f t="shared" si="7"/>
        <v>0.31462121212121208</v>
      </c>
      <c r="AW17" s="40"/>
    </row>
    <row r="18" spans="1:49" ht="45" customHeight="1" x14ac:dyDescent="0.25">
      <c r="A18" s="2">
        <v>12</v>
      </c>
      <c r="B18" s="100" t="s">
        <v>46</v>
      </c>
      <c r="C18" s="31">
        <v>1</v>
      </c>
      <c r="D18" s="3" t="s">
        <v>54</v>
      </c>
      <c r="E18" s="31">
        <f t="shared" si="0"/>
        <v>12</v>
      </c>
      <c r="F18" s="31"/>
      <c r="G18" s="31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71">
        <v>8.4499999999999993</v>
      </c>
      <c r="AK18" s="73">
        <f t="shared" si="1"/>
        <v>0.70416666666666661</v>
      </c>
      <c r="AL18" s="74">
        <f t="shared" si="2"/>
        <v>8.4499999999999993</v>
      </c>
      <c r="AM18" s="32"/>
      <c r="AN18" s="33">
        <f t="shared" si="8"/>
        <v>0.70416666666666661</v>
      </c>
      <c r="AO18" s="33">
        <f t="shared" si="8"/>
        <v>8.4499999999999993</v>
      </c>
      <c r="AP18" s="33">
        <f t="shared" si="3"/>
        <v>0.76754166666666668</v>
      </c>
      <c r="AQ18" s="33">
        <f t="shared" si="4"/>
        <v>9.2104999999999997</v>
      </c>
      <c r="AR18" s="34">
        <v>1</v>
      </c>
      <c r="AS18" s="35">
        <f t="shared" si="5"/>
        <v>12</v>
      </c>
      <c r="AT18" s="35">
        <f t="shared" si="9"/>
        <v>0.23245833333333332</v>
      </c>
      <c r="AU18" s="35">
        <f t="shared" si="6"/>
        <v>2.7894999999999999</v>
      </c>
      <c r="AV18" s="36">
        <f t="shared" si="7"/>
        <v>0.23245833333333332</v>
      </c>
      <c r="AW18" s="37"/>
    </row>
    <row r="19" spans="1:49" ht="45" customHeight="1" x14ac:dyDescent="0.25">
      <c r="A19" s="2">
        <v>13</v>
      </c>
      <c r="B19" s="100" t="s">
        <v>84</v>
      </c>
      <c r="C19" s="31">
        <v>1</v>
      </c>
      <c r="D19" s="3" t="s">
        <v>54</v>
      </c>
      <c r="E19" s="31">
        <f t="shared" si="0"/>
        <v>12</v>
      </c>
      <c r="F19" s="31"/>
      <c r="G19" s="31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71">
        <v>8.4499999999999993</v>
      </c>
      <c r="AK19" s="73">
        <f t="shared" si="1"/>
        <v>0.70416666666666661</v>
      </c>
      <c r="AL19" s="74">
        <f t="shared" si="2"/>
        <v>8.4499999999999993</v>
      </c>
      <c r="AM19" s="32"/>
      <c r="AN19" s="33">
        <f t="shared" si="8"/>
        <v>0.70416666666666661</v>
      </c>
      <c r="AO19" s="33">
        <f t="shared" si="8"/>
        <v>8.4499999999999993</v>
      </c>
      <c r="AP19" s="33">
        <f t="shared" si="3"/>
        <v>0.76754166666666668</v>
      </c>
      <c r="AQ19" s="33">
        <f t="shared" si="4"/>
        <v>9.2104999999999997</v>
      </c>
      <c r="AR19" s="34">
        <v>1</v>
      </c>
      <c r="AS19" s="35">
        <f t="shared" si="5"/>
        <v>12</v>
      </c>
      <c r="AT19" s="35">
        <f t="shared" si="9"/>
        <v>0.23245833333333332</v>
      </c>
      <c r="AU19" s="35">
        <f t="shared" si="6"/>
        <v>2.7894999999999999</v>
      </c>
      <c r="AV19" s="36">
        <f t="shared" si="7"/>
        <v>0.23245833333333332</v>
      </c>
      <c r="AW19" s="38"/>
    </row>
    <row r="20" spans="1:49" ht="45" customHeight="1" x14ac:dyDescent="0.25">
      <c r="A20" s="2">
        <v>14</v>
      </c>
      <c r="B20" s="100" t="s">
        <v>47</v>
      </c>
      <c r="C20" s="31">
        <v>1</v>
      </c>
      <c r="D20" s="3" t="s">
        <v>24</v>
      </c>
      <c r="E20" s="31">
        <f t="shared" si="0"/>
        <v>24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71">
        <v>2.4</v>
      </c>
      <c r="AK20" s="73">
        <f t="shared" si="1"/>
        <v>9.9999999999999992E-2</v>
      </c>
      <c r="AL20" s="74">
        <f t="shared" si="2"/>
        <v>2.4</v>
      </c>
      <c r="AM20" s="32"/>
      <c r="AN20" s="33">
        <f t="shared" si="8"/>
        <v>9.9999999999999992E-2</v>
      </c>
      <c r="AO20" s="33">
        <f t="shared" si="8"/>
        <v>2.4</v>
      </c>
      <c r="AP20" s="33">
        <f t="shared" si="3"/>
        <v>0.109</v>
      </c>
      <c r="AQ20" s="33">
        <f t="shared" si="4"/>
        <v>2.6160000000000001</v>
      </c>
      <c r="AR20" s="34">
        <v>0.35</v>
      </c>
      <c r="AS20" s="35">
        <f t="shared" si="5"/>
        <v>8.3999999999999986</v>
      </c>
      <c r="AT20" s="35">
        <f t="shared" si="9"/>
        <v>0.24099999999999999</v>
      </c>
      <c r="AU20" s="35">
        <f t="shared" si="6"/>
        <v>5.7839999999999998</v>
      </c>
      <c r="AV20" s="36">
        <f t="shared" si="7"/>
        <v>0.68857142857142861</v>
      </c>
      <c r="AW20" s="39"/>
    </row>
    <row r="21" spans="1:49" ht="45" customHeight="1" x14ac:dyDescent="0.25">
      <c r="A21" s="2">
        <v>15</v>
      </c>
      <c r="B21" s="101" t="s">
        <v>48</v>
      </c>
      <c r="C21" s="31">
        <v>1</v>
      </c>
      <c r="D21" s="3" t="s">
        <v>54</v>
      </c>
      <c r="E21" s="31">
        <f t="shared" si="0"/>
        <v>12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71">
        <v>2.4</v>
      </c>
      <c r="AK21" s="73">
        <f t="shared" si="1"/>
        <v>0.19999999999999998</v>
      </c>
      <c r="AL21" s="74">
        <f t="shared" si="2"/>
        <v>2.4</v>
      </c>
      <c r="AM21" s="32"/>
      <c r="AN21" s="33">
        <f t="shared" si="8"/>
        <v>0.19999999999999998</v>
      </c>
      <c r="AO21" s="33">
        <f t="shared" si="8"/>
        <v>2.4</v>
      </c>
      <c r="AP21" s="33">
        <f t="shared" si="3"/>
        <v>0.218</v>
      </c>
      <c r="AQ21" s="33">
        <f t="shared" si="4"/>
        <v>2.6160000000000001</v>
      </c>
      <c r="AR21" s="34">
        <v>0.65</v>
      </c>
      <c r="AS21" s="35">
        <f t="shared" si="5"/>
        <v>7.8000000000000007</v>
      </c>
      <c r="AT21" s="35">
        <f t="shared" si="9"/>
        <v>0.43200000000000005</v>
      </c>
      <c r="AU21" s="35">
        <f t="shared" si="6"/>
        <v>5.1840000000000011</v>
      </c>
      <c r="AV21" s="36">
        <f t="shared" si="7"/>
        <v>0.66461538461538472</v>
      </c>
      <c r="AW21" s="39"/>
    </row>
    <row r="22" spans="1:49" ht="45" customHeight="1" x14ac:dyDescent="0.25">
      <c r="A22" s="2">
        <v>16</v>
      </c>
      <c r="B22" s="101" t="s">
        <v>49</v>
      </c>
      <c r="C22" s="31">
        <v>1</v>
      </c>
      <c r="D22" s="3" t="s">
        <v>54</v>
      </c>
      <c r="E22" s="31">
        <f t="shared" si="0"/>
        <v>12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71">
        <v>8.9499999999999993</v>
      </c>
      <c r="AK22" s="73">
        <f t="shared" si="1"/>
        <v>0.74583333333333324</v>
      </c>
      <c r="AL22" s="74">
        <f t="shared" si="2"/>
        <v>8.9499999999999993</v>
      </c>
      <c r="AM22" s="32"/>
      <c r="AN22" s="33">
        <f t="shared" si="8"/>
        <v>0.74583333333333324</v>
      </c>
      <c r="AO22" s="33">
        <f t="shared" si="8"/>
        <v>8.9499999999999993</v>
      </c>
      <c r="AP22" s="33">
        <f t="shared" si="3"/>
        <v>0.81295833333333334</v>
      </c>
      <c r="AQ22" s="33">
        <f t="shared" si="4"/>
        <v>9.7554999999999996</v>
      </c>
      <c r="AR22" s="34">
        <v>1.25</v>
      </c>
      <c r="AS22" s="35">
        <f t="shared" si="5"/>
        <v>15</v>
      </c>
      <c r="AT22" s="35">
        <f t="shared" si="9"/>
        <v>0.43704166666666666</v>
      </c>
      <c r="AU22" s="35">
        <f t="shared" si="6"/>
        <v>5.2445000000000004</v>
      </c>
      <c r="AV22" s="36">
        <f t="shared" si="7"/>
        <v>0.34963333333333335</v>
      </c>
      <c r="AW22" s="39"/>
    </row>
    <row r="23" spans="1:49" ht="45" customHeight="1" x14ac:dyDescent="0.25">
      <c r="A23" s="2">
        <v>17</v>
      </c>
      <c r="B23" s="102" t="s">
        <v>50</v>
      </c>
      <c r="C23" s="31">
        <v>1</v>
      </c>
      <c r="D23" s="3" t="s">
        <v>54</v>
      </c>
      <c r="E23" s="31">
        <f t="shared" si="0"/>
        <v>12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71">
        <v>8.9499999999999993</v>
      </c>
      <c r="AK23" s="73">
        <f t="shared" si="1"/>
        <v>0.74583333333333324</v>
      </c>
      <c r="AL23" s="74">
        <f t="shared" si="2"/>
        <v>8.9499999999999993</v>
      </c>
      <c r="AM23" s="32"/>
      <c r="AN23" s="33">
        <f t="shared" si="8"/>
        <v>0.74583333333333324</v>
      </c>
      <c r="AO23" s="33">
        <f t="shared" si="8"/>
        <v>8.9499999999999993</v>
      </c>
      <c r="AP23" s="33">
        <f t="shared" si="3"/>
        <v>0.81295833333333334</v>
      </c>
      <c r="AQ23" s="33">
        <f t="shared" si="4"/>
        <v>9.7554999999999996</v>
      </c>
      <c r="AR23" s="34">
        <v>1.25</v>
      </c>
      <c r="AS23" s="35">
        <f t="shared" si="5"/>
        <v>15</v>
      </c>
      <c r="AT23" s="35">
        <f>AR23-AP23</f>
        <v>0.43704166666666666</v>
      </c>
      <c r="AU23" s="35">
        <f t="shared" si="6"/>
        <v>5.2445000000000004</v>
      </c>
      <c r="AV23" s="36">
        <f t="shared" si="7"/>
        <v>0.34963333333333335</v>
      </c>
      <c r="AW23" s="40"/>
    </row>
    <row r="24" spans="1:49" ht="45" customHeight="1" x14ac:dyDescent="0.25">
      <c r="A24" s="2">
        <v>18</v>
      </c>
      <c r="B24" s="100" t="s">
        <v>51</v>
      </c>
      <c r="C24" s="31">
        <v>1</v>
      </c>
      <c r="D24" s="3" t="s">
        <v>54</v>
      </c>
      <c r="E24" s="31">
        <f t="shared" si="0"/>
        <v>12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103">
        <v>8.6</v>
      </c>
      <c r="W24" s="103"/>
      <c r="X24" s="103"/>
      <c r="Y24" s="103"/>
      <c r="Z24" s="103"/>
      <c r="AA24" s="103"/>
      <c r="AB24" s="103"/>
      <c r="AC24" s="103"/>
      <c r="AD24" s="103">
        <v>8.9499999999999993</v>
      </c>
      <c r="AE24" s="103"/>
      <c r="AF24" s="103"/>
      <c r="AG24" s="103"/>
      <c r="AH24" s="103"/>
      <c r="AI24" s="103"/>
      <c r="AJ24" s="71">
        <v>8.9499999999999993</v>
      </c>
      <c r="AK24" s="73">
        <f t="shared" si="1"/>
        <v>0.74583333333333324</v>
      </c>
      <c r="AL24" s="74">
        <f t="shared" si="2"/>
        <v>8.9499999999999993</v>
      </c>
      <c r="AM24" s="32"/>
      <c r="AN24" s="33">
        <f t="shared" si="8"/>
        <v>0.74583333333333324</v>
      </c>
      <c r="AO24" s="33">
        <f t="shared" si="8"/>
        <v>8.9499999999999993</v>
      </c>
      <c r="AP24" s="33">
        <f t="shared" si="3"/>
        <v>0.81295833333333334</v>
      </c>
      <c r="AQ24" s="33">
        <f t="shared" si="4"/>
        <v>9.7554999999999996</v>
      </c>
      <c r="AR24" s="34">
        <v>1.25</v>
      </c>
      <c r="AS24" s="35">
        <f t="shared" si="5"/>
        <v>15</v>
      </c>
      <c r="AT24" s="35">
        <f t="shared" si="9"/>
        <v>0.43704166666666666</v>
      </c>
      <c r="AU24" s="35">
        <f t="shared" si="6"/>
        <v>5.2445000000000004</v>
      </c>
      <c r="AV24" s="36">
        <f t="shared" si="7"/>
        <v>0.34963333333333335</v>
      </c>
      <c r="AW24" s="37"/>
    </row>
    <row r="25" spans="1:49" ht="45" customHeight="1" x14ac:dyDescent="0.25">
      <c r="A25" s="2">
        <v>19</v>
      </c>
      <c r="B25" s="100" t="s">
        <v>75</v>
      </c>
      <c r="C25" s="31">
        <v>1</v>
      </c>
      <c r="D25" s="3" t="s">
        <v>24</v>
      </c>
      <c r="E25" s="31">
        <f t="shared" si="0"/>
        <v>24</v>
      </c>
      <c r="F25" s="103">
        <v>12.65</v>
      </c>
      <c r="G25" s="31"/>
      <c r="I25" s="103"/>
      <c r="J25" s="103"/>
      <c r="K25" s="103"/>
      <c r="L25" s="103"/>
      <c r="M25" s="103">
        <v>12.8</v>
      </c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71">
        <v>12.8</v>
      </c>
      <c r="AK25" s="73">
        <f t="shared" si="1"/>
        <v>0.53333333333333333</v>
      </c>
      <c r="AL25" s="74">
        <f t="shared" si="2"/>
        <v>12.8</v>
      </c>
      <c r="AM25" s="32"/>
      <c r="AN25" s="33">
        <f t="shared" si="8"/>
        <v>0.53333333333333333</v>
      </c>
      <c r="AO25" s="33">
        <f t="shared" si="8"/>
        <v>12.8</v>
      </c>
      <c r="AP25" s="33">
        <f t="shared" si="3"/>
        <v>0.58133333333333337</v>
      </c>
      <c r="AQ25" s="33">
        <f t="shared" si="4"/>
        <v>13.952000000000002</v>
      </c>
      <c r="AR25" s="34">
        <v>0.9</v>
      </c>
      <c r="AS25" s="35">
        <f t="shared" si="5"/>
        <v>21.6</v>
      </c>
      <c r="AT25" s="35">
        <f>AR25-AP25</f>
        <v>0.31866666666666665</v>
      </c>
      <c r="AU25" s="35">
        <f t="shared" si="6"/>
        <v>7.6479999999999997</v>
      </c>
      <c r="AV25" s="36">
        <f t="shared" si="7"/>
        <v>0.35407407407407404</v>
      </c>
      <c r="AW25" s="38"/>
    </row>
    <row r="26" spans="1:49" ht="45" customHeight="1" x14ac:dyDescent="0.25">
      <c r="A26" s="2">
        <v>20</v>
      </c>
      <c r="B26" s="100" t="s">
        <v>52</v>
      </c>
      <c r="C26" s="31">
        <v>1</v>
      </c>
      <c r="D26" s="3" t="s">
        <v>24</v>
      </c>
      <c r="E26" s="31">
        <f t="shared" si="0"/>
        <v>24</v>
      </c>
      <c r="F26" s="103">
        <v>12.65</v>
      </c>
      <c r="G26" s="31"/>
      <c r="I26" s="103"/>
      <c r="J26" s="103"/>
      <c r="K26" s="103"/>
      <c r="L26" s="103"/>
      <c r="M26" s="103">
        <v>12.8</v>
      </c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71">
        <v>12.8</v>
      </c>
      <c r="AK26" s="73">
        <f t="shared" si="1"/>
        <v>0.53333333333333333</v>
      </c>
      <c r="AL26" s="74">
        <f t="shared" si="2"/>
        <v>12.8</v>
      </c>
      <c r="AM26" s="32"/>
      <c r="AN26" s="33">
        <f t="shared" si="8"/>
        <v>0.53333333333333333</v>
      </c>
      <c r="AO26" s="33">
        <f t="shared" si="8"/>
        <v>12.8</v>
      </c>
      <c r="AP26" s="33">
        <f t="shared" si="3"/>
        <v>0.58133333333333337</v>
      </c>
      <c r="AQ26" s="33">
        <f t="shared" si="4"/>
        <v>13.952000000000002</v>
      </c>
      <c r="AR26" s="34">
        <v>0.9</v>
      </c>
      <c r="AS26" s="35">
        <f t="shared" si="5"/>
        <v>21.6</v>
      </c>
      <c r="AT26" s="35">
        <f t="shared" ref="AT26:AT52" si="10">AR26-AP26</f>
        <v>0.31866666666666665</v>
      </c>
      <c r="AU26" s="35">
        <f t="shared" si="6"/>
        <v>7.6479999999999997</v>
      </c>
      <c r="AV26" s="36">
        <f t="shared" si="7"/>
        <v>0.35407407407407404</v>
      </c>
      <c r="AW26" s="38"/>
    </row>
    <row r="27" spans="1:49" ht="45" customHeight="1" x14ac:dyDescent="0.25">
      <c r="A27" s="2">
        <v>21</v>
      </c>
      <c r="B27" s="100" t="s">
        <v>53</v>
      </c>
      <c r="C27" s="31">
        <v>1</v>
      </c>
      <c r="D27" s="3" t="s">
        <v>21</v>
      </c>
      <c r="E27" s="31">
        <f t="shared" si="0"/>
        <v>4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71">
        <v>24.2</v>
      </c>
      <c r="AK27" s="73">
        <f t="shared" si="1"/>
        <v>6.05</v>
      </c>
      <c r="AL27" s="74">
        <f t="shared" si="2"/>
        <v>24.2</v>
      </c>
      <c r="AM27" s="32"/>
      <c r="AN27" s="33">
        <f>AK27/$AU$2</f>
        <v>6.05</v>
      </c>
      <c r="AO27" s="33">
        <f t="shared" si="8"/>
        <v>24.2</v>
      </c>
      <c r="AP27" s="33">
        <f t="shared" si="3"/>
        <v>6.5945</v>
      </c>
      <c r="AQ27" s="33">
        <f t="shared" si="4"/>
        <v>26.378</v>
      </c>
      <c r="AR27" s="34">
        <v>8.5</v>
      </c>
      <c r="AS27" s="35">
        <f t="shared" si="5"/>
        <v>34</v>
      </c>
      <c r="AT27" s="35">
        <f t="shared" si="10"/>
        <v>1.9055</v>
      </c>
      <c r="AU27" s="35">
        <f t="shared" si="6"/>
        <v>7.6219999999999999</v>
      </c>
      <c r="AV27" s="36">
        <f t="shared" si="7"/>
        <v>0.22417647058823528</v>
      </c>
      <c r="AW27" s="39"/>
    </row>
    <row r="28" spans="1:49" ht="45" customHeight="1" x14ac:dyDescent="0.25">
      <c r="A28" s="2">
        <v>22</v>
      </c>
      <c r="B28" s="100" t="s">
        <v>55</v>
      </c>
      <c r="C28" s="31">
        <v>1</v>
      </c>
      <c r="D28" s="3" t="s">
        <v>54</v>
      </c>
      <c r="E28" s="31">
        <f t="shared" si="0"/>
        <v>12</v>
      </c>
      <c r="F28" s="31"/>
      <c r="G28" s="31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71">
        <v>8.4499999999999993</v>
      </c>
      <c r="AK28" s="73">
        <f t="shared" si="1"/>
        <v>0.70416666666666661</v>
      </c>
      <c r="AL28" s="74">
        <f t="shared" si="2"/>
        <v>8.4499999999999993</v>
      </c>
      <c r="AM28" s="32"/>
      <c r="AN28" s="33">
        <f>AK28/$AU$2</f>
        <v>0.70416666666666661</v>
      </c>
      <c r="AO28" s="33">
        <f t="shared" si="8"/>
        <v>8.4499999999999993</v>
      </c>
      <c r="AP28" s="33">
        <f t="shared" si="3"/>
        <v>0.76754166666666668</v>
      </c>
      <c r="AQ28" s="33">
        <f t="shared" si="4"/>
        <v>9.2104999999999997</v>
      </c>
      <c r="AR28" s="34">
        <v>1</v>
      </c>
      <c r="AS28" s="35">
        <f t="shared" si="5"/>
        <v>12</v>
      </c>
      <c r="AT28" s="35">
        <f t="shared" si="10"/>
        <v>0.23245833333333332</v>
      </c>
      <c r="AU28" s="35">
        <f t="shared" si="6"/>
        <v>2.7894999999999999</v>
      </c>
      <c r="AV28" s="36">
        <f t="shared" si="7"/>
        <v>0.23245833333333332</v>
      </c>
      <c r="AW28" s="37"/>
    </row>
    <row r="29" spans="1:49" ht="45" customHeight="1" x14ac:dyDescent="0.25">
      <c r="A29" s="2">
        <v>23</v>
      </c>
      <c r="B29" s="101" t="s">
        <v>56</v>
      </c>
      <c r="C29" s="31">
        <v>1</v>
      </c>
      <c r="D29" s="3" t="s">
        <v>54</v>
      </c>
      <c r="E29" s="31">
        <f t="shared" si="0"/>
        <v>12</v>
      </c>
      <c r="F29" s="31"/>
      <c r="G29" s="31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71">
        <v>8.4499999999999993</v>
      </c>
      <c r="AK29" s="73">
        <f t="shared" si="1"/>
        <v>0.70416666666666661</v>
      </c>
      <c r="AL29" s="74">
        <f t="shared" si="2"/>
        <v>8.4499999999999993</v>
      </c>
      <c r="AM29" s="32"/>
      <c r="AN29" s="33">
        <f t="shared" ref="AN29:AO44" si="11">AK29/$AU$2</f>
        <v>0.70416666666666661</v>
      </c>
      <c r="AO29" s="33">
        <f t="shared" si="11"/>
        <v>8.4499999999999993</v>
      </c>
      <c r="AP29" s="33">
        <f t="shared" si="3"/>
        <v>0.76754166666666668</v>
      </c>
      <c r="AQ29" s="33">
        <f t="shared" si="4"/>
        <v>9.2104999999999997</v>
      </c>
      <c r="AR29" s="34">
        <v>1</v>
      </c>
      <c r="AS29" s="35">
        <f t="shared" si="5"/>
        <v>12</v>
      </c>
      <c r="AT29" s="35">
        <f t="shared" si="10"/>
        <v>0.23245833333333332</v>
      </c>
      <c r="AU29" s="35">
        <f t="shared" si="6"/>
        <v>2.7894999999999999</v>
      </c>
      <c r="AV29" s="36">
        <f t="shared" si="7"/>
        <v>0.23245833333333332</v>
      </c>
      <c r="AW29" s="39"/>
    </row>
    <row r="30" spans="1:49" ht="45" customHeight="1" x14ac:dyDescent="0.25">
      <c r="A30" s="2">
        <v>24</v>
      </c>
      <c r="B30" s="102" t="s">
        <v>57</v>
      </c>
      <c r="C30" s="31">
        <v>1</v>
      </c>
      <c r="D30" s="3" t="s">
        <v>54</v>
      </c>
      <c r="E30" s="31">
        <f t="shared" si="0"/>
        <v>12</v>
      </c>
      <c r="F30" s="31"/>
      <c r="G30" s="31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71">
        <v>8.4499999999999993</v>
      </c>
      <c r="AK30" s="73">
        <f t="shared" si="1"/>
        <v>0.70416666666666661</v>
      </c>
      <c r="AL30" s="74">
        <f t="shared" si="2"/>
        <v>8.4499999999999993</v>
      </c>
      <c r="AM30" s="32"/>
      <c r="AN30" s="33">
        <f t="shared" si="11"/>
        <v>0.70416666666666661</v>
      </c>
      <c r="AO30" s="33">
        <f t="shared" si="11"/>
        <v>8.4499999999999993</v>
      </c>
      <c r="AP30" s="33">
        <f t="shared" si="3"/>
        <v>0.76754166666666668</v>
      </c>
      <c r="AQ30" s="33">
        <f t="shared" si="4"/>
        <v>9.2104999999999997</v>
      </c>
      <c r="AR30" s="34">
        <v>1</v>
      </c>
      <c r="AS30" s="35">
        <f t="shared" si="5"/>
        <v>12</v>
      </c>
      <c r="AT30" s="35">
        <f t="shared" si="10"/>
        <v>0.23245833333333332</v>
      </c>
      <c r="AU30" s="35">
        <f t="shared" si="6"/>
        <v>2.7894999999999999</v>
      </c>
      <c r="AV30" s="36">
        <f t="shared" si="7"/>
        <v>0.23245833333333332</v>
      </c>
      <c r="AW30" s="40"/>
    </row>
    <row r="31" spans="1:49" ht="45" customHeight="1" x14ac:dyDescent="0.25">
      <c r="A31" s="2">
        <v>25</v>
      </c>
      <c r="B31" s="101" t="s">
        <v>58</v>
      </c>
      <c r="C31" s="31">
        <v>1</v>
      </c>
      <c r="D31" s="3" t="s">
        <v>24</v>
      </c>
      <c r="E31" s="31">
        <f t="shared" si="0"/>
        <v>24</v>
      </c>
      <c r="F31" s="31"/>
      <c r="G31" s="31"/>
      <c r="H31" s="103">
        <v>12.45</v>
      </c>
      <c r="I31" s="31"/>
      <c r="J31" s="31"/>
      <c r="K31" s="31"/>
      <c r="L31" s="31"/>
      <c r="M31" s="103">
        <v>12.8</v>
      </c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71">
        <v>13.2</v>
      </c>
      <c r="AK31" s="73">
        <f t="shared" si="1"/>
        <v>0.54999999999999993</v>
      </c>
      <c r="AL31" s="74">
        <f t="shared" si="2"/>
        <v>13.2</v>
      </c>
      <c r="AM31" s="32"/>
      <c r="AN31" s="33">
        <f t="shared" si="11"/>
        <v>0.54999999999999993</v>
      </c>
      <c r="AO31" s="33">
        <f t="shared" si="11"/>
        <v>13.2</v>
      </c>
      <c r="AP31" s="33">
        <f t="shared" si="3"/>
        <v>0.59949999999999992</v>
      </c>
      <c r="AQ31" s="33">
        <f t="shared" si="4"/>
        <v>14.387999999999998</v>
      </c>
      <c r="AR31" s="34">
        <v>1</v>
      </c>
      <c r="AS31" s="35">
        <f t="shared" si="5"/>
        <v>24</v>
      </c>
      <c r="AT31" s="35">
        <f t="shared" si="10"/>
        <v>0.40050000000000008</v>
      </c>
      <c r="AU31" s="35">
        <f t="shared" si="6"/>
        <v>9.6120000000000019</v>
      </c>
      <c r="AV31" s="36">
        <f t="shared" si="7"/>
        <v>0.40050000000000008</v>
      </c>
      <c r="AW31" s="39"/>
    </row>
    <row r="32" spans="1:49" ht="45" customHeight="1" x14ac:dyDescent="0.25">
      <c r="A32" s="2">
        <v>26</v>
      </c>
      <c r="B32" s="102" t="s">
        <v>59</v>
      </c>
      <c r="C32" s="31">
        <v>1</v>
      </c>
      <c r="D32" s="3" t="s">
        <v>24</v>
      </c>
      <c r="E32" s="31">
        <f t="shared" si="0"/>
        <v>24</v>
      </c>
      <c r="F32" s="103">
        <v>8.1</v>
      </c>
      <c r="G32" s="31"/>
      <c r="H32" s="103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103">
        <v>8.3000000000000007</v>
      </c>
      <c r="AC32" s="103"/>
      <c r="AD32" s="103"/>
      <c r="AE32" s="103"/>
      <c r="AF32" s="103"/>
      <c r="AG32" s="103"/>
      <c r="AH32" s="103"/>
      <c r="AI32" s="103"/>
      <c r="AJ32" s="71">
        <v>8.5</v>
      </c>
      <c r="AK32" s="73">
        <f t="shared" si="1"/>
        <v>0.35416666666666669</v>
      </c>
      <c r="AL32" s="74">
        <f t="shared" si="2"/>
        <v>8.5</v>
      </c>
      <c r="AM32" s="32"/>
      <c r="AN32" s="33">
        <f t="shared" si="11"/>
        <v>0.35416666666666669</v>
      </c>
      <c r="AO32" s="33">
        <f t="shared" si="11"/>
        <v>8.5</v>
      </c>
      <c r="AP32" s="33">
        <f t="shared" si="3"/>
        <v>0.38604166666666673</v>
      </c>
      <c r="AQ32" s="33">
        <f t="shared" si="4"/>
        <v>9.2650000000000006</v>
      </c>
      <c r="AR32" s="34">
        <v>0.55000000000000004</v>
      </c>
      <c r="AS32" s="35">
        <f t="shared" si="5"/>
        <v>13.200000000000001</v>
      </c>
      <c r="AT32" s="35">
        <f t="shared" si="10"/>
        <v>0.16395833333333332</v>
      </c>
      <c r="AU32" s="35">
        <f t="shared" si="6"/>
        <v>3.9349999999999996</v>
      </c>
      <c r="AV32" s="36">
        <f t="shared" si="7"/>
        <v>0.29810606060606054</v>
      </c>
      <c r="AW32" s="40"/>
    </row>
    <row r="33" spans="1:49" ht="45" customHeight="1" x14ac:dyDescent="0.25">
      <c r="A33" s="2">
        <v>27</v>
      </c>
      <c r="B33" s="100" t="s">
        <v>88</v>
      </c>
      <c r="C33" s="31">
        <v>1</v>
      </c>
      <c r="D33" s="3" t="s">
        <v>54</v>
      </c>
      <c r="E33" s="31">
        <f t="shared" si="0"/>
        <v>12</v>
      </c>
      <c r="F33" s="31"/>
      <c r="G33" s="31"/>
      <c r="H33" s="103"/>
      <c r="I33" s="31"/>
      <c r="J33" s="31"/>
      <c r="K33" s="31"/>
      <c r="L33" s="31"/>
      <c r="M33" s="31"/>
      <c r="N33" s="31"/>
      <c r="O33" s="31"/>
      <c r="P33" s="31"/>
      <c r="Q33" s="103">
        <v>7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71">
        <v>7</v>
      </c>
      <c r="AK33" s="73">
        <f t="shared" si="1"/>
        <v>0.58333333333333337</v>
      </c>
      <c r="AL33" s="74">
        <f t="shared" si="2"/>
        <v>7</v>
      </c>
      <c r="AM33" s="32"/>
      <c r="AN33" s="33">
        <f t="shared" si="11"/>
        <v>0.58333333333333337</v>
      </c>
      <c r="AO33" s="33">
        <f t="shared" si="11"/>
        <v>7</v>
      </c>
      <c r="AP33" s="33">
        <f t="shared" si="3"/>
        <v>0.63583333333333347</v>
      </c>
      <c r="AQ33" s="33">
        <f t="shared" si="4"/>
        <v>7.6300000000000017</v>
      </c>
      <c r="AR33" s="34"/>
      <c r="AS33" s="35">
        <f t="shared" si="5"/>
        <v>0</v>
      </c>
      <c r="AT33" s="35">
        <f t="shared" si="10"/>
        <v>-0.63583333333333347</v>
      </c>
      <c r="AU33" s="35">
        <f t="shared" si="6"/>
        <v>-7.6300000000000017</v>
      </c>
      <c r="AV33" s="36" t="e">
        <f t="shared" si="7"/>
        <v>#DIV/0!</v>
      </c>
      <c r="AW33" s="37"/>
    </row>
    <row r="34" spans="1:49" ht="45" customHeight="1" x14ac:dyDescent="0.25">
      <c r="A34" s="2">
        <v>27</v>
      </c>
      <c r="B34" s="100" t="s">
        <v>87</v>
      </c>
      <c r="C34" s="31">
        <v>1</v>
      </c>
      <c r="D34" s="3" t="s">
        <v>24</v>
      </c>
      <c r="E34" s="31">
        <f t="shared" si="0"/>
        <v>24</v>
      </c>
      <c r="F34" s="31"/>
      <c r="G34" s="31"/>
      <c r="H34" s="103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103">
        <v>13.5</v>
      </c>
      <c r="AC34" s="103"/>
      <c r="AD34" s="103"/>
      <c r="AE34" s="103"/>
      <c r="AF34" s="103"/>
      <c r="AG34" s="103"/>
      <c r="AH34" s="103"/>
      <c r="AI34" s="103"/>
      <c r="AJ34" s="71">
        <v>13.5</v>
      </c>
      <c r="AK34" s="73">
        <f t="shared" si="1"/>
        <v>0.5625</v>
      </c>
      <c r="AL34" s="74">
        <f t="shared" si="2"/>
        <v>13.5</v>
      </c>
      <c r="AM34" s="32"/>
      <c r="AN34" s="33">
        <f t="shared" si="11"/>
        <v>0.5625</v>
      </c>
      <c r="AO34" s="33">
        <f t="shared" si="11"/>
        <v>13.5</v>
      </c>
      <c r="AP34" s="33">
        <f t="shared" si="3"/>
        <v>0.61312500000000003</v>
      </c>
      <c r="AQ34" s="33">
        <f t="shared" si="4"/>
        <v>14.715</v>
      </c>
      <c r="AR34" s="34"/>
      <c r="AS34" s="35">
        <f t="shared" si="5"/>
        <v>0</v>
      </c>
      <c r="AT34" s="35">
        <f t="shared" si="10"/>
        <v>-0.61312500000000003</v>
      </c>
      <c r="AU34" s="35">
        <f t="shared" si="6"/>
        <v>-14.715</v>
      </c>
      <c r="AV34" s="36" t="e">
        <f t="shared" si="7"/>
        <v>#DIV/0!</v>
      </c>
      <c r="AW34" s="37"/>
    </row>
    <row r="35" spans="1:49" ht="45" customHeight="1" x14ac:dyDescent="0.25">
      <c r="A35" s="2">
        <v>27</v>
      </c>
      <c r="B35" s="100" t="s">
        <v>60</v>
      </c>
      <c r="C35" s="31">
        <v>1</v>
      </c>
      <c r="D35" s="3" t="s">
        <v>24</v>
      </c>
      <c r="E35" s="31">
        <f t="shared" si="0"/>
        <v>24</v>
      </c>
      <c r="F35" s="31"/>
      <c r="G35" s="31"/>
      <c r="H35" s="103"/>
      <c r="I35" s="31"/>
      <c r="J35" s="31"/>
      <c r="K35" s="103">
        <v>8.9</v>
      </c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>
        <v>9.1999999999999993</v>
      </c>
      <c r="X35" s="103"/>
      <c r="Y35" s="103"/>
      <c r="Z35" s="103"/>
      <c r="AA35" s="103"/>
      <c r="AB35" s="103"/>
      <c r="AC35" s="103"/>
      <c r="AD35" s="103">
        <v>9.1999999999999993</v>
      </c>
      <c r="AE35" s="103"/>
      <c r="AF35" s="103"/>
      <c r="AG35" s="103"/>
      <c r="AH35" s="103"/>
      <c r="AI35" s="103"/>
      <c r="AJ35" s="71">
        <v>9.3000000000000007</v>
      </c>
      <c r="AK35" s="73">
        <f t="shared" si="1"/>
        <v>0.38750000000000001</v>
      </c>
      <c r="AL35" s="74">
        <f t="shared" si="2"/>
        <v>9.3000000000000007</v>
      </c>
      <c r="AM35" s="32"/>
      <c r="AN35" s="33">
        <f t="shared" si="11"/>
        <v>0.38750000000000001</v>
      </c>
      <c r="AO35" s="33">
        <f t="shared" si="11"/>
        <v>9.3000000000000007</v>
      </c>
      <c r="AP35" s="33">
        <f t="shared" si="3"/>
        <v>0.42237500000000006</v>
      </c>
      <c r="AQ35" s="33">
        <f t="shared" si="4"/>
        <v>10.137</v>
      </c>
      <c r="AR35" s="34">
        <v>0.65</v>
      </c>
      <c r="AS35" s="35">
        <f t="shared" si="5"/>
        <v>15.600000000000001</v>
      </c>
      <c r="AT35" s="35">
        <f t="shared" si="10"/>
        <v>0.22762499999999997</v>
      </c>
      <c r="AU35" s="35">
        <f t="shared" si="6"/>
        <v>5.4629999999999992</v>
      </c>
      <c r="AV35" s="36">
        <f t="shared" si="7"/>
        <v>0.35019230769230764</v>
      </c>
      <c r="AW35" s="37"/>
    </row>
    <row r="36" spans="1:49" ht="45" customHeight="1" x14ac:dyDescent="0.25">
      <c r="A36" s="2">
        <v>28</v>
      </c>
      <c r="B36" s="100" t="s">
        <v>61</v>
      </c>
      <c r="C36" s="31">
        <v>1</v>
      </c>
      <c r="D36" s="3" t="s">
        <v>54</v>
      </c>
      <c r="E36" s="31">
        <f t="shared" si="0"/>
        <v>12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71">
        <v>14.8</v>
      </c>
      <c r="AK36" s="73">
        <f t="shared" si="1"/>
        <v>1.2333333333333334</v>
      </c>
      <c r="AL36" s="74">
        <f t="shared" si="2"/>
        <v>14.8</v>
      </c>
      <c r="AM36" s="32"/>
      <c r="AN36" s="33">
        <f t="shared" si="11"/>
        <v>1.2333333333333334</v>
      </c>
      <c r="AO36" s="33">
        <f t="shared" si="11"/>
        <v>14.8</v>
      </c>
      <c r="AP36" s="33">
        <f t="shared" si="3"/>
        <v>1.3443333333333336</v>
      </c>
      <c r="AQ36" s="33">
        <f t="shared" si="4"/>
        <v>16.132000000000005</v>
      </c>
      <c r="AR36" s="34">
        <v>1.95</v>
      </c>
      <c r="AS36" s="35">
        <f t="shared" si="5"/>
        <v>23.4</v>
      </c>
      <c r="AT36" s="35">
        <f t="shared" si="10"/>
        <v>0.60566666666666635</v>
      </c>
      <c r="AU36" s="35">
        <f t="shared" si="6"/>
        <v>7.2679999999999962</v>
      </c>
      <c r="AV36" s="36">
        <f t="shared" si="7"/>
        <v>0.31059829059829047</v>
      </c>
      <c r="AW36" s="38"/>
    </row>
    <row r="37" spans="1:49" ht="45" customHeight="1" x14ac:dyDescent="0.25">
      <c r="A37" s="2">
        <v>29</v>
      </c>
      <c r="B37" s="100" t="s">
        <v>62</v>
      </c>
      <c r="C37" s="31">
        <v>1</v>
      </c>
      <c r="D37" s="3" t="s">
        <v>54</v>
      </c>
      <c r="E37" s="31">
        <f t="shared" si="0"/>
        <v>12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71">
        <v>14.8</v>
      </c>
      <c r="AK37" s="73">
        <f t="shared" si="1"/>
        <v>1.2333333333333334</v>
      </c>
      <c r="AL37" s="74">
        <f t="shared" si="2"/>
        <v>14.8</v>
      </c>
      <c r="AM37" s="32"/>
      <c r="AN37" s="33">
        <f t="shared" si="11"/>
        <v>1.2333333333333334</v>
      </c>
      <c r="AO37" s="33">
        <f t="shared" si="11"/>
        <v>14.8</v>
      </c>
      <c r="AP37" s="33">
        <f t="shared" si="3"/>
        <v>1.3443333333333336</v>
      </c>
      <c r="AQ37" s="33">
        <f t="shared" si="4"/>
        <v>16.132000000000005</v>
      </c>
      <c r="AR37" s="34">
        <v>1.95</v>
      </c>
      <c r="AS37" s="35">
        <f t="shared" si="5"/>
        <v>23.4</v>
      </c>
      <c r="AT37" s="35">
        <f t="shared" si="10"/>
        <v>0.60566666666666635</v>
      </c>
      <c r="AU37" s="35">
        <f t="shared" si="6"/>
        <v>7.2679999999999962</v>
      </c>
      <c r="AV37" s="36">
        <f t="shared" si="7"/>
        <v>0.31059829059829047</v>
      </c>
      <c r="AW37" s="39"/>
    </row>
    <row r="38" spans="1:49" ht="45" customHeight="1" x14ac:dyDescent="0.25">
      <c r="A38" s="2">
        <v>30</v>
      </c>
      <c r="B38" s="101" t="s">
        <v>63</v>
      </c>
      <c r="C38" s="31">
        <v>1</v>
      </c>
      <c r="D38" s="3" t="s">
        <v>21</v>
      </c>
      <c r="E38" s="31">
        <f t="shared" si="0"/>
        <v>4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71">
        <v>24.2</v>
      </c>
      <c r="AK38" s="73">
        <f t="shared" si="1"/>
        <v>6.05</v>
      </c>
      <c r="AL38" s="74">
        <f t="shared" si="2"/>
        <v>24.2</v>
      </c>
      <c r="AM38" s="32"/>
      <c r="AN38" s="33">
        <f t="shared" si="11"/>
        <v>6.05</v>
      </c>
      <c r="AO38" s="33">
        <f t="shared" si="11"/>
        <v>24.2</v>
      </c>
      <c r="AP38" s="33">
        <f t="shared" si="3"/>
        <v>6.5945</v>
      </c>
      <c r="AQ38" s="33">
        <f t="shared" si="4"/>
        <v>26.378</v>
      </c>
      <c r="AR38" s="34">
        <v>8.5</v>
      </c>
      <c r="AS38" s="35">
        <f t="shared" si="5"/>
        <v>34</v>
      </c>
      <c r="AT38" s="35">
        <f t="shared" si="10"/>
        <v>1.9055</v>
      </c>
      <c r="AU38" s="35">
        <f t="shared" si="6"/>
        <v>7.6219999999999999</v>
      </c>
      <c r="AV38" s="36">
        <f t="shared" si="7"/>
        <v>0.22417647058823528</v>
      </c>
      <c r="AW38" s="39"/>
    </row>
    <row r="39" spans="1:49" ht="45" customHeight="1" x14ac:dyDescent="0.25">
      <c r="A39" s="2">
        <v>31</v>
      </c>
      <c r="B39" s="101" t="s">
        <v>64</v>
      </c>
      <c r="C39" s="31">
        <v>1</v>
      </c>
      <c r="D39" s="3" t="s">
        <v>21</v>
      </c>
      <c r="E39" s="31">
        <f t="shared" si="0"/>
        <v>4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71">
        <v>24.8</v>
      </c>
      <c r="AK39" s="73">
        <f t="shared" si="1"/>
        <v>6.2</v>
      </c>
      <c r="AL39" s="74">
        <f t="shared" si="2"/>
        <v>24.8</v>
      </c>
      <c r="AM39" s="32"/>
      <c r="AN39" s="33">
        <f t="shared" si="11"/>
        <v>6.2</v>
      </c>
      <c r="AO39" s="33">
        <f t="shared" si="11"/>
        <v>24.8</v>
      </c>
      <c r="AP39" s="33">
        <f t="shared" si="3"/>
        <v>6.7580000000000009</v>
      </c>
      <c r="AQ39" s="33">
        <f t="shared" si="4"/>
        <v>27.032000000000004</v>
      </c>
      <c r="AR39" s="34">
        <v>8.5</v>
      </c>
      <c r="AS39" s="35">
        <f t="shared" si="5"/>
        <v>34</v>
      </c>
      <c r="AT39" s="35">
        <f t="shared" si="10"/>
        <v>1.7419999999999991</v>
      </c>
      <c r="AU39" s="35">
        <f t="shared" si="6"/>
        <v>6.9679999999999964</v>
      </c>
      <c r="AV39" s="36">
        <f t="shared" si="7"/>
        <v>0.20494117647058813</v>
      </c>
      <c r="AW39" s="39"/>
    </row>
    <row r="40" spans="1:49" ht="45" customHeight="1" x14ac:dyDescent="0.25">
      <c r="A40" s="2">
        <v>32</v>
      </c>
      <c r="B40" s="100" t="s">
        <v>65</v>
      </c>
      <c r="C40" s="31">
        <v>1</v>
      </c>
      <c r="D40" s="3" t="s">
        <v>24</v>
      </c>
      <c r="E40" s="31">
        <f t="shared" si="0"/>
        <v>24</v>
      </c>
      <c r="F40" s="31"/>
      <c r="G40" s="103">
        <v>12.4</v>
      </c>
      <c r="H40" s="103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71">
        <v>12.3</v>
      </c>
      <c r="AK40" s="73">
        <f t="shared" si="1"/>
        <v>0.51250000000000007</v>
      </c>
      <c r="AL40" s="74">
        <f t="shared" si="2"/>
        <v>12.3</v>
      </c>
      <c r="AM40" s="32"/>
      <c r="AN40" s="33">
        <f t="shared" si="11"/>
        <v>0.51250000000000007</v>
      </c>
      <c r="AO40" s="33">
        <f t="shared" si="11"/>
        <v>12.3</v>
      </c>
      <c r="AP40" s="33">
        <f t="shared" si="3"/>
        <v>0.55862500000000015</v>
      </c>
      <c r="AQ40" s="33">
        <f t="shared" si="4"/>
        <v>13.407000000000004</v>
      </c>
      <c r="AR40" s="34">
        <v>0.9</v>
      </c>
      <c r="AS40" s="35">
        <f t="shared" si="5"/>
        <v>21.6</v>
      </c>
      <c r="AT40" s="35">
        <f t="shared" si="10"/>
        <v>0.34137499999999987</v>
      </c>
      <c r="AU40" s="35">
        <f t="shared" si="6"/>
        <v>8.1929999999999978</v>
      </c>
      <c r="AV40" s="36">
        <f t="shared" si="7"/>
        <v>0.3793055555555554</v>
      </c>
      <c r="AW40" s="37"/>
    </row>
    <row r="41" spans="1:49" ht="45" customHeight="1" x14ac:dyDescent="0.25">
      <c r="A41" s="2">
        <v>33</v>
      </c>
      <c r="B41" s="100" t="s">
        <v>66</v>
      </c>
      <c r="C41" s="31">
        <v>1</v>
      </c>
      <c r="D41" s="3" t="s">
        <v>54</v>
      </c>
      <c r="E41" s="31">
        <f t="shared" si="0"/>
        <v>12</v>
      </c>
      <c r="F41" s="31"/>
      <c r="G41" s="31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71">
        <v>8.4499999999999993</v>
      </c>
      <c r="AK41" s="73">
        <f t="shared" si="1"/>
        <v>0.70416666666666661</v>
      </c>
      <c r="AL41" s="74">
        <f t="shared" si="2"/>
        <v>8.4499999999999993</v>
      </c>
      <c r="AM41" s="32"/>
      <c r="AN41" s="33">
        <f t="shared" si="11"/>
        <v>0.70416666666666661</v>
      </c>
      <c r="AO41" s="33">
        <f t="shared" si="11"/>
        <v>8.4499999999999993</v>
      </c>
      <c r="AP41" s="33">
        <f t="shared" si="3"/>
        <v>0.76754166666666668</v>
      </c>
      <c r="AQ41" s="33">
        <f t="shared" si="4"/>
        <v>9.2104999999999997</v>
      </c>
      <c r="AR41" s="34">
        <v>1</v>
      </c>
      <c r="AS41" s="35">
        <f t="shared" si="5"/>
        <v>12</v>
      </c>
      <c r="AT41" s="35">
        <f t="shared" si="10"/>
        <v>0.23245833333333332</v>
      </c>
      <c r="AU41" s="35">
        <f t="shared" si="6"/>
        <v>2.7894999999999999</v>
      </c>
      <c r="AV41" s="36">
        <f t="shared" si="7"/>
        <v>0.23245833333333332</v>
      </c>
      <c r="AW41" s="39"/>
    </row>
    <row r="42" spans="1:49" ht="45" customHeight="1" x14ac:dyDescent="0.25">
      <c r="A42" s="2">
        <v>34</v>
      </c>
      <c r="B42" s="101" t="s">
        <v>67</v>
      </c>
      <c r="C42" s="31">
        <v>1</v>
      </c>
      <c r="D42" s="3" t="s">
        <v>54</v>
      </c>
      <c r="E42" s="31">
        <f t="shared" si="0"/>
        <v>12</v>
      </c>
      <c r="F42" s="31"/>
      <c r="G42" s="31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71">
        <v>8.4499999999999993</v>
      </c>
      <c r="AK42" s="73">
        <f t="shared" si="1"/>
        <v>0.70416666666666661</v>
      </c>
      <c r="AL42" s="74">
        <f t="shared" si="2"/>
        <v>8.4499999999999993</v>
      </c>
      <c r="AM42" s="32"/>
      <c r="AN42" s="33">
        <f t="shared" si="11"/>
        <v>0.70416666666666661</v>
      </c>
      <c r="AO42" s="33">
        <f t="shared" si="11"/>
        <v>8.4499999999999993</v>
      </c>
      <c r="AP42" s="33">
        <f t="shared" si="3"/>
        <v>0.76754166666666668</v>
      </c>
      <c r="AQ42" s="33">
        <f t="shared" si="4"/>
        <v>9.2104999999999997</v>
      </c>
      <c r="AR42" s="34">
        <v>1</v>
      </c>
      <c r="AS42" s="35">
        <f t="shared" si="5"/>
        <v>12</v>
      </c>
      <c r="AT42" s="35">
        <f t="shared" si="10"/>
        <v>0.23245833333333332</v>
      </c>
      <c r="AU42" s="35">
        <f t="shared" si="6"/>
        <v>2.7894999999999999</v>
      </c>
      <c r="AV42" s="36">
        <f t="shared" si="7"/>
        <v>0.23245833333333332</v>
      </c>
      <c r="AW42" s="39"/>
    </row>
    <row r="43" spans="1:49" ht="45" customHeight="1" x14ac:dyDescent="0.25">
      <c r="A43" s="2">
        <v>35</v>
      </c>
      <c r="B43" s="100" t="s">
        <v>68</v>
      </c>
      <c r="C43" s="31">
        <v>1</v>
      </c>
      <c r="D43" s="3" t="s">
        <v>24</v>
      </c>
      <c r="E43" s="31">
        <f t="shared" si="0"/>
        <v>24</v>
      </c>
      <c r="F43" s="103">
        <v>12.65</v>
      </c>
      <c r="G43" s="31"/>
      <c r="H43" s="104"/>
      <c r="I43" s="103"/>
      <c r="J43" s="103"/>
      <c r="K43" s="103"/>
      <c r="L43" s="103"/>
      <c r="M43" s="103">
        <v>12.8</v>
      </c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71">
        <v>12.8</v>
      </c>
      <c r="AK43" s="73">
        <f t="shared" si="1"/>
        <v>0.53333333333333333</v>
      </c>
      <c r="AL43" s="74">
        <f t="shared" si="2"/>
        <v>12.8</v>
      </c>
      <c r="AM43" s="32"/>
      <c r="AN43" s="33">
        <f t="shared" si="11"/>
        <v>0.53333333333333333</v>
      </c>
      <c r="AO43" s="33">
        <f t="shared" si="11"/>
        <v>12.8</v>
      </c>
      <c r="AP43" s="33">
        <f t="shared" si="3"/>
        <v>0.58133333333333337</v>
      </c>
      <c r="AQ43" s="33">
        <f t="shared" si="4"/>
        <v>13.952000000000002</v>
      </c>
      <c r="AR43" s="34">
        <v>0.9</v>
      </c>
      <c r="AS43" s="35">
        <f t="shared" si="5"/>
        <v>21.6</v>
      </c>
      <c r="AT43" s="35">
        <f t="shared" si="10"/>
        <v>0.31866666666666665</v>
      </c>
      <c r="AU43" s="35">
        <f t="shared" si="6"/>
        <v>7.6479999999999997</v>
      </c>
      <c r="AV43" s="36">
        <f t="shared" si="7"/>
        <v>0.35407407407407404</v>
      </c>
      <c r="AW43" s="37"/>
    </row>
    <row r="44" spans="1:49" ht="45" customHeight="1" x14ac:dyDescent="0.25">
      <c r="A44" s="2">
        <v>36</v>
      </c>
      <c r="B44" s="101" t="s">
        <v>69</v>
      </c>
      <c r="C44" s="31">
        <v>1</v>
      </c>
      <c r="D44" s="3" t="s">
        <v>24</v>
      </c>
      <c r="E44" s="31">
        <f t="shared" si="0"/>
        <v>24</v>
      </c>
      <c r="F44" s="103">
        <v>12.65</v>
      </c>
      <c r="G44" s="31"/>
      <c r="H44" s="104"/>
      <c r="I44" s="103"/>
      <c r="J44" s="103"/>
      <c r="K44" s="103"/>
      <c r="L44" s="103"/>
      <c r="M44" s="103">
        <v>12.8</v>
      </c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71">
        <v>12.8</v>
      </c>
      <c r="AK44" s="73">
        <f t="shared" si="1"/>
        <v>0.53333333333333333</v>
      </c>
      <c r="AL44" s="74">
        <f t="shared" si="2"/>
        <v>12.8</v>
      </c>
      <c r="AM44" s="32"/>
      <c r="AN44" s="33">
        <f t="shared" si="11"/>
        <v>0.53333333333333333</v>
      </c>
      <c r="AO44" s="33">
        <f t="shared" si="11"/>
        <v>12.8</v>
      </c>
      <c r="AP44" s="33">
        <f t="shared" si="3"/>
        <v>0.58133333333333337</v>
      </c>
      <c r="AQ44" s="33">
        <f t="shared" si="4"/>
        <v>13.952000000000002</v>
      </c>
      <c r="AR44" s="34">
        <v>0.9</v>
      </c>
      <c r="AS44" s="35">
        <f t="shared" si="5"/>
        <v>21.6</v>
      </c>
      <c r="AT44" s="35">
        <f t="shared" si="10"/>
        <v>0.31866666666666665</v>
      </c>
      <c r="AU44" s="35">
        <f t="shared" si="6"/>
        <v>7.6479999999999997</v>
      </c>
      <c r="AV44" s="36">
        <f t="shared" si="7"/>
        <v>0.35407407407407404</v>
      </c>
      <c r="AW44" s="39"/>
    </row>
    <row r="45" spans="1:49" ht="45" customHeight="1" x14ac:dyDescent="0.25">
      <c r="A45" s="2">
        <v>37</v>
      </c>
      <c r="B45" s="102" t="s">
        <v>85</v>
      </c>
      <c r="C45" s="31">
        <v>1</v>
      </c>
      <c r="D45" s="3" t="s">
        <v>24</v>
      </c>
      <c r="E45" s="31">
        <f t="shared" si="0"/>
        <v>24</v>
      </c>
      <c r="F45" s="103">
        <v>12.65</v>
      </c>
      <c r="G45" s="31"/>
      <c r="H45" s="104"/>
      <c r="I45" s="103"/>
      <c r="J45" s="103"/>
      <c r="K45" s="103"/>
      <c r="L45" s="103"/>
      <c r="M45" s="103">
        <v>12.8</v>
      </c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71">
        <v>12.8</v>
      </c>
      <c r="AK45" s="73">
        <f t="shared" si="1"/>
        <v>0.53333333333333333</v>
      </c>
      <c r="AL45" s="74">
        <f t="shared" si="2"/>
        <v>12.8</v>
      </c>
      <c r="AM45" s="32"/>
      <c r="AN45" s="33">
        <f t="shared" ref="AN45:AO52" si="12">AK45/$AU$2</f>
        <v>0.53333333333333333</v>
      </c>
      <c r="AO45" s="33">
        <f t="shared" si="12"/>
        <v>12.8</v>
      </c>
      <c r="AP45" s="33">
        <f t="shared" si="3"/>
        <v>0.58133333333333337</v>
      </c>
      <c r="AQ45" s="33">
        <f t="shared" si="4"/>
        <v>13.952000000000002</v>
      </c>
      <c r="AR45" s="34">
        <v>0.9</v>
      </c>
      <c r="AS45" s="35">
        <f t="shared" si="5"/>
        <v>21.6</v>
      </c>
      <c r="AT45" s="35">
        <f t="shared" si="10"/>
        <v>0.31866666666666665</v>
      </c>
      <c r="AU45" s="35">
        <f t="shared" si="6"/>
        <v>7.6479999999999997</v>
      </c>
      <c r="AV45" s="36">
        <f t="shared" si="7"/>
        <v>0.35407407407407404</v>
      </c>
      <c r="AW45" s="40"/>
    </row>
    <row r="46" spans="1:49" ht="45" customHeight="1" x14ac:dyDescent="0.25">
      <c r="A46" s="2">
        <v>38</v>
      </c>
      <c r="B46" s="101" t="s">
        <v>70</v>
      </c>
      <c r="C46" s="31">
        <v>1</v>
      </c>
      <c r="D46" s="3" t="s">
        <v>24</v>
      </c>
      <c r="E46" s="31">
        <f t="shared" si="0"/>
        <v>24</v>
      </c>
      <c r="F46" s="103">
        <v>12.65</v>
      </c>
      <c r="G46" s="31"/>
      <c r="H46" s="104"/>
      <c r="I46" s="103"/>
      <c r="J46" s="103"/>
      <c r="K46" s="103"/>
      <c r="L46" s="103"/>
      <c r="M46" s="103">
        <v>12.8</v>
      </c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71">
        <v>12.8</v>
      </c>
      <c r="AK46" s="73">
        <f t="shared" si="1"/>
        <v>0.53333333333333333</v>
      </c>
      <c r="AL46" s="74">
        <f t="shared" si="2"/>
        <v>12.8</v>
      </c>
      <c r="AM46" s="32"/>
      <c r="AN46" s="33">
        <f t="shared" si="12"/>
        <v>0.53333333333333333</v>
      </c>
      <c r="AO46" s="33">
        <f t="shared" si="12"/>
        <v>12.8</v>
      </c>
      <c r="AP46" s="33">
        <f t="shared" si="3"/>
        <v>0.58133333333333337</v>
      </c>
      <c r="AQ46" s="33">
        <f t="shared" si="4"/>
        <v>13.952000000000002</v>
      </c>
      <c r="AR46" s="34">
        <v>0.9</v>
      </c>
      <c r="AS46" s="35">
        <f t="shared" si="5"/>
        <v>21.6</v>
      </c>
      <c r="AT46" s="35">
        <f t="shared" si="10"/>
        <v>0.31866666666666665</v>
      </c>
      <c r="AU46" s="35">
        <f t="shared" si="6"/>
        <v>7.6479999999999997</v>
      </c>
      <c r="AV46" s="36">
        <f t="shared" si="7"/>
        <v>0.35407407407407404</v>
      </c>
      <c r="AW46" s="39"/>
    </row>
    <row r="47" spans="1:49" ht="45" customHeight="1" x14ac:dyDescent="0.25">
      <c r="A47" s="2">
        <v>39</v>
      </c>
      <c r="B47" s="100" t="s">
        <v>83</v>
      </c>
      <c r="C47" s="31">
        <v>1</v>
      </c>
      <c r="D47" s="3" t="s">
        <v>54</v>
      </c>
      <c r="E47" s="31">
        <f t="shared" si="0"/>
        <v>12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103">
        <v>12.45</v>
      </c>
      <c r="T47" s="103"/>
      <c r="U47" s="31"/>
      <c r="V47" s="31"/>
      <c r="W47" s="31"/>
      <c r="X47" s="31"/>
      <c r="Y47" s="31"/>
      <c r="Z47" s="31"/>
      <c r="AA47" s="103">
        <v>12.6</v>
      </c>
      <c r="AB47" s="103"/>
      <c r="AC47" s="103"/>
      <c r="AD47" s="103"/>
      <c r="AE47" s="103"/>
      <c r="AF47" s="103"/>
      <c r="AG47" s="103"/>
      <c r="AH47" s="103"/>
      <c r="AI47" s="103"/>
      <c r="AJ47" s="71">
        <v>12.9</v>
      </c>
      <c r="AK47" s="73">
        <f t="shared" si="1"/>
        <v>1.075</v>
      </c>
      <c r="AL47" s="74">
        <f t="shared" si="2"/>
        <v>12.899999999999999</v>
      </c>
      <c r="AM47" s="32"/>
      <c r="AN47" s="33">
        <f t="shared" si="12"/>
        <v>1.075</v>
      </c>
      <c r="AO47" s="33">
        <f t="shared" si="12"/>
        <v>12.899999999999999</v>
      </c>
      <c r="AP47" s="33">
        <f t="shared" si="3"/>
        <v>1.1717500000000001</v>
      </c>
      <c r="AQ47" s="33">
        <f t="shared" si="4"/>
        <v>14.061</v>
      </c>
      <c r="AR47" s="34"/>
      <c r="AS47" s="35">
        <f t="shared" si="5"/>
        <v>0</v>
      </c>
      <c r="AT47" s="35">
        <f t="shared" si="10"/>
        <v>-1.1717500000000001</v>
      </c>
      <c r="AU47" s="35">
        <f t="shared" si="6"/>
        <v>-14.061</v>
      </c>
      <c r="AV47" s="36" t="e">
        <f t="shared" si="7"/>
        <v>#DIV/0!</v>
      </c>
      <c r="AW47" s="37"/>
    </row>
    <row r="48" spans="1:49" ht="45" customHeight="1" x14ac:dyDescent="0.25">
      <c r="A48" s="2">
        <v>40</v>
      </c>
      <c r="B48" s="100" t="s">
        <v>78</v>
      </c>
      <c r="C48" s="31">
        <v>1</v>
      </c>
      <c r="D48" s="3" t="s">
        <v>80</v>
      </c>
      <c r="E48" s="31">
        <f t="shared" si="0"/>
        <v>72</v>
      </c>
      <c r="F48" s="31"/>
      <c r="G48" s="31"/>
      <c r="H48" s="31"/>
      <c r="I48" s="103">
        <v>133.19999999999999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103">
        <v>136.80000000000001</v>
      </c>
      <c r="AE48" s="103"/>
      <c r="AF48" s="103"/>
      <c r="AG48" s="103"/>
      <c r="AH48" s="103"/>
      <c r="AI48" s="103"/>
      <c r="AJ48" s="71">
        <v>133.19999999999999</v>
      </c>
      <c r="AK48" s="73">
        <f t="shared" si="1"/>
        <v>1.8499999999999999</v>
      </c>
      <c r="AL48" s="74">
        <f t="shared" si="2"/>
        <v>133.19999999999999</v>
      </c>
      <c r="AM48" s="32"/>
      <c r="AN48" s="33">
        <f t="shared" si="12"/>
        <v>1.8499999999999999</v>
      </c>
      <c r="AO48" s="33">
        <f t="shared" si="12"/>
        <v>133.19999999999999</v>
      </c>
      <c r="AP48" s="33">
        <f t="shared" si="3"/>
        <v>2.0165000000000002</v>
      </c>
      <c r="AQ48" s="33">
        <f t="shared" si="4"/>
        <v>145.18800000000002</v>
      </c>
      <c r="AR48" s="34">
        <v>2.95</v>
      </c>
      <c r="AS48" s="35">
        <f t="shared" si="5"/>
        <v>212.4</v>
      </c>
      <c r="AT48" s="35">
        <f t="shared" si="10"/>
        <v>0.9335</v>
      </c>
      <c r="AU48" s="35">
        <f t="shared" si="6"/>
        <v>67.212000000000003</v>
      </c>
      <c r="AV48" s="36">
        <f t="shared" si="7"/>
        <v>0.3164406779661017</v>
      </c>
      <c r="AW48" s="37"/>
    </row>
    <row r="49" spans="1:49" ht="45" customHeight="1" x14ac:dyDescent="0.25">
      <c r="A49" s="2">
        <v>41</v>
      </c>
      <c r="B49" s="100" t="s">
        <v>81</v>
      </c>
      <c r="C49" s="31">
        <v>1</v>
      </c>
      <c r="D49" s="3" t="s">
        <v>80</v>
      </c>
      <c r="E49" s="31">
        <f t="shared" si="0"/>
        <v>72</v>
      </c>
      <c r="F49" s="31"/>
      <c r="G49" s="31"/>
      <c r="H49" s="31"/>
      <c r="I49" s="103">
        <v>133.19999999999999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103">
        <v>136.80000000000001</v>
      </c>
      <c r="AE49" s="103"/>
      <c r="AF49" s="103"/>
      <c r="AG49" s="103"/>
      <c r="AH49" s="103"/>
      <c r="AI49" s="103"/>
      <c r="AJ49" s="71">
        <v>133.19999999999999</v>
      </c>
      <c r="AK49" s="73">
        <f t="shared" si="1"/>
        <v>1.8499999999999999</v>
      </c>
      <c r="AL49" s="74">
        <f t="shared" si="2"/>
        <v>133.19999999999999</v>
      </c>
      <c r="AM49" s="32"/>
      <c r="AN49" s="33">
        <f t="shared" si="12"/>
        <v>1.8499999999999999</v>
      </c>
      <c r="AO49" s="33">
        <f t="shared" si="12"/>
        <v>133.19999999999999</v>
      </c>
      <c r="AP49" s="33">
        <f t="shared" si="3"/>
        <v>2.0165000000000002</v>
      </c>
      <c r="AQ49" s="33">
        <f t="shared" si="4"/>
        <v>145.18800000000002</v>
      </c>
      <c r="AR49" s="34">
        <v>2.95</v>
      </c>
      <c r="AS49" s="35">
        <f t="shared" si="5"/>
        <v>212.4</v>
      </c>
      <c r="AT49" s="35">
        <f t="shared" si="10"/>
        <v>0.9335</v>
      </c>
      <c r="AU49" s="35">
        <f t="shared" si="6"/>
        <v>67.212000000000003</v>
      </c>
      <c r="AV49" s="36">
        <f t="shared" si="7"/>
        <v>0.3164406779661017</v>
      </c>
      <c r="AW49" s="37"/>
    </row>
    <row r="50" spans="1:49" ht="45" customHeight="1" x14ac:dyDescent="0.25">
      <c r="A50" s="2">
        <v>42</v>
      </c>
      <c r="B50" s="100" t="s">
        <v>79</v>
      </c>
      <c r="C50" s="31">
        <v>1</v>
      </c>
      <c r="D50" s="3" t="s">
        <v>80</v>
      </c>
      <c r="E50" s="31">
        <f t="shared" si="0"/>
        <v>72</v>
      </c>
      <c r="F50" s="31"/>
      <c r="G50" s="31"/>
      <c r="H50" s="31"/>
      <c r="I50" s="103">
        <v>133.19999999999999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103">
        <v>136.80000000000001</v>
      </c>
      <c r="AE50" s="103"/>
      <c r="AF50" s="103"/>
      <c r="AG50" s="103"/>
      <c r="AH50" s="103"/>
      <c r="AI50" s="103"/>
      <c r="AJ50" s="71">
        <v>133.19999999999999</v>
      </c>
      <c r="AK50" s="73">
        <f t="shared" si="1"/>
        <v>1.8499999999999999</v>
      </c>
      <c r="AL50" s="74">
        <f t="shared" si="2"/>
        <v>133.19999999999999</v>
      </c>
      <c r="AM50" s="32"/>
      <c r="AN50" s="33">
        <f t="shared" si="12"/>
        <v>1.8499999999999999</v>
      </c>
      <c r="AO50" s="33">
        <f t="shared" si="12"/>
        <v>133.19999999999999</v>
      </c>
      <c r="AP50" s="33">
        <f>AN50*(1+$AQ$56+9%)</f>
        <v>2.0165000000000002</v>
      </c>
      <c r="AQ50" s="33">
        <f t="shared" si="4"/>
        <v>145.18800000000002</v>
      </c>
      <c r="AR50" s="34">
        <v>2.95</v>
      </c>
      <c r="AS50" s="35">
        <f t="shared" si="5"/>
        <v>212.4</v>
      </c>
      <c r="AT50" s="35">
        <f t="shared" si="10"/>
        <v>0.9335</v>
      </c>
      <c r="AU50" s="35">
        <f t="shared" si="6"/>
        <v>67.212000000000003</v>
      </c>
      <c r="AV50" s="36">
        <f t="shared" si="7"/>
        <v>0.3164406779661017</v>
      </c>
      <c r="AW50" s="37"/>
    </row>
    <row r="51" spans="1:49" ht="45" customHeight="1" x14ac:dyDescent="0.25">
      <c r="A51" s="2">
        <v>43</v>
      </c>
      <c r="B51" s="100" t="s">
        <v>71</v>
      </c>
      <c r="C51" s="31">
        <v>1</v>
      </c>
      <c r="D51" s="3" t="s">
        <v>24</v>
      </c>
      <c r="E51" s="31">
        <f t="shared" si="0"/>
        <v>24</v>
      </c>
      <c r="F51" s="31"/>
      <c r="G51" s="103">
        <v>13.7</v>
      </c>
      <c r="H51" s="31"/>
      <c r="I51" s="31"/>
      <c r="J51" s="31"/>
      <c r="K51" s="31"/>
      <c r="L51" s="103">
        <v>12.8</v>
      </c>
      <c r="M51" s="103"/>
      <c r="N51" s="103"/>
      <c r="O51" s="103"/>
      <c r="P51" s="103"/>
      <c r="Q51" s="103"/>
      <c r="R51" s="103">
        <v>13.8</v>
      </c>
      <c r="S51" s="103"/>
      <c r="T51" s="103"/>
      <c r="U51" s="103"/>
      <c r="V51" s="103"/>
      <c r="W51" s="103"/>
      <c r="X51" s="103"/>
      <c r="Y51" s="103">
        <v>13.9</v>
      </c>
      <c r="Z51" s="103"/>
      <c r="AA51" s="103"/>
      <c r="AB51" s="103"/>
      <c r="AC51" s="103"/>
      <c r="AD51" s="103">
        <v>13.2</v>
      </c>
      <c r="AE51" s="103"/>
      <c r="AF51" s="103"/>
      <c r="AG51" s="103"/>
      <c r="AH51" s="103"/>
      <c r="AI51" s="103"/>
      <c r="AJ51" s="71">
        <v>13.2</v>
      </c>
      <c r="AK51" s="73">
        <f t="shared" si="1"/>
        <v>0.54999999999999993</v>
      </c>
      <c r="AL51" s="74">
        <f t="shared" si="2"/>
        <v>13.2</v>
      </c>
      <c r="AM51" s="32"/>
      <c r="AN51" s="33">
        <f t="shared" si="12"/>
        <v>0.54999999999999993</v>
      </c>
      <c r="AO51" s="33">
        <f t="shared" si="12"/>
        <v>13.2</v>
      </c>
      <c r="AP51" s="33">
        <f>AN51*(1+$AQ$56+9%)</f>
        <v>0.59949999999999992</v>
      </c>
      <c r="AQ51" s="33">
        <f t="shared" si="4"/>
        <v>14.387999999999998</v>
      </c>
      <c r="AR51" s="34">
        <v>0.9</v>
      </c>
      <c r="AS51" s="35">
        <f t="shared" si="5"/>
        <v>21.6</v>
      </c>
      <c r="AT51" s="35">
        <f t="shared" si="10"/>
        <v>0.3005000000000001</v>
      </c>
      <c r="AU51" s="35">
        <f t="shared" si="6"/>
        <v>7.2120000000000024</v>
      </c>
      <c r="AV51" s="36">
        <f t="shared" si="7"/>
        <v>0.33388888888888901</v>
      </c>
      <c r="AW51" s="37"/>
    </row>
    <row r="52" spans="1:49" ht="45" customHeight="1" x14ac:dyDescent="0.25">
      <c r="A52" s="2">
        <v>44</v>
      </c>
      <c r="B52" s="100" t="s">
        <v>72</v>
      </c>
      <c r="C52" s="31">
        <v>1</v>
      </c>
      <c r="D52" s="3" t="s">
        <v>24</v>
      </c>
      <c r="E52" s="31">
        <f t="shared" si="0"/>
        <v>24</v>
      </c>
      <c r="F52" s="31"/>
      <c r="G52" s="103">
        <v>13.7</v>
      </c>
      <c r="H52" s="103"/>
      <c r="I52" s="103"/>
      <c r="J52" s="103"/>
      <c r="K52" s="103"/>
      <c r="L52" s="103">
        <v>12.8</v>
      </c>
      <c r="M52" s="103"/>
      <c r="N52" s="103"/>
      <c r="O52" s="103"/>
      <c r="P52" s="103"/>
      <c r="Q52" s="103"/>
      <c r="R52" s="103"/>
      <c r="S52" s="103"/>
      <c r="T52" s="103"/>
      <c r="U52" s="103">
        <v>13.8</v>
      </c>
      <c r="V52" s="103"/>
      <c r="W52" s="103"/>
      <c r="X52" s="103"/>
      <c r="Y52" s="103">
        <v>13.9</v>
      </c>
      <c r="Z52" s="103"/>
      <c r="AA52" s="103"/>
      <c r="AB52" s="103"/>
      <c r="AC52" s="103"/>
      <c r="AD52" s="103">
        <v>13.2</v>
      </c>
      <c r="AE52" s="103"/>
      <c r="AF52" s="103"/>
      <c r="AG52" s="103"/>
      <c r="AH52" s="103"/>
      <c r="AI52" s="103"/>
      <c r="AJ52" s="71">
        <v>13.2</v>
      </c>
      <c r="AK52" s="73">
        <f t="shared" si="1"/>
        <v>0.54999999999999993</v>
      </c>
      <c r="AL52" s="74">
        <f t="shared" si="2"/>
        <v>13.2</v>
      </c>
      <c r="AM52" s="32"/>
      <c r="AN52" s="33">
        <f t="shared" si="12"/>
        <v>0.54999999999999993</v>
      </c>
      <c r="AO52" s="33">
        <f t="shared" si="12"/>
        <v>13.2</v>
      </c>
      <c r="AP52" s="33">
        <f>AN52*(1+$AQ$56+9%)</f>
        <v>0.59949999999999992</v>
      </c>
      <c r="AQ52" s="33">
        <f t="shared" si="4"/>
        <v>14.387999999999998</v>
      </c>
      <c r="AR52" s="34">
        <v>0.9</v>
      </c>
      <c r="AS52" s="35">
        <f t="shared" si="5"/>
        <v>21.6</v>
      </c>
      <c r="AT52" s="35">
        <f t="shared" si="10"/>
        <v>0.3005000000000001</v>
      </c>
      <c r="AU52" s="35">
        <f t="shared" si="6"/>
        <v>7.2120000000000024</v>
      </c>
      <c r="AV52" s="36">
        <f t="shared" si="7"/>
        <v>0.33388888888888901</v>
      </c>
      <c r="AW52" s="38"/>
    </row>
    <row r="53" spans="1:49" ht="30.75" thickBot="1" x14ac:dyDescent="0.3">
      <c r="A53" s="138" t="s">
        <v>25</v>
      </c>
      <c r="B53" s="139"/>
      <c r="C53" s="139"/>
      <c r="D53" s="140"/>
      <c r="E53" s="75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144" t="s">
        <v>26</v>
      </c>
      <c r="AL53" s="146">
        <f>SUM(AL7:AL52)</f>
        <v>863.70000000000027</v>
      </c>
      <c r="AM53" s="93"/>
      <c r="AN53" s="77" t="s">
        <v>27</v>
      </c>
      <c r="AO53" s="78">
        <f>SUM(AO7:AO52)</f>
        <v>863.70000000000027</v>
      </c>
      <c r="AP53" s="148" t="s">
        <v>28</v>
      </c>
      <c r="AQ53" s="149"/>
      <c r="AR53" s="150">
        <f>SUM(AS7:AS52)</f>
        <v>1299.3999999999999</v>
      </c>
      <c r="AS53" s="151"/>
      <c r="AT53" s="152" t="s">
        <v>29</v>
      </c>
      <c r="AU53" s="153"/>
      <c r="AV53" s="156">
        <f>AR53-AO56</f>
        <v>357.96699999999953</v>
      </c>
      <c r="AW53" s="94"/>
    </row>
    <row r="54" spans="1:49" ht="16.5" thickBot="1" x14ac:dyDescent="0.3">
      <c r="A54" s="138"/>
      <c r="B54" s="139"/>
      <c r="C54" s="139"/>
      <c r="D54" s="140"/>
      <c r="E54" s="75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145"/>
      <c r="AL54" s="147"/>
      <c r="AM54" s="95"/>
      <c r="AN54" s="80" t="s">
        <v>30</v>
      </c>
      <c r="AO54" s="81">
        <f>AO53*0.09</f>
        <v>77.733000000000018</v>
      </c>
      <c r="AP54" s="158"/>
      <c r="AQ54" s="159"/>
      <c r="AR54" s="159"/>
      <c r="AS54" s="160"/>
      <c r="AT54" s="154"/>
      <c r="AU54" s="155"/>
      <c r="AV54" s="157"/>
      <c r="AW54" s="96"/>
    </row>
    <row r="55" spans="1:49" ht="32.25" thickBot="1" x14ac:dyDescent="0.3">
      <c r="A55" s="138"/>
      <c r="B55" s="139"/>
      <c r="C55" s="139"/>
      <c r="D55" s="140"/>
      <c r="E55" s="82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4" t="s">
        <v>31</v>
      </c>
      <c r="AL55" s="85" t="s">
        <v>32</v>
      </c>
      <c r="AM55" s="95"/>
      <c r="AN55" s="86" t="s">
        <v>33</v>
      </c>
      <c r="AO55" s="41">
        <v>0</v>
      </c>
      <c r="AP55" s="161"/>
      <c r="AQ55" s="162"/>
      <c r="AR55" s="162"/>
      <c r="AS55" s="163"/>
      <c r="AT55" s="164" t="s">
        <v>34</v>
      </c>
      <c r="AU55" s="165"/>
      <c r="AV55" s="42">
        <f>AV53/AR53</f>
        <v>0.27548637832845896</v>
      </c>
      <c r="AW55" s="43"/>
    </row>
    <row r="56" spans="1:49" ht="63.75" thickBot="1" x14ac:dyDescent="0.3">
      <c r="A56" s="141"/>
      <c r="B56" s="142"/>
      <c r="C56" s="142"/>
      <c r="D56" s="143"/>
      <c r="E56" s="87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9" t="s">
        <v>35</v>
      </c>
      <c r="AL56" s="90">
        <f>SUM(AL53:AL55)</f>
        <v>863.70000000000027</v>
      </c>
      <c r="AM56" s="95"/>
      <c r="AN56" s="91" t="s">
        <v>35</v>
      </c>
      <c r="AO56" s="44">
        <f>SUM(AO53:AO55)</f>
        <v>941.43300000000033</v>
      </c>
      <c r="AP56" s="45" t="s">
        <v>36</v>
      </c>
      <c r="AQ56" s="166">
        <f>AO55/AO53</f>
        <v>0</v>
      </c>
      <c r="AR56" s="167"/>
      <c r="AS56" s="92"/>
      <c r="AT56" s="97"/>
      <c r="AU56" s="97"/>
      <c r="AV56" s="97"/>
      <c r="AW56" s="98"/>
    </row>
    <row r="57" spans="1:49" x14ac:dyDescent="0.25">
      <c r="A57" s="47"/>
      <c r="B57" s="14"/>
      <c r="C57" s="14"/>
      <c r="D57" s="14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9"/>
      <c r="AM57" s="50"/>
      <c r="AN57" s="14"/>
      <c r="AO57" s="14"/>
      <c r="AP57" s="51"/>
      <c r="AQ57" s="51"/>
      <c r="AR57" s="52"/>
      <c r="AS57" s="53"/>
      <c r="AT57" s="53"/>
      <c r="AU57" s="54"/>
      <c r="AV57" s="53"/>
      <c r="AW57" s="46"/>
    </row>
    <row r="58" spans="1:49" x14ac:dyDescent="0.25">
      <c r="A58" s="50"/>
      <c r="B58" s="53"/>
      <c r="C58" s="53"/>
      <c r="D58" s="5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6"/>
      <c r="AM58" s="50"/>
      <c r="AN58" s="122"/>
      <c r="AO58" s="123"/>
      <c r="AP58" s="123"/>
      <c r="AQ58" s="123"/>
      <c r="AR58" s="124"/>
      <c r="AS58" s="53"/>
      <c r="AT58" s="53"/>
      <c r="AU58" s="53"/>
      <c r="AV58" s="53"/>
      <c r="AW58" s="46"/>
    </row>
    <row r="59" spans="1:49" x14ac:dyDescent="0.25">
      <c r="A59" s="50"/>
      <c r="B59" s="53"/>
      <c r="C59" s="53"/>
      <c r="D59" s="53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6"/>
      <c r="AM59" s="50"/>
      <c r="AN59" s="57"/>
      <c r="AO59" s="58"/>
      <c r="AP59" s="59"/>
      <c r="AQ59" s="59"/>
      <c r="AR59" s="60"/>
      <c r="AS59" s="53"/>
      <c r="AT59" s="53"/>
      <c r="AU59" s="53"/>
      <c r="AV59" s="53"/>
      <c r="AW59" s="46"/>
    </row>
    <row r="60" spans="1:49" x14ac:dyDescent="0.25">
      <c r="A60" s="61" t="s">
        <v>37</v>
      </c>
      <c r="B60" s="53"/>
      <c r="C60" s="53"/>
      <c r="D60" s="53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6"/>
      <c r="AM60" s="50"/>
      <c r="AN60" s="62"/>
      <c r="AO60" s="62"/>
      <c r="AP60" s="62"/>
      <c r="AQ60" s="62"/>
      <c r="AR60" s="60"/>
      <c r="AS60" s="53"/>
      <c r="AT60" s="53"/>
      <c r="AU60" s="53"/>
      <c r="AV60" s="53"/>
      <c r="AW60" s="46"/>
    </row>
    <row r="61" spans="1:49" x14ac:dyDescent="0.25">
      <c r="A61" s="61" t="s">
        <v>38</v>
      </c>
      <c r="B61" s="53"/>
      <c r="C61" s="53"/>
      <c r="D61" s="53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6"/>
      <c r="AM61" s="50"/>
      <c r="AN61" s="62"/>
      <c r="AO61" s="62"/>
      <c r="AP61" s="57"/>
      <c r="AQ61" s="57"/>
      <c r="AR61" s="63"/>
      <c r="AS61" s="53"/>
      <c r="AT61" s="64"/>
      <c r="AU61" s="53"/>
      <c r="AV61" s="53"/>
      <c r="AW61" s="46"/>
    </row>
    <row r="62" spans="1:49" ht="16.5" thickBot="1" x14ac:dyDescent="0.3">
      <c r="A62" s="65"/>
      <c r="B62" s="66"/>
      <c r="C62" s="66"/>
      <c r="D62" s="66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8"/>
      <c r="AM62" s="50"/>
      <c r="AN62" s="69"/>
      <c r="AO62" s="69"/>
      <c r="AP62" s="69"/>
      <c r="AQ62" s="69"/>
      <c r="AR62" s="70"/>
      <c r="AS62" s="53"/>
      <c r="AT62" s="53"/>
      <c r="AU62" s="53"/>
      <c r="AV62" s="53"/>
      <c r="AW62" s="46"/>
    </row>
  </sheetData>
  <autoFilter ref="A6:AW56" xr:uid="{751913A2-51B0-9A49-B4CE-347947933622}"/>
  <mergeCells count="16">
    <mergeCell ref="AN58:AR58"/>
    <mergeCell ref="A1:AS1"/>
    <mergeCell ref="AU1:AV1"/>
    <mergeCell ref="A2:AS2"/>
    <mergeCell ref="A4:AL4"/>
    <mergeCell ref="AN4:AW4"/>
    <mergeCell ref="A53:D56"/>
    <mergeCell ref="AK53:AK54"/>
    <mergeCell ref="AL53:AL54"/>
    <mergeCell ref="AP53:AQ53"/>
    <mergeCell ref="AR53:AS53"/>
    <mergeCell ref="AT53:AU54"/>
    <mergeCell ref="AV53:AV54"/>
    <mergeCell ref="AP54:AS55"/>
    <mergeCell ref="AT55:AU55"/>
    <mergeCell ref="AQ56:AR5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MASTERFILE</vt:lpstr>
      <vt:lpstr>pandamart grab cal</vt:lpstr>
      <vt:lpstr>PRICE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Rajvir ARORA</dc:creator>
  <cp:lastModifiedBy>banpreet.saluja@gmail.com</cp:lastModifiedBy>
  <cp:lastPrinted>2026-04-17T03:27:44Z</cp:lastPrinted>
  <dcterms:created xsi:type="dcterms:W3CDTF">2026-01-12T08:00:20Z</dcterms:created>
  <dcterms:modified xsi:type="dcterms:W3CDTF">2026-05-08T07:51:03Z</dcterms:modified>
</cp:coreProperties>
</file>