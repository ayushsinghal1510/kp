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69501B1-D55C-44EB-B14F-9823B029DF0C}" xr6:coauthVersionLast="47" xr6:coauthVersionMax="47" xr10:uidLastSave="{00000000-0000-0000-0000-000000000000}"/>
  <bookViews>
    <workbookView xWindow="20370" yWindow="-120" windowWidth="29040" windowHeight="15840" tabRatio="588" xr2:uid="{00000000-000D-0000-FFFF-FFFF00000000}"/>
  </bookViews>
  <sheets>
    <sheet name="SS348662" sheetId="37" r:id="rId1"/>
  </sheets>
  <definedNames>
    <definedName name="_xlnm._FilterDatabase" localSheetId="0" hidden="1">'SS348662'!$A$6:$R$17</definedName>
    <definedName name="_xlnm.Print_Titles" localSheetId="0">'SS348662'!$1:$6</definedName>
  </definedNames>
  <calcPr calcId="181029"/>
</workbook>
</file>

<file path=xl/calcChain.xml><?xml version="1.0" encoding="utf-8"?>
<calcChain xmlns="http://schemas.openxmlformats.org/spreadsheetml/2006/main">
  <c r="G13" i="37" l="1"/>
  <c r="J13" i="37" s="1"/>
  <c r="E13" i="37"/>
  <c r="O13" i="37" s="1"/>
  <c r="G12" i="37"/>
  <c r="J12" i="37" s="1"/>
  <c r="E12" i="37"/>
  <c r="O12" i="37" s="1"/>
  <c r="G11" i="37"/>
  <c r="J11" i="37" s="1"/>
  <c r="E11" i="37"/>
  <c r="O11" i="37" s="1"/>
  <c r="G10" i="37"/>
  <c r="J10" i="37" s="1"/>
  <c r="E10" i="37"/>
  <c r="O10" i="37" s="1"/>
  <c r="G9" i="37"/>
  <c r="J9" i="37" s="1"/>
  <c r="E9" i="37"/>
  <c r="G8" i="37"/>
  <c r="J8" i="37" s="1"/>
  <c r="E8" i="37"/>
  <c r="O8" i="37" s="1"/>
  <c r="G7" i="37"/>
  <c r="J7" i="37" s="1"/>
  <c r="E7" i="37"/>
  <c r="O7" i="37" s="1"/>
  <c r="H9" i="37" l="1"/>
  <c r="K9" i="37" s="1"/>
  <c r="H12" i="37"/>
  <c r="K12" i="37" s="1"/>
  <c r="H11" i="37"/>
  <c r="K11" i="37" s="1"/>
  <c r="O9" i="37"/>
  <c r="N14" i="37" s="1"/>
  <c r="H13" i="37"/>
  <c r="K13" i="37" s="1"/>
  <c r="H7" i="37"/>
  <c r="H10" i="37"/>
  <c r="K10" i="37" s="1"/>
  <c r="H8" i="37"/>
  <c r="K8" i="37" s="1"/>
  <c r="H14" i="37" l="1"/>
  <c r="H17" i="37" s="1"/>
  <c r="K7" i="37"/>
  <c r="K14" i="37" s="1"/>
  <c r="M17" i="37" l="1"/>
  <c r="K15" i="37"/>
  <c r="K17" i="37" s="1"/>
  <c r="R14" i="37" s="1"/>
  <c r="R16" i="37" s="1"/>
  <c r="L11" i="37" l="1"/>
  <c r="L13" i="37"/>
  <c r="L7" i="37"/>
  <c r="L12" i="37"/>
  <c r="L10" i="37"/>
  <c r="L8" i="37"/>
  <c r="L9" i="37"/>
  <c r="P10" i="37" l="1"/>
  <c r="M10" i="37"/>
  <c r="P11" i="37"/>
  <c r="M11" i="37"/>
  <c r="P12" i="37"/>
  <c r="M12" i="37"/>
  <c r="P9" i="37"/>
  <c r="M9" i="37"/>
  <c r="M7" i="37"/>
  <c r="P7" i="37"/>
  <c r="M8" i="37"/>
  <c r="P8" i="37"/>
  <c r="P13" i="37"/>
  <c r="M13" i="37"/>
  <c r="R13" i="37" l="1"/>
  <c r="Q13" i="37"/>
  <c r="Q9" i="37"/>
  <c r="R9" i="37"/>
  <c r="Q12" i="37"/>
  <c r="R12" i="37"/>
  <c r="R11" i="37"/>
  <c r="Q11" i="37"/>
  <c r="R8" i="37"/>
  <c r="Q8" i="37"/>
  <c r="R7" i="37"/>
  <c r="Q7" i="37"/>
  <c r="Q10" i="37"/>
  <c r="R10" i="37"/>
</calcChain>
</file>

<file path=xl/sharedStrings.xml><?xml version="1.0" encoding="utf-8"?>
<sst xmlns="http://schemas.openxmlformats.org/spreadsheetml/2006/main" count="52" uniqueCount="46">
  <si>
    <t>Tian Ma Group Holdings Pte Ltd</t>
  </si>
  <si>
    <t xml:space="preserve">Date: </t>
  </si>
  <si>
    <t>Rate :</t>
  </si>
  <si>
    <t>Cost with Freight &amp; GST, Selling with GST</t>
  </si>
  <si>
    <t>No.</t>
  </si>
  <si>
    <t>Product Name</t>
  </si>
  <si>
    <t>Qty 
(CTN)</t>
  </si>
  <si>
    <t>Total Ordered Qty</t>
  </si>
  <si>
    <t>Total</t>
  </si>
  <si>
    <t>Total Cost 
(RAW)</t>
  </si>
  <si>
    <t>TMG Selling Price</t>
  </si>
  <si>
    <t>Total Selling</t>
  </si>
  <si>
    <t>UNIT PROFIT ($)</t>
  </si>
  <si>
    <t xml:space="preserve">Profit Margin - % </t>
  </si>
  <si>
    <t>SUB TOTAL:</t>
  </si>
  <si>
    <t>Total Cost:
(SGD)</t>
  </si>
  <si>
    <t>Total Selling: 
(SGD)</t>
  </si>
  <si>
    <t>Total Profit:</t>
  </si>
  <si>
    <t>Freight (CNF) Charge: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</si>
  <si>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</si>
  <si>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</si>
  <si>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</si>
  <si>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</si>
  <si>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r>
      <rPr>
        <b/>
        <u/>
        <sz val="11"/>
        <color indexed="8"/>
        <rFont val="Calibri"/>
        <family val="2"/>
      </rPr>
      <t xml:space="preserve">
</t>
    </r>
    <r>
      <rPr>
        <b/>
        <u/>
        <sz val="11"/>
        <color indexed="8"/>
        <rFont val="Calibri"/>
        <family val="2"/>
      </rPr>
      <t>REMARKS: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/>
    </r>
  </si>
  <si>
    <t>9 Changi South Street 3 #07-02/03 Singapore 486361</t>
  </si>
  <si>
    <t>Packing Size
(PC)</t>
  </si>
  <si>
    <t>Unit Cost 
(SGD - PC)
(W/O GST)</t>
  </si>
  <si>
    <t>Total Cost 
(SGD)
(W GST)</t>
  </si>
  <si>
    <t>Ctn Price
(SGD)
(W/O GST)</t>
  </si>
  <si>
    <t>Unit Price
(SGD)
(W/O GST)</t>
  </si>
  <si>
    <t>9% GST</t>
  </si>
  <si>
    <t>Unit Cost (9%)
(SGD - PC)</t>
  </si>
  <si>
    <t>TOTAL PROFIT ($)</t>
  </si>
  <si>
    <t>Supplier: SHENG SHENG F&amp;B INDUSTRIES PTE LTD</t>
  </si>
  <si>
    <t>24</t>
  </si>
  <si>
    <t xml:space="preserve">ICE COOL BIRDS NEST 300ML </t>
  </si>
  <si>
    <t xml:space="preserve">ICE COOL ROSE BANDUNG 310ML         </t>
  </si>
  <si>
    <t>15</t>
  </si>
  <si>
    <t xml:space="preserve">____________________     ____________________     ____________________     ____________________     ____________________     </t>
  </si>
  <si>
    <t xml:space="preserve">              ORDER BY                          CHECKED BY                       SUBMITTED BY                 ACKNOWLEDGE BY              PRICE CHECKED BY</t>
  </si>
  <si>
    <t xml:space="preserve">ICE COOL YOUNG COCONUT W P 310ML </t>
  </si>
  <si>
    <t xml:space="preserve">CHA PAI POMELO GREEN TEA 500ML              </t>
  </si>
  <si>
    <t xml:space="preserve">CHA PAI PEACH OOLONG 500ML        </t>
  </si>
  <si>
    <t xml:space="preserve">CHA PAI GRAPE OOLONG TEA 500ML         </t>
  </si>
  <si>
    <t xml:space="preserve">KSF ICE LEMON TEA 500 ML             </t>
  </si>
  <si>
    <t>PURCHASE ORDER: 30 03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</si>
</sst>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00"/>
    <numFmt numFmtId="166" formatCode="&quot;$&quot;#,##0.00"/>
    <numFmt numFmtId="167" formatCode="&quot;$&quot;&quot; &quot;#,##0.0000"/>
    <numFmt numFmtId="168" formatCode="&quot;$&quot;&quot; &quot;#,##0.00"/>
    <numFmt numFmtId="169" formatCode="0.000%"/>
    <numFmt numFmtId="171" formatCode="0.000"/>
    <numFmt numFmtId="172" formatCode="0.0000"/>
    <numFmt numFmtId="173" formatCode="_-&quot;$&quot;* #,##0.000_-;\-&quot;$&quot;* #,##0.000_-;_-&quot;$&quot;* &quot;-&quot;???_-;_-@_-"/>
  </numFmts>
  <fonts count="24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u/>
      <sz val="14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b/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10"/>
      </top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 applyNumberFormat="0" applyFill="0" applyBorder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>
      <alignment vertical="center"/>
    </xf>
    <xf numFmtId="0" fontId="20" fillId="0" borderId="0" applyNumberFormat="0" applyFill="0" applyBorder="0" applyProtection="0"/>
    <xf numFmtId="164" fontId="22" fillId="0" borderId="0" applyFont="0" applyFill="0" applyBorder="0" applyAlignment="0" applyProtection="0"/>
    <xf numFmtId="0" fontId="1" fillId="0" borderId="0"/>
  </cellStyleXfs>
  <cellXfs count="131">
    <xf numFmtId="0" fontId="0" fillId="0" borderId="0" xfId="0"/>
    <xf numFmtId="0" fontId="0" fillId="2" borderId="7" xfId="0" applyFill="1" applyBorder="1"/>
    <xf numFmtId="165" fontId="0" fillId="2" borderId="7" xfId="0" applyNumberFormat="1" applyFill="1" applyBorder="1"/>
    <xf numFmtId="166" fontId="0" fillId="2" borderId="7" xfId="0" applyNumberFormat="1" applyFill="1" applyBorder="1"/>
    <xf numFmtId="0" fontId="0" fillId="2" borderId="2" xfId="0" applyFill="1" applyBorder="1"/>
    <xf numFmtId="0" fontId="0" fillId="2" borderId="11" xfId="0" applyFill="1" applyBorder="1"/>
    <xf numFmtId="166" fontId="0" fillId="2" borderId="8" xfId="0" applyNumberFormat="1" applyFill="1" applyBorder="1"/>
    <xf numFmtId="0" fontId="0" fillId="2" borderId="19" xfId="0" applyFill="1" applyBorder="1"/>
    <xf numFmtId="165" fontId="15" fillId="3" borderId="14" xfId="0" applyNumberFormat="1" applyFont="1" applyFill="1" applyBorder="1" applyAlignment="1">
      <alignment horizontal="right" vertical="center" wrapText="1"/>
    </xf>
    <xf numFmtId="49" fontId="15" fillId="3" borderId="22" xfId="0" applyNumberFormat="1" applyFont="1" applyFill="1" applyBorder="1" applyAlignment="1">
      <alignment horizontal="right" vertical="center" wrapText="1"/>
    </xf>
    <xf numFmtId="49" fontId="16" fillId="3" borderId="13" xfId="0" applyNumberFormat="1" applyFont="1" applyFill="1" applyBorder="1" applyAlignment="1">
      <alignment horizontal="right" vertical="center" wrapText="1"/>
    </xf>
    <xf numFmtId="169" fontId="18" fillId="2" borderId="12" xfId="0" applyNumberFormat="1" applyFont="1" applyFill="1" applyBorder="1" applyAlignment="1">
      <alignment horizontal="center" vertical="center" wrapText="1"/>
    </xf>
    <xf numFmtId="165" fontId="15" fillId="3" borderId="17" xfId="0" applyNumberFormat="1" applyFont="1" applyFill="1" applyBorder="1" applyAlignment="1">
      <alignment horizontal="right" vertical="center" wrapText="1"/>
    </xf>
    <xf numFmtId="49" fontId="15" fillId="3" borderId="24" xfId="0" applyNumberFormat="1" applyFont="1" applyFill="1" applyBorder="1" applyAlignment="1">
      <alignment horizontal="right" vertical="center" wrapText="1"/>
    </xf>
    <xf numFmtId="49" fontId="16" fillId="3" borderId="15" xfId="0" applyNumberFormat="1" applyFont="1" applyFill="1" applyBorder="1" applyAlignment="1">
      <alignment horizontal="right" vertical="center" wrapText="1"/>
    </xf>
    <xf numFmtId="168" fontId="10" fillId="2" borderId="16" xfId="0" applyNumberFormat="1" applyFont="1" applyFill="1" applyBorder="1" applyAlignment="1">
      <alignment horizontal="center" vertical="center"/>
    </xf>
    <xf numFmtId="165" fontId="15" fillId="3" borderId="29" xfId="0" applyNumberFormat="1" applyFont="1" applyFill="1" applyBorder="1" applyAlignment="1">
      <alignment horizontal="right" vertical="center" wrapText="1"/>
    </xf>
    <xf numFmtId="49" fontId="15" fillId="3" borderId="31" xfId="0" applyNumberFormat="1" applyFont="1" applyFill="1" applyBorder="1" applyAlignment="1">
      <alignment horizontal="right" vertical="center" wrapText="1"/>
    </xf>
    <xf numFmtId="168" fontId="10" fillId="2" borderId="37" xfId="0" applyNumberFormat="1" applyFon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 wrapText="1"/>
    </xf>
    <xf numFmtId="9" fontId="13" fillId="2" borderId="41" xfId="0" applyNumberFormat="1" applyFont="1" applyFill="1" applyBorder="1" applyAlignment="1">
      <alignment horizontal="left" vertical="center"/>
    </xf>
    <xf numFmtId="3" fontId="0" fillId="0" borderId="25" xfId="0" applyNumberForma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vertical="center"/>
    </xf>
    <xf numFmtId="165" fontId="15" fillId="3" borderId="50" xfId="0" applyNumberFormat="1" applyFont="1" applyFill="1" applyBorder="1" applyAlignment="1">
      <alignment horizontal="right" vertical="center" wrapText="1"/>
    </xf>
    <xf numFmtId="165" fontId="15" fillId="3" borderId="51" xfId="0" applyNumberFormat="1" applyFont="1" applyFill="1" applyBorder="1" applyAlignment="1">
      <alignment horizontal="right" vertical="center" wrapText="1"/>
    </xf>
    <xf numFmtId="165" fontId="15" fillId="3" borderId="52" xfId="0" applyNumberFormat="1" applyFont="1" applyFill="1" applyBorder="1" applyAlignment="1">
      <alignment horizontal="right" vertical="center" wrapText="1"/>
    </xf>
    <xf numFmtId="165" fontId="15" fillId="3" borderId="53" xfId="0" applyNumberFormat="1" applyFont="1" applyFill="1" applyBorder="1" applyAlignment="1">
      <alignment horizontal="right" vertical="center" wrapText="1"/>
    </xf>
    <xf numFmtId="173" fontId="0" fillId="0" borderId="25" xfId="1" applyNumberFormat="1" applyFont="1" applyFill="1" applyBorder="1" applyAlignment="1">
      <alignment vertical="center"/>
    </xf>
    <xf numFmtId="164" fontId="0" fillId="0" borderId="25" xfId="10" applyFont="1" applyFill="1" applyBorder="1" applyAlignment="1">
      <alignment horizontal="center" vertical="center"/>
    </xf>
    <xf numFmtId="164" fontId="20" fillId="5" borderId="18" xfId="0" applyNumberFormat="1" applyFont="1" applyFill="1" applyBorder="1" applyAlignment="1">
      <alignment vertical="center"/>
    </xf>
    <xf numFmtId="0" fontId="0" fillId="2" borderId="56" xfId="0" applyFill="1" applyBorder="1"/>
    <xf numFmtId="0" fontId="9" fillId="2" borderId="56" xfId="0" applyFont="1" applyFill="1" applyBorder="1" applyAlignment="1">
      <alignment vertical="center"/>
    </xf>
    <xf numFmtId="0" fontId="9" fillId="0" borderId="56" xfId="0" applyFont="1" applyFill="1" applyBorder="1" applyAlignment="1">
      <alignment vertical="center"/>
    </xf>
    <xf numFmtId="49" fontId="15" fillId="3" borderId="38" xfId="0" applyNumberFormat="1" applyFont="1" applyFill="1" applyBorder="1" applyAlignment="1">
      <alignment horizontal="right" vertical="center" wrapText="1"/>
    </xf>
    <xf numFmtId="168" fontId="16" fillId="2" borderId="40" xfId="0" applyNumberFormat="1" applyFont="1" applyFill="1" applyBorder="1" applyAlignment="1">
      <alignment horizontal="right" vertical="center"/>
    </xf>
    <xf numFmtId="168" fontId="0" fillId="0" borderId="25" xfId="0" applyNumberFormat="1" applyFill="1" applyBorder="1" applyAlignment="1">
      <alignment horizontal="center" vertical="center"/>
    </xf>
    <xf numFmtId="10" fontId="0" fillId="0" borderId="25" xfId="0" applyNumberFormat="1" applyFill="1" applyBorder="1" applyAlignment="1">
      <alignment horizontal="center" vertical="center"/>
    </xf>
    <xf numFmtId="0" fontId="0" fillId="2" borderId="65" xfId="0" applyFill="1" applyBorder="1"/>
    <xf numFmtId="0" fontId="0" fillId="0" borderId="65" xfId="0" applyFill="1" applyBorder="1"/>
    <xf numFmtId="0" fontId="9" fillId="2" borderId="65" xfId="0" applyFont="1" applyFill="1" applyBorder="1" applyAlignment="1">
      <alignment vertical="center"/>
    </xf>
    <xf numFmtId="49" fontId="5" fillId="2" borderId="34" xfId="0" applyNumberFormat="1" applyFont="1" applyFill="1" applyBorder="1" applyAlignment="1">
      <alignment horizontal="right" vertical="center"/>
    </xf>
    <xf numFmtId="49" fontId="5" fillId="2" borderId="66" xfId="0" applyNumberFormat="1" applyFont="1" applyFill="1" applyBorder="1" applyAlignment="1">
      <alignment horizontal="right"/>
    </xf>
    <xf numFmtId="171" fontId="7" fillId="2" borderId="42" xfId="0" applyNumberFormat="1" applyFont="1" applyFill="1" applyBorder="1" applyAlignment="1">
      <alignment horizontal="center"/>
    </xf>
    <xf numFmtId="172" fontId="8" fillId="2" borderId="42" xfId="0" applyNumberFormat="1" applyFont="1" applyFill="1" applyBorder="1" applyAlignment="1">
      <alignment horizontal="center"/>
    </xf>
    <xf numFmtId="0" fontId="0" fillId="0" borderId="67" xfId="0" applyNumberFormat="1" applyFill="1" applyBorder="1" applyAlignment="1">
      <alignment horizontal="center" vertical="center"/>
    </xf>
    <xf numFmtId="166" fontId="16" fillId="2" borderId="36" xfId="0" applyNumberFormat="1" applyFont="1" applyFill="1" applyBorder="1" applyAlignment="1">
      <alignment horizontal="right" vertical="center"/>
    </xf>
    <xf numFmtId="49" fontId="20" fillId="0" borderId="49" xfId="9" applyNumberFormat="1" applyFill="1" applyBorder="1" applyAlignment="1">
      <alignment horizontal="left" vertical="center" wrapText="1"/>
    </xf>
    <xf numFmtId="167" fontId="0" fillId="0" borderId="25" xfId="0" applyNumberFormat="1" applyFill="1" applyBorder="1" applyAlignment="1">
      <alignment horizontal="center" vertical="center"/>
    </xf>
    <xf numFmtId="164" fontId="0" fillId="0" borderId="25" xfId="0" applyNumberFormat="1" applyFill="1" applyBorder="1" applyAlignment="1">
      <alignment vertical="center"/>
    </xf>
    <xf numFmtId="3" fontId="0" fillId="0" borderId="69" xfId="0" applyNumberFormat="1" applyFill="1" applyBorder="1" applyAlignment="1">
      <alignment horizontal="center" vertical="center"/>
    </xf>
    <xf numFmtId="164" fontId="0" fillId="0" borderId="70" xfId="10" applyFont="1" applyFill="1" applyBorder="1" applyAlignment="1">
      <alignment horizontal="center" vertical="center"/>
    </xf>
    <xf numFmtId="0" fontId="0" fillId="2" borderId="72" xfId="0" applyFill="1" applyBorder="1"/>
    <xf numFmtId="1" fontId="12" fillId="0" borderId="25" xfId="0" applyNumberFormat="1" applyFont="1" applyFill="1" applyBorder="1" applyAlignment="1">
      <alignment horizontal="center" vertical="center"/>
    </xf>
    <xf numFmtId="49" fontId="20" fillId="0" borderId="25" xfId="0" applyNumberFormat="1" applyFont="1" applyFill="1" applyBorder="1" applyAlignment="1">
      <alignment horizontal="center" vertical="center" wrapText="1"/>
    </xf>
    <xf numFmtId="164" fontId="10" fillId="0" borderId="25" xfId="9" applyNumberFormat="1" applyFont="1" applyFill="1" applyBorder="1" applyAlignment="1">
      <alignment horizontal="center" vertical="center"/>
    </xf>
    <xf numFmtId="0" fontId="0" fillId="0" borderId="0" xfId="0" applyFill="1"/>
    <xf numFmtId="49" fontId="20" fillId="0" borderId="25" xfId="0" applyNumberFormat="1" applyFont="1" applyFill="1" applyBorder="1" applyAlignment="1">
      <alignment vertical="center" wrapText="1"/>
    </xf>
    <xf numFmtId="1" fontId="12" fillId="0" borderId="7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20" fillId="0" borderId="0" xfId="0" applyNumberFormat="1" applyFont="1"/>
    <xf numFmtId="0" fontId="0" fillId="0" borderId="0" xfId="0" applyNumberFormat="1" applyFill="1"/>
    <xf numFmtId="0" fontId="15" fillId="0" borderId="0" xfId="0" applyNumberFormat="1" applyFont="1"/>
    <xf numFmtId="0" fontId="15" fillId="0" borderId="0" xfId="0" applyNumberFormat="1" applyFont="1" applyFill="1"/>
    <xf numFmtId="1" fontId="12" fillId="0" borderId="0" xfId="0" applyNumberFormat="1" applyFont="1" applyFill="1" applyBorder="1" applyAlignment="1">
      <alignment horizontal="center" vertical="center"/>
    </xf>
    <xf numFmtId="49" fontId="20" fillId="0" borderId="25" xfId="9" applyNumberFormat="1" applyFill="1" applyBorder="1" applyAlignment="1">
      <alignment horizontal="left" vertical="center" wrapText="1"/>
    </xf>
    <xf numFmtId="164" fontId="0" fillId="5" borderId="68" xfId="10" applyFont="1" applyFill="1" applyBorder="1" applyAlignment="1">
      <alignment horizontal="center" vertical="center"/>
    </xf>
    <xf numFmtId="173" fontId="0" fillId="5" borderId="25" xfId="1" applyNumberFormat="1" applyFont="1" applyFill="1" applyBorder="1" applyAlignment="1">
      <alignment vertical="center"/>
    </xf>
    <xf numFmtId="164" fontId="0" fillId="5" borderId="25" xfId="0" applyNumberFormat="1" applyFill="1" applyBorder="1" applyAlignment="1">
      <alignment vertical="center"/>
    </xf>
    <xf numFmtId="1" fontId="12" fillId="5" borderId="57" xfId="0" applyNumberFormat="1" applyFont="1" applyFill="1" applyBorder="1" applyAlignment="1">
      <alignment horizontal="center" vertical="center"/>
    </xf>
    <xf numFmtId="167" fontId="0" fillId="5" borderId="25" xfId="0" applyNumberFormat="1" applyFill="1" applyBorder="1" applyAlignment="1">
      <alignment horizontal="center" vertical="center"/>
    </xf>
    <xf numFmtId="164" fontId="10" fillId="5" borderId="25" xfId="9" applyNumberFormat="1" applyFont="1" applyFill="1" applyBorder="1" applyAlignment="1">
      <alignment horizontal="center" vertical="center"/>
    </xf>
    <xf numFmtId="168" fontId="0" fillId="5" borderId="25" xfId="0" applyNumberFormat="1" applyFill="1" applyBorder="1" applyAlignment="1">
      <alignment horizontal="center" vertical="center"/>
    </xf>
    <xf numFmtId="10" fontId="0" fillId="5" borderId="25" xfId="0" applyNumberFormat="1" applyFill="1" applyBorder="1" applyAlignment="1">
      <alignment horizontal="center" vertical="center"/>
    </xf>
    <xf numFmtId="164" fontId="0" fillId="0" borderId="68" xfId="10" applyFont="1" applyFill="1" applyBorder="1" applyAlignment="1">
      <alignment horizontal="center" vertical="center"/>
    </xf>
    <xf numFmtId="1" fontId="12" fillId="0" borderId="57" xfId="0" applyNumberFormat="1" applyFont="1" applyFill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 wrapText="1"/>
    </xf>
    <xf numFmtId="164" fontId="10" fillId="6" borderId="25" xfId="9" applyNumberFormat="1" applyFont="1" applyFill="1" applyBorder="1" applyAlignment="1">
      <alignment horizontal="center" vertical="center"/>
    </xf>
    <xf numFmtId="0" fontId="7" fillId="0" borderId="7" xfId="0" applyFont="1" applyFill="1" applyBorder="1"/>
    <xf numFmtId="0" fontId="0" fillId="0" borderId="7" xfId="0" applyFill="1" applyBorder="1"/>
    <xf numFmtId="49" fontId="20" fillId="0" borderId="73" xfId="0" applyNumberFormat="1" applyFont="1" applyFill="1" applyBorder="1" applyAlignment="1">
      <alignment horizontal="center" vertical="center" wrapText="1"/>
    </xf>
    <xf numFmtId="49" fontId="23" fillId="3" borderId="31" xfId="0" applyNumberFormat="1" applyFont="1" applyFill="1" applyBorder="1" applyAlignment="1">
      <alignment horizontal="center" vertical="center"/>
    </xf>
    <xf numFmtId="49" fontId="23" fillId="0" borderId="47" xfId="0" applyNumberFormat="1" applyFont="1" applyFill="1" applyBorder="1" applyAlignment="1">
      <alignment horizontal="center" vertical="center"/>
    </xf>
    <xf numFmtId="49" fontId="23" fillId="3" borderId="47" xfId="0" applyNumberFormat="1" applyFont="1" applyFill="1" applyBorder="1" applyAlignment="1">
      <alignment horizontal="center" vertical="center" wrapText="1"/>
    </xf>
    <xf numFmtId="49" fontId="23" fillId="3" borderId="48" xfId="0" applyNumberFormat="1" applyFont="1" applyFill="1" applyBorder="1" applyAlignment="1">
      <alignment horizontal="center" vertical="center"/>
    </xf>
    <xf numFmtId="166" fontId="23" fillId="2" borderId="57" xfId="0" applyNumberFormat="1" applyFont="1" applyFill="1" applyBorder="1" applyAlignment="1">
      <alignment horizontal="center" vertical="center"/>
    </xf>
    <xf numFmtId="49" fontId="23" fillId="3" borderId="63" xfId="0" applyNumberFormat="1" applyFont="1" applyFill="1" applyBorder="1" applyAlignment="1">
      <alignment horizontal="center" vertical="center" wrapText="1"/>
    </xf>
    <xf numFmtId="49" fontId="23" fillId="3" borderId="64" xfId="0" applyNumberFormat="1" applyFont="1" applyFill="1" applyBorder="1" applyAlignment="1">
      <alignment horizontal="center" vertical="center" wrapText="1"/>
    </xf>
    <xf numFmtId="49" fontId="23" fillId="4" borderId="64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5" fillId="0" borderId="0" xfId="0" applyNumberFormat="1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4" fontId="5" fillId="2" borderId="35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9" fontId="5" fillId="2" borderId="54" xfId="0" applyNumberFormat="1" applyFont="1" applyFill="1" applyBorder="1" applyAlignment="1">
      <alignment horizontal="center" vertical="center"/>
    </xf>
    <xf numFmtId="49" fontId="5" fillId="2" borderId="55" xfId="0" applyNumberFormat="1" applyFont="1" applyFill="1" applyBorder="1" applyAlignment="1">
      <alignment horizontal="center" vertical="center"/>
    </xf>
    <xf numFmtId="49" fontId="20" fillId="2" borderId="26" xfId="0" applyNumberFormat="1" applyFont="1" applyFill="1" applyBorder="1" applyAlignment="1">
      <alignment horizontal="left" vertical="top" wrapText="1"/>
    </xf>
    <xf numFmtId="0" fontId="0" fillId="2" borderId="27" xfId="0" applyFill="1" applyBorder="1" applyAlignment="1">
      <alignment horizontal="left" vertical="top" wrapText="1"/>
    </xf>
    <xf numFmtId="0" fontId="0" fillId="2" borderId="28" xfId="0" applyFill="1" applyBorder="1" applyAlignment="1">
      <alignment horizontal="left" vertical="top" wrapText="1"/>
    </xf>
    <xf numFmtId="49" fontId="0" fillId="2" borderId="26" xfId="0" applyNumberFormat="1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49" fontId="15" fillId="3" borderId="45" xfId="0" applyNumberFormat="1" applyFont="1" applyFill="1" applyBorder="1" applyAlignment="1">
      <alignment horizontal="center" vertical="center" wrapText="1"/>
    </xf>
    <xf numFmtId="49" fontId="15" fillId="3" borderId="30" xfId="0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49" fontId="15" fillId="3" borderId="50" xfId="0" applyNumberFormat="1" applyFont="1" applyFill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168" fontId="11" fillId="2" borderId="59" xfId="0" applyNumberFormat="1" applyFont="1" applyFill="1" applyBorder="1" applyAlignment="1">
      <alignment horizontal="center" vertical="center"/>
    </xf>
    <xf numFmtId="168" fontId="11" fillId="2" borderId="60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Border="1" applyAlignment="1">
      <alignment horizontal="center" vertical="center"/>
    </xf>
    <xf numFmtId="49" fontId="15" fillId="3" borderId="61" xfId="0" applyNumberFormat="1" applyFont="1" applyFill="1" applyBorder="1" applyAlignment="1">
      <alignment horizontal="center" vertical="center"/>
    </xf>
    <xf numFmtId="49" fontId="15" fillId="3" borderId="42" xfId="0" applyNumberFormat="1" applyFont="1" applyFill="1" applyBorder="1" applyAlignment="1">
      <alignment horizontal="center" vertical="center"/>
    </xf>
    <xf numFmtId="49" fontId="15" fillId="3" borderId="43" xfId="0" applyNumberFormat="1" applyFont="1" applyFill="1" applyBorder="1" applyAlignment="1">
      <alignment horizontal="center" vertical="center"/>
    </xf>
    <xf numFmtId="168" fontId="10" fillId="2" borderId="62" xfId="0" applyNumberFormat="1" applyFont="1" applyFill="1" applyBorder="1" applyAlignment="1">
      <alignment horizontal="center" vertical="center"/>
    </xf>
    <xf numFmtId="168" fontId="10" fillId="2" borderId="44" xfId="0" applyNumberFormat="1" applyFont="1" applyFill="1" applyBorder="1" applyAlignment="1">
      <alignment horizontal="center" vertical="center"/>
    </xf>
    <xf numFmtId="49" fontId="17" fillId="2" borderId="25" xfId="0" applyNumberFormat="1" applyFont="1" applyFill="1" applyBorder="1" applyAlignment="1">
      <alignment horizontal="center" vertical="center" wrapText="1"/>
    </xf>
    <xf numFmtId="49" fontId="5" fillId="3" borderId="33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69" fontId="19" fillId="2" borderId="39" xfId="0" applyNumberFormat="1" applyFont="1" applyFill="1" applyBorder="1" applyAlignment="1">
      <alignment horizontal="center" vertical="center"/>
    </xf>
    <xf numFmtId="169" fontId="19" fillId="2" borderId="40" xfId="0" applyNumberFormat="1" applyFont="1" applyFill="1" applyBorder="1" applyAlignment="1">
      <alignment horizontal="center" vertical="center"/>
    </xf>
  </cellXfs>
  <cellStyles count="12">
    <cellStyle name=" 3]_x000d__x000a_Zoomed=1_x000d__x000a_Row=0_x000d__x000a_Column=0_x000d__x000a_Height=300_x000d__x000a_Width=300_x000d__x000a_FontName=細明體_x000d__x000a_FontStyle=0_x000d__x000a_FontSize=9_x000d__x000a_PrtFontName=Co" xfId="8" xr:uid="{00000000-0005-0000-0000-000000000000}"/>
    <cellStyle name="Comma 2" xfId="1" xr:uid="{00000000-0005-0000-0000-000001000000}"/>
    <cellStyle name="Comma 2 2" xfId="5" xr:uid="{00000000-0005-0000-0000-000002000000}"/>
    <cellStyle name="Comma 2 3" xfId="3" xr:uid="{00000000-0005-0000-0000-000003000000}"/>
    <cellStyle name="Currency" xfId="10" builtinId="4"/>
    <cellStyle name="Currency 2" xfId="6" xr:uid="{00000000-0005-0000-0000-000005000000}"/>
    <cellStyle name="Normal" xfId="0" builtinId="0"/>
    <cellStyle name="Normal 2" xfId="9" xr:uid="{00000000-0005-0000-0000-000007000000}"/>
    <cellStyle name="Normal 3" xfId="4" xr:uid="{00000000-0005-0000-0000-000008000000}"/>
    <cellStyle name="Normal 3 2" xfId="11" xr:uid="{00000000-0005-0000-0000-000009000000}"/>
    <cellStyle name="Normal 4" xfId="2" xr:uid="{00000000-0005-0000-0000-00000A000000}"/>
    <cellStyle name="Percent 2" xfId="7" xr:uid="{00000000-0005-0000-0000-00000B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D4B4"/>
      <rgbColor rgb="FFFFC000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zoomScale="80" zoomScaleNormal="80" workbookViewId="0">
      <selection activeCell="P22" sqref="P22"/>
    </sheetView>
  </sheetViews>
  <sheetFormatPr defaultRowHeight="15"/>
  <cols>
    <col min="2" max="2" width="53" style="55" customWidth="1"/>
    <col min="3" max="3" width="7.5703125" bestFit="1" customWidth="1"/>
    <col min="4" max="4" width="9.5703125" bestFit="1" customWidth="1"/>
    <col min="5" max="20" width="16" customWidth="1"/>
  </cols>
  <sheetData>
    <row r="1" spans="1:18" ht="21.75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2"/>
      <c r="P1" s="40" t="s">
        <v>1</v>
      </c>
      <c r="Q1" s="93">
        <v>45902</v>
      </c>
      <c r="R1" s="93"/>
    </row>
    <row r="2" spans="1:18" ht="18.75" customHeight="1" thickBot="1">
      <c r="A2" s="94" t="s">
        <v>24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41" t="s">
        <v>2</v>
      </c>
      <c r="Q2" s="42">
        <v>1</v>
      </c>
      <c r="R2" s="43"/>
    </row>
    <row r="3" spans="1:18" ht="24" thickBot="1">
      <c r="A3" s="1"/>
      <c r="B3" s="77" t="s">
        <v>33</v>
      </c>
      <c r="C3" s="1"/>
      <c r="D3" s="1"/>
      <c r="E3" s="2"/>
      <c r="F3" s="2"/>
      <c r="G3" s="2"/>
      <c r="H3" s="3"/>
      <c r="I3" s="4"/>
      <c r="J3" s="30"/>
      <c r="K3" s="31"/>
      <c r="L3" s="31"/>
      <c r="M3" s="31"/>
      <c r="N3" s="32"/>
      <c r="O3" s="31"/>
      <c r="P3" s="39"/>
      <c r="Q3" s="39"/>
      <c r="R3" s="39"/>
    </row>
    <row r="4" spans="1:18" ht="27" thickBot="1">
      <c r="A4" s="97" t="s">
        <v>45</v>
      </c>
      <c r="B4" s="98"/>
      <c r="C4" s="98"/>
      <c r="D4" s="98"/>
      <c r="E4" s="98"/>
      <c r="F4" s="98"/>
      <c r="G4" s="98"/>
      <c r="H4" s="99"/>
      <c r="I4" s="5"/>
      <c r="J4" s="100" t="s">
        <v>3</v>
      </c>
      <c r="K4" s="101"/>
      <c r="L4" s="101"/>
      <c r="M4" s="101"/>
      <c r="N4" s="101"/>
      <c r="O4" s="101"/>
      <c r="P4" s="101"/>
      <c r="Q4" s="101"/>
      <c r="R4" s="101"/>
    </row>
    <row r="5" spans="1:18" ht="6" customHeight="1" thickBot="1">
      <c r="A5" s="1"/>
      <c r="B5" s="78"/>
      <c r="C5" s="1"/>
      <c r="D5" s="1"/>
      <c r="E5" s="2"/>
      <c r="F5" s="2"/>
      <c r="G5" s="2"/>
      <c r="H5" s="3"/>
      <c r="I5" s="6"/>
      <c r="J5" s="37"/>
      <c r="K5" s="37"/>
      <c r="L5" s="37"/>
      <c r="M5" s="37"/>
      <c r="N5" s="38"/>
      <c r="O5" s="37"/>
      <c r="P5" s="37"/>
      <c r="Q5" s="37"/>
      <c r="R5" s="37"/>
    </row>
    <row r="6" spans="1:18" s="88" customFormat="1" ht="40.5" customHeight="1">
      <c r="A6" s="80" t="s">
        <v>4</v>
      </c>
      <c r="B6" s="81" t="s">
        <v>5</v>
      </c>
      <c r="C6" s="82" t="s">
        <v>6</v>
      </c>
      <c r="D6" s="82" t="s">
        <v>25</v>
      </c>
      <c r="E6" s="82" t="s">
        <v>7</v>
      </c>
      <c r="F6" s="82" t="s">
        <v>28</v>
      </c>
      <c r="G6" s="82" t="s">
        <v>29</v>
      </c>
      <c r="H6" s="83" t="s">
        <v>8</v>
      </c>
      <c r="I6" s="84"/>
      <c r="J6" s="85" t="s">
        <v>26</v>
      </c>
      <c r="K6" s="86" t="s">
        <v>9</v>
      </c>
      <c r="L6" s="86" t="s">
        <v>31</v>
      </c>
      <c r="M6" s="86" t="s">
        <v>27</v>
      </c>
      <c r="N6" s="87" t="s">
        <v>10</v>
      </c>
      <c r="O6" s="86" t="s">
        <v>11</v>
      </c>
      <c r="P6" s="86" t="s">
        <v>12</v>
      </c>
      <c r="Q6" s="86" t="s">
        <v>32</v>
      </c>
      <c r="R6" s="86" t="s">
        <v>13</v>
      </c>
    </row>
    <row r="7" spans="1:18" s="55" customFormat="1" ht="30" customHeight="1">
      <c r="A7" s="44">
        <v>1</v>
      </c>
      <c r="B7" s="46" t="s">
        <v>40</v>
      </c>
      <c r="C7" s="21">
        <v>100</v>
      </c>
      <c r="D7" s="79" t="s">
        <v>34</v>
      </c>
      <c r="E7" s="21">
        <f t="shared" ref="E7:E13" si="0">D7*C7</f>
        <v>2400</v>
      </c>
      <c r="F7" s="65">
        <v>15</v>
      </c>
      <c r="G7" s="66">
        <f t="shared" ref="G7:G13" si="1">F7/D7</f>
        <v>0.625</v>
      </c>
      <c r="H7" s="67">
        <f t="shared" ref="H7:H13" si="2">G7*E7</f>
        <v>1500</v>
      </c>
      <c r="I7" s="68"/>
      <c r="J7" s="69">
        <f t="shared" ref="J7:K13" si="3">G7/$Q$2</f>
        <v>0.625</v>
      </c>
      <c r="K7" s="69">
        <f t="shared" si="3"/>
        <v>1500</v>
      </c>
      <c r="L7" s="69">
        <f>J7*(1+$M$17+9%)</f>
        <v>0.68125000000000002</v>
      </c>
      <c r="M7" s="69">
        <f t="shared" ref="M7:M13" si="4">L7*E7</f>
        <v>1635</v>
      </c>
      <c r="N7" s="70">
        <v>0.86660000000000004</v>
      </c>
      <c r="O7" s="71">
        <f t="shared" ref="O7:O13" si="5">N7*E7</f>
        <v>2079.84</v>
      </c>
      <c r="P7" s="71">
        <f t="shared" ref="P7:P13" si="6">N7-L7</f>
        <v>0.18535000000000001</v>
      </c>
      <c r="Q7" s="71">
        <f t="shared" ref="Q7:Q13" si="7">P7*E7</f>
        <v>444.84000000000003</v>
      </c>
      <c r="R7" s="72">
        <f t="shared" ref="R7:R13" si="8">P7/N7</f>
        <v>0.21388183706438957</v>
      </c>
    </row>
    <row r="8" spans="1:18" s="55" customFormat="1" ht="30" customHeight="1">
      <c r="A8" s="44">
        <v>2</v>
      </c>
      <c r="B8" s="46" t="s">
        <v>35</v>
      </c>
      <c r="C8" s="49">
        <v>100</v>
      </c>
      <c r="D8" s="53" t="s">
        <v>34</v>
      </c>
      <c r="E8" s="21">
        <f t="shared" si="0"/>
        <v>2400</v>
      </c>
      <c r="F8" s="50">
        <v>9.5</v>
      </c>
      <c r="G8" s="27">
        <f t="shared" si="1"/>
        <v>0.39583333333333331</v>
      </c>
      <c r="H8" s="48">
        <f t="shared" si="2"/>
        <v>950</v>
      </c>
      <c r="I8" s="57"/>
      <c r="J8" s="47">
        <f t="shared" si="3"/>
        <v>0.39583333333333331</v>
      </c>
      <c r="K8" s="47">
        <f t="shared" si="3"/>
        <v>950</v>
      </c>
      <c r="L8" s="47">
        <f>J8*(1+$M$17+9%)</f>
        <v>0.43145833333333333</v>
      </c>
      <c r="M8" s="47">
        <f t="shared" si="4"/>
        <v>1035.5</v>
      </c>
      <c r="N8" s="54">
        <v>0.6583</v>
      </c>
      <c r="O8" s="35">
        <f t="shared" si="5"/>
        <v>1579.92</v>
      </c>
      <c r="P8" s="35">
        <f t="shared" si="6"/>
        <v>0.22684166666666666</v>
      </c>
      <c r="Q8" s="35">
        <f t="shared" si="7"/>
        <v>544.41999999999996</v>
      </c>
      <c r="R8" s="36">
        <f t="shared" si="8"/>
        <v>0.34458706769963038</v>
      </c>
    </row>
    <row r="9" spans="1:18" s="55" customFormat="1" ht="30" customHeight="1">
      <c r="A9" s="44">
        <v>3</v>
      </c>
      <c r="B9" s="56" t="s">
        <v>36</v>
      </c>
      <c r="C9" s="21">
        <v>100</v>
      </c>
      <c r="D9" s="53" t="s">
        <v>34</v>
      </c>
      <c r="E9" s="21">
        <f t="shared" si="0"/>
        <v>2400</v>
      </c>
      <c r="F9" s="73">
        <v>10</v>
      </c>
      <c r="G9" s="27">
        <f t="shared" si="1"/>
        <v>0.41666666666666669</v>
      </c>
      <c r="H9" s="48">
        <f t="shared" si="2"/>
        <v>1000</v>
      </c>
      <c r="I9" s="74"/>
      <c r="J9" s="47">
        <f t="shared" si="3"/>
        <v>0.41666666666666669</v>
      </c>
      <c r="K9" s="47">
        <f t="shared" si="3"/>
        <v>1000</v>
      </c>
      <c r="L9" s="47">
        <f>J9*(1+$M$17+9%)</f>
        <v>0.45416666666666672</v>
      </c>
      <c r="M9" s="47">
        <f t="shared" si="4"/>
        <v>1090.0000000000002</v>
      </c>
      <c r="N9" s="54">
        <v>0.6583</v>
      </c>
      <c r="O9" s="35">
        <f t="shared" si="5"/>
        <v>1579.92</v>
      </c>
      <c r="P9" s="35">
        <f t="shared" si="6"/>
        <v>0.20413333333333328</v>
      </c>
      <c r="Q9" s="35">
        <f t="shared" si="7"/>
        <v>489.91999999999985</v>
      </c>
      <c r="R9" s="36">
        <f t="shared" si="8"/>
        <v>0.31009165021013713</v>
      </c>
    </row>
    <row r="10" spans="1:18" s="55" customFormat="1" ht="30" customHeight="1">
      <c r="A10" s="44">
        <v>4</v>
      </c>
      <c r="B10" s="64" t="s">
        <v>41</v>
      </c>
      <c r="C10" s="49">
        <v>24</v>
      </c>
      <c r="D10" s="53" t="s">
        <v>37</v>
      </c>
      <c r="E10" s="21">
        <f t="shared" si="0"/>
        <v>360</v>
      </c>
      <c r="F10" s="50">
        <v>10.833299999999999</v>
      </c>
      <c r="G10" s="27">
        <f t="shared" si="1"/>
        <v>0.72221999999999997</v>
      </c>
      <c r="H10" s="48">
        <f t="shared" si="2"/>
        <v>259.99919999999997</v>
      </c>
      <c r="I10" s="63"/>
      <c r="J10" s="47">
        <f t="shared" si="3"/>
        <v>0.72221999999999997</v>
      </c>
      <c r="K10" s="47">
        <f t="shared" si="3"/>
        <v>259.99919999999997</v>
      </c>
      <c r="L10" s="47">
        <f>J10*(1+$M$17+9%)</f>
        <v>0.78721980000000003</v>
      </c>
      <c r="M10" s="47">
        <f t="shared" si="4"/>
        <v>283.39912800000002</v>
      </c>
      <c r="N10" s="54">
        <v>1.25</v>
      </c>
      <c r="O10" s="35">
        <f t="shared" si="5"/>
        <v>450</v>
      </c>
      <c r="P10" s="35">
        <f t="shared" si="6"/>
        <v>0.46278019999999997</v>
      </c>
      <c r="Q10" s="35">
        <f t="shared" si="7"/>
        <v>166.60087199999998</v>
      </c>
      <c r="R10" s="36">
        <f t="shared" si="8"/>
        <v>0.37022415999999997</v>
      </c>
    </row>
    <row r="11" spans="1:18" ht="30" customHeight="1">
      <c r="A11" s="44">
        <v>5</v>
      </c>
      <c r="B11" s="56" t="s">
        <v>42</v>
      </c>
      <c r="C11" s="21">
        <v>24</v>
      </c>
      <c r="D11" s="75" t="s">
        <v>37</v>
      </c>
      <c r="E11" s="21">
        <f t="shared" si="0"/>
        <v>360</v>
      </c>
      <c r="F11" s="73">
        <v>10.833299999999999</v>
      </c>
      <c r="G11" s="27">
        <f t="shared" si="1"/>
        <v>0.72221999999999997</v>
      </c>
      <c r="H11" s="48">
        <f t="shared" si="2"/>
        <v>259.99919999999997</v>
      </c>
      <c r="I11" s="74"/>
      <c r="J11" s="47">
        <f t="shared" si="3"/>
        <v>0.72221999999999997</v>
      </c>
      <c r="K11" s="47">
        <f t="shared" si="3"/>
        <v>259.99919999999997</v>
      </c>
      <c r="L11" s="47">
        <f>J11*(1+$M$17+9%)</f>
        <v>0.78721980000000003</v>
      </c>
      <c r="M11" s="47">
        <f t="shared" si="4"/>
        <v>283.39912800000002</v>
      </c>
      <c r="N11" s="76">
        <v>1.25</v>
      </c>
      <c r="O11" s="35">
        <f t="shared" si="5"/>
        <v>450</v>
      </c>
      <c r="P11" s="35">
        <f t="shared" si="6"/>
        <v>0.46278019999999997</v>
      </c>
      <c r="Q11" s="35">
        <f t="shared" si="7"/>
        <v>166.60087199999998</v>
      </c>
      <c r="R11" s="36">
        <f t="shared" si="8"/>
        <v>0.37022415999999997</v>
      </c>
    </row>
    <row r="12" spans="1:18" s="55" customFormat="1" ht="30" customHeight="1">
      <c r="A12" s="44">
        <v>6</v>
      </c>
      <c r="B12" s="56" t="s">
        <v>43</v>
      </c>
      <c r="C12" s="21">
        <v>24</v>
      </c>
      <c r="D12" s="53" t="s">
        <v>37</v>
      </c>
      <c r="E12" s="21">
        <f t="shared" si="0"/>
        <v>360</v>
      </c>
      <c r="F12" s="28">
        <v>10.833299999999999</v>
      </c>
      <c r="G12" s="27">
        <f t="shared" si="1"/>
        <v>0.72221999999999997</v>
      </c>
      <c r="H12" s="48">
        <f t="shared" si="2"/>
        <v>259.99919999999997</v>
      </c>
      <c r="I12" s="52"/>
      <c r="J12" s="47">
        <f t="shared" si="3"/>
        <v>0.72221999999999997</v>
      </c>
      <c r="K12" s="47">
        <f t="shared" si="3"/>
        <v>259.99919999999997</v>
      </c>
      <c r="L12" s="47">
        <f>J12*(1+$M$17+9%)</f>
        <v>0.78721980000000003</v>
      </c>
      <c r="M12" s="47">
        <f t="shared" si="4"/>
        <v>283.39912800000002</v>
      </c>
      <c r="N12" s="54">
        <v>1.25</v>
      </c>
      <c r="O12" s="35">
        <f t="shared" si="5"/>
        <v>450</v>
      </c>
      <c r="P12" s="35">
        <f t="shared" si="6"/>
        <v>0.46278019999999997</v>
      </c>
      <c r="Q12" s="35">
        <f t="shared" si="7"/>
        <v>166.60087199999998</v>
      </c>
      <c r="R12" s="36">
        <f t="shared" si="8"/>
        <v>0.37022415999999997</v>
      </c>
    </row>
    <row r="13" spans="1:18" s="55" customFormat="1" ht="30" customHeight="1">
      <c r="A13" s="44">
        <v>9</v>
      </c>
      <c r="B13" s="56" t="s">
        <v>44</v>
      </c>
      <c r="C13" s="21">
        <v>24</v>
      </c>
      <c r="D13" s="53" t="s">
        <v>37</v>
      </c>
      <c r="E13" s="21">
        <f t="shared" si="0"/>
        <v>360</v>
      </c>
      <c r="F13" s="73">
        <v>8.1666000000000007</v>
      </c>
      <c r="G13" s="27">
        <f t="shared" si="1"/>
        <v>0.54444000000000004</v>
      </c>
      <c r="H13" s="48">
        <f t="shared" si="2"/>
        <v>195.9984</v>
      </c>
      <c r="I13" s="57"/>
      <c r="J13" s="47">
        <f t="shared" si="3"/>
        <v>0.54444000000000004</v>
      </c>
      <c r="K13" s="47">
        <f t="shared" si="3"/>
        <v>195.9984</v>
      </c>
      <c r="L13" s="47">
        <f>J13*(1+$M$17+9%)</f>
        <v>0.59343960000000007</v>
      </c>
      <c r="M13" s="47">
        <f t="shared" si="4"/>
        <v>213.63825600000001</v>
      </c>
      <c r="N13" s="54">
        <v>0.9</v>
      </c>
      <c r="O13" s="35">
        <f t="shared" si="5"/>
        <v>324</v>
      </c>
      <c r="P13" s="35">
        <f t="shared" si="6"/>
        <v>0.30656039999999996</v>
      </c>
      <c r="Q13" s="35">
        <f t="shared" si="7"/>
        <v>110.36174399999999</v>
      </c>
      <c r="R13" s="36">
        <f t="shared" si="8"/>
        <v>0.34062266666666663</v>
      </c>
    </row>
    <row r="14" spans="1:18" ht="30.75" thickBot="1">
      <c r="A14" s="102" t="s">
        <v>23</v>
      </c>
      <c r="B14" s="103"/>
      <c r="C14" s="103"/>
      <c r="D14" s="104"/>
      <c r="E14" s="16"/>
      <c r="F14" s="23"/>
      <c r="G14" s="112" t="s">
        <v>14</v>
      </c>
      <c r="H14" s="114">
        <f>SUM(H7:H13)</f>
        <v>4425.996000000001</v>
      </c>
      <c r="I14" s="51"/>
      <c r="J14" s="33" t="s">
        <v>15</v>
      </c>
      <c r="K14" s="34">
        <f>SUM(K7:K13)</f>
        <v>4425.996000000001</v>
      </c>
      <c r="L14" s="116" t="s">
        <v>16</v>
      </c>
      <c r="M14" s="117"/>
      <c r="N14" s="118">
        <f>SUM(O7:O13)</f>
        <v>6913.68</v>
      </c>
      <c r="O14" s="119"/>
      <c r="P14" s="120" t="s">
        <v>17</v>
      </c>
      <c r="Q14" s="121"/>
      <c r="R14" s="124">
        <f>N14-K17</f>
        <v>2089.3443599999991</v>
      </c>
    </row>
    <row r="15" spans="1:18" ht="24.95" customHeight="1" thickBot="1">
      <c r="A15" s="105"/>
      <c r="B15" s="103"/>
      <c r="C15" s="103"/>
      <c r="D15" s="104"/>
      <c r="E15" s="16"/>
      <c r="F15" s="24"/>
      <c r="G15" s="113"/>
      <c r="H15" s="115"/>
      <c r="I15" s="7"/>
      <c r="J15" s="17" t="s">
        <v>30</v>
      </c>
      <c r="K15" s="45">
        <f>K14*0.09</f>
        <v>398.33964000000009</v>
      </c>
      <c r="L15" s="126"/>
      <c r="M15" s="126"/>
      <c r="N15" s="126"/>
      <c r="O15" s="126"/>
      <c r="P15" s="122"/>
      <c r="Q15" s="123"/>
      <c r="R15" s="125"/>
    </row>
    <row r="16" spans="1:18" ht="30.75" thickBot="1">
      <c r="A16" s="106"/>
      <c r="B16" s="107"/>
      <c r="C16" s="107"/>
      <c r="D16" s="108"/>
      <c r="E16" s="8"/>
      <c r="F16" s="25"/>
      <c r="G16" s="9" t="s">
        <v>18</v>
      </c>
      <c r="H16" s="29">
        <v>0</v>
      </c>
      <c r="I16" s="7"/>
      <c r="J16" s="10" t="s">
        <v>19</v>
      </c>
      <c r="K16" s="18">
        <v>0</v>
      </c>
      <c r="L16" s="126"/>
      <c r="M16" s="126"/>
      <c r="N16" s="126"/>
      <c r="O16" s="126"/>
      <c r="P16" s="127" t="s">
        <v>20</v>
      </c>
      <c r="Q16" s="128"/>
      <c r="R16" s="11">
        <f>R14/N14</f>
        <v>0.30220437740826867</v>
      </c>
    </row>
    <row r="17" spans="1:18" ht="45.75" thickBot="1">
      <c r="A17" s="109"/>
      <c r="B17" s="110"/>
      <c r="C17" s="110"/>
      <c r="D17" s="111"/>
      <c r="E17" s="12"/>
      <c r="F17" s="26"/>
      <c r="G17" s="13" t="s">
        <v>21</v>
      </c>
      <c r="H17" s="22">
        <f>SUM(H14:H16)</f>
        <v>4425.996000000001</v>
      </c>
      <c r="I17" s="7"/>
      <c r="J17" s="14" t="s">
        <v>21</v>
      </c>
      <c r="K17" s="15">
        <f>SUM(K14:K16)</f>
        <v>4824.3356400000011</v>
      </c>
      <c r="L17" s="19" t="s">
        <v>22</v>
      </c>
      <c r="M17" s="129">
        <f>K16/K14</f>
        <v>0</v>
      </c>
      <c r="N17" s="130"/>
      <c r="O17" s="20"/>
      <c r="P17" s="4"/>
      <c r="Q17" s="4"/>
      <c r="R17" s="4"/>
    </row>
    <row r="18" spans="1:18" s="58" customFormat="1">
      <c r="B18" s="60"/>
      <c r="C18" s="59"/>
      <c r="N18" s="60"/>
    </row>
    <row r="19" spans="1:18" s="58" customFormat="1">
      <c r="B19" s="60"/>
      <c r="C19" s="59"/>
      <c r="N19" s="60"/>
    </row>
    <row r="20" spans="1:18" s="58" customFormat="1">
      <c r="B20" s="60"/>
      <c r="N20" s="60"/>
    </row>
    <row r="21" spans="1:18" s="58" customFormat="1">
      <c r="B21" s="60"/>
      <c r="N21" s="60"/>
    </row>
    <row r="22" spans="1:18" s="58" customFormat="1">
      <c r="B22" s="60"/>
      <c r="N22" s="60"/>
    </row>
    <row r="23" spans="1:18" s="61" customFormat="1">
      <c r="A23" s="61" t="s">
        <v>38</v>
      </c>
      <c r="B23" s="62"/>
      <c r="N23" s="62"/>
    </row>
    <row r="24" spans="1:18" s="89" customFormat="1" ht="15.75" customHeight="1">
      <c r="A24" s="89" t="s">
        <v>39</v>
      </c>
    </row>
  </sheetData>
  <autoFilter ref="A6:R17" xr:uid="{00000000-0009-0000-0000-000000000000}"/>
  <mergeCells count="16">
    <mergeCell ref="A24:XFD24"/>
    <mergeCell ref="A1:O1"/>
    <mergeCell ref="Q1:R1"/>
    <mergeCell ref="A2:O2"/>
    <mergeCell ref="A4:H4"/>
    <mergeCell ref="J4:R4"/>
    <mergeCell ref="A14:D17"/>
    <mergeCell ref="G14:G15"/>
    <mergeCell ref="H14:H15"/>
    <mergeCell ref="L14:M14"/>
    <mergeCell ref="N14:O14"/>
    <mergeCell ref="P14:Q15"/>
    <mergeCell ref="R14:R15"/>
    <mergeCell ref="L15:O16"/>
    <mergeCell ref="P16:Q16"/>
    <mergeCell ref="M17:N17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  <rowBreaks count="1" manualBreakCount="1">
    <brk id="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SS348662</vt:lpstr>
      <vt:lpstr>'SS348662'!Print_Titles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</dc:creator>
  <cp:lastModifiedBy>banpreet.saluja@gmail.com</cp:lastModifiedBy>
  <cp:lastPrinted>2026-03-30T05:43:12Z</cp:lastPrinted>
  <dcterms:created xsi:type="dcterms:W3CDTF">2023-12-14T08:09:44Z</dcterms:created>
  <dcterms:modified xsi:type="dcterms:W3CDTF">2026-04-14T10:11:12Z</dcterms:modified>
</cp:coreProperties>
</file>