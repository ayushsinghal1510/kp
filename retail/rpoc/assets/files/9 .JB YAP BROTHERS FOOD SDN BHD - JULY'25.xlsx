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Desktop\SEPT PROFIT LISTING\"/>
    </mc:Choice>
  </mc:AlternateContent>
  <xr:revisionPtr revIDLastSave="0" documentId="13_ncr:1_{286B9648-A96E-47DE-9A9C-4EB78F6CDD63}" xr6:coauthVersionLast="47" xr6:coauthVersionMax="47" xr10:uidLastSave="{00000000-0000-0000-0000-000000000000}"/>
  <bookViews>
    <workbookView xWindow="20370" yWindow="-120" windowWidth="29040" windowHeight="15840" tabRatio="588" xr2:uid="{00000000-000D-0000-FFFF-FFFF00000000}"/>
  </bookViews>
  <sheets>
    <sheet name="25-11590" sheetId="12" r:id="rId1"/>
    <sheet name="25-10148" sheetId="14" r:id="rId2"/>
  </sheets>
  <externalReferences>
    <externalReference r:id="rId3"/>
  </externalReferences>
  <definedNames>
    <definedName name="_xlnm._FilterDatabase" localSheetId="1" hidden="1">'25-10148'!$B$6:$Q$6</definedName>
    <definedName name="_xlnm._FilterDatabase" localSheetId="0" hidden="1">'25-11590'!$A$6:$T$71</definedName>
    <definedName name="_xlnm.Print_Area" localSheetId="0">'25-11590'!$A$1:$S$79</definedName>
    <definedName name="_xlnm.Print_Titles" localSheetId="0">'25-11590'!$1:$6</definedName>
  </definedNames>
  <calcPr calcId="181029"/>
</workbook>
</file>

<file path=xl/calcChain.xml><?xml version="1.0" encoding="utf-8"?>
<calcChain xmlns="http://schemas.openxmlformats.org/spreadsheetml/2006/main">
  <c r="K8" i="14" l="1"/>
  <c r="K9" i="14"/>
  <c r="K10" i="14"/>
  <c r="K11" i="14"/>
  <c r="K12" i="14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K50" i="14"/>
  <c r="K52" i="14"/>
  <c r="K53" i="14"/>
  <c r="K54" i="14"/>
  <c r="K55" i="14"/>
  <c r="F53" i="14"/>
  <c r="F54" i="14"/>
  <c r="G54" i="14" s="1"/>
  <c r="E54" i="14"/>
  <c r="O54" i="14" s="1"/>
  <c r="G53" i="14"/>
  <c r="E53" i="14"/>
  <c r="O53" i="14" s="1"/>
  <c r="F52" i="14"/>
  <c r="G52" i="14" s="1"/>
  <c r="E52" i="14"/>
  <c r="O52" i="14" s="1"/>
  <c r="F51" i="14"/>
  <c r="G51" i="14" s="1"/>
  <c r="E51" i="14"/>
  <c r="O51" i="14" s="1"/>
  <c r="F50" i="14"/>
  <c r="G50" i="14" s="1"/>
  <c r="J50" i="14" s="1"/>
  <c r="E50" i="14"/>
  <c r="O50" i="14" s="1"/>
  <c r="G49" i="14"/>
  <c r="E49" i="14"/>
  <c r="O49" i="14" s="1"/>
  <c r="F45" i="14"/>
  <c r="G45" i="14" s="1"/>
  <c r="E45" i="14"/>
  <c r="O45" i="14" s="1"/>
  <c r="F44" i="14"/>
  <c r="G44" i="14" s="1"/>
  <c r="J44" i="14" s="1"/>
  <c r="G48" i="14"/>
  <c r="E48" i="14"/>
  <c r="O48" i="14" s="1"/>
  <c r="G47" i="14"/>
  <c r="J47" i="14" s="1"/>
  <c r="E47" i="14"/>
  <c r="O47" i="14" s="1"/>
  <c r="G46" i="14"/>
  <c r="J46" i="14" s="1"/>
  <c r="E46" i="14"/>
  <c r="O46" i="14" s="1"/>
  <c r="E44" i="14"/>
  <c r="O44" i="14" s="1"/>
  <c r="H54" i="14" l="1"/>
  <c r="H53" i="14"/>
  <c r="J53" i="14"/>
  <c r="J54" i="14"/>
  <c r="H52" i="14"/>
  <c r="J52" i="14"/>
  <c r="H51" i="14"/>
  <c r="K51" i="14" s="1"/>
  <c r="J51" i="14"/>
  <c r="H50" i="14"/>
  <c r="H49" i="14"/>
  <c r="J49" i="14"/>
  <c r="H45" i="14"/>
  <c r="J45" i="14"/>
  <c r="H47" i="14"/>
  <c r="H48" i="14"/>
  <c r="J48" i="14"/>
  <c r="H46" i="14"/>
  <c r="H44" i="14"/>
  <c r="G43" i="14" l="1"/>
  <c r="E43" i="14"/>
  <c r="O43" i="14" s="1"/>
  <c r="G42" i="14"/>
  <c r="E42" i="14"/>
  <c r="O42" i="14" s="1"/>
  <c r="G41" i="14"/>
  <c r="E41" i="14"/>
  <c r="O41" i="14" s="1"/>
  <c r="G40" i="14"/>
  <c r="E40" i="14"/>
  <c r="O40" i="14" s="1"/>
  <c r="F38" i="14"/>
  <c r="G38" i="14" s="1"/>
  <c r="E38" i="14"/>
  <c r="O38" i="14" s="1"/>
  <c r="F36" i="14"/>
  <c r="F37" i="14"/>
  <c r="F39" i="14"/>
  <c r="F35" i="14"/>
  <c r="G33" i="14"/>
  <c r="J33" i="14" s="1"/>
  <c r="E33" i="14"/>
  <c r="O33" i="14" s="1"/>
  <c r="G32" i="14"/>
  <c r="J32" i="14" s="1"/>
  <c r="E32" i="14"/>
  <c r="O32" i="14" s="1"/>
  <c r="G31" i="14"/>
  <c r="E31" i="14"/>
  <c r="O31" i="14" s="1"/>
  <c r="F29" i="14"/>
  <c r="G29" i="14" s="1"/>
  <c r="J29" i="14" s="1"/>
  <c r="F28" i="14"/>
  <c r="G28" i="14" s="1"/>
  <c r="J28" i="14" s="1"/>
  <c r="G30" i="14"/>
  <c r="J30" i="14" s="1"/>
  <c r="E30" i="14"/>
  <c r="O30" i="14" s="1"/>
  <c r="E29" i="14"/>
  <c r="O29" i="14" s="1"/>
  <c r="E28" i="14"/>
  <c r="O28" i="14" s="1"/>
  <c r="G27" i="14"/>
  <c r="J27" i="14" s="1"/>
  <c r="E27" i="14"/>
  <c r="O27" i="14" s="1"/>
  <c r="G26" i="14"/>
  <c r="J26" i="14" s="1"/>
  <c r="E26" i="14"/>
  <c r="O26" i="14" s="1"/>
  <c r="G25" i="14"/>
  <c r="J25" i="14" s="1"/>
  <c r="E25" i="14"/>
  <c r="H42" i="14" l="1"/>
  <c r="J42" i="14"/>
  <c r="H40" i="14"/>
  <c r="J40" i="14"/>
  <c r="H41" i="14"/>
  <c r="J41" i="14"/>
  <c r="H43" i="14"/>
  <c r="J43" i="14"/>
  <c r="H38" i="14"/>
  <c r="J38" i="14"/>
  <c r="H33" i="14"/>
  <c r="H32" i="14"/>
  <c r="H31" i="14"/>
  <c r="J31" i="14"/>
  <c r="H30" i="14"/>
  <c r="H28" i="14"/>
  <c r="H26" i="14"/>
  <c r="H29" i="14"/>
  <c r="H25" i="14"/>
  <c r="H27" i="14"/>
  <c r="G24" i="14" l="1"/>
  <c r="E24" i="14"/>
  <c r="O24" i="14" s="1"/>
  <c r="G21" i="14"/>
  <c r="E21" i="14"/>
  <c r="O21" i="14" s="1"/>
  <c r="F16" i="14"/>
  <c r="F17" i="14"/>
  <c r="F15" i="14"/>
  <c r="G14" i="14"/>
  <c r="E14" i="14"/>
  <c r="O14" i="14" s="1"/>
  <c r="G13" i="14"/>
  <c r="J13" i="14" s="1"/>
  <c r="E13" i="14"/>
  <c r="O13" i="14" s="1"/>
  <c r="G12" i="14"/>
  <c r="E12" i="14"/>
  <c r="O12" i="14" s="1"/>
  <c r="G11" i="14"/>
  <c r="E11" i="14"/>
  <c r="O11" i="14" s="1"/>
  <c r="G10" i="14"/>
  <c r="E10" i="14"/>
  <c r="O10" i="14" s="1"/>
  <c r="H21" i="14" l="1"/>
  <c r="H24" i="14"/>
  <c r="J21" i="14"/>
  <c r="J24" i="14"/>
  <c r="H14" i="14"/>
  <c r="J14" i="14"/>
  <c r="H13" i="14"/>
  <c r="H10" i="14"/>
  <c r="H12" i="14"/>
  <c r="H11" i="14"/>
  <c r="J11" i="14"/>
  <c r="J12" i="14"/>
  <c r="J10" i="14"/>
  <c r="E7" i="14"/>
  <c r="O7" i="14" s="1"/>
  <c r="K58" i="14"/>
  <c r="G19" i="14"/>
  <c r="E19" i="14"/>
  <c r="O19" i="14" s="1"/>
  <c r="G22" i="14"/>
  <c r="J22" i="14" s="1"/>
  <c r="E22" i="14"/>
  <c r="O22" i="14" s="1"/>
  <c r="G23" i="14"/>
  <c r="J23" i="14" s="1"/>
  <c r="E23" i="14"/>
  <c r="G20" i="14"/>
  <c r="J20" i="14" s="1"/>
  <c r="E20" i="14"/>
  <c r="O20" i="14" s="1"/>
  <c r="G36" i="14"/>
  <c r="E36" i="14"/>
  <c r="O36" i="14" s="1"/>
  <c r="G35" i="14"/>
  <c r="J35" i="14" s="1"/>
  <c r="E35" i="14"/>
  <c r="O35" i="14" s="1"/>
  <c r="G34" i="14"/>
  <c r="E34" i="14"/>
  <c r="O34" i="14" s="1"/>
  <c r="G55" i="14"/>
  <c r="E55" i="14"/>
  <c r="O55" i="14" s="1"/>
  <c r="G17" i="14"/>
  <c r="J17" i="14" s="1"/>
  <c r="E17" i="14"/>
  <c r="O17" i="14" s="1"/>
  <c r="G16" i="14"/>
  <c r="E16" i="14"/>
  <c r="O16" i="14" s="1"/>
  <c r="G15" i="14"/>
  <c r="J15" i="14" s="1"/>
  <c r="E15" i="14"/>
  <c r="O15" i="14" s="1"/>
  <c r="G39" i="14"/>
  <c r="E39" i="14"/>
  <c r="O39" i="14" s="1"/>
  <c r="G37" i="14"/>
  <c r="J37" i="14" s="1"/>
  <c r="E37" i="14"/>
  <c r="O37" i="14" s="1"/>
  <c r="G18" i="14"/>
  <c r="J18" i="14" s="1"/>
  <c r="E18" i="14"/>
  <c r="O18" i="14" s="1"/>
  <c r="G9" i="14"/>
  <c r="J9" i="14" s="1"/>
  <c r="E9" i="14"/>
  <c r="O9" i="14" s="1"/>
  <c r="G8" i="14"/>
  <c r="E8" i="14"/>
  <c r="O8" i="14" s="1"/>
  <c r="G7" i="14"/>
  <c r="H36" i="14" l="1"/>
  <c r="J36" i="14"/>
  <c r="H55" i="14"/>
  <c r="J55" i="14"/>
  <c r="H23" i="14"/>
  <c r="H18" i="14"/>
  <c r="H20" i="14"/>
  <c r="O23" i="14"/>
  <c r="H7" i="14"/>
  <c r="K7" i="14" s="1"/>
  <c r="J7" i="14"/>
  <c r="J16" i="14"/>
  <c r="H16" i="14"/>
  <c r="H9" i="14"/>
  <c r="J39" i="14"/>
  <c r="H39" i="14"/>
  <c r="J8" i="14"/>
  <c r="H8" i="14"/>
  <c r="H15" i="14"/>
  <c r="H37" i="14"/>
  <c r="H34" i="14"/>
  <c r="H22" i="14"/>
  <c r="H17" i="14"/>
  <c r="J34" i="14"/>
  <c r="H35" i="14"/>
  <c r="J19" i="14"/>
  <c r="H19" i="14"/>
  <c r="N56" i="14" l="1"/>
  <c r="H56" i="14"/>
  <c r="H59" i="14" s="1"/>
  <c r="K56" i="14"/>
  <c r="K57" i="14" l="1"/>
  <c r="K59" i="14" s="1"/>
  <c r="M59" i="14"/>
  <c r="L8" i="14" l="1"/>
  <c r="L12" i="14"/>
  <c r="L16" i="14"/>
  <c r="L20" i="14"/>
  <c r="L24" i="14"/>
  <c r="L28" i="14"/>
  <c r="L32" i="14"/>
  <c r="L36" i="14"/>
  <c r="L40" i="14"/>
  <c r="L44" i="14"/>
  <c r="L48" i="14"/>
  <c r="L52" i="14"/>
  <c r="L9" i="14"/>
  <c r="L13" i="14"/>
  <c r="L17" i="14"/>
  <c r="L21" i="14"/>
  <c r="M21" i="14" s="1"/>
  <c r="L25" i="14"/>
  <c r="L29" i="14"/>
  <c r="L33" i="14"/>
  <c r="L37" i="14"/>
  <c r="L41" i="14"/>
  <c r="L45" i="14"/>
  <c r="L49" i="14"/>
  <c r="L53" i="14"/>
  <c r="L14" i="14"/>
  <c r="L18" i="14"/>
  <c r="L22" i="14"/>
  <c r="L26" i="14"/>
  <c r="M26" i="14" s="1"/>
  <c r="L30" i="14"/>
  <c r="L34" i="14"/>
  <c r="L38" i="14"/>
  <c r="L42" i="14"/>
  <c r="L46" i="14"/>
  <c r="L50" i="14"/>
  <c r="L54" i="14"/>
  <c r="L11" i="14"/>
  <c r="M11" i="14" s="1"/>
  <c r="L15" i="14"/>
  <c r="L19" i="14"/>
  <c r="L23" i="14"/>
  <c r="L27" i="14"/>
  <c r="L31" i="14"/>
  <c r="L35" i="14"/>
  <c r="L39" i="14"/>
  <c r="L43" i="14"/>
  <c r="L47" i="14"/>
  <c r="L55" i="14"/>
  <c r="L10" i="14"/>
  <c r="L51" i="14"/>
  <c r="M38" i="14"/>
  <c r="P38" i="14"/>
  <c r="P32" i="14"/>
  <c r="M27" i="14"/>
  <c r="M25" i="14"/>
  <c r="M29" i="14"/>
  <c r="M28" i="14"/>
  <c r="P10" i="14"/>
  <c r="M13" i="14"/>
  <c r="M39" i="14"/>
  <c r="M18" i="14"/>
  <c r="M14" i="14"/>
  <c r="M12" i="14"/>
  <c r="M37" i="14"/>
  <c r="L7" i="14"/>
  <c r="P49" i="14" l="1"/>
  <c r="M49" i="14"/>
  <c r="R38" i="14"/>
  <c r="Q38" i="14"/>
  <c r="M32" i="14"/>
  <c r="M33" i="14"/>
  <c r="P33" i="14"/>
  <c r="R32" i="14"/>
  <c r="Q32" i="14"/>
  <c r="P21" i="14"/>
  <c r="R21" i="14" s="1"/>
  <c r="M24" i="14"/>
  <c r="P24" i="14"/>
  <c r="M10" i="14"/>
  <c r="R10" i="14"/>
  <c r="Q10" i="14"/>
  <c r="P37" i="14"/>
  <c r="M34" i="14"/>
  <c r="P34" i="14"/>
  <c r="M16" i="14"/>
  <c r="P16" i="14"/>
  <c r="P19" i="14"/>
  <c r="M19" i="14"/>
  <c r="M7" i="14"/>
  <c r="P7" i="14"/>
  <c r="P17" i="14"/>
  <c r="M17" i="14"/>
  <c r="P39" i="14"/>
  <c r="M8" i="14"/>
  <c r="P8" i="14"/>
  <c r="P18" i="14"/>
  <c r="M22" i="14"/>
  <c r="P22" i="14"/>
  <c r="M23" i="14"/>
  <c r="P23" i="14"/>
  <c r="M15" i="14"/>
  <c r="P15" i="14"/>
  <c r="P9" i="14"/>
  <c r="M9" i="14"/>
  <c r="P55" i="14"/>
  <c r="M55" i="14"/>
  <c r="P20" i="14"/>
  <c r="M20" i="14"/>
  <c r="P36" i="14"/>
  <c r="M36" i="14"/>
  <c r="P35" i="14"/>
  <c r="M35" i="14"/>
  <c r="Q49" i="14" l="1"/>
  <c r="R49" i="14"/>
  <c r="P53" i="14"/>
  <c r="M52" i="14"/>
  <c r="P52" i="14"/>
  <c r="M50" i="14"/>
  <c r="M45" i="14"/>
  <c r="P45" i="14"/>
  <c r="R33" i="14"/>
  <c r="Q33" i="14"/>
  <c r="Q21" i="14"/>
  <c r="P30" i="14"/>
  <c r="R24" i="14"/>
  <c r="Q24" i="14"/>
  <c r="R15" i="14"/>
  <c r="Q15" i="14"/>
  <c r="R8" i="14"/>
  <c r="Q8" i="14"/>
  <c r="R7" i="14"/>
  <c r="Q7" i="14"/>
  <c r="R16" i="14"/>
  <c r="Q16" i="14"/>
  <c r="R37" i="14"/>
  <c r="Q37" i="14"/>
  <c r="Q18" i="14"/>
  <c r="R18" i="14"/>
  <c r="R17" i="14"/>
  <c r="Q17" i="14"/>
  <c r="R23" i="14"/>
  <c r="Q23" i="14"/>
  <c r="R22" i="14"/>
  <c r="Q22" i="14"/>
  <c r="R39" i="14"/>
  <c r="Q39" i="14"/>
  <c r="R34" i="14"/>
  <c r="Q34" i="14"/>
  <c r="R35" i="14"/>
  <c r="Q35" i="14"/>
  <c r="R36" i="14"/>
  <c r="Q36" i="14"/>
  <c r="Q20" i="14"/>
  <c r="R20" i="14"/>
  <c r="R55" i="14"/>
  <c r="Q55" i="14"/>
  <c r="R9" i="14"/>
  <c r="Q9" i="14"/>
  <c r="R19" i="14"/>
  <c r="Q19" i="14"/>
  <c r="M53" i="14" l="1"/>
  <c r="M54" i="14"/>
  <c r="P54" i="14"/>
  <c r="R53" i="14"/>
  <c r="Q53" i="14"/>
  <c r="P50" i="14"/>
  <c r="R50" i="14" s="1"/>
  <c r="R52" i="14"/>
  <c r="Q52" i="14"/>
  <c r="M51" i="14"/>
  <c r="P51" i="14"/>
  <c r="Q50" i="14"/>
  <c r="R45" i="14"/>
  <c r="Q45" i="14"/>
  <c r="M44" i="14"/>
  <c r="P44" i="14"/>
  <c r="M48" i="14"/>
  <c r="P48" i="14"/>
  <c r="P46" i="14"/>
  <c r="M46" i="14"/>
  <c r="P47" i="14"/>
  <c r="M47" i="14"/>
  <c r="M40" i="14"/>
  <c r="P40" i="14"/>
  <c r="M42" i="14"/>
  <c r="P42" i="14"/>
  <c r="M41" i="14"/>
  <c r="P41" i="14"/>
  <c r="M43" i="14"/>
  <c r="P43" i="14"/>
  <c r="M30" i="14"/>
  <c r="M31" i="14"/>
  <c r="P31" i="14"/>
  <c r="R30" i="14"/>
  <c r="Q30" i="14"/>
  <c r="P28" i="14"/>
  <c r="P29" i="14"/>
  <c r="P27" i="14"/>
  <c r="P26" i="14"/>
  <c r="P11" i="14"/>
  <c r="R11" i="14" s="1"/>
  <c r="P14" i="14"/>
  <c r="P13" i="14"/>
  <c r="P12" i="14"/>
  <c r="R54" i="14" l="1"/>
  <c r="Q54" i="14"/>
  <c r="R51" i="14"/>
  <c r="Q51" i="14"/>
  <c r="R48" i="14"/>
  <c r="Q48" i="14"/>
  <c r="Q47" i="14"/>
  <c r="R47" i="14"/>
  <c r="R44" i="14"/>
  <c r="Q44" i="14"/>
  <c r="R46" i="14"/>
  <c r="Q46" i="14"/>
  <c r="R43" i="14"/>
  <c r="Q43" i="14"/>
  <c r="R41" i="14"/>
  <c r="Q41" i="14"/>
  <c r="R40" i="14"/>
  <c r="Q40" i="14"/>
  <c r="R42" i="14"/>
  <c r="Q42" i="14"/>
  <c r="Q31" i="14"/>
  <c r="R31" i="14"/>
  <c r="Q28" i="14"/>
  <c r="R28" i="14"/>
  <c r="R29" i="14"/>
  <c r="Q29" i="14"/>
  <c r="Q26" i="14"/>
  <c r="R26" i="14"/>
  <c r="R27" i="14"/>
  <c r="Q27" i="14"/>
  <c r="Q11" i="14"/>
  <c r="Q13" i="14"/>
  <c r="R13" i="14"/>
  <c r="R14" i="14"/>
  <c r="Q14" i="14"/>
  <c r="R12" i="14"/>
  <c r="Q12" i="14"/>
  <c r="R56" i="14" l="1"/>
  <c r="R58" i="14" s="1"/>
  <c r="K70" i="12" l="1"/>
  <c r="H68" i="12" l="1"/>
  <c r="H71" i="12" s="1"/>
  <c r="N68" i="12"/>
  <c r="K68" i="12"/>
  <c r="M71" i="12" s="1"/>
  <c r="K69" i="12" l="1"/>
  <c r="K71" i="12" s="1"/>
  <c r="R68" i="12" l="1"/>
  <c r="R70" i="12" s="1"/>
</calcChain>
</file>

<file path=xl/sharedStrings.xml><?xml version="1.0" encoding="utf-8"?>
<sst xmlns="http://schemas.openxmlformats.org/spreadsheetml/2006/main" count="190" uniqueCount="109">
  <si>
    <t>Tian Ma Group Holdings Pte Ltd</t>
  </si>
  <si>
    <t xml:space="preserve">Date: </t>
  </si>
  <si>
    <t>Rate :</t>
  </si>
  <si>
    <t>PURCHASE ORDER</t>
  </si>
  <si>
    <t>Cost with Freight &amp; GST, Selling with GST</t>
  </si>
  <si>
    <t>No.</t>
  </si>
  <si>
    <t>Product Name</t>
  </si>
  <si>
    <t>Qty 
(CTN)</t>
  </si>
  <si>
    <t>Total Ordered Qty</t>
  </si>
  <si>
    <t>Total</t>
  </si>
  <si>
    <t>Total Cost 
(RAW)</t>
  </si>
  <si>
    <t>TMG Selling Price</t>
  </si>
  <si>
    <t>Total Selling</t>
  </si>
  <si>
    <t>UNIT PROFIT ($)</t>
  </si>
  <si>
    <t xml:space="preserve">Profit Margin - % </t>
  </si>
  <si>
    <t>SUB TOTAL:</t>
  </si>
  <si>
    <t>Total Cost:
(SGD)</t>
  </si>
  <si>
    <t>Total Selling: 
(SGD)</t>
  </si>
  <si>
    <t>Total Profit:</t>
  </si>
  <si>
    <t>Freight (CNF) Charge:</t>
  </si>
  <si>
    <t>Freight Charge:</t>
  </si>
  <si>
    <t>Profit over SP</t>
  </si>
  <si>
    <t>TOTAL AMT:</t>
  </si>
  <si>
    <t xml:space="preserve">Freight Charge Percentage  
(W/out GST)                                                  </t>
  </si>
  <si>
    <t>9 Changi South Street 3 #07-02/03 Singapore 486361</t>
  </si>
  <si>
    <t>Packing Size
(PC)</t>
  </si>
  <si>
    <t>NA</t>
  </si>
  <si>
    <t>TMG
Promotion
Price</t>
  </si>
  <si>
    <t>Unit Cost 
(SGD - PC)
(W/O GST)</t>
  </si>
  <si>
    <t>Total Cost 
(SGD)
(W GST)</t>
  </si>
  <si>
    <t>12</t>
  </si>
  <si>
    <t>24</t>
  </si>
  <si>
    <t>50</t>
  </si>
  <si>
    <t>9% GST</t>
  </si>
  <si>
    <t>TOTAL PROFIT ($)</t>
  </si>
  <si>
    <t>60</t>
  </si>
  <si>
    <t>Ctn Price
(RM)
(W/O GST)</t>
  </si>
  <si>
    <t>Unit Price
(RM)
(W/O GST)</t>
  </si>
  <si>
    <t>Supplier: JB YAP BROTHERS FOOD SDN BHD</t>
  </si>
  <si>
    <t>48</t>
  </si>
  <si>
    <t>10</t>
  </si>
  <si>
    <t>1 for $2.50
2 for $4.50</t>
  </si>
  <si>
    <t xml:space="preserve">DOUBLE DECKER CHEESE RING 70G              </t>
  </si>
  <si>
    <t xml:space="preserve">DOUBLE DECKER CHICKEN RING 65G              </t>
  </si>
  <si>
    <t xml:space="preserve">DOUBLE DECKER PRAWN RING 80G              </t>
  </si>
  <si>
    <t xml:space="preserve">PRINGLES ORIG 107G         </t>
  </si>
  <si>
    <t xml:space="preserve">PRINGLES SOUR CREAM 107G               </t>
  </si>
  <si>
    <t>1 for $2.50
2 for $4.80</t>
  </si>
  <si>
    <t>120</t>
  </si>
  <si>
    <t>400</t>
  </si>
  <si>
    <t>Unit Cost 10.42% (SGD - PC)</t>
  </si>
  <si>
    <t xml:space="preserve">____________________     ____________________     ____________________     ____________________     ____________________     </t>
  </si>
  <si>
    <t xml:space="preserve">              ORDER BY                          CHECKED BY                       SUBMITTED BY                 ACKNOWLEDGE BY              PRICE CHECKED BY</t>
  </si>
  <si>
    <t>24 09 2025</t>
  </si>
  <si>
    <t xml:space="preserve">CORNTOZ CHILLI CHEEZ 100G*10*5  </t>
  </si>
  <si>
    <t>GOODFOOD SOTONG PANGGANG GULA 210G*30</t>
  </si>
  <si>
    <t>GOODFOOD BLACK PEPPER C/FISH 210G*30</t>
  </si>
  <si>
    <t>30</t>
  </si>
  <si>
    <t>RM 2.20*60 GOODFOOD BLACK PEPPER</t>
  </si>
  <si>
    <t>RM2.20*60 GOODFOOD SOTONG PANGGANG</t>
  </si>
  <si>
    <t>HAW FLAKES 12*48 NOT RET</t>
  </si>
  <si>
    <t xml:space="preserve">MAMEE EXPRESS CUP TOM YUM 60GX8 (SP)                 </t>
  </si>
  <si>
    <t>8</t>
  </si>
  <si>
    <t xml:space="preserve">MAMEE EXPRESS CUP CURRY 60GX8 (SP)                </t>
  </si>
  <si>
    <t xml:space="preserve">MAMEE EXPRESS CUP VEGETARIAN 60GX8 (SP)               </t>
  </si>
  <si>
    <t xml:space="preserve">MAMEE EXPRESS CUP CHICKEN  60GX8 (SP)                </t>
  </si>
  <si>
    <r>
      <rPr>
        <b/>
        <u/>
        <sz val="18"/>
        <color indexed="8"/>
        <rFont val="Calibri"/>
        <family val="2"/>
      </rPr>
      <t xml:space="preserve">INV NO : </t>
    </r>
    <r>
      <rPr>
        <u/>
        <sz val="18"/>
        <color indexed="8"/>
        <rFont val="Calibri"/>
        <family val="2"/>
      </rPr>
      <t>25-08495</t>
    </r>
  </si>
  <si>
    <t>16</t>
  </si>
  <si>
    <t>1 for $2.00
2 for $3.80</t>
  </si>
  <si>
    <t xml:space="preserve">TRAIN HAW FLAKES 7Gx10       </t>
  </si>
  <si>
    <t>1 for $0.60
2 for $0.90</t>
  </si>
  <si>
    <r>
      <rPr>
        <b/>
        <u/>
        <sz val="15"/>
        <color indexed="8"/>
        <rFont val="Calibri"/>
        <family val="2"/>
      </rPr>
      <t xml:space="preserve">INV NO : </t>
    </r>
    <r>
      <rPr>
        <u/>
        <sz val="15"/>
        <color indexed="8"/>
        <rFont val="Calibri"/>
        <family val="2"/>
      </rPr>
      <t>25-03547 &amp; 25-03548</t>
    </r>
  </si>
  <si>
    <t>Unit Cost 10.32% (SGD - PC)</t>
  </si>
  <si>
    <t xml:space="preserve">FRUIT PLUS CHEWY CANDY BLKCURRENT 120G      </t>
  </si>
  <si>
    <t xml:space="preserve">FRUIT PLUS CHEWY CANDY MANGO 120G             </t>
  </si>
  <si>
    <t xml:space="preserve">FRUIT PLUS CHEWY CANDY LYCHEE 120G              </t>
  </si>
  <si>
    <t xml:space="preserve">FRUIT PLUS CHEWY CANDY APPLE 120G              </t>
  </si>
  <si>
    <t>__________________                    _______________________                               __________________</t>
  </si>
  <si>
    <t>ORDER PREPARED BY                             ACKNOWLEDGE BY                                                      CHECKED BY</t>
  </si>
  <si>
    <t xml:space="preserve">RM2.2*80 AKIKOFUNNY STICK 10G*12 </t>
  </si>
  <si>
    <t>AKIKO Vitaland ballL/pop 22*48</t>
  </si>
  <si>
    <t>PUSH Pop candy 14g*20*20</t>
  </si>
  <si>
    <t>AKIKO V/FOOD pastel Marshmallow 60g*50</t>
  </si>
  <si>
    <t xml:space="preserve">CORNTOZ  CHEEZy pizza 80G*10*5  </t>
  </si>
  <si>
    <t xml:space="preserve">CORNTOZ HOT &amp; SPICY 100G*10*5  </t>
  </si>
  <si>
    <t xml:space="preserve">CORNTOZ SMOKY BBQ 100G*10*5  </t>
  </si>
  <si>
    <t>FIZZY KOLA 120G*48</t>
  </si>
  <si>
    <t xml:space="preserve">FRUIT PLUS CHEWY CANDY COOL BLUE 120G              </t>
  </si>
  <si>
    <t xml:space="preserve">FRUIT PLUS CHEWY CANDY S'BERRY 120G             </t>
  </si>
  <si>
    <t>FUYUN PEELED CHESTNUT 108G*50</t>
  </si>
  <si>
    <t>40GX10X15 KUACI RAMA RAMA MARJERIN</t>
  </si>
  <si>
    <t>150</t>
  </si>
  <si>
    <t xml:space="preserve">LOT 100 SOUR+ GUMMY BLACKCURRENT 130G*24                 </t>
  </si>
  <si>
    <t xml:space="preserve">LOT 100 SOUR+ GUMMY MANGO 130G*24                 </t>
  </si>
  <si>
    <t xml:space="preserve">LOT 100 SOUR+ GUMMY STRAWBERRY 130G*24      </t>
  </si>
  <si>
    <t xml:space="preserve">LOT 100 SOUR+ GUMMY APPLE 95G                 </t>
  </si>
  <si>
    <t xml:space="preserve">LOT 100 SOUR+ GUMMY BLACK CURRANT 95G                 </t>
  </si>
  <si>
    <t xml:space="preserve">LOT 100 SOUR+ GUMMY MANGO 95G                 </t>
  </si>
  <si>
    <t xml:space="preserve">LOT 100 SOUR+ GUMMY S/BERRY 95G                 </t>
  </si>
  <si>
    <t xml:space="preserve">LOT 100 SOUR+ GUMMY ORANGE 95G                 </t>
  </si>
  <si>
    <t xml:space="preserve">PRINGLES BBQ 102G       </t>
  </si>
  <si>
    <t xml:space="preserve">PRINGLES CHEESY CHEESE 102G       </t>
  </si>
  <si>
    <t xml:space="preserve">PRINGLES H&amp;S 102G              </t>
  </si>
  <si>
    <t xml:space="preserve">RINDA MANGO NATA PUDDING 80GX6                </t>
  </si>
  <si>
    <t xml:space="preserve">SHOYUEMI BLACK PEPPER 14G*8*24     </t>
  </si>
  <si>
    <t xml:space="preserve">SHOYUEMI ORIGINAL 14G*8*24     </t>
  </si>
  <si>
    <t xml:space="preserve">SHOYUEMI SEA WEED 14G*8*24     </t>
  </si>
  <si>
    <t xml:space="preserve">SNEK KU MIMI 20G * 8*24   </t>
  </si>
  <si>
    <t xml:space="preserve">SNEK KU TAM TAM  20G*8*24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</si>
</sst>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&quot;$&quot;#,##0.0000"/>
    <numFmt numFmtId="166" formatCode="&quot;$&quot;#,##0.00"/>
    <numFmt numFmtId="167" formatCode="&quot;$&quot;&quot; &quot;#,##0.0000"/>
    <numFmt numFmtId="168" formatCode="&quot;$&quot;&quot; &quot;#,##0.00"/>
    <numFmt numFmtId="169" formatCode="0.000%"/>
    <numFmt numFmtId="170" formatCode="&quot; &quot;&quot;$&quot;* #,##0.00&quot; &quot;;&quot;-&quot;&quot;$&quot;* #,##0.00&quot; &quot;;&quot; &quot;&quot;$&quot;* &quot;-&quot;??&quot; &quot;"/>
    <numFmt numFmtId="171" formatCode="0.000"/>
    <numFmt numFmtId="172" formatCode="0.0000"/>
    <numFmt numFmtId="173" formatCode="_-&quot;$&quot;* #,##0.000_-;\-&quot;$&quot;* #,##0.000_-;_-&quot;$&quot;* &quot;-&quot;???_-;_-@_-"/>
    <numFmt numFmtId="174" formatCode="&quot; &quot;&quot;$&quot;* #,##0.0000&quot; &quot;;&quot;-&quot;&quot;$&quot;* #,##0.0000&quot; &quot;;&quot; &quot;&quot;$&quot;* &quot;-&quot;??&quot; &quot;"/>
    <numFmt numFmtId="175" formatCode="&quot; &quot;[$CNY]* #,##0.00&quot; &quot;;&quot; &quot;[$CNY]* &quot;-&quot;#,##0.00&quot; &quot;;&quot; &quot;[$CNY]* &quot;-&quot;??&quot; &quot;"/>
    <numFmt numFmtId="176" formatCode="&quot; &quot;[$$-409]* #,##0.0000&quot; &quot;;&quot; &quot;[$$-409]* &quot;-&quot;#,##0.0000&quot; &quot;;&quot; &quot;[$$-409]* &quot;-&quot;??&quot; &quot;"/>
    <numFmt numFmtId="177" formatCode="&quot; &quot;&quot;$&quot;* #,##0.00000&quot; &quot;;&quot;-&quot;&quot;$&quot;* #,##0.00000&quot; &quot;;&quot; &quot;&quot;$&quot;* &quot;-&quot;??&quot; &quot;"/>
  </numFmts>
  <fonts count="24">
    <font>
      <sz val="11"/>
      <color indexed="8"/>
      <name val="Calibri"/>
    </font>
    <font>
      <sz val="11"/>
      <color theme="1"/>
      <name val="Helvetica Neue"/>
      <family val="2"/>
      <scheme val="minor"/>
    </font>
    <font>
      <sz val="11"/>
      <color theme="1"/>
      <name val="Helvetica Neue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宋体"/>
      <family val="3"/>
      <charset val="134"/>
    </font>
    <font>
      <sz val="11"/>
      <color indexed="8"/>
      <name val="Calibri"/>
      <family val="2"/>
    </font>
    <font>
      <b/>
      <sz val="25"/>
      <color indexed="8"/>
      <name val="Calibri"/>
      <family val="2"/>
    </font>
    <font>
      <sz val="25"/>
      <color indexed="8"/>
      <name val="Calibri"/>
      <family val="2"/>
    </font>
    <font>
      <sz val="18"/>
      <color indexed="8"/>
      <name val="Calibri"/>
      <family val="2"/>
    </font>
    <font>
      <b/>
      <sz val="18"/>
      <color indexed="8"/>
      <name val="Calibri"/>
      <family val="2"/>
    </font>
    <font>
      <u/>
      <sz val="18"/>
      <color indexed="8"/>
      <name val="Calibri"/>
      <family val="2"/>
    </font>
    <font>
      <b/>
      <sz val="15"/>
      <color indexed="8"/>
      <name val="Calibri"/>
      <family val="2"/>
    </font>
    <font>
      <sz val="15"/>
      <color indexed="8"/>
      <name val="Calibri"/>
      <family val="2"/>
    </font>
    <font>
      <b/>
      <u/>
      <sz val="15"/>
      <color indexed="8"/>
      <name val="Calibri"/>
      <family val="2"/>
    </font>
    <font>
      <u/>
      <sz val="15"/>
      <color indexed="8"/>
      <name val="Calibri"/>
      <family val="2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b/>
      <u/>
      <sz val="18"/>
      <color indexed="8"/>
      <name val="Calibri"/>
      <family val="2"/>
    </font>
    <font>
      <sz val="8"/>
      <name val="Calibri"/>
      <family val="2"/>
    </font>
    <font>
      <b/>
      <u/>
      <sz val="11"/>
      <color indexed="13"/>
      <name val="Calibri"/>
      <family val="2"/>
    </font>
    <font>
      <sz val="11"/>
      <color indexed="13"/>
      <name val="Calibri"/>
      <family val="2"/>
    </font>
    <font>
      <b/>
      <sz val="11"/>
      <color indexed="13"/>
      <name val="Calibri"/>
      <family val="2"/>
    </font>
    <font>
      <b/>
      <u/>
      <sz val="12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83">
    <border>
      <left/>
      <right/>
      <top/>
      <bottom/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dotted">
        <color indexed="8"/>
      </left>
      <right style="dotted">
        <color indexed="8"/>
      </right>
      <top style="medium">
        <color indexed="8"/>
      </top>
      <bottom style="medium">
        <color indexed="8"/>
      </bottom>
      <diagonal/>
    </border>
    <border>
      <left style="dotted">
        <color indexed="8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dotted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 style="dotted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medium">
        <color indexed="8"/>
      </right>
      <top/>
      <bottom style="thin">
        <color indexed="10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dotted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dotted">
        <color indexed="8"/>
      </left>
      <right style="dotted">
        <color indexed="8"/>
      </right>
      <top/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10"/>
      </right>
      <top/>
      <bottom style="thin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dotted">
        <color indexed="8"/>
      </right>
      <top/>
      <bottom/>
      <diagonal/>
    </border>
    <border>
      <left style="dotted">
        <color indexed="8"/>
      </left>
      <right style="dotted">
        <color indexed="8"/>
      </right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/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10"/>
      </right>
      <top/>
      <bottom/>
      <diagonal/>
    </border>
    <border>
      <left style="thin">
        <color indexed="10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8"/>
      </left>
      <right style="medium">
        <color indexed="8"/>
      </right>
      <top/>
      <bottom style="thin">
        <color indexed="1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10"/>
      </top>
      <bottom/>
      <diagonal/>
    </border>
    <border>
      <left style="thin">
        <color indexed="10"/>
      </left>
      <right/>
      <top style="medium">
        <color indexed="8"/>
      </top>
      <bottom style="medium">
        <color indexed="8"/>
      </bottom>
      <diagonal/>
    </border>
    <border>
      <left/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 applyNumberFormat="0" applyFill="0" applyBorder="0" applyProtection="0"/>
    <xf numFmtId="43" fontId="2" fillId="0" borderId="0" applyFont="0" applyFill="0" applyBorder="0" applyAlignment="0" applyProtection="0"/>
    <xf numFmtId="0" fontId="4" fillId="0" borderId="0" applyNumberFormat="0" applyFill="0" applyBorder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>
      <alignment vertical="center"/>
    </xf>
    <xf numFmtId="0" fontId="4" fillId="0" borderId="0" applyNumberFormat="0" applyFill="0" applyBorder="0" applyProtection="0"/>
    <xf numFmtId="164" fontId="6" fillId="0" borderId="0" applyFont="0" applyFill="0" applyBorder="0" applyAlignment="0" applyProtection="0"/>
  </cellStyleXfs>
  <cellXfs count="302">
    <xf numFmtId="0" fontId="0" fillId="0" borderId="0" xfId="0"/>
    <xf numFmtId="0" fontId="4" fillId="0" borderId="0" xfId="0" applyNumberFormat="1" applyFont="1"/>
    <xf numFmtId="49" fontId="4" fillId="0" borderId="51" xfId="0" applyNumberFormat="1" applyFont="1" applyFill="1" applyBorder="1" applyAlignment="1">
      <alignment horizontal="center" vertical="center" wrapText="1"/>
    </xf>
    <xf numFmtId="3" fontId="4" fillId="0" borderId="26" xfId="0" applyNumberFormat="1" applyFont="1" applyFill="1" applyBorder="1" applyAlignment="1">
      <alignment horizontal="center" vertical="center"/>
    </xf>
    <xf numFmtId="173" fontId="4" fillId="0" borderId="26" xfId="1" applyNumberFormat="1" applyFont="1" applyFill="1" applyBorder="1" applyAlignment="1">
      <alignment vertical="center"/>
    </xf>
    <xf numFmtId="168" fontId="4" fillId="0" borderId="26" xfId="0" applyNumberFormat="1" applyFont="1" applyFill="1" applyBorder="1" applyAlignment="1">
      <alignment horizontal="center" vertical="center"/>
    </xf>
    <xf numFmtId="10" fontId="4" fillId="0" borderId="26" xfId="0" applyNumberFormat="1" applyFont="1" applyFill="1" applyBorder="1" applyAlignment="1">
      <alignment horizontal="center" vertical="center"/>
    </xf>
    <xf numFmtId="164" fontId="4" fillId="0" borderId="26" xfId="0" applyNumberFormat="1" applyFont="1" applyFill="1" applyBorder="1" applyAlignment="1">
      <alignment vertical="center"/>
    </xf>
    <xf numFmtId="167" fontId="4" fillId="0" borderId="26" xfId="0" applyNumberFormat="1" applyFont="1" applyFill="1" applyBorder="1" applyAlignment="1">
      <alignment horizontal="center" vertical="center"/>
    </xf>
    <xf numFmtId="164" fontId="4" fillId="0" borderId="26" xfId="9" applyNumberFormat="1" applyFill="1" applyBorder="1" applyAlignment="1">
      <alignment horizontal="center" vertical="center"/>
    </xf>
    <xf numFmtId="164" fontId="4" fillId="0" borderId="72" xfId="10" applyFont="1" applyFill="1" applyBorder="1" applyAlignment="1">
      <alignment horizontal="center" vertical="center"/>
    </xf>
    <xf numFmtId="0" fontId="4" fillId="0" borderId="0" xfId="0" applyNumberFormat="1" applyFont="1" applyFill="1"/>
    <xf numFmtId="10" fontId="3" fillId="0" borderId="26" xfId="0" applyNumberFormat="1" applyFont="1" applyFill="1" applyBorder="1" applyAlignment="1">
      <alignment horizontal="center" vertical="center" wrapText="1"/>
    </xf>
    <xf numFmtId="1" fontId="4" fillId="0" borderId="0" xfId="0" applyNumberFormat="1" applyFont="1" applyFill="1" applyBorder="1" applyAlignment="1">
      <alignment horizontal="center" vertical="center"/>
    </xf>
    <xf numFmtId="49" fontId="7" fillId="2" borderId="36" xfId="0" applyNumberFormat="1" applyFont="1" applyFill="1" applyBorder="1" applyAlignment="1">
      <alignment horizontal="right" vertical="center"/>
    </xf>
    <xf numFmtId="0" fontId="8" fillId="0" borderId="0" xfId="0" applyNumberFormat="1" applyFont="1"/>
    <xf numFmtId="49" fontId="10" fillId="2" borderId="69" xfId="0" applyNumberFormat="1" applyFont="1" applyFill="1" applyBorder="1" applyAlignment="1">
      <alignment horizontal="right"/>
    </xf>
    <xf numFmtId="171" fontId="10" fillId="2" borderId="44" xfId="0" applyNumberFormat="1" applyFont="1" applyFill="1" applyBorder="1" applyAlignment="1">
      <alignment horizontal="center"/>
    </xf>
    <xf numFmtId="172" fontId="10" fillId="2" borderId="44" xfId="0" applyNumberFormat="1" applyFont="1" applyFill="1" applyBorder="1" applyAlignment="1">
      <alignment horizontal="center"/>
    </xf>
    <xf numFmtId="0" fontId="10" fillId="2" borderId="45" xfId="0" applyFont="1" applyFill="1" applyBorder="1" applyAlignment="1">
      <alignment horizontal="center"/>
    </xf>
    <xf numFmtId="0" fontId="9" fillId="0" borderId="0" xfId="0" applyNumberFormat="1" applyFont="1"/>
    <xf numFmtId="0" fontId="9" fillId="2" borderId="7" xfId="0" applyFont="1" applyFill="1" applyBorder="1"/>
    <xf numFmtId="165" fontId="9" fillId="2" borderId="7" xfId="0" applyNumberFormat="1" applyFont="1" applyFill="1" applyBorder="1"/>
    <xf numFmtId="166" fontId="9" fillId="2" borderId="7" xfId="0" applyNumberFormat="1" applyFont="1" applyFill="1" applyBorder="1"/>
    <xf numFmtId="0" fontId="9" fillId="2" borderId="2" xfId="0" applyFont="1" applyFill="1" applyBorder="1"/>
    <xf numFmtId="0" fontId="9" fillId="2" borderId="58" xfId="0" applyFont="1" applyFill="1" applyBorder="1"/>
    <xf numFmtId="0" fontId="11" fillId="2" borderId="58" xfId="0" applyFont="1" applyFill="1" applyBorder="1" applyAlignment="1">
      <alignment vertical="center"/>
    </xf>
    <xf numFmtId="0" fontId="11" fillId="0" borderId="58" xfId="0" applyFont="1" applyFill="1" applyBorder="1" applyAlignment="1">
      <alignment vertical="center"/>
    </xf>
    <xf numFmtId="0" fontId="13" fillId="2" borderId="11" xfId="0" applyFont="1" applyFill="1" applyBorder="1"/>
    <xf numFmtId="0" fontId="13" fillId="0" borderId="0" xfId="0" applyNumberFormat="1" applyFont="1"/>
    <xf numFmtId="0" fontId="13" fillId="2" borderId="7" xfId="0" applyFont="1" applyFill="1" applyBorder="1"/>
    <xf numFmtId="165" fontId="13" fillId="2" borderId="7" xfId="0" applyNumberFormat="1" applyFont="1" applyFill="1" applyBorder="1"/>
    <xf numFmtId="166" fontId="13" fillId="2" borderId="7" xfId="0" applyNumberFormat="1" applyFont="1" applyFill="1" applyBorder="1"/>
    <xf numFmtId="166" fontId="13" fillId="2" borderId="8" xfId="0" applyNumberFormat="1" applyFont="1" applyFill="1" applyBorder="1"/>
    <xf numFmtId="0" fontId="13" fillId="2" borderId="68" xfId="0" applyFont="1" applyFill="1" applyBorder="1"/>
    <xf numFmtId="0" fontId="13" fillId="0" borderId="68" xfId="0" applyFont="1" applyFill="1" applyBorder="1"/>
    <xf numFmtId="49" fontId="12" fillId="3" borderId="32" xfId="0" applyNumberFormat="1" applyFont="1" applyFill="1" applyBorder="1" applyAlignment="1">
      <alignment horizontal="center" vertical="center"/>
    </xf>
    <xf numFmtId="49" fontId="12" fillId="3" borderId="49" xfId="0" applyNumberFormat="1" applyFont="1" applyFill="1" applyBorder="1" applyAlignment="1">
      <alignment horizontal="center" vertical="center" wrapText="1"/>
    </xf>
    <xf numFmtId="49" fontId="12" fillId="3" borderId="50" xfId="0" applyNumberFormat="1" applyFont="1" applyFill="1" applyBorder="1" applyAlignment="1">
      <alignment horizontal="center" vertical="center"/>
    </xf>
    <xf numFmtId="166" fontId="12" fillId="2" borderId="59" xfId="0" applyNumberFormat="1" applyFont="1" applyFill="1" applyBorder="1" applyAlignment="1">
      <alignment horizontal="center" vertical="center"/>
    </xf>
    <xf numFmtId="49" fontId="12" fillId="3" borderId="65" xfId="0" applyNumberFormat="1" applyFont="1" applyFill="1" applyBorder="1" applyAlignment="1">
      <alignment horizontal="center" vertical="center" wrapText="1"/>
    </xf>
    <xf numFmtId="49" fontId="12" fillId="3" borderId="66" xfId="0" applyNumberFormat="1" applyFont="1" applyFill="1" applyBorder="1" applyAlignment="1">
      <alignment horizontal="center" vertical="center" wrapText="1"/>
    </xf>
    <xf numFmtId="49" fontId="12" fillId="4" borderId="66" xfId="0" applyNumberFormat="1" applyFont="1" applyFill="1" applyBorder="1" applyAlignment="1">
      <alignment horizontal="center" vertical="center" wrapText="1"/>
    </xf>
    <xf numFmtId="49" fontId="12" fillId="3" borderId="67" xfId="0" applyNumberFormat="1" applyFont="1" applyFill="1" applyBorder="1" applyAlignment="1">
      <alignment horizontal="center" vertical="center" wrapText="1"/>
    </xf>
    <xf numFmtId="0" fontId="7" fillId="2" borderId="33" xfId="0" applyFont="1" applyFill="1" applyBorder="1"/>
    <xf numFmtId="0" fontId="12" fillId="2" borderId="68" xfId="0" applyFont="1" applyFill="1" applyBorder="1"/>
    <xf numFmtId="0" fontId="3" fillId="0" borderId="0" xfId="0" applyNumberFormat="1" applyFont="1"/>
    <xf numFmtId="0" fontId="16" fillId="0" borderId="0" xfId="0" applyNumberFormat="1" applyFont="1"/>
    <xf numFmtId="49" fontId="16" fillId="0" borderId="26" xfId="0" applyNumberFormat="1" applyFont="1" applyFill="1" applyBorder="1" applyAlignment="1">
      <alignment vertical="center" wrapText="1"/>
    </xf>
    <xf numFmtId="49" fontId="9" fillId="0" borderId="26" xfId="0" applyNumberFormat="1" applyFont="1" applyFill="1" applyBorder="1" applyAlignment="1">
      <alignment vertical="center" wrapText="1"/>
    </xf>
    <xf numFmtId="49" fontId="10" fillId="2" borderId="36" xfId="0" applyNumberFormat="1" applyFont="1" applyFill="1" applyBorder="1" applyAlignment="1">
      <alignment horizontal="right" vertical="center"/>
    </xf>
    <xf numFmtId="0" fontId="10" fillId="2" borderId="33" xfId="0" applyFont="1" applyFill="1" applyBorder="1"/>
    <xf numFmtId="0" fontId="10" fillId="2" borderId="7" xfId="0" applyFont="1" applyFill="1" applyBorder="1"/>
    <xf numFmtId="0" fontId="9" fillId="2" borderId="11" xfId="0" applyFont="1" applyFill="1" applyBorder="1"/>
    <xf numFmtId="166" fontId="9" fillId="2" borderId="8" xfId="0" applyNumberFormat="1" applyFont="1" applyFill="1" applyBorder="1"/>
    <xf numFmtId="0" fontId="9" fillId="2" borderId="68" xfId="0" applyFont="1" applyFill="1" applyBorder="1"/>
    <xf numFmtId="0" fontId="9" fillId="0" borderId="68" xfId="0" applyFont="1" applyFill="1" applyBorder="1"/>
    <xf numFmtId="0" fontId="10" fillId="2" borderId="68" xfId="0" applyFont="1" applyFill="1" applyBorder="1"/>
    <xf numFmtId="49" fontId="10" fillId="3" borderId="32" xfId="0" applyNumberFormat="1" applyFont="1" applyFill="1" applyBorder="1" applyAlignment="1">
      <alignment horizontal="center" vertical="center"/>
    </xf>
    <xf numFmtId="49" fontId="10" fillId="3" borderId="49" xfId="0" applyNumberFormat="1" applyFont="1" applyFill="1" applyBorder="1" applyAlignment="1">
      <alignment horizontal="center" vertical="center"/>
    </xf>
    <xf numFmtId="49" fontId="10" fillId="3" borderId="49" xfId="0" applyNumberFormat="1" applyFont="1" applyFill="1" applyBorder="1" applyAlignment="1">
      <alignment horizontal="center" vertical="center" wrapText="1"/>
    </xf>
    <xf numFmtId="49" fontId="10" fillId="3" borderId="50" xfId="0" applyNumberFormat="1" applyFont="1" applyFill="1" applyBorder="1" applyAlignment="1">
      <alignment horizontal="center" vertical="center"/>
    </xf>
    <xf numFmtId="166" fontId="10" fillId="2" borderId="73" xfId="0" applyNumberFormat="1" applyFont="1" applyFill="1" applyBorder="1" applyAlignment="1">
      <alignment horizontal="center" vertical="center"/>
    </xf>
    <xf numFmtId="49" fontId="10" fillId="3" borderId="78" xfId="0" applyNumberFormat="1" applyFont="1" applyFill="1" applyBorder="1" applyAlignment="1">
      <alignment horizontal="center" vertical="center" wrapText="1"/>
    </xf>
    <xf numFmtId="49" fontId="10" fillId="3" borderId="79" xfId="0" applyNumberFormat="1" applyFont="1" applyFill="1" applyBorder="1" applyAlignment="1">
      <alignment horizontal="center" vertical="center" wrapText="1"/>
    </xf>
    <xf numFmtId="49" fontId="10" fillId="4" borderId="79" xfId="0" applyNumberFormat="1" applyFont="1" applyFill="1" applyBorder="1" applyAlignment="1">
      <alignment horizontal="center" vertical="center" wrapText="1"/>
    </xf>
    <xf numFmtId="49" fontId="10" fillId="3" borderId="80" xfId="0" applyNumberFormat="1" applyFont="1" applyFill="1" applyBorder="1" applyAlignment="1">
      <alignment horizontal="center" vertical="center" wrapText="1"/>
    </xf>
    <xf numFmtId="3" fontId="9" fillId="0" borderId="76" xfId="0" applyNumberFormat="1" applyFont="1" applyFill="1" applyBorder="1" applyAlignment="1">
      <alignment horizontal="center" vertical="center"/>
    </xf>
    <xf numFmtId="173" fontId="9" fillId="0" borderId="76" xfId="1" applyNumberFormat="1" applyFont="1" applyFill="1" applyBorder="1" applyAlignment="1">
      <alignment vertical="center"/>
    </xf>
    <xf numFmtId="164" fontId="9" fillId="0" borderId="76" xfId="0" applyNumberFormat="1" applyFont="1" applyFill="1" applyBorder="1" applyAlignment="1">
      <alignment vertical="center"/>
    </xf>
    <xf numFmtId="167" fontId="9" fillId="0" borderId="76" xfId="0" applyNumberFormat="1" applyFont="1" applyFill="1" applyBorder="1" applyAlignment="1">
      <alignment horizontal="center" vertical="center"/>
    </xf>
    <xf numFmtId="168" fontId="9" fillId="0" borderId="76" xfId="0" applyNumberFormat="1" applyFont="1" applyFill="1" applyBorder="1" applyAlignment="1">
      <alignment horizontal="center" vertical="center"/>
    </xf>
    <xf numFmtId="10" fontId="9" fillId="0" borderId="76" xfId="0" applyNumberFormat="1" applyFont="1" applyFill="1" applyBorder="1" applyAlignment="1">
      <alignment horizontal="center" vertical="center"/>
    </xf>
    <xf numFmtId="49" fontId="9" fillId="0" borderId="51" xfId="0" applyNumberFormat="1" applyFont="1" applyFill="1" applyBorder="1" applyAlignment="1">
      <alignment vertical="center" wrapText="1"/>
    </xf>
    <xf numFmtId="3" fontId="9" fillId="0" borderId="26" xfId="0" applyNumberFormat="1" applyFont="1" applyFill="1" applyBorder="1" applyAlignment="1">
      <alignment horizontal="center" vertical="center"/>
    </xf>
    <xf numFmtId="49" fontId="9" fillId="0" borderId="51" xfId="0" applyNumberFormat="1" applyFont="1" applyFill="1" applyBorder="1" applyAlignment="1">
      <alignment horizontal="center" vertical="center" wrapText="1"/>
    </xf>
    <xf numFmtId="164" fontId="9" fillId="0" borderId="72" xfId="10" applyFont="1" applyFill="1" applyBorder="1" applyAlignment="1">
      <alignment horizontal="center" vertical="center"/>
    </xf>
    <xf numFmtId="173" fontId="9" fillId="0" borderId="26" xfId="1" applyNumberFormat="1" applyFont="1" applyFill="1" applyBorder="1" applyAlignment="1">
      <alignment vertical="center"/>
    </xf>
    <xf numFmtId="164" fontId="9" fillId="0" borderId="26" xfId="0" applyNumberFormat="1" applyFont="1" applyFill="1" applyBorder="1" applyAlignment="1">
      <alignment vertical="center"/>
    </xf>
    <xf numFmtId="167" fontId="9" fillId="0" borderId="26" xfId="0" applyNumberFormat="1" applyFont="1" applyFill="1" applyBorder="1" applyAlignment="1">
      <alignment horizontal="center" vertical="center"/>
    </xf>
    <xf numFmtId="164" fontId="9" fillId="0" borderId="26" xfId="9" applyNumberFormat="1" applyFont="1" applyFill="1" applyBorder="1" applyAlignment="1">
      <alignment horizontal="center" vertical="center"/>
    </xf>
    <xf numFmtId="168" fontId="9" fillId="0" borderId="26" xfId="0" applyNumberFormat="1" applyFont="1" applyFill="1" applyBorder="1" applyAlignment="1">
      <alignment horizontal="center" vertical="center"/>
    </xf>
    <xf numFmtId="10" fontId="9" fillId="0" borderId="26" xfId="0" applyNumberFormat="1" applyFont="1" applyFill="1" applyBorder="1" applyAlignment="1">
      <alignment horizontal="center" vertical="center"/>
    </xf>
    <xf numFmtId="10" fontId="9" fillId="0" borderId="26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Fill="1"/>
    <xf numFmtId="49" fontId="9" fillId="0" borderId="51" xfId="0" applyNumberFormat="1" applyFont="1" applyBorder="1" applyAlignment="1">
      <alignment vertical="center" wrapText="1"/>
    </xf>
    <xf numFmtId="10" fontId="10" fillId="0" borderId="26" xfId="0" applyNumberFormat="1" applyFont="1" applyFill="1" applyBorder="1" applyAlignment="1">
      <alignment horizontal="center" vertical="center" wrapText="1"/>
    </xf>
    <xf numFmtId="1" fontId="9" fillId="0" borderId="26" xfId="0" applyNumberFormat="1" applyFont="1" applyFill="1" applyBorder="1" applyAlignment="1">
      <alignment horizontal="center" vertical="center"/>
    </xf>
    <xf numFmtId="49" fontId="9" fillId="0" borderId="0" xfId="0" applyNumberFormat="1" applyFont="1" applyFill="1" applyBorder="1" applyAlignment="1">
      <alignment vertical="center" wrapText="1"/>
    </xf>
    <xf numFmtId="49" fontId="9" fillId="0" borderId="0" xfId="0" applyNumberFormat="1" applyFont="1" applyFill="1" applyBorder="1" applyAlignment="1">
      <alignment horizontal="center" vertical="center" wrapText="1"/>
    </xf>
    <xf numFmtId="3" fontId="9" fillId="0" borderId="81" xfId="0" applyNumberFormat="1" applyFont="1" applyFill="1" applyBorder="1" applyAlignment="1">
      <alignment horizontal="center" vertical="center"/>
    </xf>
    <xf numFmtId="1" fontId="9" fillId="0" borderId="0" xfId="0" applyNumberFormat="1" applyFont="1" applyFill="1" applyBorder="1" applyAlignment="1">
      <alignment horizontal="center" vertical="center"/>
    </xf>
    <xf numFmtId="164" fontId="9" fillId="5" borderId="26" xfId="9" applyNumberFormat="1" applyFont="1" applyFill="1" applyBorder="1" applyAlignment="1">
      <alignment horizontal="center" vertical="center"/>
    </xf>
    <xf numFmtId="165" fontId="10" fillId="3" borderId="30" xfId="0" applyNumberFormat="1" applyFont="1" applyFill="1" applyBorder="1" applyAlignment="1">
      <alignment horizontal="right" vertical="center" wrapText="1"/>
    </xf>
    <xf numFmtId="0" fontId="9" fillId="2" borderId="71" xfId="0" applyFont="1" applyFill="1" applyBorder="1"/>
    <xf numFmtId="49" fontId="10" fillId="3" borderId="40" xfId="0" applyNumberFormat="1" applyFont="1" applyFill="1" applyBorder="1" applyAlignment="1">
      <alignment horizontal="right" vertical="center" wrapText="1"/>
    </xf>
    <xf numFmtId="168" fontId="10" fillId="2" borderId="42" xfId="0" applyNumberFormat="1" applyFont="1" applyFill="1" applyBorder="1" applyAlignment="1">
      <alignment horizontal="right" vertical="center"/>
    </xf>
    <xf numFmtId="0" fontId="10" fillId="0" borderId="43" xfId="0" applyFont="1" applyFill="1" applyBorder="1"/>
    <xf numFmtId="0" fontId="9" fillId="2" borderId="20" xfId="0" applyFont="1" applyFill="1" applyBorder="1"/>
    <xf numFmtId="49" fontId="10" fillId="3" borderId="32" xfId="0" applyNumberFormat="1" applyFont="1" applyFill="1" applyBorder="1" applyAlignment="1">
      <alignment horizontal="right" vertical="center" wrapText="1"/>
    </xf>
    <xf numFmtId="166" fontId="10" fillId="2" borderId="38" xfId="0" applyNumberFormat="1" applyFont="1" applyFill="1" applyBorder="1" applyAlignment="1">
      <alignment horizontal="right" vertical="center"/>
    </xf>
    <xf numFmtId="0" fontId="10" fillId="0" borderId="12" xfId="0" applyFont="1" applyFill="1" applyBorder="1"/>
    <xf numFmtId="165" fontId="10" fillId="3" borderId="15" xfId="0" applyNumberFormat="1" applyFont="1" applyFill="1" applyBorder="1" applyAlignment="1">
      <alignment horizontal="right" vertical="center" wrapText="1"/>
    </xf>
    <xf numFmtId="49" fontId="10" fillId="3" borderId="23" xfId="0" applyNumberFormat="1" applyFont="1" applyFill="1" applyBorder="1" applyAlignment="1">
      <alignment horizontal="right" vertical="center" wrapText="1"/>
    </xf>
    <xf numFmtId="164" fontId="9" fillId="5" borderId="19" xfId="0" applyNumberFormat="1" applyFont="1" applyFill="1" applyBorder="1" applyAlignment="1">
      <alignment vertical="center"/>
    </xf>
    <xf numFmtId="49" fontId="10" fillId="3" borderId="14" xfId="0" applyNumberFormat="1" applyFont="1" applyFill="1" applyBorder="1" applyAlignment="1">
      <alignment horizontal="right" vertical="center" wrapText="1"/>
    </xf>
    <xf numFmtId="168" fontId="9" fillId="2" borderId="39" xfId="0" applyNumberFormat="1" applyFont="1" applyFill="1" applyBorder="1" applyAlignment="1">
      <alignment horizontal="center" vertical="center"/>
    </xf>
    <xf numFmtId="169" fontId="10" fillId="2" borderId="13" xfId="0" applyNumberFormat="1" applyFont="1" applyFill="1" applyBorder="1" applyAlignment="1">
      <alignment horizontal="center" vertical="center" wrapText="1"/>
    </xf>
    <xf numFmtId="170" fontId="10" fillId="2" borderId="12" xfId="0" applyNumberFormat="1" applyFont="1" applyFill="1" applyBorder="1" applyAlignment="1">
      <alignment horizontal="center" vertical="center" wrapText="1"/>
    </xf>
    <xf numFmtId="165" fontId="10" fillId="3" borderId="18" xfId="0" applyNumberFormat="1" applyFont="1" applyFill="1" applyBorder="1" applyAlignment="1">
      <alignment horizontal="right" vertical="center" wrapText="1"/>
    </xf>
    <xf numFmtId="49" fontId="10" fillId="3" borderId="25" xfId="0" applyNumberFormat="1" applyFont="1" applyFill="1" applyBorder="1" applyAlignment="1">
      <alignment horizontal="right" vertical="center" wrapText="1"/>
    </xf>
    <xf numFmtId="164" fontId="9" fillId="2" borderId="19" xfId="0" applyNumberFormat="1" applyFont="1" applyFill="1" applyBorder="1" applyAlignment="1">
      <alignment vertical="center"/>
    </xf>
    <xf numFmtId="49" fontId="10" fillId="3" borderId="16" xfId="0" applyNumberFormat="1" applyFont="1" applyFill="1" applyBorder="1" applyAlignment="1">
      <alignment horizontal="right" vertical="center" wrapText="1"/>
    </xf>
    <xf numFmtId="168" fontId="9" fillId="2" borderId="17" xfId="0" applyNumberFormat="1" applyFont="1" applyFill="1" applyBorder="1" applyAlignment="1">
      <alignment horizontal="center" vertical="center"/>
    </xf>
    <xf numFmtId="49" fontId="9" fillId="2" borderId="40" xfId="0" applyNumberFormat="1" applyFont="1" applyFill="1" applyBorder="1" applyAlignment="1">
      <alignment horizontal="center" vertical="center" wrapText="1"/>
    </xf>
    <xf numFmtId="9" fontId="9" fillId="2" borderId="43" xfId="0" applyNumberFormat="1" applyFont="1" applyFill="1" applyBorder="1" applyAlignment="1">
      <alignment horizontal="left" vertical="center"/>
    </xf>
    <xf numFmtId="0" fontId="10" fillId="2" borderId="8" xfId="0" applyFont="1" applyFill="1" applyBorder="1"/>
    <xf numFmtId="0" fontId="10" fillId="0" borderId="0" xfId="0" applyNumberFormat="1" applyFont="1"/>
    <xf numFmtId="0" fontId="10" fillId="0" borderId="0" xfId="0" applyNumberFormat="1" applyFont="1" applyFill="1"/>
    <xf numFmtId="4" fontId="9" fillId="2" borderId="7" xfId="0" applyNumberFormat="1" applyFont="1" applyFill="1" applyBorder="1"/>
    <xf numFmtId="4" fontId="10" fillId="3" borderId="49" xfId="0" applyNumberFormat="1" applyFont="1" applyFill="1" applyBorder="1" applyAlignment="1">
      <alignment horizontal="center" vertical="center" wrapText="1"/>
    </xf>
    <xf numFmtId="4" fontId="9" fillId="0" borderId="72" xfId="10" applyNumberFormat="1" applyFont="1" applyFill="1" applyBorder="1" applyAlignment="1">
      <alignment horizontal="center" vertical="center"/>
    </xf>
    <xf numFmtId="4" fontId="9" fillId="5" borderId="26" xfId="10" applyNumberFormat="1" applyFont="1" applyFill="1" applyBorder="1" applyAlignment="1">
      <alignment horizontal="center" vertical="center"/>
    </xf>
    <xf numFmtId="4" fontId="9" fillId="0" borderId="76" xfId="0" applyNumberFormat="1" applyFont="1" applyFill="1" applyBorder="1" applyAlignment="1">
      <alignment horizontal="center" vertical="center"/>
    </xf>
    <xf numFmtId="4" fontId="9" fillId="0" borderId="77" xfId="0" applyNumberFormat="1" applyFont="1" applyFill="1" applyBorder="1" applyAlignment="1">
      <alignment horizontal="center" vertical="center"/>
    </xf>
    <xf numFmtId="4" fontId="10" fillId="3" borderId="52" xfId="0" applyNumberFormat="1" applyFont="1" applyFill="1" applyBorder="1" applyAlignment="1">
      <alignment horizontal="right" vertical="center" wrapText="1"/>
    </xf>
    <xf numFmtId="4" fontId="10" fillId="3" borderId="53" xfId="0" applyNumberFormat="1" applyFont="1" applyFill="1" applyBorder="1" applyAlignment="1">
      <alignment horizontal="right" vertical="center" wrapText="1"/>
    </xf>
    <xf numFmtId="4" fontId="10" fillId="3" borderId="54" xfId="0" applyNumberFormat="1" applyFont="1" applyFill="1" applyBorder="1" applyAlignment="1">
      <alignment horizontal="right" vertical="center" wrapText="1"/>
    </xf>
    <xf numFmtId="4" fontId="10" fillId="3" borderId="55" xfId="0" applyNumberFormat="1" applyFont="1" applyFill="1" applyBorder="1" applyAlignment="1">
      <alignment horizontal="right" vertical="center" wrapText="1"/>
    </xf>
    <xf numFmtId="4" fontId="9" fillId="0" borderId="0" xfId="0" applyNumberFormat="1" applyFont="1"/>
    <xf numFmtId="4" fontId="10" fillId="0" borderId="0" xfId="0" applyNumberFormat="1" applyFont="1"/>
    <xf numFmtId="0" fontId="16" fillId="0" borderId="70" xfId="0" applyNumberFormat="1" applyFont="1" applyFill="1" applyBorder="1" applyAlignment="1">
      <alignment horizontal="center" vertical="center"/>
    </xf>
    <xf numFmtId="49" fontId="16" fillId="0" borderId="51" xfId="0" applyNumberFormat="1" applyFont="1" applyBorder="1" applyAlignment="1">
      <alignment vertical="center" wrapText="1"/>
    </xf>
    <xf numFmtId="3" fontId="16" fillId="0" borderId="26" xfId="0" applyNumberFormat="1" applyFont="1" applyFill="1" applyBorder="1" applyAlignment="1">
      <alignment horizontal="center" vertical="center"/>
    </xf>
    <xf numFmtId="49" fontId="16" fillId="0" borderId="51" xfId="0" applyNumberFormat="1" applyFont="1" applyFill="1" applyBorder="1" applyAlignment="1">
      <alignment horizontal="center" vertical="center" wrapText="1"/>
    </xf>
    <xf numFmtId="164" fontId="16" fillId="0" borderId="72" xfId="10" applyFont="1" applyFill="1" applyBorder="1" applyAlignment="1">
      <alignment horizontal="center" vertical="center"/>
    </xf>
    <xf numFmtId="173" fontId="16" fillId="0" borderId="26" xfId="1" applyNumberFormat="1" applyFont="1" applyFill="1" applyBorder="1" applyAlignment="1">
      <alignment vertical="center"/>
    </xf>
    <xf numFmtId="164" fontId="16" fillId="0" borderId="26" xfId="0" applyNumberFormat="1" applyFont="1" applyFill="1" applyBorder="1" applyAlignment="1">
      <alignment vertical="center"/>
    </xf>
    <xf numFmtId="1" fontId="16" fillId="0" borderId="0" xfId="0" applyNumberFormat="1" applyFont="1" applyFill="1" applyBorder="1" applyAlignment="1">
      <alignment horizontal="center" vertical="center"/>
    </xf>
    <xf numFmtId="167" fontId="16" fillId="0" borderId="26" xfId="0" applyNumberFormat="1" applyFont="1" applyFill="1" applyBorder="1" applyAlignment="1">
      <alignment horizontal="center" vertical="center"/>
    </xf>
    <xf numFmtId="164" fontId="16" fillId="0" borderId="26" xfId="9" applyNumberFormat="1" applyFont="1" applyFill="1" applyBorder="1" applyAlignment="1">
      <alignment horizontal="center" vertical="center"/>
    </xf>
    <xf numFmtId="168" fontId="16" fillId="0" borderId="26" xfId="0" applyNumberFormat="1" applyFont="1" applyFill="1" applyBorder="1" applyAlignment="1">
      <alignment horizontal="center" vertical="center"/>
    </xf>
    <xf numFmtId="10" fontId="16" fillId="0" borderId="26" xfId="0" applyNumberFormat="1" applyFont="1" applyFill="1" applyBorder="1" applyAlignment="1">
      <alignment horizontal="center" vertical="center"/>
    </xf>
    <xf numFmtId="10" fontId="17" fillId="0" borderId="26" xfId="0" applyNumberFormat="1" applyFont="1" applyFill="1" applyBorder="1" applyAlignment="1">
      <alignment horizontal="center" vertical="center" wrapText="1"/>
    </xf>
    <xf numFmtId="0" fontId="16" fillId="0" borderId="0" xfId="0" applyNumberFormat="1" applyFont="1" applyFill="1"/>
    <xf numFmtId="10" fontId="10" fillId="0" borderId="82" xfId="0" applyNumberFormat="1" applyFont="1" applyFill="1" applyBorder="1" applyAlignment="1">
      <alignment horizontal="center" vertical="center" wrapText="1"/>
    </xf>
    <xf numFmtId="49" fontId="4" fillId="0" borderId="51" xfId="0" applyNumberFormat="1" applyFont="1" applyFill="1" applyBorder="1" applyAlignment="1">
      <alignment vertical="center" wrapText="1"/>
    </xf>
    <xf numFmtId="0" fontId="4" fillId="2" borderId="1" xfId="0" applyFont="1" applyFill="1" applyBorder="1"/>
    <xf numFmtId="0" fontId="4" fillId="2" borderId="2" xfId="0" applyFont="1" applyFill="1" applyBorder="1"/>
    <xf numFmtId="165" fontId="4" fillId="2" borderId="2" xfId="0" applyNumberFormat="1" applyFont="1" applyFill="1" applyBorder="1"/>
    <xf numFmtId="166" fontId="4" fillId="2" borderId="3" xfId="0" applyNumberFormat="1" applyFont="1" applyFill="1" applyBorder="1"/>
    <xf numFmtId="0" fontId="4" fillId="2" borderId="12" xfId="0" applyFont="1" applyFill="1" applyBorder="1"/>
    <xf numFmtId="9" fontId="4" fillId="2" borderId="2" xfId="0" applyNumberFormat="1" applyFont="1" applyFill="1" applyBorder="1" applyAlignment="1">
      <alignment horizontal="center"/>
    </xf>
    <xf numFmtId="0" fontId="4" fillId="0" borderId="2" xfId="0" applyFont="1" applyFill="1" applyBorder="1"/>
    <xf numFmtId="0" fontId="4" fillId="2" borderId="8" xfId="0" applyFont="1" applyFill="1" applyBorder="1"/>
    <xf numFmtId="2" fontId="4" fillId="2" borderId="8" xfId="0" applyNumberFormat="1" applyFont="1" applyFill="1" applyBorder="1"/>
    <xf numFmtId="0" fontId="3" fillId="2" borderId="8" xfId="0" applyFont="1" applyFill="1" applyBorder="1"/>
    <xf numFmtId="165" fontId="4" fillId="2" borderId="8" xfId="0" applyNumberFormat="1" applyFont="1" applyFill="1" applyBorder="1"/>
    <xf numFmtId="166" fontId="4" fillId="2" borderId="22" xfId="0" applyNumberFormat="1" applyFont="1" applyFill="1" applyBorder="1"/>
    <xf numFmtId="0" fontId="21" fillId="2" borderId="8" xfId="0" applyFont="1" applyFill="1" applyBorder="1" applyAlignment="1">
      <alignment vertical="center" wrapText="1"/>
    </xf>
    <xf numFmtId="174" fontId="21" fillId="2" borderId="8" xfId="0" applyNumberFormat="1" applyFont="1" applyFill="1" applyBorder="1" applyAlignment="1">
      <alignment vertical="center"/>
    </xf>
    <xf numFmtId="175" fontId="21" fillId="2" borderId="8" xfId="0" applyNumberFormat="1" applyFont="1" applyFill="1" applyBorder="1" applyAlignment="1">
      <alignment vertical="center"/>
    </xf>
    <xf numFmtId="170" fontId="21" fillId="0" borderId="8" xfId="0" applyNumberFormat="1" applyFont="1" applyFill="1" applyBorder="1" applyAlignment="1">
      <alignment vertical="center"/>
    </xf>
    <xf numFmtId="49" fontId="4" fillId="2" borderId="12" xfId="0" applyNumberFormat="1" applyFont="1" applyFill="1" applyBorder="1"/>
    <xf numFmtId="0" fontId="21" fillId="2" borderId="8" xfId="0" applyFont="1" applyFill="1" applyBorder="1" applyAlignment="1">
      <alignment vertical="center"/>
    </xf>
    <xf numFmtId="176" fontId="22" fillId="0" borderId="8" xfId="0" applyNumberFormat="1" applyFont="1" applyFill="1" applyBorder="1" applyAlignment="1">
      <alignment vertical="center"/>
    </xf>
    <xf numFmtId="177" fontId="4" fillId="2" borderId="8" xfId="0" applyNumberFormat="1" applyFont="1" applyFill="1" applyBorder="1"/>
    <xf numFmtId="0" fontId="4" fillId="2" borderId="4" xfId="0" applyFont="1" applyFill="1" applyBorder="1"/>
    <xf numFmtId="0" fontId="4" fillId="2" borderId="5" xfId="0" applyFont="1" applyFill="1" applyBorder="1"/>
    <xf numFmtId="165" fontId="4" fillId="2" borderId="5" xfId="0" applyNumberFormat="1" applyFont="1" applyFill="1" applyBorder="1"/>
    <xf numFmtId="166" fontId="4" fillId="2" borderId="6" xfId="0" applyNumberFormat="1" applyFont="1" applyFill="1" applyBorder="1"/>
    <xf numFmtId="0" fontId="21" fillId="2" borderId="8" xfId="0" applyFont="1" applyFill="1" applyBorder="1"/>
    <xf numFmtId="0" fontId="21" fillId="0" borderId="8" xfId="0" applyFont="1" applyFill="1" applyBorder="1"/>
    <xf numFmtId="1" fontId="16" fillId="0" borderId="59" xfId="0" applyNumberFormat="1" applyFont="1" applyFill="1" applyBorder="1" applyAlignment="1">
      <alignment horizontal="center" vertical="center"/>
    </xf>
    <xf numFmtId="49" fontId="16" fillId="0" borderId="51" xfId="0" applyNumberFormat="1" applyFont="1" applyFill="1" applyBorder="1" applyAlignment="1">
      <alignment vertical="center" wrapText="1"/>
    </xf>
    <xf numFmtId="4" fontId="16" fillId="0" borderId="72" xfId="10" applyNumberFormat="1" applyFont="1" applyFill="1" applyBorder="1" applyAlignment="1">
      <alignment horizontal="center" vertical="center"/>
    </xf>
    <xf numFmtId="10" fontId="16" fillId="0" borderId="26" xfId="0" applyNumberFormat="1" applyFont="1" applyFill="1" applyBorder="1" applyAlignment="1">
      <alignment horizontal="center" vertical="center" wrapText="1"/>
    </xf>
    <xf numFmtId="10" fontId="17" fillId="0" borderId="26" xfId="0" applyNumberFormat="1" applyFont="1" applyFill="1" applyBorder="1" applyAlignment="1">
      <alignment horizontal="center" vertical="center"/>
    </xf>
    <xf numFmtId="165" fontId="17" fillId="3" borderId="30" xfId="0" applyNumberFormat="1" applyFont="1" applyFill="1" applyBorder="1" applyAlignment="1">
      <alignment horizontal="right" vertical="center" wrapText="1"/>
    </xf>
    <xf numFmtId="165" fontId="17" fillId="3" borderId="52" xfId="0" applyNumberFormat="1" applyFont="1" applyFill="1" applyBorder="1" applyAlignment="1">
      <alignment horizontal="right" vertical="center" wrapText="1"/>
    </xf>
    <xf numFmtId="0" fontId="16" fillId="2" borderId="71" xfId="0" applyFont="1" applyFill="1" applyBorder="1"/>
    <xf numFmtId="49" fontId="17" fillId="3" borderId="40" xfId="0" applyNumberFormat="1" applyFont="1" applyFill="1" applyBorder="1" applyAlignment="1">
      <alignment horizontal="right" vertical="center" wrapText="1"/>
    </xf>
    <xf numFmtId="168" fontId="17" fillId="2" borderId="42" xfId="0" applyNumberFormat="1" applyFont="1" applyFill="1" applyBorder="1" applyAlignment="1">
      <alignment horizontal="right" vertical="center"/>
    </xf>
    <xf numFmtId="0" fontId="17" fillId="0" borderId="43" xfId="0" applyFont="1" applyFill="1" applyBorder="1"/>
    <xf numFmtId="165" fontId="17" fillId="3" borderId="53" xfId="0" applyNumberFormat="1" applyFont="1" applyFill="1" applyBorder="1" applyAlignment="1">
      <alignment horizontal="right" vertical="center" wrapText="1"/>
    </xf>
    <xf numFmtId="0" fontId="16" fillId="2" borderId="20" xfId="0" applyFont="1" applyFill="1" applyBorder="1"/>
    <xf numFmtId="49" fontId="17" fillId="3" borderId="32" xfId="0" applyNumberFormat="1" applyFont="1" applyFill="1" applyBorder="1" applyAlignment="1">
      <alignment horizontal="right" vertical="center" wrapText="1"/>
    </xf>
    <xf numFmtId="166" fontId="17" fillId="2" borderId="38" xfId="0" applyNumberFormat="1" applyFont="1" applyFill="1" applyBorder="1" applyAlignment="1">
      <alignment horizontal="right" vertical="center"/>
    </xf>
    <xf numFmtId="0" fontId="17" fillId="0" borderId="12" xfId="0" applyFont="1" applyFill="1" applyBorder="1"/>
    <xf numFmtId="165" fontId="17" fillId="3" borderId="15" xfId="0" applyNumberFormat="1" applyFont="1" applyFill="1" applyBorder="1" applyAlignment="1">
      <alignment horizontal="right" vertical="center" wrapText="1"/>
    </xf>
    <xf numFmtId="165" fontId="17" fillId="3" borderId="54" xfId="0" applyNumberFormat="1" applyFont="1" applyFill="1" applyBorder="1" applyAlignment="1">
      <alignment horizontal="right" vertical="center" wrapText="1"/>
    </xf>
    <xf numFmtId="49" fontId="17" fillId="3" borderId="23" xfId="0" applyNumberFormat="1" applyFont="1" applyFill="1" applyBorder="1" applyAlignment="1">
      <alignment horizontal="right" vertical="center" wrapText="1"/>
    </xf>
    <xf numFmtId="164" fontId="16" fillId="5" borderId="19" xfId="0" applyNumberFormat="1" applyFont="1" applyFill="1" applyBorder="1" applyAlignment="1">
      <alignment vertical="center"/>
    </xf>
    <xf numFmtId="49" fontId="17" fillId="3" borderId="14" xfId="0" applyNumberFormat="1" applyFont="1" applyFill="1" applyBorder="1" applyAlignment="1">
      <alignment horizontal="right" vertical="center" wrapText="1"/>
    </xf>
    <xf numFmtId="168" fontId="16" fillId="2" borderId="39" xfId="0" applyNumberFormat="1" applyFont="1" applyFill="1" applyBorder="1" applyAlignment="1">
      <alignment horizontal="center" vertical="center"/>
    </xf>
    <xf numFmtId="169" fontId="17" fillId="2" borderId="13" xfId="0" applyNumberFormat="1" applyFont="1" applyFill="1" applyBorder="1" applyAlignment="1">
      <alignment horizontal="center" vertical="center" wrapText="1"/>
    </xf>
    <xf numFmtId="170" fontId="17" fillId="2" borderId="12" xfId="0" applyNumberFormat="1" applyFont="1" applyFill="1" applyBorder="1" applyAlignment="1">
      <alignment horizontal="center" vertical="center" wrapText="1"/>
    </xf>
    <xf numFmtId="165" fontId="17" fillId="3" borderId="18" xfId="0" applyNumberFormat="1" applyFont="1" applyFill="1" applyBorder="1" applyAlignment="1">
      <alignment horizontal="right" vertical="center" wrapText="1"/>
    </xf>
    <xf numFmtId="165" fontId="17" fillId="3" borderId="55" xfId="0" applyNumberFormat="1" applyFont="1" applyFill="1" applyBorder="1" applyAlignment="1">
      <alignment horizontal="right" vertical="center" wrapText="1"/>
    </xf>
    <xf numFmtId="49" fontId="17" fillId="3" borderId="25" xfId="0" applyNumberFormat="1" applyFont="1" applyFill="1" applyBorder="1" applyAlignment="1">
      <alignment horizontal="right" vertical="center" wrapText="1"/>
    </xf>
    <xf numFmtId="164" fontId="16" fillId="2" borderId="19" xfId="0" applyNumberFormat="1" applyFont="1" applyFill="1" applyBorder="1" applyAlignment="1">
      <alignment vertical="center"/>
    </xf>
    <xf numFmtId="49" fontId="17" fillId="3" borderId="16" xfId="0" applyNumberFormat="1" applyFont="1" applyFill="1" applyBorder="1" applyAlignment="1">
      <alignment horizontal="right" vertical="center" wrapText="1"/>
    </xf>
    <xf numFmtId="168" fontId="16" fillId="2" borderId="17" xfId="0" applyNumberFormat="1" applyFont="1" applyFill="1" applyBorder="1" applyAlignment="1">
      <alignment horizontal="center" vertical="center"/>
    </xf>
    <xf numFmtId="49" fontId="16" fillId="2" borderId="40" xfId="0" applyNumberFormat="1" applyFont="1" applyFill="1" applyBorder="1" applyAlignment="1">
      <alignment horizontal="center" vertical="center" wrapText="1"/>
    </xf>
    <xf numFmtId="9" fontId="16" fillId="2" borderId="43" xfId="0" applyNumberFormat="1" applyFont="1" applyFill="1" applyBorder="1" applyAlignment="1">
      <alignment horizontal="left" vertical="center"/>
    </xf>
    <xf numFmtId="0" fontId="16" fillId="2" borderId="2" xfId="0" applyFont="1" applyFill="1" applyBorder="1"/>
    <xf numFmtId="0" fontId="17" fillId="2" borderId="8" xfId="0" applyFont="1" applyFill="1" applyBorder="1"/>
    <xf numFmtId="49" fontId="16" fillId="0" borderId="0" xfId="0" applyNumberFormat="1" applyFont="1" applyFill="1" applyBorder="1" applyAlignment="1">
      <alignment vertical="center" wrapText="1"/>
    </xf>
    <xf numFmtId="0" fontId="17" fillId="2" borderId="7" xfId="0" applyFont="1" applyFill="1" applyBorder="1"/>
    <xf numFmtId="0" fontId="16" fillId="2" borderId="7" xfId="0" applyFont="1" applyFill="1" applyBorder="1"/>
    <xf numFmtId="49" fontId="17" fillId="3" borderId="49" xfId="0" applyNumberFormat="1" applyFont="1" applyFill="1" applyBorder="1" applyAlignment="1">
      <alignment horizontal="center" vertical="center"/>
    </xf>
    <xf numFmtId="0" fontId="16" fillId="2" borderId="8" xfId="0" applyFont="1" applyFill="1" applyBorder="1"/>
    <xf numFmtId="0" fontId="16" fillId="2" borderId="5" xfId="0" applyFont="1" applyFill="1" applyBorder="1"/>
    <xf numFmtId="49" fontId="9" fillId="2" borderId="26" xfId="0" applyNumberFormat="1" applyFont="1" applyFill="1" applyBorder="1" applyAlignment="1">
      <alignment horizontal="center" vertical="center" wrapText="1"/>
    </xf>
    <xf numFmtId="49" fontId="10" fillId="3" borderId="35" xfId="0" applyNumberFormat="1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169" fontId="10" fillId="2" borderId="41" xfId="0" applyNumberFormat="1" applyFont="1" applyFill="1" applyBorder="1" applyAlignment="1">
      <alignment horizontal="center" vertical="center"/>
    </xf>
    <xf numFmtId="169" fontId="10" fillId="2" borderId="42" xfId="0" applyNumberFormat="1" applyFont="1" applyFill="1" applyBorder="1" applyAlignment="1">
      <alignment horizontal="center" vertical="center"/>
    </xf>
    <xf numFmtId="49" fontId="10" fillId="3" borderId="0" xfId="0" applyNumberFormat="1" applyFont="1" applyFill="1" applyBorder="1" applyAlignment="1">
      <alignment horizontal="center" vertical="center"/>
    </xf>
    <xf numFmtId="49" fontId="10" fillId="3" borderId="63" xfId="0" applyNumberFormat="1" applyFont="1" applyFill="1" applyBorder="1" applyAlignment="1">
      <alignment horizontal="center" vertical="center"/>
    </xf>
    <xf numFmtId="49" fontId="10" fillId="3" borderId="44" xfId="0" applyNumberFormat="1" applyFont="1" applyFill="1" applyBorder="1" applyAlignment="1">
      <alignment horizontal="center" vertical="center"/>
    </xf>
    <xf numFmtId="49" fontId="10" fillId="3" borderId="45" xfId="0" applyNumberFormat="1" applyFont="1" applyFill="1" applyBorder="1" applyAlignment="1">
      <alignment horizontal="center" vertical="center"/>
    </xf>
    <xf numFmtId="0" fontId="10" fillId="0" borderId="0" xfId="0" applyNumberFormat="1" applyFont="1" applyAlignment="1">
      <alignment horizontal="left" vertical="center"/>
    </xf>
    <xf numFmtId="49" fontId="18" fillId="2" borderId="27" xfId="0" applyNumberFormat="1" applyFont="1" applyFill="1" applyBorder="1" applyAlignment="1">
      <alignment horizontal="left" vertical="top" wrapText="1"/>
    </xf>
    <xf numFmtId="0" fontId="9" fillId="2" borderId="28" xfId="0" applyFont="1" applyFill="1" applyBorder="1" applyAlignment="1">
      <alignment horizontal="left" vertical="top" wrapText="1"/>
    </xf>
    <xf numFmtId="0" fontId="9" fillId="2" borderId="29" xfId="0" applyFont="1" applyFill="1" applyBorder="1" applyAlignment="1">
      <alignment horizontal="left" vertical="top" wrapText="1"/>
    </xf>
    <xf numFmtId="49" fontId="9" fillId="2" borderId="27" xfId="0" applyNumberFormat="1" applyFont="1" applyFill="1" applyBorder="1" applyAlignment="1">
      <alignment horizontal="left" vertical="top" wrapText="1"/>
    </xf>
    <xf numFmtId="0" fontId="9" fillId="2" borderId="21" xfId="0" applyFont="1" applyFill="1" applyBorder="1" applyAlignment="1">
      <alignment horizontal="left" vertical="top" wrapText="1"/>
    </xf>
    <xf numFmtId="0" fontId="9" fillId="2" borderId="8" xfId="0" applyFont="1" applyFill="1" applyBorder="1" applyAlignment="1">
      <alignment horizontal="left" vertical="top" wrapText="1"/>
    </xf>
    <xf numFmtId="0" fontId="9" fillId="2" borderId="22" xfId="0" applyFont="1" applyFill="1" applyBorder="1" applyAlignment="1">
      <alignment horizontal="left" vertical="top" wrapText="1"/>
    </xf>
    <xf numFmtId="0" fontId="9" fillId="2" borderId="24" xfId="0" applyFont="1" applyFill="1" applyBorder="1" applyAlignment="1">
      <alignment horizontal="left" vertical="top" wrapText="1"/>
    </xf>
    <xf numFmtId="0" fontId="9" fillId="2" borderId="5" xfId="0" applyFont="1" applyFill="1" applyBorder="1" applyAlignment="1">
      <alignment horizontal="left" vertical="top" wrapText="1"/>
    </xf>
    <xf numFmtId="0" fontId="9" fillId="2" borderId="6" xfId="0" applyFont="1" applyFill="1" applyBorder="1" applyAlignment="1">
      <alignment horizontal="left" vertical="top" wrapText="1"/>
    </xf>
    <xf numFmtId="49" fontId="10" fillId="3" borderId="47" xfId="0" applyNumberFormat="1" applyFont="1" applyFill="1" applyBorder="1" applyAlignment="1">
      <alignment horizontal="center" vertical="center" wrapText="1"/>
    </xf>
    <xf numFmtId="49" fontId="10" fillId="3" borderId="31" xfId="0" applyNumberFormat="1" applyFont="1" applyFill="1" applyBorder="1" applyAlignment="1">
      <alignment horizontal="center" vertical="center" wrapText="1"/>
    </xf>
    <xf numFmtId="164" fontId="9" fillId="2" borderId="48" xfId="0" applyNumberFormat="1" applyFont="1" applyFill="1" applyBorder="1" applyAlignment="1">
      <alignment horizontal="center" vertical="center"/>
    </xf>
    <xf numFmtId="164" fontId="9" fillId="2" borderId="34" xfId="0" applyNumberFormat="1" applyFont="1" applyFill="1" applyBorder="1" applyAlignment="1">
      <alignment horizontal="center" vertical="center"/>
    </xf>
    <xf numFmtId="49" fontId="10" fillId="3" borderId="52" xfId="0" applyNumberFormat="1" applyFont="1" applyFill="1" applyBorder="1" applyAlignment="1">
      <alignment horizontal="center" vertical="center" wrapText="1"/>
    </xf>
    <xf numFmtId="0" fontId="10" fillId="3" borderId="60" xfId="0" applyFont="1" applyFill="1" applyBorder="1" applyAlignment="1">
      <alignment horizontal="center" vertical="center" wrapText="1"/>
    </xf>
    <xf numFmtId="168" fontId="10" fillId="2" borderId="61" xfId="0" applyNumberFormat="1" applyFont="1" applyFill="1" applyBorder="1" applyAlignment="1">
      <alignment horizontal="center" vertical="center"/>
    </xf>
    <xf numFmtId="168" fontId="10" fillId="2" borderId="62" xfId="0" applyNumberFormat="1" applyFont="1" applyFill="1" applyBorder="1" applyAlignment="1">
      <alignment horizontal="center" vertical="center"/>
    </xf>
    <xf numFmtId="168" fontId="9" fillId="2" borderId="64" xfId="0" applyNumberFormat="1" applyFont="1" applyFill="1" applyBorder="1" applyAlignment="1">
      <alignment horizontal="center" vertical="center"/>
    </xf>
    <xf numFmtId="168" fontId="9" fillId="2" borderId="46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14" fontId="10" fillId="2" borderId="37" xfId="0" applyNumberFormat="1" applyFont="1" applyFill="1" applyBorder="1" applyAlignment="1">
      <alignment horizontal="center" vertical="center"/>
    </xf>
    <xf numFmtId="49" fontId="9" fillId="2" borderId="4" xfId="0" applyNumberFormat="1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11" fillId="2" borderId="74" xfId="0" applyFont="1" applyFill="1" applyBorder="1" applyAlignment="1">
      <alignment horizontal="left" vertical="center"/>
    </xf>
    <xf numFmtId="0" fontId="11" fillId="2" borderId="57" xfId="0" applyFont="1" applyFill="1" applyBorder="1" applyAlignment="1">
      <alignment horizontal="left" vertical="center"/>
    </xf>
    <xf numFmtId="0" fontId="11" fillId="2" borderId="75" xfId="0" applyFont="1" applyFill="1" applyBorder="1" applyAlignment="1">
      <alignment horizontal="left" vertical="center"/>
    </xf>
    <xf numFmtId="49" fontId="10" fillId="2" borderId="9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49" fontId="10" fillId="2" borderId="56" xfId="0" applyNumberFormat="1" applyFont="1" applyFill="1" applyBorder="1" applyAlignment="1">
      <alignment horizontal="center" vertical="center"/>
    </xf>
    <xf numFmtId="49" fontId="10" fillId="2" borderId="57" xfId="0" applyNumberFormat="1" applyFont="1" applyFill="1" applyBorder="1" applyAlignment="1">
      <alignment horizontal="center" vertical="center"/>
    </xf>
    <xf numFmtId="49" fontId="10" fillId="2" borderId="35" xfId="0" applyNumberFormat="1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14" fontId="7" fillId="2" borderId="37" xfId="0" applyNumberFormat="1" applyFont="1" applyFill="1" applyBorder="1" applyAlignment="1">
      <alignment horizontal="center" vertical="center"/>
    </xf>
    <xf numFmtId="0" fontId="15" fillId="2" borderId="74" xfId="0" applyFont="1" applyFill="1" applyBorder="1" applyAlignment="1">
      <alignment horizontal="left" vertical="center"/>
    </xf>
    <xf numFmtId="0" fontId="15" fillId="2" borderId="57" xfId="0" applyFont="1" applyFill="1" applyBorder="1" applyAlignment="1">
      <alignment horizontal="left" vertical="center"/>
    </xf>
    <xf numFmtId="0" fontId="15" fillId="2" borderId="75" xfId="0" applyFont="1" applyFill="1" applyBorder="1" applyAlignment="1">
      <alignment horizontal="left" vertical="center"/>
    </xf>
    <xf numFmtId="49" fontId="12" fillId="2" borderId="9" xfId="0" applyNumberFormat="1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49" fontId="12" fillId="2" borderId="56" xfId="0" applyNumberFormat="1" applyFont="1" applyFill="1" applyBorder="1" applyAlignment="1">
      <alignment horizontal="center" vertical="center"/>
    </xf>
    <xf numFmtId="49" fontId="12" fillId="2" borderId="57" xfId="0" applyNumberFormat="1" applyFont="1" applyFill="1" applyBorder="1" applyAlignment="1">
      <alignment horizontal="center" vertical="center"/>
    </xf>
    <xf numFmtId="49" fontId="12" fillId="2" borderId="35" xfId="0" applyNumberFormat="1" applyFont="1" applyFill="1" applyBorder="1" applyAlignment="1">
      <alignment horizontal="center" vertical="center"/>
    </xf>
    <xf numFmtId="49" fontId="23" fillId="2" borderId="27" xfId="0" applyNumberFormat="1" applyFont="1" applyFill="1" applyBorder="1" applyAlignment="1">
      <alignment horizontal="left" vertical="top" wrapText="1"/>
    </xf>
    <xf numFmtId="0" fontId="16" fillId="2" borderId="28" xfId="0" applyFont="1" applyFill="1" applyBorder="1" applyAlignment="1">
      <alignment horizontal="left" vertical="top" wrapText="1"/>
    </xf>
    <xf numFmtId="0" fontId="16" fillId="2" borderId="29" xfId="0" applyFont="1" applyFill="1" applyBorder="1" applyAlignment="1">
      <alignment horizontal="left" vertical="top" wrapText="1"/>
    </xf>
    <xf numFmtId="49" fontId="16" fillId="2" borderId="27" xfId="0" applyNumberFormat="1" applyFont="1" applyFill="1" applyBorder="1" applyAlignment="1">
      <alignment horizontal="left" vertical="top" wrapText="1"/>
    </xf>
    <xf numFmtId="0" fontId="16" fillId="2" borderId="21" xfId="0" applyFont="1" applyFill="1" applyBorder="1" applyAlignment="1">
      <alignment horizontal="left" vertical="top" wrapText="1"/>
    </xf>
    <xf numFmtId="0" fontId="16" fillId="2" borderId="8" xfId="0" applyFont="1" applyFill="1" applyBorder="1" applyAlignment="1">
      <alignment horizontal="left" vertical="top" wrapText="1"/>
    </xf>
    <xf numFmtId="0" fontId="16" fillId="2" borderId="22" xfId="0" applyFont="1" applyFill="1" applyBorder="1" applyAlignment="1">
      <alignment horizontal="left" vertical="top" wrapText="1"/>
    </xf>
    <xf numFmtId="0" fontId="16" fillId="2" borderId="24" xfId="0" applyFont="1" applyFill="1" applyBorder="1" applyAlignment="1">
      <alignment horizontal="left" vertical="top" wrapText="1"/>
    </xf>
    <xf numFmtId="0" fontId="16" fillId="2" borderId="5" xfId="0" applyFont="1" applyFill="1" applyBorder="1" applyAlignment="1">
      <alignment horizontal="left" vertical="top" wrapText="1"/>
    </xf>
    <xf numFmtId="0" fontId="16" fillId="2" borderId="6" xfId="0" applyFont="1" applyFill="1" applyBorder="1" applyAlignment="1">
      <alignment horizontal="left" vertical="top" wrapText="1"/>
    </xf>
    <xf numFmtId="49" fontId="17" fillId="3" borderId="47" xfId="0" applyNumberFormat="1" applyFont="1" applyFill="1" applyBorder="1" applyAlignment="1">
      <alignment horizontal="center" vertical="center" wrapText="1"/>
    </xf>
    <xf numFmtId="49" fontId="17" fillId="3" borderId="31" xfId="0" applyNumberFormat="1" applyFont="1" applyFill="1" applyBorder="1" applyAlignment="1">
      <alignment horizontal="center" vertical="center" wrapText="1"/>
    </xf>
    <xf numFmtId="164" fontId="16" fillId="2" borderId="48" xfId="0" applyNumberFormat="1" applyFont="1" applyFill="1" applyBorder="1" applyAlignment="1">
      <alignment horizontal="center" vertical="center"/>
    </xf>
    <xf numFmtId="164" fontId="16" fillId="2" borderId="34" xfId="0" applyNumberFormat="1" applyFont="1" applyFill="1" applyBorder="1" applyAlignment="1">
      <alignment horizontal="center" vertical="center"/>
    </xf>
    <xf numFmtId="49" fontId="17" fillId="3" borderId="52" xfId="0" applyNumberFormat="1" applyFont="1" applyFill="1" applyBorder="1" applyAlignment="1">
      <alignment horizontal="center" vertical="center" wrapText="1"/>
    </xf>
    <xf numFmtId="0" fontId="17" fillId="3" borderId="60" xfId="0" applyFont="1" applyFill="1" applyBorder="1" applyAlignment="1">
      <alignment horizontal="center" vertical="center" wrapText="1"/>
    </xf>
    <xf numFmtId="168" fontId="17" fillId="2" borderId="61" xfId="0" applyNumberFormat="1" applyFont="1" applyFill="1" applyBorder="1" applyAlignment="1">
      <alignment horizontal="center" vertical="center"/>
    </xf>
    <xf numFmtId="168" fontId="17" fillId="2" borderId="62" xfId="0" applyNumberFormat="1" applyFont="1" applyFill="1" applyBorder="1" applyAlignment="1">
      <alignment horizontal="center" vertical="center"/>
    </xf>
    <xf numFmtId="168" fontId="16" fillId="2" borderId="64" xfId="0" applyNumberFormat="1" applyFont="1" applyFill="1" applyBorder="1" applyAlignment="1">
      <alignment horizontal="center" vertical="center"/>
    </xf>
    <xf numFmtId="168" fontId="16" fillId="2" borderId="46" xfId="0" applyNumberFormat="1" applyFont="1" applyFill="1" applyBorder="1" applyAlignment="1">
      <alignment horizontal="center" vertical="center"/>
    </xf>
    <xf numFmtId="49" fontId="16" fillId="2" borderId="26" xfId="0" applyNumberFormat="1" applyFont="1" applyFill="1" applyBorder="1" applyAlignment="1">
      <alignment horizontal="center" vertical="center" wrapText="1"/>
    </xf>
    <xf numFmtId="49" fontId="17" fillId="3" borderId="35" xfId="0" applyNumberFormat="1" applyFont="1" applyFill="1" applyBorder="1" applyAlignment="1">
      <alignment horizontal="center" vertical="center"/>
    </xf>
    <xf numFmtId="0" fontId="17" fillId="3" borderId="13" xfId="0" applyFont="1" applyFill="1" applyBorder="1" applyAlignment="1">
      <alignment horizontal="center" vertical="center"/>
    </xf>
    <xf numFmtId="169" fontId="16" fillId="2" borderId="41" xfId="0" applyNumberFormat="1" applyFont="1" applyFill="1" applyBorder="1" applyAlignment="1">
      <alignment horizontal="center" vertical="center"/>
    </xf>
    <xf numFmtId="169" fontId="16" fillId="2" borderId="42" xfId="0" applyNumberFormat="1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left" vertical="center"/>
    </xf>
    <xf numFmtId="49" fontId="17" fillId="3" borderId="0" xfId="0" applyNumberFormat="1" applyFont="1" applyFill="1" applyBorder="1" applyAlignment="1">
      <alignment horizontal="center" vertical="center"/>
    </xf>
    <xf numFmtId="49" fontId="17" fillId="3" borderId="63" xfId="0" applyNumberFormat="1" applyFont="1" applyFill="1" applyBorder="1" applyAlignment="1">
      <alignment horizontal="center" vertical="center"/>
    </xf>
    <xf numFmtId="49" fontId="17" fillId="3" borderId="44" xfId="0" applyNumberFormat="1" applyFont="1" applyFill="1" applyBorder="1" applyAlignment="1">
      <alignment horizontal="center" vertical="center"/>
    </xf>
    <xf numFmtId="49" fontId="17" fillId="3" borderId="45" xfId="0" applyNumberFormat="1" applyFont="1" applyFill="1" applyBorder="1" applyAlignment="1">
      <alignment horizontal="center" vertical="center"/>
    </xf>
  </cellXfs>
  <cellStyles count="11">
    <cellStyle name=" 3]_x000d__x000a_Zoomed=1_x000d__x000a_Row=0_x000d__x000a_Column=0_x000d__x000a_Height=300_x000d__x000a_Width=300_x000d__x000a_FontName=細明體_x000d__x000a_FontStyle=0_x000d__x000a_FontSize=9_x000d__x000a_PrtFontName=Co" xfId="8" xr:uid="{00000000-0005-0000-0000-000000000000}"/>
    <cellStyle name="Comma 2" xfId="1" xr:uid="{00000000-0005-0000-0000-000001000000}"/>
    <cellStyle name="Comma 2 2" xfId="5" xr:uid="{00000000-0005-0000-0000-000002000000}"/>
    <cellStyle name="Comma 2 3" xfId="3" xr:uid="{00000000-0005-0000-0000-000003000000}"/>
    <cellStyle name="Currency" xfId="10" builtinId="4"/>
    <cellStyle name="Currency 2" xfId="6" xr:uid="{00000000-0005-0000-0000-000005000000}"/>
    <cellStyle name="Normal" xfId="0" builtinId="0"/>
    <cellStyle name="Normal 2" xfId="9" xr:uid="{00000000-0005-0000-0000-000007000000}"/>
    <cellStyle name="Normal 3" xfId="4" xr:uid="{00000000-0005-0000-0000-000008000000}"/>
    <cellStyle name="Normal 4" xfId="2" xr:uid="{00000000-0005-0000-0000-000009000000}"/>
    <cellStyle name="Percent 2" xfId="7" xr:uid="{00000000-0005-0000-0000-00000A000000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BD4B4"/>
      <rgbColor rgb="FFFFC000"/>
      <rgbColor rgb="FFFF00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JB%20YAP%20SUPER%20LIST.xlsx" TargetMode="External"/><Relationship Id="rId1" Type="http://schemas.openxmlformats.org/officeDocument/2006/relationships/externalLinkPath" Target="/Users/USER/OneDrive/Desktop/JB%20YAP%20SUPER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3"/>
    </sheetNames>
    <sheetDataSet>
      <sheetData sheetId="0">
        <row r="306">
          <cell r="H306">
            <v>1482</v>
          </cell>
        </row>
        <row r="307">
          <cell r="H307">
            <v>1848</v>
          </cell>
        </row>
        <row r="308">
          <cell r="H308">
            <v>2017.8000000000002</v>
          </cell>
        </row>
        <row r="309">
          <cell r="H309">
            <v>2017.8000000000002</v>
          </cell>
        </row>
        <row r="310">
          <cell r="H310">
            <v>1660.0000000000002</v>
          </cell>
        </row>
        <row r="311">
          <cell r="H311">
            <v>1250</v>
          </cell>
        </row>
        <row r="312">
          <cell r="H312">
            <v>1250</v>
          </cell>
        </row>
        <row r="313">
          <cell r="H313">
            <v>1000</v>
          </cell>
        </row>
        <row r="314">
          <cell r="H314">
            <v>1692</v>
          </cell>
          <cell r="K314">
            <v>517.43119266055044</v>
          </cell>
          <cell r="O314">
            <v>1080</v>
          </cell>
        </row>
        <row r="315">
          <cell r="H315">
            <v>1692</v>
          </cell>
          <cell r="K315">
            <v>517.43119266055044</v>
          </cell>
          <cell r="O315">
            <v>1080</v>
          </cell>
        </row>
        <row r="316">
          <cell r="H316">
            <v>1140</v>
          </cell>
          <cell r="K316">
            <v>348.62385321100919</v>
          </cell>
          <cell r="O316">
            <v>684</v>
          </cell>
        </row>
        <row r="317">
          <cell r="H317">
            <v>1140</v>
          </cell>
          <cell r="K317">
            <v>348.62385321100919</v>
          </cell>
          <cell r="O317">
            <v>684</v>
          </cell>
        </row>
        <row r="318">
          <cell r="H318">
            <v>1140</v>
          </cell>
          <cell r="K318">
            <v>348.62385321100919</v>
          </cell>
          <cell r="O318">
            <v>684</v>
          </cell>
        </row>
        <row r="319">
          <cell r="H319">
            <v>3791.9999999999995</v>
          </cell>
          <cell r="K319">
            <v>1159.6330275229357</v>
          </cell>
          <cell r="O319">
            <v>2160</v>
          </cell>
        </row>
        <row r="320">
          <cell r="H320">
            <v>2844</v>
          </cell>
          <cell r="K320">
            <v>869.72477064220186</v>
          </cell>
          <cell r="O320">
            <v>1620</v>
          </cell>
        </row>
        <row r="321">
          <cell r="H321">
            <v>3791.9999999999995</v>
          </cell>
          <cell r="K321">
            <v>1159.6330275229357</v>
          </cell>
          <cell r="O321">
            <v>2160</v>
          </cell>
        </row>
        <row r="322">
          <cell r="H322">
            <v>2844</v>
          </cell>
          <cell r="K322">
            <v>869.72477064220186</v>
          </cell>
          <cell r="O322">
            <v>1620</v>
          </cell>
        </row>
        <row r="323">
          <cell r="H323">
            <v>1630</v>
          </cell>
          <cell r="K323">
            <v>498.47094801223244</v>
          </cell>
          <cell r="O323">
            <v>850</v>
          </cell>
        </row>
        <row r="324">
          <cell r="H324">
            <v>1630</v>
          </cell>
          <cell r="K324">
            <v>498.47094801223244</v>
          </cell>
          <cell r="O324">
            <v>850</v>
          </cell>
        </row>
        <row r="325">
          <cell r="H325">
            <v>2265</v>
          </cell>
          <cell r="K325">
            <v>692.66055045871565</v>
          </cell>
          <cell r="O325">
            <v>1185</v>
          </cell>
        </row>
        <row r="326">
          <cell r="H326">
            <v>2265</v>
          </cell>
          <cell r="K326">
            <v>692.66055045871565</v>
          </cell>
          <cell r="O326">
            <v>1185</v>
          </cell>
        </row>
        <row r="327">
          <cell r="H327">
            <v>1200</v>
          </cell>
          <cell r="K327">
            <v>366.97247706422019</v>
          </cell>
          <cell r="O327">
            <v>600</v>
          </cell>
        </row>
        <row r="328">
          <cell r="H328">
            <v>1200</v>
          </cell>
          <cell r="K328">
            <v>366.97247706422019</v>
          </cell>
          <cell r="O328">
            <v>600</v>
          </cell>
        </row>
        <row r="329">
          <cell r="H329">
            <v>3504</v>
          </cell>
          <cell r="K329">
            <v>1071.559633027523</v>
          </cell>
          <cell r="O329">
            <v>0</v>
          </cell>
        </row>
        <row r="330">
          <cell r="H330">
            <v>1455</v>
          </cell>
          <cell r="K330">
            <v>444.95412844036696</v>
          </cell>
          <cell r="O330">
            <v>720</v>
          </cell>
        </row>
        <row r="331">
          <cell r="H331">
            <v>1455</v>
          </cell>
          <cell r="K331">
            <v>444.95412844036696</v>
          </cell>
          <cell r="O331">
            <v>720</v>
          </cell>
        </row>
        <row r="332">
          <cell r="H332">
            <v>1455</v>
          </cell>
          <cell r="K332">
            <v>444.95412844036696</v>
          </cell>
          <cell r="O332">
            <v>720</v>
          </cell>
        </row>
        <row r="333">
          <cell r="H333">
            <v>1455</v>
          </cell>
          <cell r="K333">
            <v>444.95412844036696</v>
          </cell>
          <cell r="O333">
            <v>720</v>
          </cell>
        </row>
        <row r="334">
          <cell r="H334">
            <v>612</v>
          </cell>
          <cell r="K334">
            <v>187.1559633027523</v>
          </cell>
          <cell r="O334">
            <v>2592</v>
          </cell>
        </row>
        <row r="335">
          <cell r="H335">
            <v>612</v>
          </cell>
          <cell r="K335">
            <v>187.1559633027523</v>
          </cell>
          <cell r="O335">
            <v>2592</v>
          </cell>
        </row>
        <row r="336">
          <cell r="H336">
            <v>612</v>
          </cell>
          <cell r="K336">
            <v>187.1559633027523</v>
          </cell>
          <cell r="O336">
            <v>2592</v>
          </cell>
        </row>
        <row r="337">
          <cell r="H337">
            <v>408</v>
          </cell>
          <cell r="K337">
            <v>124.77064220183486</v>
          </cell>
          <cell r="O337">
            <v>1728</v>
          </cell>
        </row>
        <row r="338">
          <cell r="H338">
            <v>3192</v>
          </cell>
          <cell r="K338">
            <v>976.14678899082571</v>
          </cell>
          <cell r="O338">
            <v>1681.5</v>
          </cell>
        </row>
        <row r="339">
          <cell r="H339">
            <v>2599.2000000000003</v>
          </cell>
          <cell r="K339">
            <v>794.86238532110099</v>
          </cell>
          <cell r="O339">
            <v>1425</v>
          </cell>
        </row>
        <row r="340">
          <cell r="H340">
            <v>441.6</v>
          </cell>
          <cell r="K340">
            <v>135.04587155963304</v>
          </cell>
          <cell r="O340">
            <v>273.59999999999997</v>
          </cell>
        </row>
        <row r="341">
          <cell r="H341">
            <v>432.4</v>
          </cell>
          <cell r="K341">
            <v>132.23241590214067</v>
          </cell>
        </row>
        <row r="342">
          <cell r="H342">
            <v>4200</v>
          </cell>
          <cell r="K342">
            <v>1284.4036697247707</v>
          </cell>
        </row>
        <row r="343">
          <cell r="H343">
            <v>2625</v>
          </cell>
          <cell r="K343">
            <v>802.75229357798162</v>
          </cell>
        </row>
        <row r="344">
          <cell r="H344">
            <v>1086</v>
          </cell>
          <cell r="K344">
            <v>332.11009174311926</v>
          </cell>
          <cell r="O344">
            <v>600</v>
          </cell>
        </row>
        <row r="345">
          <cell r="H345">
            <v>1296</v>
          </cell>
          <cell r="K345">
            <v>396.33027522935782</v>
          </cell>
          <cell r="O345">
            <v>720</v>
          </cell>
        </row>
        <row r="346">
          <cell r="H346">
            <v>1800</v>
          </cell>
          <cell r="K346">
            <v>550.45871559633031</v>
          </cell>
          <cell r="O346">
            <v>912</v>
          </cell>
        </row>
        <row r="347">
          <cell r="H347">
            <v>2599.1999999999998</v>
          </cell>
          <cell r="K347">
            <v>794.86238532110087</v>
          </cell>
          <cell r="O347">
            <v>1404</v>
          </cell>
        </row>
        <row r="348">
          <cell r="H348">
            <v>3032.4</v>
          </cell>
          <cell r="K348">
            <v>927.33944954128447</v>
          </cell>
          <cell r="O348">
            <v>1638</v>
          </cell>
        </row>
        <row r="349">
          <cell r="H349">
            <v>2599.1999999999998</v>
          </cell>
          <cell r="K349">
            <v>794.86238532110087</v>
          </cell>
          <cell r="O349">
            <v>1404</v>
          </cell>
        </row>
        <row r="350">
          <cell r="H350">
            <v>6064.8</v>
          </cell>
          <cell r="K350">
            <v>1854.6788990825689</v>
          </cell>
          <cell r="O350">
            <v>3276</v>
          </cell>
        </row>
        <row r="351">
          <cell r="H351">
            <v>1595.9999999999998</v>
          </cell>
          <cell r="K351">
            <v>488.0733944954128</v>
          </cell>
          <cell r="O351">
            <v>1020</v>
          </cell>
        </row>
        <row r="352">
          <cell r="H352">
            <v>1595.9999999999998</v>
          </cell>
          <cell r="K352">
            <v>488.0733944954128</v>
          </cell>
          <cell r="O352">
            <v>1020</v>
          </cell>
        </row>
        <row r="353">
          <cell r="H353">
            <v>1595.9999999999998</v>
          </cell>
          <cell r="K353">
            <v>488.0733944954128</v>
          </cell>
          <cell r="O353">
            <v>1020</v>
          </cell>
        </row>
        <row r="354">
          <cell r="H354">
            <v>2393.9999999999995</v>
          </cell>
          <cell r="K354">
            <v>732.11009174311914</v>
          </cell>
          <cell r="O354">
            <v>1530</v>
          </cell>
        </row>
        <row r="355">
          <cell r="H355">
            <v>1595.9999999999998</v>
          </cell>
          <cell r="K355">
            <v>488.0733944954128</v>
          </cell>
          <cell r="O355">
            <v>1020</v>
          </cell>
        </row>
        <row r="356">
          <cell r="H356">
            <v>1595.9999999999998</v>
          </cell>
          <cell r="K356">
            <v>488.0733944954128</v>
          </cell>
          <cell r="O356">
            <v>1020</v>
          </cell>
        </row>
        <row r="357">
          <cell r="H357">
            <v>1595.9999999999998</v>
          </cell>
          <cell r="K357">
            <v>488.0733944954128</v>
          </cell>
          <cell r="O357">
            <v>1020</v>
          </cell>
        </row>
        <row r="358">
          <cell r="H358">
            <v>2393.9999999999995</v>
          </cell>
          <cell r="K358">
            <v>732.11009174311914</v>
          </cell>
          <cell r="O358">
            <v>1530</v>
          </cell>
        </row>
        <row r="359">
          <cell r="H359">
            <v>3287</v>
          </cell>
          <cell r="K359">
            <v>1005.1987767584097</v>
          </cell>
          <cell r="O359">
            <v>0</v>
          </cell>
        </row>
        <row r="360">
          <cell r="H360">
            <v>1152</v>
          </cell>
          <cell r="K360">
            <v>352.29357798165137</v>
          </cell>
          <cell r="O360">
            <v>540</v>
          </cell>
        </row>
        <row r="361">
          <cell r="H361">
            <v>1730</v>
          </cell>
          <cell r="K361">
            <v>529.05198776758414</v>
          </cell>
        </row>
        <row r="362">
          <cell r="H362">
            <v>976</v>
          </cell>
          <cell r="K362">
            <v>298.47094801223244</v>
          </cell>
        </row>
        <row r="363">
          <cell r="H363">
            <v>1497.6</v>
          </cell>
          <cell r="K363">
            <v>457.98165137614677</v>
          </cell>
          <cell r="O363">
            <v>810</v>
          </cell>
        </row>
        <row r="364">
          <cell r="H364">
            <v>1497.6</v>
          </cell>
          <cell r="K364">
            <v>457.98165137614677</v>
          </cell>
          <cell r="O364">
            <v>810</v>
          </cell>
        </row>
        <row r="365">
          <cell r="H365">
            <v>1497.6</v>
          </cell>
          <cell r="K365">
            <v>457.98165137614677</v>
          </cell>
          <cell r="O365">
            <v>810</v>
          </cell>
        </row>
        <row r="366">
          <cell r="H366">
            <v>1123.1999999999998</v>
          </cell>
          <cell r="K366">
            <v>343.48623853211001</v>
          </cell>
          <cell r="O366">
            <v>607.5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81"/>
  <sheetViews>
    <sheetView tabSelected="1" zoomScale="80" zoomScaleNormal="80" workbookViewId="0">
      <selection activeCell="A7" sqref="A7:XFD67"/>
    </sheetView>
  </sheetViews>
  <sheetFormatPr defaultColWidth="14.42578125" defaultRowHeight="23.25"/>
  <cols>
    <col min="1" max="1" width="11.28515625" style="20" customWidth="1"/>
    <col min="2" max="2" width="75.28515625" style="20" customWidth="1"/>
    <col min="3" max="5" width="19" style="20" customWidth="1"/>
    <col min="6" max="6" width="19" style="129" customWidth="1"/>
    <col min="7" max="7" width="19" style="20" customWidth="1"/>
    <col min="8" max="8" width="23.28515625" style="20" customWidth="1"/>
    <col min="9" max="9" width="7.85546875" style="20" customWidth="1"/>
    <col min="10" max="13" width="19" style="20" customWidth="1"/>
    <col min="14" max="14" width="19" style="84" customWidth="1"/>
    <col min="15" max="18" width="19" style="20" customWidth="1"/>
    <col min="19" max="19" width="14.5703125" style="117" bestFit="1" customWidth="1"/>
    <col min="20" max="16384" width="14.42578125" style="20"/>
  </cols>
  <sheetData>
    <row r="1" spans="1:19" ht="32.450000000000003" customHeight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5"/>
      <c r="P1" s="50" t="s">
        <v>1</v>
      </c>
      <c r="Q1" s="246" t="s">
        <v>53</v>
      </c>
      <c r="R1" s="246"/>
      <c r="S1" s="51"/>
    </row>
    <row r="2" spans="1:19" ht="31.7" customHeight="1" thickBot="1">
      <c r="A2" s="247" t="s">
        <v>24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9"/>
      <c r="P2" s="16" t="s">
        <v>2</v>
      </c>
      <c r="Q2" s="17">
        <v>3.27</v>
      </c>
      <c r="R2" s="18"/>
      <c r="S2" s="19"/>
    </row>
    <row r="3" spans="1:19" ht="22.7" customHeight="1" thickBot="1">
      <c r="A3" s="21"/>
      <c r="B3" s="52" t="s">
        <v>38</v>
      </c>
      <c r="C3" s="21"/>
      <c r="D3" s="21"/>
      <c r="E3" s="22"/>
      <c r="F3" s="119"/>
      <c r="G3" s="22"/>
      <c r="H3" s="23"/>
      <c r="I3" s="24"/>
      <c r="J3" s="25"/>
      <c r="K3" s="26"/>
      <c r="L3" s="26"/>
      <c r="M3" s="26"/>
      <c r="N3" s="27"/>
      <c r="O3" s="26"/>
      <c r="P3" s="250" t="s">
        <v>66</v>
      </c>
      <c r="Q3" s="251"/>
      <c r="R3" s="251"/>
      <c r="S3" s="252"/>
    </row>
    <row r="4" spans="1:19" ht="22.7" customHeight="1" thickBot="1">
      <c r="A4" s="253" t="s">
        <v>3</v>
      </c>
      <c r="B4" s="254"/>
      <c r="C4" s="254"/>
      <c r="D4" s="254"/>
      <c r="E4" s="254"/>
      <c r="F4" s="254"/>
      <c r="G4" s="254"/>
      <c r="H4" s="255"/>
      <c r="I4" s="53"/>
      <c r="J4" s="256" t="s">
        <v>4</v>
      </c>
      <c r="K4" s="257"/>
      <c r="L4" s="257"/>
      <c r="M4" s="257"/>
      <c r="N4" s="257"/>
      <c r="O4" s="257"/>
      <c r="P4" s="257"/>
      <c r="Q4" s="257"/>
      <c r="R4" s="257"/>
      <c r="S4" s="258"/>
    </row>
    <row r="5" spans="1:19" ht="15" customHeight="1" thickBot="1">
      <c r="A5" s="21"/>
      <c r="B5" s="21"/>
      <c r="C5" s="21"/>
      <c r="D5" s="21"/>
      <c r="E5" s="22"/>
      <c r="F5" s="119"/>
      <c r="G5" s="22"/>
      <c r="H5" s="23"/>
      <c r="I5" s="54"/>
      <c r="J5" s="55"/>
      <c r="K5" s="55"/>
      <c r="L5" s="55"/>
      <c r="M5" s="55"/>
      <c r="N5" s="56"/>
      <c r="O5" s="55"/>
      <c r="P5" s="55"/>
      <c r="Q5" s="55"/>
      <c r="R5" s="55"/>
      <c r="S5" s="57"/>
    </row>
    <row r="6" spans="1:19" ht="93">
      <c r="A6" s="58" t="s">
        <v>5</v>
      </c>
      <c r="B6" s="59" t="s">
        <v>6</v>
      </c>
      <c r="C6" s="60" t="s">
        <v>7</v>
      </c>
      <c r="D6" s="60" t="s">
        <v>25</v>
      </c>
      <c r="E6" s="60" t="s">
        <v>8</v>
      </c>
      <c r="F6" s="120" t="s">
        <v>36</v>
      </c>
      <c r="G6" s="60" t="s">
        <v>37</v>
      </c>
      <c r="H6" s="61" t="s">
        <v>9</v>
      </c>
      <c r="I6" s="62"/>
      <c r="J6" s="63" t="s">
        <v>28</v>
      </c>
      <c r="K6" s="64" t="s">
        <v>10</v>
      </c>
      <c r="L6" s="64" t="s">
        <v>50</v>
      </c>
      <c r="M6" s="64" t="s">
        <v>29</v>
      </c>
      <c r="N6" s="65" t="s">
        <v>11</v>
      </c>
      <c r="O6" s="64" t="s">
        <v>12</v>
      </c>
      <c r="P6" s="64" t="s">
        <v>13</v>
      </c>
      <c r="Q6" s="64" t="s">
        <v>34</v>
      </c>
      <c r="R6" s="64" t="s">
        <v>14</v>
      </c>
      <c r="S6" s="66" t="s">
        <v>27</v>
      </c>
    </row>
    <row r="68" spans="1:19" ht="48" customHeight="1" thickBot="1">
      <c r="A68" s="223"/>
      <c r="B68" s="224"/>
      <c r="C68" s="224"/>
      <c r="D68" s="225"/>
      <c r="E68" s="93"/>
      <c r="F68" s="125"/>
      <c r="G68" s="233" t="s">
        <v>15</v>
      </c>
      <c r="H68" s="235">
        <f>SUM([1]Sheet3!H306:H366)</f>
        <v>113452.4</v>
      </c>
      <c r="I68" s="94"/>
      <c r="J68" s="95" t="s">
        <v>16</v>
      </c>
      <c r="K68" s="96">
        <f>SUM([1]Sheet3!K314:K366)</f>
        <v>30864.464831804271</v>
      </c>
      <c r="L68" s="237" t="s">
        <v>17</v>
      </c>
      <c r="M68" s="238"/>
      <c r="N68" s="239">
        <f>SUM([1]Sheet3!O314:O366)</f>
        <v>55517.599999999999</v>
      </c>
      <c r="O68" s="240"/>
      <c r="P68" s="218" t="s">
        <v>18</v>
      </c>
      <c r="Q68" s="219"/>
      <c r="R68" s="241">
        <f>N68-K71</f>
        <v>21373.813576494438</v>
      </c>
      <c r="S68" s="97"/>
    </row>
    <row r="69" spans="1:19" ht="48" customHeight="1" thickBot="1">
      <c r="A69" s="226"/>
      <c r="B69" s="224"/>
      <c r="C69" s="224"/>
      <c r="D69" s="225"/>
      <c r="E69" s="93"/>
      <c r="F69" s="126"/>
      <c r="G69" s="234"/>
      <c r="H69" s="236"/>
      <c r="I69" s="98"/>
      <c r="J69" s="99" t="s">
        <v>33</v>
      </c>
      <c r="K69" s="100">
        <f>K68*0.09</f>
        <v>2777.8018348623841</v>
      </c>
      <c r="L69" s="213"/>
      <c r="M69" s="213"/>
      <c r="N69" s="213"/>
      <c r="O69" s="213"/>
      <c r="P69" s="220"/>
      <c r="Q69" s="221"/>
      <c r="R69" s="242"/>
      <c r="S69" s="101"/>
    </row>
    <row r="70" spans="1:19" ht="70.5" thickBot="1">
      <c r="A70" s="227"/>
      <c r="B70" s="228"/>
      <c r="C70" s="228"/>
      <c r="D70" s="229"/>
      <c r="E70" s="102"/>
      <c r="F70" s="127"/>
      <c r="G70" s="103" t="s">
        <v>19</v>
      </c>
      <c r="H70" s="104" t="s">
        <v>26</v>
      </c>
      <c r="I70" s="98"/>
      <c r="J70" s="105" t="s">
        <v>20</v>
      </c>
      <c r="K70" s="106">
        <f>1650/3.29</f>
        <v>501.51975683890578</v>
      </c>
      <c r="L70" s="213"/>
      <c r="M70" s="213"/>
      <c r="N70" s="213"/>
      <c r="O70" s="213"/>
      <c r="P70" s="214" t="s">
        <v>21</v>
      </c>
      <c r="Q70" s="215"/>
      <c r="R70" s="107">
        <f>R68/N68</f>
        <v>0.38499167068631279</v>
      </c>
      <c r="S70" s="108"/>
    </row>
    <row r="71" spans="1:19" ht="93.75" thickBot="1">
      <c r="A71" s="230"/>
      <c r="B71" s="231"/>
      <c r="C71" s="231"/>
      <c r="D71" s="232"/>
      <c r="E71" s="109"/>
      <c r="F71" s="128"/>
      <c r="G71" s="110" t="s">
        <v>22</v>
      </c>
      <c r="H71" s="111">
        <f>SUM(H68:H70)</f>
        <v>113452.4</v>
      </c>
      <c r="I71" s="98"/>
      <c r="J71" s="112" t="s">
        <v>22</v>
      </c>
      <c r="K71" s="113">
        <f>SUM(K68:K70)</f>
        <v>34143.78642350556</v>
      </c>
      <c r="L71" s="114" t="s">
        <v>23</v>
      </c>
      <c r="M71" s="216">
        <f>K70/K68</f>
        <v>1.624909939543533E-2</v>
      </c>
      <c r="N71" s="217"/>
      <c r="O71" s="115"/>
      <c r="P71" s="24"/>
      <c r="Q71" s="24"/>
      <c r="R71" s="24"/>
      <c r="S71" s="116"/>
    </row>
    <row r="72" spans="1:19">
      <c r="S72" s="20"/>
    </row>
    <row r="73" spans="1:19">
      <c r="S73" s="20"/>
    </row>
    <row r="74" spans="1:19">
      <c r="S74" s="20"/>
    </row>
    <row r="75" spans="1:19">
      <c r="S75" s="20"/>
    </row>
    <row r="76" spans="1:19">
      <c r="S76" s="20"/>
    </row>
    <row r="77" spans="1:19" s="117" customFormat="1">
      <c r="A77" s="117" t="s">
        <v>51</v>
      </c>
      <c r="F77" s="130"/>
      <c r="N77" s="118"/>
    </row>
    <row r="78" spans="1:19" s="222" customFormat="1" ht="15.75" customHeight="1">
      <c r="A78" s="222" t="s">
        <v>52</v>
      </c>
    </row>
    <row r="79" spans="1:19" s="117" customFormat="1">
      <c r="F79" s="130"/>
      <c r="N79" s="118"/>
    </row>
    <row r="80" spans="1:19">
      <c r="S80" s="20"/>
    </row>
    <row r="81" spans="19:19">
      <c r="S81" s="20"/>
    </row>
  </sheetData>
  <autoFilter ref="A6:T71" xr:uid="{00000000-0009-0000-0000-000000000000}"/>
  <mergeCells count="17">
    <mergeCell ref="A1:O1"/>
    <mergeCell ref="Q1:R1"/>
    <mergeCell ref="A2:O2"/>
    <mergeCell ref="P3:S3"/>
    <mergeCell ref="A4:H4"/>
    <mergeCell ref="J4:S4"/>
    <mergeCell ref="L69:O70"/>
    <mergeCell ref="P70:Q70"/>
    <mergeCell ref="M71:N71"/>
    <mergeCell ref="P68:Q69"/>
    <mergeCell ref="A78:XFD78"/>
    <mergeCell ref="A68:D71"/>
    <mergeCell ref="G68:G69"/>
    <mergeCell ref="H68:H69"/>
    <mergeCell ref="L68:M68"/>
    <mergeCell ref="N68:O68"/>
    <mergeCell ref="R68:R69"/>
  </mergeCells>
  <phoneticPr fontId="19" type="noConversion"/>
  <pageMargins left="0.25" right="0.25" top="0.75" bottom="0.75" header="0.3" footer="0.3"/>
  <pageSetup paperSize="9" scale="3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01705-1B33-409B-B71E-3AEEAC21DCA1}">
  <dimension ref="A1:T65"/>
  <sheetViews>
    <sheetView topLeftCell="A49" workbookViewId="0">
      <selection activeCell="A7" sqref="A7:XFD59"/>
    </sheetView>
  </sheetViews>
  <sheetFormatPr defaultColWidth="14.42578125" defaultRowHeight="15.75"/>
  <cols>
    <col min="1" max="1" width="11.28515625" style="1" customWidth="1"/>
    <col min="2" max="2" width="65.28515625" style="47" bestFit="1" customWidth="1"/>
    <col min="3" max="3" width="7.85546875" style="1" bestFit="1" customWidth="1"/>
    <col min="4" max="4" width="10.7109375" style="1" bestFit="1" customWidth="1"/>
    <col min="5" max="5" width="11.42578125" style="1" hidden="1" customWidth="1"/>
    <col min="6" max="6" width="0" style="1" hidden="1" customWidth="1"/>
    <col min="7" max="7" width="15.85546875" style="1" hidden="1" customWidth="1"/>
    <col min="8" max="8" width="17.5703125" style="1" hidden="1" customWidth="1"/>
    <col min="9" max="9" width="2.5703125" style="1" customWidth="1"/>
    <col min="10" max="10" width="15.7109375" style="1" bestFit="1" customWidth="1"/>
    <col min="11" max="11" width="15" style="1" bestFit="1" customWidth="1"/>
    <col min="12" max="12" width="15.28515625" style="1" bestFit="1" customWidth="1"/>
    <col min="13" max="13" width="14" style="1" bestFit="1" customWidth="1"/>
    <col min="14" max="14" width="14.28515625" style="11" bestFit="1" customWidth="1"/>
    <col min="15" max="15" width="11.5703125" style="1" bestFit="1" customWidth="1"/>
    <col min="16" max="16" width="13.7109375" style="1" bestFit="1" customWidth="1"/>
    <col min="17" max="17" width="20.5703125" style="1" bestFit="1" customWidth="1"/>
    <col min="18" max="18" width="16" style="1" customWidth="1"/>
    <col min="19" max="19" width="14.5703125" style="46" bestFit="1" customWidth="1"/>
    <col min="20" max="16384" width="14.42578125" style="1"/>
  </cols>
  <sheetData>
    <row r="1" spans="1:20" s="15" customFormat="1" ht="32.450000000000003" customHeight="1">
      <c r="A1" s="259" t="s">
        <v>0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1"/>
      <c r="P1" s="14" t="s">
        <v>1</v>
      </c>
      <c r="Q1" s="262">
        <v>45738</v>
      </c>
      <c r="R1" s="262"/>
      <c r="S1" s="44"/>
    </row>
    <row r="2" spans="1:20" s="20" customFormat="1" ht="31.7" customHeight="1" thickBot="1">
      <c r="A2" s="247" t="s">
        <v>24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9"/>
      <c r="P2" s="16" t="s">
        <v>2</v>
      </c>
      <c r="Q2" s="17">
        <v>3.298</v>
      </c>
      <c r="R2" s="18"/>
      <c r="S2" s="19"/>
    </row>
    <row r="3" spans="1:20" s="20" customFormat="1" ht="22.7" customHeight="1" thickBot="1">
      <c r="A3" s="21"/>
      <c r="B3" s="208" t="s">
        <v>38</v>
      </c>
      <c r="C3" s="21"/>
      <c r="D3" s="21"/>
      <c r="E3" s="22"/>
      <c r="F3" s="22"/>
      <c r="G3" s="22"/>
      <c r="H3" s="23"/>
      <c r="I3" s="24"/>
      <c r="J3" s="25"/>
      <c r="K3" s="26"/>
      <c r="L3" s="26"/>
      <c r="M3" s="26"/>
      <c r="N3" s="27"/>
      <c r="O3" s="26"/>
      <c r="P3" s="263" t="s">
        <v>71</v>
      </c>
      <c r="Q3" s="264"/>
      <c r="R3" s="264"/>
      <c r="S3" s="265"/>
    </row>
    <row r="4" spans="1:20" s="29" customFormat="1" ht="22.7" customHeight="1" thickBot="1">
      <c r="A4" s="266" t="s">
        <v>3</v>
      </c>
      <c r="B4" s="267"/>
      <c r="C4" s="267"/>
      <c r="D4" s="267"/>
      <c r="E4" s="267"/>
      <c r="F4" s="267"/>
      <c r="G4" s="267"/>
      <c r="H4" s="268"/>
      <c r="I4" s="28"/>
      <c r="J4" s="269" t="s">
        <v>4</v>
      </c>
      <c r="K4" s="270"/>
      <c r="L4" s="270"/>
      <c r="M4" s="270"/>
      <c r="N4" s="270"/>
      <c r="O4" s="270"/>
      <c r="P4" s="270"/>
      <c r="Q4" s="270"/>
      <c r="R4" s="270"/>
      <c r="S4" s="271"/>
    </row>
    <row r="5" spans="1:20" s="29" customFormat="1" ht="15" customHeight="1" thickBot="1">
      <c r="A5" s="30"/>
      <c r="B5" s="209"/>
      <c r="C5" s="30"/>
      <c r="D5" s="30"/>
      <c r="E5" s="31"/>
      <c r="F5" s="31"/>
      <c r="G5" s="31"/>
      <c r="H5" s="32"/>
      <c r="I5" s="33"/>
      <c r="J5" s="34"/>
      <c r="K5" s="34"/>
      <c r="L5" s="34"/>
      <c r="M5" s="34"/>
      <c r="N5" s="35"/>
      <c r="O5" s="34"/>
      <c r="P5" s="34"/>
      <c r="Q5" s="34"/>
      <c r="R5" s="34"/>
      <c r="S5" s="45"/>
    </row>
    <row r="6" spans="1:20" s="29" customFormat="1" ht="78">
      <c r="A6" s="36" t="s">
        <v>5</v>
      </c>
      <c r="B6" s="210" t="s">
        <v>6</v>
      </c>
      <c r="C6" s="37" t="s">
        <v>7</v>
      </c>
      <c r="D6" s="37" t="s">
        <v>25</v>
      </c>
      <c r="E6" s="37" t="s">
        <v>8</v>
      </c>
      <c r="F6" s="37" t="s">
        <v>36</v>
      </c>
      <c r="G6" s="37" t="s">
        <v>37</v>
      </c>
      <c r="H6" s="38" t="s">
        <v>9</v>
      </c>
      <c r="I6" s="39"/>
      <c r="J6" s="40" t="s">
        <v>28</v>
      </c>
      <c r="K6" s="41" t="s">
        <v>10</v>
      </c>
      <c r="L6" s="41" t="s">
        <v>72</v>
      </c>
      <c r="M6" s="41" t="s">
        <v>29</v>
      </c>
      <c r="N6" s="42" t="s">
        <v>11</v>
      </c>
      <c r="O6" s="41" t="s">
        <v>12</v>
      </c>
      <c r="P6" s="41" t="s">
        <v>13</v>
      </c>
      <c r="Q6" s="41" t="s">
        <v>34</v>
      </c>
      <c r="R6" s="41" t="s">
        <v>14</v>
      </c>
      <c r="S6" s="43" t="s">
        <v>27</v>
      </c>
    </row>
    <row r="7" spans="1:20" s="11" customFormat="1" ht="45" customHeight="1">
      <c r="A7" s="131">
        <v>1</v>
      </c>
      <c r="B7" s="132" t="s">
        <v>79</v>
      </c>
      <c r="C7" s="133">
        <v>10</v>
      </c>
      <c r="D7" s="134" t="s">
        <v>30</v>
      </c>
      <c r="E7" s="133">
        <f>C7*D7</f>
        <v>120</v>
      </c>
      <c r="F7" s="135">
        <v>160</v>
      </c>
      <c r="G7" s="136">
        <f t="shared" ref="G7:G39" si="0">F7/D7</f>
        <v>13.333333333333334</v>
      </c>
      <c r="H7" s="137">
        <f t="shared" ref="H7:H55" si="1">G7*E7</f>
        <v>1600</v>
      </c>
      <c r="I7" s="173"/>
      <c r="J7" s="139">
        <f>G7/$Q$2</f>
        <v>4.0428542551041033</v>
      </c>
      <c r="K7" s="139">
        <f t="shared" ref="K7:K55" si="2">H7/$Q$2</f>
        <v>485.1425106124924</v>
      </c>
      <c r="L7" s="139">
        <f t="shared" ref="L7:L55" si="3">J7*(1+$M$59+9%)</f>
        <v>4.4650086286421615</v>
      </c>
      <c r="M7" s="139">
        <f>L7*E7</f>
        <v>535.80103543705934</v>
      </c>
      <c r="N7" s="140"/>
      <c r="O7" s="141">
        <f t="shared" ref="O7:O55" si="4">N7*E7</f>
        <v>0</v>
      </c>
      <c r="P7" s="141">
        <f t="shared" ref="P7:P55" si="5">N7-L7</f>
        <v>-4.4650086286421615</v>
      </c>
      <c r="Q7" s="141">
        <f t="shared" ref="Q7:Q55" si="6">P7*E7</f>
        <v>-535.80103543705934</v>
      </c>
      <c r="R7" s="142" t="e">
        <f t="shared" ref="R7:R55" si="7">P7/N7</f>
        <v>#DIV/0!</v>
      </c>
      <c r="S7" s="143"/>
      <c r="T7" s="144"/>
    </row>
    <row r="8" spans="1:20" s="11" customFormat="1" ht="45" customHeight="1">
      <c r="A8" s="131">
        <v>2</v>
      </c>
      <c r="B8" s="132" t="s">
        <v>82</v>
      </c>
      <c r="C8" s="133">
        <v>19</v>
      </c>
      <c r="D8" s="134" t="s">
        <v>40</v>
      </c>
      <c r="E8" s="133">
        <f t="shared" ref="E8:E55" si="8">D8*C8</f>
        <v>190</v>
      </c>
      <c r="F8" s="135">
        <v>97.5</v>
      </c>
      <c r="G8" s="136">
        <f t="shared" si="0"/>
        <v>9.75</v>
      </c>
      <c r="H8" s="137">
        <f t="shared" si="1"/>
        <v>1852.5</v>
      </c>
      <c r="I8" s="173"/>
      <c r="J8" s="139">
        <f t="shared" ref="J8:J55" si="9">G8/$Q$2</f>
        <v>2.9563371740448758</v>
      </c>
      <c r="K8" s="139">
        <f t="shared" si="2"/>
        <v>561.70406306852635</v>
      </c>
      <c r="L8" s="139">
        <f t="shared" si="3"/>
        <v>3.2650375596945809</v>
      </c>
      <c r="M8" s="139">
        <f t="shared" ref="M8:M55" si="10">L8*E8</f>
        <v>620.35713634197032</v>
      </c>
      <c r="N8" s="140"/>
      <c r="O8" s="141">
        <f t="shared" si="4"/>
        <v>0</v>
      </c>
      <c r="P8" s="141">
        <f t="shared" si="5"/>
        <v>-3.2650375596945809</v>
      </c>
      <c r="Q8" s="141">
        <f t="shared" si="6"/>
        <v>-620.35713634197032</v>
      </c>
      <c r="R8" s="142" t="e">
        <f t="shared" si="7"/>
        <v>#DIV/0!</v>
      </c>
      <c r="S8" s="143"/>
      <c r="T8" s="144"/>
    </row>
    <row r="9" spans="1:20" s="11" customFormat="1" ht="45" customHeight="1">
      <c r="A9" s="131">
        <v>3</v>
      </c>
      <c r="B9" s="174" t="s">
        <v>80</v>
      </c>
      <c r="C9" s="133">
        <v>19</v>
      </c>
      <c r="D9" s="134" t="s">
        <v>40</v>
      </c>
      <c r="E9" s="133">
        <f t="shared" si="8"/>
        <v>190</v>
      </c>
      <c r="F9" s="135">
        <v>96</v>
      </c>
      <c r="G9" s="136">
        <f t="shared" si="0"/>
        <v>9.6</v>
      </c>
      <c r="H9" s="137">
        <f t="shared" si="1"/>
        <v>1824</v>
      </c>
      <c r="I9" s="173"/>
      <c r="J9" s="139">
        <f t="shared" si="9"/>
        <v>2.9108550636749544</v>
      </c>
      <c r="K9" s="139">
        <f t="shared" si="2"/>
        <v>553.06246209824133</v>
      </c>
      <c r="L9" s="139">
        <f t="shared" si="3"/>
        <v>3.214806212622356</v>
      </c>
      <c r="M9" s="139">
        <f t="shared" si="10"/>
        <v>610.8131803982476</v>
      </c>
      <c r="N9" s="140"/>
      <c r="O9" s="141">
        <f t="shared" si="4"/>
        <v>0</v>
      </c>
      <c r="P9" s="141">
        <f t="shared" si="5"/>
        <v>-3.214806212622356</v>
      </c>
      <c r="Q9" s="141">
        <f t="shared" si="6"/>
        <v>-610.8131803982476</v>
      </c>
      <c r="R9" s="142" t="e">
        <f t="shared" si="7"/>
        <v>#DIV/0!</v>
      </c>
      <c r="S9" s="143"/>
      <c r="T9" s="144"/>
    </row>
    <row r="10" spans="1:20" s="11" customFormat="1" ht="45" customHeight="1">
      <c r="A10" s="131">
        <v>4</v>
      </c>
      <c r="B10" s="174" t="s">
        <v>81</v>
      </c>
      <c r="C10" s="133">
        <v>2</v>
      </c>
      <c r="D10" s="134" t="s">
        <v>49</v>
      </c>
      <c r="E10" s="133">
        <f t="shared" si="8"/>
        <v>800</v>
      </c>
      <c r="F10" s="135">
        <v>860</v>
      </c>
      <c r="G10" s="136">
        <f t="shared" ref="G10" si="11">F10/D10</f>
        <v>2.15</v>
      </c>
      <c r="H10" s="137">
        <f t="shared" ref="H10" si="12">G10*E10</f>
        <v>1720</v>
      </c>
      <c r="I10" s="173"/>
      <c r="J10" s="139">
        <f t="shared" ref="J10" si="13">G10/$Q$2</f>
        <v>0.6519102486355367</v>
      </c>
      <c r="K10" s="139">
        <f t="shared" si="2"/>
        <v>521.52819890842932</v>
      </c>
      <c r="L10" s="139">
        <f t="shared" si="3"/>
        <v>0.71998264136854861</v>
      </c>
      <c r="M10" s="139">
        <f t="shared" ref="M10:M11" si="14">L10*E10</f>
        <v>575.98611309483886</v>
      </c>
      <c r="N10" s="140"/>
      <c r="O10" s="141">
        <f t="shared" si="4"/>
        <v>0</v>
      </c>
      <c r="P10" s="141">
        <f t="shared" ref="P10" si="15">N10-L10</f>
        <v>-0.71998264136854861</v>
      </c>
      <c r="Q10" s="141">
        <f t="shared" ref="Q10" si="16">P10*E10</f>
        <v>-575.98611309483886</v>
      </c>
      <c r="R10" s="142" t="e">
        <f t="shared" ref="R10" si="17">P10/N10</f>
        <v>#DIV/0!</v>
      </c>
      <c r="S10" s="143"/>
      <c r="T10" s="144"/>
    </row>
    <row r="11" spans="1:20" s="84" customFormat="1" ht="45" customHeight="1">
      <c r="A11" s="131">
        <v>5</v>
      </c>
      <c r="B11" s="174" t="s">
        <v>83</v>
      </c>
      <c r="C11" s="133">
        <v>20</v>
      </c>
      <c r="D11" s="134" t="s">
        <v>32</v>
      </c>
      <c r="E11" s="133">
        <f t="shared" ref="E11:E17" si="18">D11*C11</f>
        <v>1000</v>
      </c>
      <c r="F11" s="175">
        <v>83</v>
      </c>
      <c r="G11" s="136">
        <f t="shared" ref="G11:G17" si="19">F11/D11</f>
        <v>1.66</v>
      </c>
      <c r="H11" s="137">
        <f t="shared" ref="H11:H17" si="20">G11*E11</f>
        <v>1660</v>
      </c>
      <c r="I11" s="173"/>
      <c r="J11" s="139">
        <f t="shared" ref="J11:J17" si="21">G11/$Q$2</f>
        <v>0.50333535476046087</v>
      </c>
      <c r="K11" s="139">
        <f t="shared" si="2"/>
        <v>503.33535476046086</v>
      </c>
      <c r="L11" s="139">
        <f t="shared" si="3"/>
        <v>0.5558935742659491</v>
      </c>
      <c r="M11" s="139">
        <f t="shared" si="14"/>
        <v>555.89357426594904</v>
      </c>
      <c r="N11" s="140">
        <v>1</v>
      </c>
      <c r="O11" s="141">
        <f t="shared" si="4"/>
        <v>1000</v>
      </c>
      <c r="P11" s="141">
        <f t="shared" ref="P11:P17" si="22">N11-L11</f>
        <v>0.4441064257340509</v>
      </c>
      <c r="Q11" s="141">
        <f t="shared" ref="Q11:Q17" si="23">P11*E11</f>
        <v>444.1064257340509</v>
      </c>
      <c r="R11" s="142">
        <f t="shared" ref="R11:R17" si="24">P11/N11</f>
        <v>0.4441064257340509</v>
      </c>
      <c r="S11" s="176"/>
      <c r="T11" s="144"/>
    </row>
    <row r="12" spans="1:20" s="84" customFormat="1" ht="45" customHeight="1">
      <c r="A12" s="131">
        <v>6</v>
      </c>
      <c r="B12" s="174" t="s">
        <v>54</v>
      </c>
      <c r="C12" s="133">
        <v>10</v>
      </c>
      <c r="D12" s="134" t="s">
        <v>32</v>
      </c>
      <c r="E12" s="133">
        <f t="shared" si="18"/>
        <v>500</v>
      </c>
      <c r="F12" s="175">
        <v>83</v>
      </c>
      <c r="G12" s="136">
        <f t="shared" si="19"/>
        <v>1.66</v>
      </c>
      <c r="H12" s="137">
        <f t="shared" si="20"/>
        <v>830</v>
      </c>
      <c r="I12" s="173"/>
      <c r="J12" s="139">
        <f t="shared" si="21"/>
        <v>0.50333535476046087</v>
      </c>
      <c r="K12" s="139">
        <f t="shared" si="2"/>
        <v>251.66767738023043</v>
      </c>
      <c r="L12" s="139">
        <f t="shared" si="3"/>
        <v>0.5558935742659491</v>
      </c>
      <c r="M12" s="139">
        <f t="shared" ref="M12:M50" si="25">L12*E12</f>
        <v>277.94678713297452</v>
      </c>
      <c r="N12" s="140">
        <v>1</v>
      </c>
      <c r="O12" s="141">
        <f t="shared" si="4"/>
        <v>500</v>
      </c>
      <c r="P12" s="141">
        <f t="shared" si="22"/>
        <v>0.4441064257340509</v>
      </c>
      <c r="Q12" s="141">
        <f t="shared" si="23"/>
        <v>222.05321286702545</v>
      </c>
      <c r="R12" s="142">
        <f t="shared" si="24"/>
        <v>0.4441064257340509</v>
      </c>
      <c r="S12" s="176"/>
      <c r="T12" s="144"/>
    </row>
    <row r="13" spans="1:20" s="84" customFormat="1" ht="45" customHeight="1">
      <c r="A13" s="131">
        <v>7</v>
      </c>
      <c r="B13" s="174" t="s">
        <v>84</v>
      </c>
      <c r="C13" s="133">
        <v>20</v>
      </c>
      <c r="D13" s="134" t="s">
        <v>32</v>
      </c>
      <c r="E13" s="133">
        <f t="shared" si="18"/>
        <v>1000</v>
      </c>
      <c r="F13" s="175">
        <v>83</v>
      </c>
      <c r="G13" s="136">
        <f t="shared" si="19"/>
        <v>1.66</v>
      </c>
      <c r="H13" s="137">
        <f t="shared" si="20"/>
        <v>1660</v>
      </c>
      <c r="I13" s="173"/>
      <c r="J13" s="139">
        <f t="shared" si="21"/>
        <v>0.50333535476046087</v>
      </c>
      <c r="K13" s="139">
        <f t="shared" si="2"/>
        <v>503.33535476046086</v>
      </c>
      <c r="L13" s="139">
        <f t="shared" si="3"/>
        <v>0.5558935742659491</v>
      </c>
      <c r="M13" s="139">
        <f t="shared" si="25"/>
        <v>555.89357426594904</v>
      </c>
      <c r="N13" s="140">
        <v>1</v>
      </c>
      <c r="O13" s="141">
        <f t="shared" si="4"/>
        <v>1000</v>
      </c>
      <c r="P13" s="141">
        <f t="shared" si="22"/>
        <v>0.4441064257340509</v>
      </c>
      <c r="Q13" s="141">
        <f t="shared" si="23"/>
        <v>444.1064257340509</v>
      </c>
      <c r="R13" s="142">
        <f t="shared" si="24"/>
        <v>0.4441064257340509</v>
      </c>
      <c r="S13" s="176"/>
      <c r="T13" s="144"/>
    </row>
    <row r="14" spans="1:20" s="84" customFormat="1" ht="45" customHeight="1">
      <c r="A14" s="131">
        <v>8</v>
      </c>
      <c r="B14" s="174" t="s">
        <v>85</v>
      </c>
      <c r="C14" s="133">
        <v>30</v>
      </c>
      <c r="D14" s="134" t="s">
        <v>32</v>
      </c>
      <c r="E14" s="133">
        <f t="shared" si="18"/>
        <v>1500</v>
      </c>
      <c r="F14" s="175">
        <v>83</v>
      </c>
      <c r="G14" s="136">
        <f t="shared" si="19"/>
        <v>1.66</v>
      </c>
      <c r="H14" s="137">
        <f t="shared" si="20"/>
        <v>2490</v>
      </c>
      <c r="I14" s="173"/>
      <c r="J14" s="139">
        <f t="shared" si="21"/>
        <v>0.50333535476046087</v>
      </c>
      <c r="K14" s="139">
        <f t="shared" si="2"/>
        <v>755.00303214069129</v>
      </c>
      <c r="L14" s="139">
        <f t="shared" si="3"/>
        <v>0.5558935742659491</v>
      </c>
      <c r="M14" s="139">
        <f t="shared" si="25"/>
        <v>833.84036139892362</v>
      </c>
      <c r="N14" s="140">
        <v>1</v>
      </c>
      <c r="O14" s="141">
        <f t="shared" si="4"/>
        <v>1500</v>
      </c>
      <c r="P14" s="141">
        <f t="shared" si="22"/>
        <v>0.4441064257340509</v>
      </c>
      <c r="Q14" s="141">
        <f t="shared" si="23"/>
        <v>666.15963860107638</v>
      </c>
      <c r="R14" s="142">
        <f t="shared" si="24"/>
        <v>0.4441064257340509</v>
      </c>
      <c r="S14" s="176"/>
      <c r="T14" s="144"/>
    </row>
    <row r="15" spans="1:20" s="11" customFormat="1" ht="45" customHeight="1">
      <c r="A15" s="131">
        <v>9</v>
      </c>
      <c r="B15" s="48" t="s">
        <v>42</v>
      </c>
      <c r="C15" s="133">
        <v>20</v>
      </c>
      <c r="D15" s="134" t="s">
        <v>32</v>
      </c>
      <c r="E15" s="133">
        <f t="shared" si="18"/>
        <v>1000</v>
      </c>
      <c r="F15" s="135">
        <f>81.5-(81.5*3%)</f>
        <v>79.055000000000007</v>
      </c>
      <c r="G15" s="136">
        <f t="shared" si="19"/>
        <v>1.5811000000000002</v>
      </c>
      <c r="H15" s="137">
        <f t="shared" si="20"/>
        <v>1581.1000000000001</v>
      </c>
      <c r="I15" s="173"/>
      <c r="J15" s="139">
        <f t="shared" si="21"/>
        <v>0.47941176470588243</v>
      </c>
      <c r="K15" s="139">
        <f t="shared" si="2"/>
        <v>479.41176470588238</v>
      </c>
      <c r="L15" s="139">
        <f t="shared" si="3"/>
        <v>0.52947188570595916</v>
      </c>
      <c r="M15" s="139">
        <f>L15*E15</f>
        <v>529.47188570595915</v>
      </c>
      <c r="N15" s="140">
        <v>0.85</v>
      </c>
      <c r="O15" s="141">
        <f>N15*E15</f>
        <v>850</v>
      </c>
      <c r="P15" s="141">
        <f t="shared" si="22"/>
        <v>0.32052811429404082</v>
      </c>
      <c r="Q15" s="141">
        <f t="shared" si="23"/>
        <v>320.52811429404085</v>
      </c>
      <c r="R15" s="142">
        <f t="shared" si="24"/>
        <v>0.37709189916945979</v>
      </c>
      <c r="S15" s="143"/>
      <c r="T15" s="144"/>
    </row>
    <row r="16" spans="1:20" s="11" customFormat="1" ht="45" customHeight="1">
      <c r="A16" s="131">
        <v>10</v>
      </c>
      <c r="B16" s="174" t="s">
        <v>43</v>
      </c>
      <c r="C16" s="133">
        <v>20</v>
      </c>
      <c r="D16" s="134" t="s">
        <v>32</v>
      </c>
      <c r="E16" s="133">
        <f t="shared" si="18"/>
        <v>1000</v>
      </c>
      <c r="F16" s="135">
        <f t="shared" ref="F16:F17" si="26">81.5-(81.5*3%)</f>
        <v>79.055000000000007</v>
      </c>
      <c r="G16" s="136">
        <f t="shared" si="19"/>
        <v>1.5811000000000002</v>
      </c>
      <c r="H16" s="137">
        <f t="shared" si="20"/>
        <v>1581.1000000000001</v>
      </c>
      <c r="I16" s="173"/>
      <c r="J16" s="139">
        <f t="shared" si="21"/>
        <v>0.47941176470588243</v>
      </c>
      <c r="K16" s="139">
        <f t="shared" si="2"/>
        <v>479.41176470588238</v>
      </c>
      <c r="L16" s="139">
        <f t="shared" si="3"/>
        <v>0.52947188570595916</v>
      </c>
      <c r="M16" s="139">
        <f>L16*E16</f>
        <v>529.47188570595915</v>
      </c>
      <c r="N16" s="140">
        <v>0.85</v>
      </c>
      <c r="O16" s="141">
        <f>N16*E16</f>
        <v>850</v>
      </c>
      <c r="P16" s="141">
        <f t="shared" si="22"/>
        <v>0.32052811429404082</v>
      </c>
      <c r="Q16" s="141">
        <f t="shared" si="23"/>
        <v>320.52811429404085</v>
      </c>
      <c r="R16" s="142">
        <f t="shared" si="24"/>
        <v>0.37709189916945979</v>
      </c>
      <c r="S16" s="143"/>
      <c r="T16" s="144"/>
    </row>
    <row r="17" spans="1:20" s="11" customFormat="1" ht="45" customHeight="1">
      <c r="A17" s="131">
        <v>11</v>
      </c>
      <c r="B17" s="174" t="s">
        <v>44</v>
      </c>
      <c r="C17" s="133">
        <v>20</v>
      </c>
      <c r="D17" s="134" t="s">
        <v>32</v>
      </c>
      <c r="E17" s="133">
        <f t="shared" si="18"/>
        <v>1000</v>
      </c>
      <c r="F17" s="135">
        <f t="shared" si="26"/>
        <v>79.055000000000007</v>
      </c>
      <c r="G17" s="136">
        <f t="shared" si="19"/>
        <v>1.5811000000000002</v>
      </c>
      <c r="H17" s="137">
        <f t="shared" si="20"/>
        <v>1581.1000000000001</v>
      </c>
      <c r="I17" s="173"/>
      <c r="J17" s="139">
        <f t="shared" si="21"/>
        <v>0.47941176470588243</v>
      </c>
      <c r="K17" s="139">
        <f t="shared" si="2"/>
        <v>479.41176470588238</v>
      </c>
      <c r="L17" s="139">
        <f t="shared" si="3"/>
        <v>0.52947188570595916</v>
      </c>
      <c r="M17" s="139">
        <f>L17*E17</f>
        <v>529.47188570595915</v>
      </c>
      <c r="N17" s="140">
        <v>0.85</v>
      </c>
      <c r="O17" s="141">
        <f>N17*E17</f>
        <v>850</v>
      </c>
      <c r="P17" s="141">
        <f t="shared" si="22"/>
        <v>0.32052811429404082</v>
      </c>
      <c r="Q17" s="141">
        <f t="shared" si="23"/>
        <v>320.52811429404085</v>
      </c>
      <c r="R17" s="142">
        <f t="shared" si="24"/>
        <v>0.37709189916945979</v>
      </c>
      <c r="S17" s="143"/>
      <c r="T17" s="144"/>
    </row>
    <row r="18" spans="1:20" s="11" customFormat="1" ht="45" customHeight="1">
      <c r="A18" s="131">
        <v>12</v>
      </c>
      <c r="B18" s="174" t="s">
        <v>86</v>
      </c>
      <c r="C18" s="133">
        <v>19</v>
      </c>
      <c r="D18" s="134" t="s">
        <v>39</v>
      </c>
      <c r="E18" s="133">
        <f t="shared" si="8"/>
        <v>912</v>
      </c>
      <c r="F18" s="135">
        <v>98.4</v>
      </c>
      <c r="G18" s="136">
        <f t="shared" si="0"/>
        <v>2.0500000000000003</v>
      </c>
      <c r="H18" s="137">
        <f t="shared" si="1"/>
        <v>1869.6000000000001</v>
      </c>
      <c r="I18" s="173"/>
      <c r="J18" s="139">
        <f t="shared" si="9"/>
        <v>0.62158884172225604</v>
      </c>
      <c r="K18" s="139">
        <f t="shared" si="2"/>
        <v>566.88902365069748</v>
      </c>
      <c r="L18" s="139">
        <f t="shared" si="3"/>
        <v>0.68649507665373244</v>
      </c>
      <c r="M18" s="139">
        <f t="shared" si="25"/>
        <v>626.08350990820395</v>
      </c>
      <c r="N18" s="140"/>
      <c r="O18" s="141">
        <f t="shared" si="4"/>
        <v>0</v>
      </c>
      <c r="P18" s="141">
        <f t="shared" si="5"/>
        <v>-0.68649507665373244</v>
      </c>
      <c r="Q18" s="141">
        <f t="shared" si="6"/>
        <v>-626.08350990820395</v>
      </c>
      <c r="R18" s="142" t="e">
        <f t="shared" si="7"/>
        <v>#DIV/0!</v>
      </c>
      <c r="S18" s="143" t="s">
        <v>41</v>
      </c>
      <c r="T18" s="144"/>
    </row>
    <row r="19" spans="1:20" s="11" customFormat="1" ht="45" customHeight="1">
      <c r="A19" s="131">
        <v>13</v>
      </c>
      <c r="B19" s="48" t="s">
        <v>76</v>
      </c>
      <c r="C19" s="133">
        <v>20</v>
      </c>
      <c r="D19" s="134" t="s">
        <v>39</v>
      </c>
      <c r="E19" s="133">
        <f t="shared" ref="E19:E25" si="27">D19*C19</f>
        <v>960</v>
      </c>
      <c r="F19" s="135">
        <v>98.4</v>
      </c>
      <c r="G19" s="136">
        <f t="shared" ref="G19:G25" si="28">F19/D19</f>
        <v>2.0500000000000003</v>
      </c>
      <c r="H19" s="137">
        <f t="shared" ref="H19:H25" si="29">G19*E19</f>
        <v>1968.0000000000002</v>
      </c>
      <c r="I19" s="138"/>
      <c r="J19" s="139">
        <f t="shared" ref="J19:J25" si="30">G19/$Q$2</f>
        <v>0.62158884172225604</v>
      </c>
      <c r="K19" s="139">
        <f t="shared" si="2"/>
        <v>596.72528805336572</v>
      </c>
      <c r="L19" s="139">
        <f t="shared" si="3"/>
        <v>0.68649507665373244</v>
      </c>
      <c r="M19" s="139">
        <f t="shared" ref="M19:M24" si="31">L19*E19</f>
        <v>659.03527358758311</v>
      </c>
      <c r="N19" s="140">
        <v>1</v>
      </c>
      <c r="O19" s="141">
        <f t="shared" ref="O19:O24" si="32">N19*E19</f>
        <v>960</v>
      </c>
      <c r="P19" s="141">
        <f t="shared" ref="P19:P24" si="33">N19-L19</f>
        <v>0.31350492334626756</v>
      </c>
      <c r="Q19" s="141">
        <f t="shared" ref="Q19:Q24" si="34">P19*E19</f>
        <v>300.96472641241684</v>
      </c>
      <c r="R19" s="142">
        <f t="shared" ref="R19:R24" si="35">P19/N19</f>
        <v>0.31350492334626756</v>
      </c>
      <c r="S19" s="143"/>
      <c r="T19" s="144"/>
    </row>
    <row r="20" spans="1:20" s="11" customFormat="1" ht="45" customHeight="1">
      <c r="A20" s="131">
        <v>14</v>
      </c>
      <c r="B20" s="48" t="s">
        <v>73</v>
      </c>
      <c r="C20" s="133">
        <v>20</v>
      </c>
      <c r="D20" s="134" t="s">
        <v>39</v>
      </c>
      <c r="E20" s="133">
        <f t="shared" si="27"/>
        <v>960</v>
      </c>
      <c r="F20" s="135">
        <v>98.4</v>
      </c>
      <c r="G20" s="136">
        <f t="shared" si="28"/>
        <v>2.0500000000000003</v>
      </c>
      <c r="H20" s="137">
        <f t="shared" si="29"/>
        <v>1968.0000000000002</v>
      </c>
      <c r="I20" s="138"/>
      <c r="J20" s="139">
        <f t="shared" si="30"/>
        <v>0.62158884172225604</v>
      </c>
      <c r="K20" s="139">
        <f t="shared" si="2"/>
        <v>596.72528805336572</v>
      </c>
      <c r="L20" s="139">
        <f t="shared" si="3"/>
        <v>0.68649507665373244</v>
      </c>
      <c r="M20" s="139">
        <f t="shared" si="31"/>
        <v>659.03527358758311</v>
      </c>
      <c r="N20" s="140">
        <v>1</v>
      </c>
      <c r="O20" s="141">
        <f t="shared" si="32"/>
        <v>960</v>
      </c>
      <c r="P20" s="141">
        <f t="shared" si="33"/>
        <v>0.31350492334626756</v>
      </c>
      <c r="Q20" s="141">
        <f t="shared" si="34"/>
        <v>300.96472641241684</v>
      </c>
      <c r="R20" s="142">
        <f t="shared" si="35"/>
        <v>0.31350492334626756</v>
      </c>
      <c r="S20" s="143"/>
      <c r="T20" s="144"/>
    </row>
    <row r="21" spans="1:20" s="11" customFormat="1" ht="45" customHeight="1">
      <c r="A21" s="131">
        <v>15</v>
      </c>
      <c r="B21" s="48" t="s">
        <v>87</v>
      </c>
      <c r="C21" s="133">
        <v>20</v>
      </c>
      <c r="D21" s="134" t="s">
        <v>39</v>
      </c>
      <c r="E21" s="133">
        <f t="shared" si="27"/>
        <v>960</v>
      </c>
      <c r="F21" s="135">
        <v>98.4</v>
      </c>
      <c r="G21" s="136">
        <f t="shared" si="28"/>
        <v>2.0500000000000003</v>
      </c>
      <c r="H21" s="137">
        <f t="shared" si="29"/>
        <v>1968.0000000000002</v>
      </c>
      <c r="I21" s="138"/>
      <c r="J21" s="139">
        <f t="shared" si="30"/>
        <v>0.62158884172225604</v>
      </c>
      <c r="K21" s="139">
        <f t="shared" si="2"/>
        <v>596.72528805336572</v>
      </c>
      <c r="L21" s="139">
        <f t="shared" si="3"/>
        <v>0.68649507665373244</v>
      </c>
      <c r="M21" s="139">
        <f t="shared" si="31"/>
        <v>659.03527358758311</v>
      </c>
      <c r="N21" s="140">
        <v>1</v>
      </c>
      <c r="O21" s="141">
        <f t="shared" si="32"/>
        <v>960</v>
      </c>
      <c r="P21" s="141">
        <f t="shared" si="33"/>
        <v>0.31350492334626756</v>
      </c>
      <c r="Q21" s="141">
        <f t="shared" si="34"/>
        <v>300.96472641241684</v>
      </c>
      <c r="R21" s="142">
        <f t="shared" si="35"/>
        <v>0.31350492334626756</v>
      </c>
      <c r="S21" s="143"/>
      <c r="T21" s="144"/>
    </row>
    <row r="22" spans="1:20" s="11" customFormat="1" ht="45" customHeight="1">
      <c r="A22" s="131">
        <v>16</v>
      </c>
      <c r="B22" s="48" t="s">
        <v>75</v>
      </c>
      <c r="C22" s="133">
        <v>20</v>
      </c>
      <c r="D22" s="134" t="s">
        <v>39</v>
      </c>
      <c r="E22" s="133">
        <f t="shared" si="27"/>
        <v>960</v>
      </c>
      <c r="F22" s="135">
        <v>98.4</v>
      </c>
      <c r="G22" s="136">
        <f t="shared" si="28"/>
        <v>2.0500000000000003</v>
      </c>
      <c r="H22" s="137">
        <f t="shared" si="29"/>
        <v>1968.0000000000002</v>
      </c>
      <c r="I22" s="138"/>
      <c r="J22" s="139">
        <f t="shared" si="30"/>
        <v>0.62158884172225604</v>
      </c>
      <c r="K22" s="139">
        <f t="shared" si="2"/>
        <v>596.72528805336572</v>
      </c>
      <c r="L22" s="139">
        <f t="shared" si="3"/>
        <v>0.68649507665373244</v>
      </c>
      <c r="M22" s="139">
        <f t="shared" si="31"/>
        <v>659.03527358758311</v>
      </c>
      <c r="N22" s="140">
        <v>1</v>
      </c>
      <c r="O22" s="141">
        <f t="shared" si="32"/>
        <v>960</v>
      </c>
      <c r="P22" s="141">
        <f t="shared" si="33"/>
        <v>0.31350492334626756</v>
      </c>
      <c r="Q22" s="141">
        <f t="shared" si="34"/>
        <v>300.96472641241684</v>
      </c>
      <c r="R22" s="142">
        <f t="shared" si="35"/>
        <v>0.31350492334626756</v>
      </c>
      <c r="S22" s="143"/>
      <c r="T22" s="144"/>
    </row>
    <row r="23" spans="1:20" s="11" customFormat="1" ht="45" customHeight="1">
      <c r="A23" s="131">
        <v>17</v>
      </c>
      <c r="B23" s="48" t="s">
        <v>74</v>
      </c>
      <c r="C23" s="133">
        <v>20</v>
      </c>
      <c r="D23" s="134" t="s">
        <v>39</v>
      </c>
      <c r="E23" s="133">
        <f t="shared" si="27"/>
        <v>960</v>
      </c>
      <c r="F23" s="135">
        <v>98.4</v>
      </c>
      <c r="G23" s="136">
        <f t="shared" si="28"/>
        <v>2.0500000000000003</v>
      </c>
      <c r="H23" s="137">
        <f t="shared" si="29"/>
        <v>1968.0000000000002</v>
      </c>
      <c r="I23" s="138"/>
      <c r="J23" s="139">
        <f t="shared" si="30"/>
        <v>0.62158884172225604</v>
      </c>
      <c r="K23" s="139">
        <f t="shared" si="2"/>
        <v>596.72528805336572</v>
      </c>
      <c r="L23" s="139">
        <f t="shared" si="3"/>
        <v>0.68649507665373244</v>
      </c>
      <c r="M23" s="139">
        <f t="shared" si="31"/>
        <v>659.03527358758311</v>
      </c>
      <c r="N23" s="140">
        <v>1</v>
      </c>
      <c r="O23" s="141">
        <f t="shared" si="32"/>
        <v>960</v>
      </c>
      <c r="P23" s="141">
        <f t="shared" si="33"/>
        <v>0.31350492334626756</v>
      </c>
      <c r="Q23" s="141">
        <f t="shared" si="34"/>
        <v>300.96472641241684</v>
      </c>
      <c r="R23" s="142">
        <f t="shared" si="35"/>
        <v>0.31350492334626756</v>
      </c>
      <c r="S23" s="143"/>
      <c r="T23" s="144"/>
    </row>
    <row r="24" spans="1:20" s="11" customFormat="1" ht="45" customHeight="1">
      <c r="A24" s="131">
        <v>18</v>
      </c>
      <c r="B24" s="48" t="s">
        <v>88</v>
      </c>
      <c r="C24" s="133">
        <v>20</v>
      </c>
      <c r="D24" s="134" t="s">
        <v>39</v>
      </c>
      <c r="E24" s="133">
        <f t="shared" si="27"/>
        <v>960</v>
      </c>
      <c r="F24" s="135">
        <v>98.4</v>
      </c>
      <c r="G24" s="136">
        <f t="shared" si="28"/>
        <v>2.0500000000000003</v>
      </c>
      <c r="H24" s="137">
        <f t="shared" si="29"/>
        <v>1968.0000000000002</v>
      </c>
      <c r="I24" s="138"/>
      <c r="J24" s="139">
        <f t="shared" si="30"/>
        <v>0.62158884172225604</v>
      </c>
      <c r="K24" s="139">
        <f t="shared" si="2"/>
        <v>596.72528805336572</v>
      </c>
      <c r="L24" s="139">
        <f t="shared" si="3"/>
        <v>0.68649507665373244</v>
      </c>
      <c r="M24" s="139">
        <f t="shared" si="31"/>
        <v>659.03527358758311</v>
      </c>
      <c r="N24" s="140">
        <v>1</v>
      </c>
      <c r="O24" s="141">
        <f t="shared" si="32"/>
        <v>960</v>
      </c>
      <c r="P24" s="141">
        <f t="shared" si="33"/>
        <v>0.31350492334626756</v>
      </c>
      <c r="Q24" s="141">
        <f t="shared" si="34"/>
        <v>300.96472641241684</v>
      </c>
      <c r="R24" s="142">
        <f t="shared" si="35"/>
        <v>0.31350492334626756</v>
      </c>
      <c r="S24" s="143"/>
      <c r="T24" s="144"/>
    </row>
    <row r="25" spans="1:20" s="11" customFormat="1" ht="45" customHeight="1">
      <c r="A25" s="131">
        <v>19</v>
      </c>
      <c r="B25" s="174" t="s">
        <v>89</v>
      </c>
      <c r="C25" s="133">
        <v>15</v>
      </c>
      <c r="D25" s="134" t="s">
        <v>32</v>
      </c>
      <c r="E25" s="133">
        <f t="shared" si="27"/>
        <v>750</v>
      </c>
      <c r="F25" s="135">
        <v>155</v>
      </c>
      <c r="G25" s="136">
        <f t="shared" si="28"/>
        <v>3.1</v>
      </c>
      <c r="H25" s="137">
        <f t="shared" si="29"/>
        <v>2325</v>
      </c>
      <c r="I25" s="173"/>
      <c r="J25" s="139">
        <f t="shared" si="30"/>
        <v>0.93996361431170405</v>
      </c>
      <c r="K25" s="139">
        <f t="shared" si="2"/>
        <v>704.97271073377806</v>
      </c>
      <c r="L25" s="139">
        <f t="shared" si="3"/>
        <v>1.0381145061593025</v>
      </c>
      <c r="M25" s="139">
        <f t="shared" ref="M25:M37" si="36">L25*E25</f>
        <v>778.58587961947683</v>
      </c>
      <c r="N25" s="140"/>
      <c r="O25" s="141"/>
      <c r="P25" s="141"/>
      <c r="Q25" s="141"/>
      <c r="R25" s="142"/>
      <c r="S25" s="143"/>
      <c r="T25" s="144"/>
    </row>
    <row r="26" spans="1:20" s="84" customFormat="1" ht="45" customHeight="1">
      <c r="A26" s="131">
        <v>20</v>
      </c>
      <c r="B26" s="207" t="s">
        <v>55</v>
      </c>
      <c r="C26" s="67">
        <v>19</v>
      </c>
      <c r="D26" s="89" t="s">
        <v>57</v>
      </c>
      <c r="E26" s="74">
        <f t="shared" ref="E26:E31" si="37">D26*C26</f>
        <v>570</v>
      </c>
      <c r="F26" s="122">
        <v>226.5</v>
      </c>
      <c r="G26" s="77">
        <f t="shared" ref="G26:G31" si="38">F26/D26</f>
        <v>7.55</v>
      </c>
      <c r="H26" s="78">
        <f t="shared" ref="H26:H31" si="39">G26*E26</f>
        <v>4303.5</v>
      </c>
      <c r="I26" s="87"/>
      <c r="J26" s="79">
        <f>G26/$Q$2</f>
        <v>2.2892662219526985</v>
      </c>
      <c r="K26" s="139">
        <f t="shared" si="2"/>
        <v>1304.8817465130383</v>
      </c>
      <c r="L26" s="139">
        <f t="shared" si="3"/>
        <v>2.5283111359686239</v>
      </c>
      <c r="M26" s="139">
        <f t="shared" si="36"/>
        <v>1441.1373475021155</v>
      </c>
      <c r="N26" s="80">
        <v>3.95</v>
      </c>
      <c r="O26" s="81">
        <f t="shared" ref="O26:O31" si="40">N26*E26</f>
        <v>2251.5</v>
      </c>
      <c r="P26" s="81">
        <f t="shared" ref="P26:P31" si="41">N26-L26</f>
        <v>1.4216888640313763</v>
      </c>
      <c r="Q26" s="81">
        <f t="shared" ref="Q26:Q31" si="42">P26*E26</f>
        <v>810.36265249788448</v>
      </c>
      <c r="R26" s="82">
        <f t="shared" ref="R26:R31" si="43">P26/N26</f>
        <v>0.35992123140034843</v>
      </c>
      <c r="S26" s="83"/>
    </row>
    <row r="27" spans="1:20" s="84" customFormat="1" ht="45" customHeight="1">
      <c r="A27" s="131">
        <v>21</v>
      </c>
      <c r="B27" s="207" t="s">
        <v>56</v>
      </c>
      <c r="C27" s="67">
        <v>19</v>
      </c>
      <c r="D27" s="89" t="s">
        <v>57</v>
      </c>
      <c r="E27" s="74">
        <f t="shared" si="37"/>
        <v>570</v>
      </c>
      <c r="F27" s="122">
        <v>226.5</v>
      </c>
      <c r="G27" s="77">
        <f t="shared" si="38"/>
        <v>7.55</v>
      </c>
      <c r="H27" s="78">
        <f t="shared" si="39"/>
        <v>4303.5</v>
      </c>
      <c r="I27" s="87"/>
      <c r="J27" s="79">
        <f t="shared" ref="J27:J31" si="44">G27/$Q$2</f>
        <v>2.2892662219526985</v>
      </c>
      <c r="K27" s="139">
        <f t="shared" si="2"/>
        <v>1304.8817465130383</v>
      </c>
      <c r="L27" s="139">
        <f t="shared" si="3"/>
        <v>2.5283111359686239</v>
      </c>
      <c r="M27" s="139">
        <f t="shared" si="36"/>
        <v>1441.1373475021155</v>
      </c>
      <c r="N27" s="80">
        <v>3.95</v>
      </c>
      <c r="O27" s="81">
        <f t="shared" si="40"/>
        <v>2251.5</v>
      </c>
      <c r="P27" s="81">
        <f t="shared" si="41"/>
        <v>1.4216888640313763</v>
      </c>
      <c r="Q27" s="81">
        <f t="shared" si="42"/>
        <v>810.36265249788448</v>
      </c>
      <c r="R27" s="82">
        <f t="shared" si="43"/>
        <v>0.35992123140034843</v>
      </c>
      <c r="S27" s="83"/>
    </row>
    <row r="28" spans="1:20" s="84" customFormat="1" ht="45" customHeight="1">
      <c r="A28" s="131">
        <v>22</v>
      </c>
      <c r="B28" s="88" t="s">
        <v>58</v>
      </c>
      <c r="C28" s="67">
        <v>19</v>
      </c>
      <c r="D28" s="89" t="s">
        <v>35</v>
      </c>
      <c r="E28" s="90">
        <f t="shared" si="37"/>
        <v>1140</v>
      </c>
      <c r="F28" s="123">
        <f>120-(120*5%)</f>
        <v>114</v>
      </c>
      <c r="G28" s="68">
        <f t="shared" si="38"/>
        <v>1.9</v>
      </c>
      <c r="H28" s="69">
        <f t="shared" si="39"/>
        <v>2166</v>
      </c>
      <c r="I28" s="91"/>
      <c r="J28" s="70">
        <f t="shared" si="44"/>
        <v>0.5761067313523347</v>
      </c>
      <c r="K28" s="139">
        <f t="shared" si="2"/>
        <v>656.76167374166164</v>
      </c>
      <c r="L28" s="139">
        <f t="shared" si="3"/>
        <v>0.63626372958150801</v>
      </c>
      <c r="M28" s="139">
        <f t="shared" si="36"/>
        <v>725.34065172291912</v>
      </c>
      <c r="N28" s="92">
        <v>1</v>
      </c>
      <c r="O28" s="71">
        <f t="shared" si="40"/>
        <v>1140</v>
      </c>
      <c r="P28" s="71">
        <f t="shared" si="41"/>
        <v>0.36373627041849199</v>
      </c>
      <c r="Q28" s="71">
        <f t="shared" si="42"/>
        <v>414.65934827708088</v>
      </c>
      <c r="R28" s="72">
        <f t="shared" si="43"/>
        <v>0.36373627041849199</v>
      </c>
      <c r="S28" s="83"/>
    </row>
    <row r="29" spans="1:20" s="84" customFormat="1" ht="45" customHeight="1">
      <c r="A29" s="131">
        <v>23</v>
      </c>
      <c r="B29" s="88" t="s">
        <v>59</v>
      </c>
      <c r="C29" s="67">
        <v>19</v>
      </c>
      <c r="D29" s="89" t="s">
        <v>35</v>
      </c>
      <c r="E29" s="90">
        <f t="shared" si="37"/>
        <v>1140</v>
      </c>
      <c r="F29" s="123">
        <f>120-(120*5%)</f>
        <v>114</v>
      </c>
      <c r="G29" s="68">
        <f t="shared" si="38"/>
        <v>1.9</v>
      </c>
      <c r="H29" s="69">
        <f t="shared" si="39"/>
        <v>2166</v>
      </c>
      <c r="I29" s="91"/>
      <c r="J29" s="70">
        <f t="shared" si="44"/>
        <v>0.5761067313523347</v>
      </c>
      <c r="K29" s="139">
        <f t="shared" si="2"/>
        <v>656.76167374166164</v>
      </c>
      <c r="L29" s="139">
        <f t="shared" si="3"/>
        <v>0.63626372958150801</v>
      </c>
      <c r="M29" s="139">
        <f t="shared" si="36"/>
        <v>725.34065172291912</v>
      </c>
      <c r="N29" s="92">
        <v>1</v>
      </c>
      <c r="O29" s="71">
        <f t="shared" si="40"/>
        <v>1140</v>
      </c>
      <c r="P29" s="71">
        <f t="shared" si="41"/>
        <v>0.36373627041849199</v>
      </c>
      <c r="Q29" s="71">
        <f t="shared" si="42"/>
        <v>414.65934827708088</v>
      </c>
      <c r="R29" s="72">
        <f t="shared" si="43"/>
        <v>0.36373627041849199</v>
      </c>
      <c r="S29" s="83"/>
    </row>
    <row r="30" spans="1:20" s="84" customFormat="1" ht="45" customHeight="1">
      <c r="A30" s="131">
        <v>24</v>
      </c>
      <c r="B30" s="88" t="s">
        <v>60</v>
      </c>
      <c r="C30" s="67">
        <v>19</v>
      </c>
      <c r="D30" s="89" t="s">
        <v>39</v>
      </c>
      <c r="E30" s="90">
        <f t="shared" si="37"/>
        <v>912</v>
      </c>
      <c r="F30" s="124">
        <v>175.2</v>
      </c>
      <c r="G30" s="68">
        <f t="shared" si="38"/>
        <v>3.65</v>
      </c>
      <c r="H30" s="69">
        <f t="shared" si="39"/>
        <v>3328.7999999999997</v>
      </c>
      <c r="I30" s="91"/>
      <c r="J30" s="70">
        <f t="shared" si="44"/>
        <v>1.1067313523347484</v>
      </c>
      <c r="K30" s="139">
        <f t="shared" si="2"/>
        <v>1009.3389933292904</v>
      </c>
      <c r="L30" s="139">
        <f t="shared" si="3"/>
        <v>1.2222961120907918</v>
      </c>
      <c r="M30" s="70">
        <f t="shared" si="36"/>
        <v>1114.7340542268021</v>
      </c>
      <c r="N30" s="80"/>
      <c r="O30" s="71">
        <f t="shared" si="40"/>
        <v>0</v>
      </c>
      <c r="P30" s="71">
        <f t="shared" si="41"/>
        <v>-1.2222961120907918</v>
      </c>
      <c r="Q30" s="71">
        <f t="shared" si="42"/>
        <v>-1114.7340542268021</v>
      </c>
      <c r="R30" s="72" t="e">
        <f t="shared" si="43"/>
        <v>#DIV/0!</v>
      </c>
      <c r="S30" s="83"/>
    </row>
    <row r="31" spans="1:20" s="84" customFormat="1" ht="45" customHeight="1">
      <c r="A31" s="131">
        <v>25</v>
      </c>
      <c r="B31" s="88" t="s">
        <v>90</v>
      </c>
      <c r="C31" s="67">
        <v>10</v>
      </c>
      <c r="D31" s="89" t="s">
        <v>91</v>
      </c>
      <c r="E31" s="90">
        <f t="shared" si="37"/>
        <v>1500</v>
      </c>
      <c r="F31" s="124">
        <v>135.75</v>
      </c>
      <c r="G31" s="68">
        <f t="shared" si="38"/>
        <v>0.90500000000000003</v>
      </c>
      <c r="H31" s="69">
        <f t="shared" si="39"/>
        <v>1357.5</v>
      </c>
      <c r="I31" s="91"/>
      <c r="J31" s="70">
        <f t="shared" si="44"/>
        <v>0.27440873256519105</v>
      </c>
      <c r="K31" s="139">
        <f t="shared" si="2"/>
        <v>411.61309884778655</v>
      </c>
      <c r="L31" s="139">
        <f t="shared" si="3"/>
        <v>0.30306246066908676</v>
      </c>
      <c r="M31" s="70">
        <f t="shared" si="36"/>
        <v>454.59369100363017</v>
      </c>
      <c r="N31" s="80"/>
      <c r="O31" s="71">
        <f t="shared" si="40"/>
        <v>0</v>
      </c>
      <c r="P31" s="71">
        <f t="shared" si="41"/>
        <v>-0.30306246066908676</v>
      </c>
      <c r="Q31" s="71">
        <f t="shared" si="42"/>
        <v>-454.59369100363017</v>
      </c>
      <c r="R31" s="72" t="e">
        <f t="shared" si="43"/>
        <v>#DIV/0!</v>
      </c>
      <c r="S31" s="83"/>
    </row>
    <row r="32" spans="1:20" s="11" customFormat="1" ht="47.25" customHeight="1">
      <c r="A32" s="131">
        <v>26</v>
      </c>
      <c r="B32" s="174" t="s">
        <v>92</v>
      </c>
      <c r="C32" s="133">
        <v>28</v>
      </c>
      <c r="D32" s="134" t="s">
        <v>31</v>
      </c>
      <c r="E32" s="133">
        <f>D32*C32</f>
        <v>672</v>
      </c>
      <c r="F32" s="135">
        <v>110.4</v>
      </c>
      <c r="G32" s="136">
        <f>F32/D32</f>
        <v>4.6000000000000005</v>
      </c>
      <c r="H32" s="137">
        <f>G32*E32</f>
        <v>3091.2000000000003</v>
      </c>
      <c r="I32" s="173"/>
      <c r="J32" s="139">
        <f t="shared" ref="J32:J36" si="45">G32/$Q$2</f>
        <v>1.3947847180109159</v>
      </c>
      <c r="K32" s="139">
        <f t="shared" si="2"/>
        <v>937.29533050333544</v>
      </c>
      <c r="L32" s="139">
        <f t="shared" si="3"/>
        <v>1.5404279768815459</v>
      </c>
      <c r="M32" s="139">
        <f>L32*E32</f>
        <v>1035.1676004643989</v>
      </c>
      <c r="N32" s="140"/>
      <c r="O32" s="141">
        <f>N32*E32</f>
        <v>0</v>
      </c>
      <c r="P32" s="141">
        <f>N32-L32</f>
        <v>-1.5404279768815459</v>
      </c>
      <c r="Q32" s="141">
        <f>P32*E32</f>
        <v>-1035.1676004643989</v>
      </c>
      <c r="R32" s="142" t="e">
        <f>P32/N32</f>
        <v>#DIV/0!</v>
      </c>
      <c r="S32" s="177"/>
      <c r="T32" s="144"/>
    </row>
    <row r="33" spans="1:20" s="11" customFormat="1" ht="47.25" customHeight="1">
      <c r="A33" s="131">
        <v>27</v>
      </c>
      <c r="B33" s="174" t="s">
        <v>93</v>
      </c>
      <c r="C33" s="133">
        <v>20</v>
      </c>
      <c r="D33" s="134" t="s">
        <v>31</v>
      </c>
      <c r="E33" s="133">
        <f>D33*C33</f>
        <v>480</v>
      </c>
      <c r="F33" s="135">
        <v>110.4</v>
      </c>
      <c r="G33" s="136">
        <f>F33/D33</f>
        <v>4.6000000000000005</v>
      </c>
      <c r="H33" s="137">
        <f>G33*E33</f>
        <v>2208.0000000000005</v>
      </c>
      <c r="I33" s="173"/>
      <c r="J33" s="139">
        <f t="shared" si="45"/>
        <v>1.3947847180109159</v>
      </c>
      <c r="K33" s="139">
        <f t="shared" si="2"/>
        <v>669.49666464523966</v>
      </c>
      <c r="L33" s="139">
        <f t="shared" si="3"/>
        <v>1.5404279768815459</v>
      </c>
      <c r="M33" s="139">
        <f>L33*E33</f>
        <v>739.40542890314202</v>
      </c>
      <c r="N33" s="140"/>
      <c r="O33" s="141">
        <f>N33*E33</f>
        <v>0</v>
      </c>
      <c r="P33" s="141">
        <f>N33-L33</f>
        <v>-1.5404279768815459</v>
      </c>
      <c r="Q33" s="141">
        <f>P33*E33</f>
        <v>-739.40542890314202</v>
      </c>
      <c r="R33" s="142" t="e">
        <f>P33/N33</f>
        <v>#DIV/0!</v>
      </c>
      <c r="S33" s="177"/>
      <c r="T33" s="144"/>
    </row>
    <row r="34" spans="1:20" s="11" customFormat="1" ht="45" customHeight="1">
      <c r="A34" s="131">
        <v>28</v>
      </c>
      <c r="B34" s="174" t="s">
        <v>94</v>
      </c>
      <c r="C34" s="133">
        <v>20</v>
      </c>
      <c r="D34" s="134" t="s">
        <v>31</v>
      </c>
      <c r="E34" s="133">
        <f>D34*C34</f>
        <v>480</v>
      </c>
      <c r="F34" s="135">
        <v>110.4</v>
      </c>
      <c r="G34" s="136">
        <f>F34/D34</f>
        <v>4.6000000000000005</v>
      </c>
      <c r="H34" s="137">
        <f>G34*E34</f>
        <v>2208.0000000000005</v>
      </c>
      <c r="I34" s="173"/>
      <c r="J34" s="139">
        <f t="shared" si="45"/>
        <v>1.3947847180109159</v>
      </c>
      <c r="K34" s="139">
        <f t="shared" si="2"/>
        <v>669.49666464523966</v>
      </c>
      <c r="L34" s="139">
        <f t="shared" si="3"/>
        <v>1.5404279768815459</v>
      </c>
      <c r="M34" s="139">
        <f>L34*E34</f>
        <v>739.40542890314202</v>
      </c>
      <c r="N34" s="140">
        <v>1.95</v>
      </c>
      <c r="O34" s="141">
        <f>N34*E34</f>
        <v>936</v>
      </c>
      <c r="P34" s="141">
        <f>N34-L34</f>
        <v>0.40957202311845409</v>
      </c>
      <c r="Q34" s="141">
        <f>P34*E34</f>
        <v>196.59457109685798</v>
      </c>
      <c r="R34" s="142">
        <f>P34/N34</f>
        <v>0.21003693493254055</v>
      </c>
      <c r="S34" s="143"/>
      <c r="T34" s="144"/>
    </row>
    <row r="35" spans="1:20" s="11" customFormat="1" ht="47.25" customHeight="1">
      <c r="A35" s="131">
        <v>29</v>
      </c>
      <c r="B35" s="174" t="s">
        <v>95</v>
      </c>
      <c r="C35" s="133">
        <v>20</v>
      </c>
      <c r="D35" s="134" t="s">
        <v>31</v>
      </c>
      <c r="E35" s="133">
        <f>D35*C35</f>
        <v>480</v>
      </c>
      <c r="F35" s="135">
        <f>87.6-(87.6*5%)</f>
        <v>83.22</v>
      </c>
      <c r="G35" s="136">
        <f>F35/D35</f>
        <v>3.4674999999999998</v>
      </c>
      <c r="H35" s="137">
        <f>G35*E35</f>
        <v>1664.3999999999999</v>
      </c>
      <c r="I35" s="173"/>
      <c r="J35" s="139">
        <f t="shared" si="45"/>
        <v>1.0513947847180107</v>
      </c>
      <c r="K35" s="139">
        <f t="shared" si="2"/>
        <v>504.66949666464518</v>
      </c>
      <c r="L35" s="139">
        <f t="shared" si="3"/>
        <v>1.161181306486252</v>
      </c>
      <c r="M35" s="139">
        <f>L35*E35</f>
        <v>557.36702711340092</v>
      </c>
      <c r="N35" s="140">
        <v>1.95</v>
      </c>
      <c r="O35" s="141">
        <f>N35*E35</f>
        <v>936</v>
      </c>
      <c r="P35" s="141">
        <f>N35-L35</f>
        <v>0.788818693513748</v>
      </c>
      <c r="Q35" s="141">
        <f>P35*E35</f>
        <v>378.63297288659902</v>
      </c>
      <c r="R35" s="142">
        <f>P35/N35</f>
        <v>0.4045224069301272</v>
      </c>
      <c r="S35" s="177"/>
      <c r="T35" s="144"/>
    </row>
    <row r="36" spans="1:20" s="11" customFormat="1" ht="45" customHeight="1">
      <c r="A36" s="131">
        <v>30</v>
      </c>
      <c r="B36" s="174" t="s">
        <v>96</v>
      </c>
      <c r="C36" s="133">
        <v>30</v>
      </c>
      <c r="D36" s="134" t="s">
        <v>31</v>
      </c>
      <c r="E36" s="133">
        <f>D36*C36</f>
        <v>720</v>
      </c>
      <c r="F36" s="135">
        <f t="shared" ref="F36:F39" si="46">87.6-(87.6*5%)</f>
        <v>83.22</v>
      </c>
      <c r="G36" s="136">
        <f>F36/D36</f>
        <v>3.4674999999999998</v>
      </c>
      <c r="H36" s="137">
        <f>G36*E36</f>
        <v>2496.6</v>
      </c>
      <c r="I36" s="173"/>
      <c r="J36" s="139">
        <f t="shared" si="45"/>
        <v>1.0513947847180107</v>
      </c>
      <c r="K36" s="139">
        <f t="shared" si="2"/>
        <v>757.00424499696783</v>
      </c>
      <c r="L36" s="139">
        <f t="shared" si="3"/>
        <v>1.161181306486252</v>
      </c>
      <c r="M36" s="139">
        <f>L36*E36</f>
        <v>836.05054067010144</v>
      </c>
      <c r="N36" s="140">
        <v>1.95</v>
      </c>
      <c r="O36" s="141">
        <f>N36*E36</f>
        <v>1404</v>
      </c>
      <c r="P36" s="141">
        <f>N36-L36</f>
        <v>0.788818693513748</v>
      </c>
      <c r="Q36" s="141">
        <f>P36*E36</f>
        <v>567.94945932989856</v>
      </c>
      <c r="R36" s="142">
        <f>P36/N36</f>
        <v>0.4045224069301272</v>
      </c>
      <c r="S36" s="177"/>
      <c r="T36" s="144"/>
    </row>
    <row r="37" spans="1:20" s="11" customFormat="1" ht="45" customHeight="1">
      <c r="A37" s="131">
        <v>31</v>
      </c>
      <c r="B37" s="174" t="s">
        <v>97</v>
      </c>
      <c r="C37" s="133">
        <v>20</v>
      </c>
      <c r="D37" s="134" t="s">
        <v>31</v>
      </c>
      <c r="E37" s="133">
        <f t="shared" si="8"/>
        <v>480</v>
      </c>
      <c r="F37" s="135">
        <f t="shared" si="46"/>
        <v>83.22</v>
      </c>
      <c r="G37" s="136">
        <f t="shared" si="0"/>
        <v>3.4674999999999998</v>
      </c>
      <c r="H37" s="137">
        <f t="shared" si="1"/>
        <v>1664.3999999999999</v>
      </c>
      <c r="I37" s="173"/>
      <c r="J37" s="139">
        <f t="shared" si="9"/>
        <v>1.0513947847180107</v>
      </c>
      <c r="K37" s="139">
        <f t="shared" si="2"/>
        <v>504.66949666464518</v>
      </c>
      <c r="L37" s="139">
        <f t="shared" si="3"/>
        <v>1.161181306486252</v>
      </c>
      <c r="M37" s="139">
        <f t="shared" si="36"/>
        <v>557.36702711340092</v>
      </c>
      <c r="N37" s="140">
        <v>2.25</v>
      </c>
      <c r="O37" s="141">
        <f t="shared" si="4"/>
        <v>1080</v>
      </c>
      <c r="P37" s="141">
        <f t="shared" si="5"/>
        <v>1.088818693513748</v>
      </c>
      <c r="Q37" s="141">
        <f t="shared" si="6"/>
        <v>522.63297288659908</v>
      </c>
      <c r="R37" s="142">
        <f t="shared" si="7"/>
        <v>0.4839194193394436</v>
      </c>
      <c r="S37" s="143" t="s">
        <v>41</v>
      </c>
      <c r="T37" s="144"/>
    </row>
    <row r="38" spans="1:20" s="11" customFormat="1" ht="45" customHeight="1">
      <c r="A38" s="131">
        <v>32</v>
      </c>
      <c r="B38" s="174" t="s">
        <v>99</v>
      </c>
      <c r="C38" s="133">
        <v>20</v>
      </c>
      <c r="D38" s="134" t="s">
        <v>31</v>
      </c>
      <c r="E38" s="133">
        <f t="shared" ref="E38" si="47">D38*C38</f>
        <v>480</v>
      </c>
      <c r="F38" s="135">
        <f t="shared" si="46"/>
        <v>83.22</v>
      </c>
      <c r="G38" s="136">
        <f t="shared" ref="G38" si="48">F38/D38</f>
        <v>3.4674999999999998</v>
      </c>
      <c r="H38" s="137">
        <f t="shared" ref="H38" si="49">G38*E38</f>
        <v>1664.3999999999999</v>
      </c>
      <c r="I38" s="173"/>
      <c r="J38" s="139">
        <f t="shared" ref="J38" si="50">G38/$Q$2</f>
        <v>1.0513947847180107</v>
      </c>
      <c r="K38" s="139">
        <f t="shared" si="2"/>
        <v>504.66949666464518</v>
      </c>
      <c r="L38" s="139">
        <f t="shared" si="3"/>
        <v>1.161181306486252</v>
      </c>
      <c r="M38" s="139">
        <f t="shared" ref="M38" si="51">L38*E38</f>
        <v>557.36702711340092</v>
      </c>
      <c r="N38" s="140">
        <v>2.25</v>
      </c>
      <c r="O38" s="141">
        <f t="shared" ref="O38" si="52">N38*E38</f>
        <v>1080</v>
      </c>
      <c r="P38" s="141">
        <f t="shared" ref="P38" si="53">N38-L38</f>
        <v>1.088818693513748</v>
      </c>
      <c r="Q38" s="141">
        <f t="shared" ref="Q38" si="54">P38*E38</f>
        <v>522.63297288659908</v>
      </c>
      <c r="R38" s="142">
        <f t="shared" ref="R38" si="55">P38/N38</f>
        <v>0.4839194193394436</v>
      </c>
      <c r="S38" s="143" t="s">
        <v>41</v>
      </c>
      <c r="T38" s="144"/>
    </row>
    <row r="39" spans="1:20" s="11" customFormat="1" ht="45" customHeight="1">
      <c r="A39" s="131">
        <v>33</v>
      </c>
      <c r="B39" s="174" t="s">
        <v>98</v>
      </c>
      <c r="C39" s="133">
        <v>40</v>
      </c>
      <c r="D39" s="134" t="s">
        <v>31</v>
      </c>
      <c r="E39" s="133">
        <f t="shared" si="8"/>
        <v>960</v>
      </c>
      <c r="F39" s="135">
        <f t="shared" si="46"/>
        <v>83.22</v>
      </c>
      <c r="G39" s="136">
        <f t="shared" si="0"/>
        <v>3.4674999999999998</v>
      </c>
      <c r="H39" s="137">
        <f t="shared" si="1"/>
        <v>3328.7999999999997</v>
      </c>
      <c r="I39" s="173"/>
      <c r="J39" s="139">
        <f t="shared" si="9"/>
        <v>1.0513947847180107</v>
      </c>
      <c r="K39" s="139">
        <f t="shared" si="2"/>
        <v>1009.3389933292904</v>
      </c>
      <c r="L39" s="139">
        <f t="shared" si="3"/>
        <v>1.161181306486252</v>
      </c>
      <c r="M39" s="139">
        <f t="shared" si="25"/>
        <v>1114.7340542268018</v>
      </c>
      <c r="N39" s="140">
        <v>2.25</v>
      </c>
      <c r="O39" s="141">
        <f t="shared" si="4"/>
        <v>2160</v>
      </c>
      <c r="P39" s="141">
        <f t="shared" si="5"/>
        <v>1.088818693513748</v>
      </c>
      <c r="Q39" s="141">
        <f t="shared" si="6"/>
        <v>1045.2659457731982</v>
      </c>
      <c r="R39" s="142">
        <f t="shared" si="7"/>
        <v>0.4839194193394436</v>
      </c>
      <c r="S39" s="143" t="s">
        <v>41</v>
      </c>
      <c r="T39" s="144"/>
    </row>
    <row r="40" spans="1:20" s="84" customFormat="1" ht="45" customHeight="1">
      <c r="A40" s="131">
        <v>34</v>
      </c>
      <c r="B40" s="49" t="s">
        <v>65</v>
      </c>
      <c r="C40" s="74">
        <v>20</v>
      </c>
      <c r="D40" s="75" t="s">
        <v>62</v>
      </c>
      <c r="E40" s="74">
        <f>D40*C40</f>
        <v>160</v>
      </c>
      <c r="F40" s="121">
        <v>75</v>
      </c>
      <c r="G40" s="77">
        <f>F40/D40</f>
        <v>9.375</v>
      </c>
      <c r="H40" s="78">
        <f>G40*E40</f>
        <v>1500</v>
      </c>
      <c r="I40" s="91"/>
      <c r="J40" s="79">
        <f>G40/$Q$2</f>
        <v>2.8426318981200729</v>
      </c>
      <c r="K40" s="139">
        <f t="shared" si="2"/>
        <v>454.82110369921162</v>
      </c>
      <c r="L40" s="139">
        <f t="shared" si="3"/>
        <v>3.1394591920140198</v>
      </c>
      <c r="M40" s="70">
        <f t="shared" si="25"/>
        <v>502.31347072224315</v>
      </c>
      <c r="N40" s="80">
        <v>4.5</v>
      </c>
      <c r="O40" s="81">
        <f>N40*E40</f>
        <v>720</v>
      </c>
      <c r="P40" s="81">
        <f>N40-L40</f>
        <v>1.3605408079859802</v>
      </c>
      <c r="Q40" s="81">
        <f>P40*E40</f>
        <v>217.68652927775685</v>
      </c>
      <c r="R40" s="82">
        <f>P40/N40</f>
        <v>0.30234240177466226</v>
      </c>
      <c r="S40" s="86"/>
    </row>
    <row r="41" spans="1:20" s="84" customFormat="1" ht="45" customHeight="1">
      <c r="A41" s="131">
        <v>35</v>
      </c>
      <c r="B41" s="49" t="s">
        <v>61</v>
      </c>
      <c r="C41" s="74">
        <v>25</v>
      </c>
      <c r="D41" s="75" t="s">
        <v>62</v>
      </c>
      <c r="E41" s="74">
        <f t="shared" ref="E41:E50" si="56">D41*C41</f>
        <v>200</v>
      </c>
      <c r="F41" s="121">
        <v>75</v>
      </c>
      <c r="G41" s="77">
        <f t="shared" ref="G41:G50" si="57">F41/D41</f>
        <v>9.375</v>
      </c>
      <c r="H41" s="78">
        <f>G41*E41</f>
        <v>1875</v>
      </c>
      <c r="I41" s="91"/>
      <c r="J41" s="79">
        <f t="shared" ref="J41:J50" si="58">G41/$Q$2</f>
        <v>2.8426318981200729</v>
      </c>
      <c r="K41" s="139">
        <f t="shared" si="2"/>
        <v>568.52637962401457</v>
      </c>
      <c r="L41" s="139">
        <f t="shared" si="3"/>
        <v>3.1394591920140198</v>
      </c>
      <c r="M41" s="70">
        <f t="shared" si="25"/>
        <v>627.89183840280396</v>
      </c>
      <c r="N41" s="80">
        <v>4.5</v>
      </c>
      <c r="O41" s="81">
        <f t="shared" ref="O41:O50" si="59">N41*E41</f>
        <v>900</v>
      </c>
      <c r="P41" s="81">
        <f t="shared" ref="P41:P50" si="60">N41-L41</f>
        <v>1.3605408079859802</v>
      </c>
      <c r="Q41" s="81">
        <f t="shared" ref="Q41:Q50" si="61">P41*E41</f>
        <v>272.10816159719604</v>
      </c>
      <c r="R41" s="82">
        <f t="shared" ref="R41:R50" si="62">P41/N41</f>
        <v>0.30234240177466226</v>
      </c>
      <c r="S41" s="86"/>
    </row>
    <row r="42" spans="1:20" s="84" customFormat="1" ht="45" customHeight="1">
      <c r="A42" s="131">
        <v>36</v>
      </c>
      <c r="B42" s="49" t="s">
        <v>63</v>
      </c>
      <c r="C42" s="74">
        <v>30</v>
      </c>
      <c r="D42" s="75" t="s">
        <v>62</v>
      </c>
      <c r="E42" s="74">
        <f t="shared" si="56"/>
        <v>240</v>
      </c>
      <c r="F42" s="121">
        <v>75</v>
      </c>
      <c r="G42" s="77">
        <f t="shared" si="57"/>
        <v>9.375</v>
      </c>
      <c r="H42" s="78">
        <f>G42*E42</f>
        <v>2250</v>
      </c>
      <c r="I42" s="91"/>
      <c r="J42" s="79">
        <f t="shared" si="58"/>
        <v>2.8426318981200729</v>
      </c>
      <c r="K42" s="139">
        <f t="shared" si="2"/>
        <v>682.23165554881746</v>
      </c>
      <c r="L42" s="139">
        <f t="shared" si="3"/>
        <v>3.1394591920140198</v>
      </c>
      <c r="M42" s="70">
        <f t="shared" si="25"/>
        <v>753.4702060833647</v>
      </c>
      <c r="N42" s="80">
        <v>4.5</v>
      </c>
      <c r="O42" s="81">
        <f t="shared" si="59"/>
        <v>1080</v>
      </c>
      <c r="P42" s="81">
        <f t="shared" si="60"/>
        <v>1.3605408079859802</v>
      </c>
      <c r="Q42" s="81">
        <f t="shared" si="61"/>
        <v>326.52979391663524</v>
      </c>
      <c r="R42" s="82">
        <f t="shared" si="62"/>
        <v>0.30234240177466226</v>
      </c>
      <c r="S42" s="86"/>
    </row>
    <row r="43" spans="1:20" s="84" customFormat="1" ht="45" customHeight="1">
      <c r="A43" s="131">
        <v>37</v>
      </c>
      <c r="B43" s="49" t="s">
        <v>64</v>
      </c>
      <c r="C43" s="74">
        <v>20</v>
      </c>
      <c r="D43" s="75" t="s">
        <v>62</v>
      </c>
      <c r="E43" s="74">
        <f t="shared" si="56"/>
        <v>160</v>
      </c>
      <c r="F43" s="121">
        <v>75</v>
      </c>
      <c r="G43" s="77">
        <f t="shared" si="57"/>
        <v>9.375</v>
      </c>
      <c r="H43" s="78">
        <f t="shared" ref="H43:H50" si="63">G43*E43</f>
        <v>1500</v>
      </c>
      <c r="I43" s="91"/>
      <c r="J43" s="79">
        <f t="shared" si="58"/>
        <v>2.8426318981200729</v>
      </c>
      <c r="K43" s="139">
        <f t="shared" si="2"/>
        <v>454.82110369921162</v>
      </c>
      <c r="L43" s="139">
        <f t="shared" si="3"/>
        <v>3.1394591920140198</v>
      </c>
      <c r="M43" s="70">
        <f t="shared" si="25"/>
        <v>502.31347072224315</v>
      </c>
      <c r="N43" s="80">
        <v>4.5</v>
      </c>
      <c r="O43" s="81">
        <f t="shared" si="59"/>
        <v>720</v>
      </c>
      <c r="P43" s="81">
        <f t="shared" si="60"/>
        <v>1.3605408079859802</v>
      </c>
      <c r="Q43" s="81">
        <f t="shared" si="61"/>
        <v>217.68652927775685</v>
      </c>
      <c r="R43" s="82">
        <f t="shared" si="62"/>
        <v>0.30234240177466226</v>
      </c>
      <c r="S43" s="86"/>
    </row>
    <row r="44" spans="1:20" s="11" customFormat="1" ht="45" customHeight="1">
      <c r="A44" s="131">
        <v>38</v>
      </c>
      <c r="B44" s="146" t="s">
        <v>100</v>
      </c>
      <c r="C44" s="3">
        <v>30</v>
      </c>
      <c r="D44" s="2" t="s">
        <v>30</v>
      </c>
      <c r="E44" s="3">
        <f t="shared" si="56"/>
        <v>360</v>
      </c>
      <c r="F44" s="10">
        <f>73.68-(73.68*15%)</f>
        <v>62.628000000000007</v>
      </c>
      <c r="G44" s="4">
        <f t="shared" si="57"/>
        <v>5.2190000000000003</v>
      </c>
      <c r="H44" s="7">
        <f t="shared" si="63"/>
        <v>1878.8400000000001</v>
      </c>
      <c r="I44" s="13"/>
      <c r="J44" s="8">
        <f t="shared" si="58"/>
        <v>1.5824742268041239</v>
      </c>
      <c r="K44" s="139">
        <f t="shared" si="2"/>
        <v>569.69072164948454</v>
      </c>
      <c r="L44" s="139">
        <f t="shared" si="3"/>
        <v>1.7477160024662584</v>
      </c>
      <c r="M44" s="8">
        <f t="shared" si="25"/>
        <v>629.17776088785297</v>
      </c>
      <c r="N44" s="9">
        <v>2.4</v>
      </c>
      <c r="O44" s="5">
        <f t="shared" si="59"/>
        <v>864</v>
      </c>
      <c r="P44" s="5">
        <f t="shared" si="60"/>
        <v>0.65228399753374156</v>
      </c>
      <c r="Q44" s="5">
        <f t="shared" si="61"/>
        <v>234.82223911214697</v>
      </c>
      <c r="R44" s="6">
        <f t="shared" si="62"/>
        <v>0.27178499897239233</v>
      </c>
      <c r="S44" s="12" t="s">
        <v>47</v>
      </c>
    </row>
    <row r="45" spans="1:20" s="11" customFormat="1" ht="45" customHeight="1">
      <c r="A45" s="131">
        <v>39</v>
      </c>
      <c r="B45" s="146" t="s">
        <v>101</v>
      </c>
      <c r="C45" s="3">
        <v>30</v>
      </c>
      <c r="D45" s="2" t="s">
        <v>30</v>
      </c>
      <c r="E45" s="3">
        <f t="shared" ref="E45" si="64">D45*C45</f>
        <v>360</v>
      </c>
      <c r="F45" s="10">
        <f>73.68-(73.68*15%)</f>
        <v>62.628000000000007</v>
      </c>
      <c r="G45" s="4">
        <f t="shared" ref="G45" si="65">F45/D45</f>
        <v>5.2190000000000003</v>
      </c>
      <c r="H45" s="7">
        <f t="shared" ref="H45" si="66">G45*E45</f>
        <v>1878.8400000000001</v>
      </c>
      <c r="I45" s="13"/>
      <c r="J45" s="8">
        <f t="shared" ref="J45" si="67">G45/$Q$2</f>
        <v>1.5824742268041239</v>
      </c>
      <c r="K45" s="139">
        <f t="shared" si="2"/>
        <v>569.69072164948454</v>
      </c>
      <c r="L45" s="139">
        <f t="shared" si="3"/>
        <v>1.7477160024662584</v>
      </c>
      <c r="M45" s="8">
        <f t="shared" ref="M45" si="68">L45*E45</f>
        <v>629.17776088785297</v>
      </c>
      <c r="N45" s="9">
        <v>2.4</v>
      </c>
      <c r="O45" s="5">
        <f t="shared" ref="O45" si="69">N45*E45</f>
        <v>864</v>
      </c>
      <c r="P45" s="5">
        <f t="shared" ref="P45" si="70">N45-L45</f>
        <v>0.65228399753374156</v>
      </c>
      <c r="Q45" s="5">
        <f t="shared" ref="Q45" si="71">P45*E45</f>
        <v>234.82223911214697</v>
      </c>
      <c r="R45" s="6">
        <f t="shared" ref="R45" si="72">P45/N45</f>
        <v>0.27178499897239233</v>
      </c>
      <c r="S45" s="12" t="s">
        <v>47</v>
      </c>
    </row>
    <row r="46" spans="1:20" s="11" customFormat="1" ht="45" customHeight="1">
      <c r="A46" s="131">
        <v>40</v>
      </c>
      <c r="B46" s="146" t="s">
        <v>102</v>
      </c>
      <c r="C46" s="3">
        <v>60</v>
      </c>
      <c r="D46" s="2" t="s">
        <v>30</v>
      </c>
      <c r="E46" s="3">
        <f t="shared" si="56"/>
        <v>720</v>
      </c>
      <c r="F46" s="10">
        <v>62.628</v>
      </c>
      <c r="G46" s="4">
        <f t="shared" si="57"/>
        <v>5.2190000000000003</v>
      </c>
      <c r="H46" s="7">
        <f t="shared" si="63"/>
        <v>3757.6800000000003</v>
      </c>
      <c r="I46" s="13"/>
      <c r="J46" s="8">
        <f t="shared" si="58"/>
        <v>1.5824742268041239</v>
      </c>
      <c r="K46" s="139">
        <f t="shared" si="2"/>
        <v>1139.3814432989691</v>
      </c>
      <c r="L46" s="139">
        <f t="shared" si="3"/>
        <v>1.7477160024662584</v>
      </c>
      <c r="M46" s="8">
        <f t="shared" si="25"/>
        <v>1258.3555217757059</v>
      </c>
      <c r="N46" s="9">
        <v>2.4</v>
      </c>
      <c r="O46" s="5">
        <f t="shared" si="59"/>
        <v>1728</v>
      </c>
      <c r="P46" s="5">
        <f t="shared" si="60"/>
        <v>0.65228399753374156</v>
      </c>
      <c r="Q46" s="5">
        <f t="shared" si="61"/>
        <v>469.64447822429395</v>
      </c>
      <c r="R46" s="6">
        <f t="shared" si="62"/>
        <v>0.27178499897239233</v>
      </c>
      <c r="S46" s="12" t="s">
        <v>47</v>
      </c>
    </row>
    <row r="47" spans="1:20" s="11" customFormat="1" ht="45" customHeight="1">
      <c r="A47" s="131">
        <v>41</v>
      </c>
      <c r="B47" s="146" t="s">
        <v>45</v>
      </c>
      <c r="C47" s="3">
        <v>50</v>
      </c>
      <c r="D47" s="2" t="s">
        <v>30</v>
      </c>
      <c r="E47" s="3">
        <f t="shared" si="56"/>
        <v>600</v>
      </c>
      <c r="F47" s="10">
        <v>62.628</v>
      </c>
      <c r="G47" s="4">
        <f t="shared" si="57"/>
        <v>5.2190000000000003</v>
      </c>
      <c r="H47" s="7">
        <f t="shared" si="63"/>
        <v>3131.4</v>
      </c>
      <c r="I47" s="13"/>
      <c r="J47" s="8">
        <f t="shared" si="58"/>
        <v>1.5824742268041239</v>
      </c>
      <c r="K47" s="139">
        <f t="shared" si="2"/>
        <v>949.48453608247428</v>
      </c>
      <c r="L47" s="139">
        <f t="shared" si="3"/>
        <v>1.7477160024662584</v>
      </c>
      <c r="M47" s="8">
        <f t="shared" si="25"/>
        <v>1048.6296014797549</v>
      </c>
      <c r="N47" s="9">
        <v>2.4</v>
      </c>
      <c r="O47" s="5">
        <f t="shared" si="59"/>
        <v>1440</v>
      </c>
      <c r="P47" s="5">
        <f t="shared" si="60"/>
        <v>0.65228399753374156</v>
      </c>
      <c r="Q47" s="5">
        <f t="shared" si="61"/>
        <v>391.37039852024492</v>
      </c>
      <c r="R47" s="6">
        <f t="shared" si="62"/>
        <v>0.27178499897239233</v>
      </c>
      <c r="S47" s="12" t="s">
        <v>47</v>
      </c>
    </row>
    <row r="48" spans="1:20" s="11" customFormat="1" ht="45" customHeight="1">
      <c r="A48" s="131">
        <v>42</v>
      </c>
      <c r="B48" s="146" t="s">
        <v>46</v>
      </c>
      <c r="C48" s="3">
        <v>40</v>
      </c>
      <c r="D48" s="2" t="s">
        <v>30</v>
      </c>
      <c r="E48" s="3">
        <f t="shared" si="56"/>
        <v>480</v>
      </c>
      <c r="F48" s="10">
        <v>62.628</v>
      </c>
      <c r="G48" s="4">
        <f t="shared" si="57"/>
        <v>5.2190000000000003</v>
      </c>
      <c r="H48" s="7">
        <f t="shared" si="63"/>
        <v>2505.1200000000003</v>
      </c>
      <c r="I48" s="13"/>
      <c r="J48" s="8">
        <f t="shared" si="58"/>
        <v>1.5824742268041239</v>
      </c>
      <c r="K48" s="139">
        <f t="shared" si="2"/>
        <v>759.58762886597947</v>
      </c>
      <c r="L48" s="139">
        <f t="shared" si="3"/>
        <v>1.7477160024662584</v>
      </c>
      <c r="M48" s="8">
        <f t="shared" si="25"/>
        <v>838.903681183804</v>
      </c>
      <c r="N48" s="9">
        <v>2.4</v>
      </c>
      <c r="O48" s="5">
        <f t="shared" si="59"/>
        <v>1152</v>
      </c>
      <c r="P48" s="5">
        <f t="shared" si="60"/>
        <v>0.65228399753374156</v>
      </c>
      <c r="Q48" s="5">
        <f t="shared" si="61"/>
        <v>313.09631881619595</v>
      </c>
      <c r="R48" s="6">
        <f t="shared" si="62"/>
        <v>0.27178499897239233</v>
      </c>
      <c r="S48" s="12" t="s">
        <v>47</v>
      </c>
    </row>
    <row r="49" spans="1:20" s="84" customFormat="1" ht="45" customHeight="1">
      <c r="A49" s="131">
        <v>43</v>
      </c>
      <c r="B49" s="85" t="s">
        <v>103</v>
      </c>
      <c r="C49" s="74">
        <v>30</v>
      </c>
      <c r="D49" s="75" t="s">
        <v>67</v>
      </c>
      <c r="E49" s="74">
        <f t="shared" si="56"/>
        <v>480</v>
      </c>
      <c r="F49" s="76">
        <v>60</v>
      </c>
      <c r="G49" s="77">
        <f t="shared" si="57"/>
        <v>3.75</v>
      </c>
      <c r="H49" s="78">
        <f t="shared" si="63"/>
        <v>1800</v>
      </c>
      <c r="I49" s="91"/>
      <c r="J49" s="79">
        <f t="shared" si="58"/>
        <v>1.1370527592480291</v>
      </c>
      <c r="K49" s="139">
        <f t="shared" si="2"/>
        <v>545.78532443905397</v>
      </c>
      <c r="L49" s="139">
        <f t="shared" si="3"/>
        <v>1.2557836768056079</v>
      </c>
      <c r="M49" s="79">
        <f t="shared" si="25"/>
        <v>602.77616486669183</v>
      </c>
      <c r="N49" s="80">
        <v>1.9</v>
      </c>
      <c r="O49" s="81">
        <f t="shared" si="59"/>
        <v>912</v>
      </c>
      <c r="P49" s="81">
        <f t="shared" si="60"/>
        <v>0.64421632319439204</v>
      </c>
      <c r="Q49" s="81">
        <f t="shared" si="61"/>
        <v>309.22383513330817</v>
      </c>
      <c r="R49" s="82">
        <f t="shared" si="62"/>
        <v>0.33906122273389055</v>
      </c>
      <c r="S49" s="145" t="s">
        <v>68</v>
      </c>
    </row>
    <row r="50" spans="1:20" s="84" customFormat="1" ht="45" customHeight="1">
      <c r="A50" s="131">
        <v>44</v>
      </c>
      <c r="B50" s="73" t="s">
        <v>104</v>
      </c>
      <c r="C50" s="74">
        <v>30</v>
      </c>
      <c r="D50" s="75" t="s">
        <v>35</v>
      </c>
      <c r="E50" s="74">
        <f t="shared" si="56"/>
        <v>1800</v>
      </c>
      <c r="F50" s="121">
        <f>91.2-(91.2*5%)</f>
        <v>86.64</v>
      </c>
      <c r="G50" s="77">
        <f t="shared" si="57"/>
        <v>1.444</v>
      </c>
      <c r="H50" s="78">
        <f t="shared" si="63"/>
        <v>2599.1999999999998</v>
      </c>
      <c r="I50" s="91"/>
      <c r="J50" s="79">
        <f t="shared" si="58"/>
        <v>0.43784111582777441</v>
      </c>
      <c r="K50" s="139">
        <f t="shared" si="2"/>
        <v>788.11400848999392</v>
      </c>
      <c r="L50" s="139">
        <f t="shared" si="3"/>
        <v>0.48356043448194608</v>
      </c>
      <c r="M50" s="79">
        <f t="shared" si="25"/>
        <v>870.4087820675029</v>
      </c>
      <c r="N50" s="80">
        <v>0.85</v>
      </c>
      <c r="O50" s="81">
        <f t="shared" si="59"/>
        <v>1530</v>
      </c>
      <c r="P50" s="81">
        <f t="shared" si="60"/>
        <v>0.3664395655180539</v>
      </c>
      <c r="Q50" s="81">
        <f t="shared" si="61"/>
        <v>659.59121793249699</v>
      </c>
      <c r="R50" s="82">
        <f t="shared" si="62"/>
        <v>0.43110537119771047</v>
      </c>
      <c r="S50" s="86"/>
    </row>
    <row r="51" spans="1:20" s="84" customFormat="1" ht="45" customHeight="1">
      <c r="A51" s="131">
        <v>45</v>
      </c>
      <c r="B51" s="73" t="s">
        <v>105</v>
      </c>
      <c r="C51" s="74">
        <v>30</v>
      </c>
      <c r="D51" s="75" t="s">
        <v>31</v>
      </c>
      <c r="E51" s="74">
        <f t="shared" ref="E51" si="73">D51*C51</f>
        <v>720</v>
      </c>
      <c r="F51" s="121">
        <f>91.2-(91.2*5%)</f>
        <v>86.64</v>
      </c>
      <c r="G51" s="77">
        <f t="shared" ref="G51" si="74">F51/D51</f>
        <v>3.61</v>
      </c>
      <c r="H51" s="78">
        <f t="shared" ref="H51" si="75">G51*E51</f>
        <v>2599.1999999999998</v>
      </c>
      <c r="I51" s="91"/>
      <c r="J51" s="79">
        <f t="shared" ref="J51" si="76">G51/$Q$2</f>
        <v>1.0946027895694359</v>
      </c>
      <c r="K51" s="139">
        <f t="shared" si="2"/>
        <v>788.11400848999392</v>
      </c>
      <c r="L51" s="139">
        <f t="shared" si="3"/>
        <v>1.208901086204865</v>
      </c>
      <c r="M51" s="79">
        <f t="shared" ref="M51" si="77">L51*E51</f>
        <v>870.40878206750278</v>
      </c>
      <c r="N51" s="80">
        <v>0.85</v>
      </c>
      <c r="O51" s="81">
        <f t="shared" ref="O51" si="78">N51*E51</f>
        <v>612</v>
      </c>
      <c r="P51" s="81">
        <f t="shared" ref="P51" si="79">N51-L51</f>
        <v>-0.35890108620486505</v>
      </c>
      <c r="Q51" s="81">
        <f t="shared" ref="Q51" si="80">P51*E51</f>
        <v>-258.40878206750284</v>
      </c>
      <c r="R51" s="82">
        <f t="shared" ref="R51" si="81">P51/N51</f>
        <v>-0.42223657200572362</v>
      </c>
      <c r="S51" s="86"/>
    </row>
    <row r="52" spans="1:20" s="84" customFormat="1" ht="45" customHeight="1">
      <c r="A52" s="131">
        <v>46</v>
      </c>
      <c r="B52" s="73" t="s">
        <v>106</v>
      </c>
      <c r="C52" s="74">
        <v>50</v>
      </c>
      <c r="D52" s="75" t="s">
        <v>35</v>
      </c>
      <c r="E52" s="74">
        <f t="shared" ref="E52" si="82">D52*C52</f>
        <v>3000</v>
      </c>
      <c r="F52" s="121">
        <f>91.2-(91.2*5%)</f>
        <v>86.64</v>
      </c>
      <c r="G52" s="77">
        <f t="shared" ref="G52" si="83">F52/D52</f>
        <v>1.444</v>
      </c>
      <c r="H52" s="78">
        <f t="shared" ref="H52" si="84">G52*E52</f>
        <v>4332</v>
      </c>
      <c r="I52" s="91"/>
      <c r="J52" s="79">
        <f t="shared" ref="J52" si="85">G52/$Q$2</f>
        <v>0.43784111582777441</v>
      </c>
      <c r="K52" s="139">
        <f t="shared" si="2"/>
        <v>1313.5233474833233</v>
      </c>
      <c r="L52" s="139">
        <f t="shared" si="3"/>
        <v>0.48356043448194608</v>
      </c>
      <c r="M52" s="79">
        <f t="shared" ref="M52" si="86">L52*E52</f>
        <v>1450.6813034458382</v>
      </c>
      <c r="N52" s="80">
        <v>0.85</v>
      </c>
      <c r="O52" s="81">
        <f t="shared" ref="O52" si="87">N52*E52</f>
        <v>2550</v>
      </c>
      <c r="P52" s="81">
        <f t="shared" ref="P52" si="88">N52-L52</f>
        <v>0.3664395655180539</v>
      </c>
      <c r="Q52" s="81">
        <f t="shared" ref="Q52" si="89">P52*E52</f>
        <v>1099.3186965541618</v>
      </c>
      <c r="R52" s="82">
        <f t="shared" ref="R52" si="90">P52/N52</f>
        <v>0.43110537119771047</v>
      </c>
      <c r="S52" s="86"/>
    </row>
    <row r="53" spans="1:20" s="84" customFormat="1" ht="45" customHeight="1">
      <c r="A53" s="131">
        <v>47</v>
      </c>
      <c r="B53" s="49" t="s">
        <v>107</v>
      </c>
      <c r="C53" s="74">
        <v>70</v>
      </c>
      <c r="D53" s="75" t="s">
        <v>35</v>
      </c>
      <c r="E53" s="74">
        <f>D53*C53</f>
        <v>4200</v>
      </c>
      <c r="F53" s="121">
        <f t="shared" ref="F53:F54" si="91">91.2-(91.2*5%)</f>
        <v>86.64</v>
      </c>
      <c r="G53" s="77">
        <f>F53/D53</f>
        <v>1.444</v>
      </c>
      <c r="H53" s="78">
        <f>G53*E53</f>
        <v>6064.8</v>
      </c>
      <c r="I53" s="91"/>
      <c r="J53" s="79">
        <f>G53/$Q$2</f>
        <v>0.43784111582777441</v>
      </c>
      <c r="K53" s="139">
        <f t="shared" si="2"/>
        <v>1838.9326864766526</v>
      </c>
      <c r="L53" s="139">
        <f t="shared" si="3"/>
        <v>0.48356043448194608</v>
      </c>
      <c r="M53" s="79">
        <f>L53*E53</f>
        <v>2030.9538248241736</v>
      </c>
      <c r="N53" s="80">
        <v>0.85</v>
      </c>
      <c r="O53" s="81">
        <f>N53*E53</f>
        <v>3570</v>
      </c>
      <c r="P53" s="81">
        <f>N53-L53</f>
        <v>0.3664395655180539</v>
      </c>
      <c r="Q53" s="81">
        <f>P53*E53</f>
        <v>1539.0461751758264</v>
      </c>
      <c r="R53" s="82">
        <f>P53/N53</f>
        <v>0.43110537119771047</v>
      </c>
      <c r="S53" s="86"/>
    </row>
    <row r="54" spans="1:20" s="84" customFormat="1" ht="45" customHeight="1">
      <c r="A54" s="131">
        <v>48</v>
      </c>
      <c r="B54" s="49" t="s">
        <v>108</v>
      </c>
      <c r="C54" s="74">
        <v>60</v>
      </c>
      <c r="D54" s="75" t="s">
        <v>35</v>
      </c>
      <c r="E54" s="74">
        <f t="shared" ref="E54" si="92">D54*C54</f>
        <v>3600</v>
      </c>
      <c r="F54" s="121">
        <f t="shared" si="91"/>
        <v>86.64</v>
      </c>
      <c r="G54" s="77">
        <f t="shared" ref="G54" si="93">F54/D54</f>
        <v>1.444</v>
      </c>
      <c r="H54" s="78">
        <f t="shared" ref="H54" si="94">G54*E54</f>
        <v>5198.3999999999996</v>
      </c>
      <c r="I54" s="91"/>
      <c r="J54" s="79">
        <f t="shared" ref="J54" si="95">G54/$Q$2</f>
        <v>0.43784111582777441</v>
      </c>
      <c r="K54" s="139">
        <f t="shared" si="2"/>
        <v>1576.2280169799878</v>
      </c>
      <c r="L54" s="139">
        <f t="shared" si="3"/>
        <v>0.48356043448194608</v>
      </c>
      <c r="M54" s="79">
        <f t="shared" ref="M54" si="96">L54*E54</f>
        <v>1740.8175641350058</v>
      </c>
      <c r="N54" s="80">
        <v>0.85</v>
      </c>
      <c r="O54" s="81">
        <f t="shared" ref="O54" si="97">N54*E54</f>
        <v>3060</v>
      </c>
      <c r="P54" s="81">
        <f t="shared" ref="P54" si="98">N54-L54</f>
        <v>0.3664395655180539</v>
      </c>
      <c r="Q54" s="81">
        <f t="shared" ref="Q54" si="99">P54*E54</f>
        <v>1319.182435864994</v>
      </c>
      <c r="R54" s="82">
        <f t="shared" ref="R54" si="100">P54/N54</f>
        <v>0.43110537119771047</v>
      </c>
      <c r="S54" s="86"/>
    </row>
    <row r="55" spans="1:20" s="11" customFormat="1" ht="45" customHeight="1">
      <c r="A55" s="131">
        <v>49</v>
      </c>
      <c r="B55" s="174" t="s">
        <v>69</v>
      </c>
      <c r="C55" s="133">
        <v>10</v>
      </c>
      <c r="D55" s="134" t="s">
        <v>48</v>
      </c>
      <c r="E55" s="133">
        <f t="shared" si="8"/>
        <v>1200</v>
      </c>
      <c r="F55" s="135">
        <v>115.2</v>
      </c>
      <c r="G55" s="136">
        <f t="shared" ref="G55" si="101">F55/D55</f>
        <v>0.96000000000000008</v>
      </c>
      <c r="H55" s="137">
        <f t="shared" si="1"/>
        <v>1152</v>
      </c>
      <c r="I55" s="173"/>
      <c r="J55" s="139">
        <f t="shared" si="9"/>
        <v>0.29108550636749547</v>
      </c>
      <c r="K55" s="139">
        <f t="shared" si="2"/>
        <v>349.30260764099455</v>
      </c>
      <c r="L55" s="139">
        <f t="shared" si="3"/>
        <v>0.32148062126223564</v>
      </c>
      <c r="M55" s="139">
        <f t="shared" si="10"/>
        <v>385.77674551468277</v>
      </c>
      <c r="N55" s="140">
        <v>0.45</v>
      </c>
      <c r="O55" s="141">
        <f t="shared" si="4"/>
        <v>540</v>
      </c>
      <c r="P55" s="141">
        <f t="shared" si="5"/>
        <v>0.12851937873776437</v>
      </c>
      <c r="Q55" s="141">
        <f t="shared" si="6"/>
        <v>154.22325448531723</v>
      </c>
      <c r="R55" s="142">
        <f t="shared" si="7"/>
        <v>0.28559861941725412</v>
      </c>
      <c r="S55" s="143" t="s">
        <v>70</v>
      </c>
      <c r="T55" s="144"/>
    </row>
    <row r="56" spans="1:20" s="29" customFormat="1" ht="48" customHeight="1" thickBot="1">
      <c r="A56" s="272"/>
      <c r="B56" s="273"/>
      <c r="C56" s="273"/>
      <c r="D56" s="274"/>
      <c r="E56" s="178"/>
      <c r="F56" s="179"/>
      <c r="G56" s="282" t="s">
        <v>15</v>
      </c>
      <c r="H56" s="284">
        <f>SUM(H7:H55)</f>
        <v>114355.97999999997</v>
      </c>
      <c r="I56" s="180"/>
      <c r="J56" s="181" t="s">
        <v>16</v>
      </c>
      <c r="K56" s="182">
        <f>SUM(K7:K55)</f>
        <v>34674.342025469974</v>
      </c>
      <c r="L56" s="286" t="s">
        <v>17</v>
      </c>
      <c r="M56" s="287"/>
      <c r="N56" s="288">
        <f>SUM(O7:O55)</f>
        <v>48931</v>
      </c>
      <c r="O56" s="289"/>
      <c r="P56" s="298" t="s">
        <v>18</v>
      </c>
      <c r="Q56" s="299"/>
      <c r="R56" s="290">
        <f>SUM(Q7:Q55)</f>
        <v>11414.553071857192</v>
      </c>
      <c r="S56" s="183"/>
      <c r="T56" s="47"/>
    </row>
    <row r="57" spans="1:20" s="29" customFormat="1" ht="48" customHeight="1" thickBot="1">
      <c r="A57" s="275"/>
      <c r="B57" s="273"/>
      <c r="C57" s="273"/>
      <c r="D57" s="274"/>
      <c r="E57" s="178"/>
      <c r="F57" s="184"/>
      <c r="G57" s="283"/>
      <c r="H57" s="285"/>
      <c r="I57" s="185"/>
      <c r="J57" s="186" t="s">
        <v>33</v>
      </c>
      <c r="K57" s="187">
        <f>K56*0.09</f>
        <v>3120.6907822922976</v>
      </c>
      <c r="L57" s="292"/>
      <c r="M57" s="292"/>
      <c r="N57" s="292"/>
      <c r="O57" s="292"/>
      <c r="P57" s="300"/>
      <c r="Q57" s="301"/>
      <c r="R57" s="291"/>
      <c r="S57" s="188"/>
      <c r="T57" s="47"/>
    </row>
    <row r="58" spans="1:20" s="29" customFormat="1" ht="46.5" customHeight="1" thickBot="1">
      <c r="A58" s="276"/>
      <c r="B58" s="277"/>
      <c r="C58" s="277"/>
      <c r="D58" s="278"/>
      <c r="E58" s="189"/>
      <c r="F58" s="190"/>
      <c r="G58" s="191" t="s">
        <v>19</v>
      </c>
      <c r="H58" s="192" t="s">
        <v>26</v>
      </c>
      <c r="I58" s="185"/>
      <c r="J58" s="193" t="s">
        <v>20</v>
      </c>
      <c r="K58" s="194">
        <f>1650/3.3</f>
        <v>500</v>
      </c>
      <c r="L58" s="292"/>
      <c r="M58" s="292"/>
      <c r="N58" s="292"/>
      <c r="O58" s="292"/>
      <c r="P58" s="293" t="s">
        <v>21</v>
      </c>
      <c r="Q58" s="294"/>
      <c r="R58" s="195">
        <f>R56/N56</f>
        <v>0.23327855698549368</v>
      </c>
      <c r="S58" s="196"/>
      <c r="T58" s="47"/>
    </row>
    <row r="59" spans="1:20" s="29" customFormat="1" ht="48" thickBot="1">
      <c r="A59" s="279"/>
      <c r="B59" s="280"/>
      <c r="C59" s="280"/>
      <c r="D59" s="281"/>
      <c r="E59" s="197"/>
      <c r="F59" s="198"/>
      <c r="G59" s="199" t="s">
        <v>22</v>
      </c>
      <c r="H59" s="200">
        <f>SUM(H56:H58)</f>
        <v>114355.97999999997</v>
      </c>
      <c r="I59" s="185"/>
      <c r="J59" s="201" t="s">
        <v>22</v>
      </c>
      <c r="K59" s="202">
        <f>SUM(K56:K58)</f>
        <v>38295.032807762269</v>
      </c>
      <c r="L59" s="203" t="s">
        <v>23</v>
      </c>
      <c r="M59" s="295">
        <f>K58/K56</f>
        <v>1.4419884294638552E-2</v>
      </c>
      <c r="N59" s="296"/>
      <c r="O59" s="204"/>
      <c r="P59" s="205"/>
      <c r="Q59" s="205"/>
      <c r="R59" s="205"/>
      <c r="S59" s="206"/>
      <c r="T59" s="47"/>
    </row>
    <row r="60" spans="1:20" ht="15.75" customHeight="1">
      <c r="A60" s="147"/>
      <c r="B60" s="205"/>
      <c r="C60" s="148"/>
      <c r="D60" s="148"/>
      <c r="E60" s="149"/>
      <c r="F60" s="149"/>
      <c r="G60" s="149"/>
      <c r="H60" s="150"/>
      <c r="I60" s="151"/>
      <c r="J60" s="148"/>
      <c r="K60" s="148"/>
      <c r="L60" s="152"/>
      <c r="M60" s="152"/>
      <c r="N60" s="153"/>
      <c r="O60" s="154"/>
      <c r="P60" s="154"/>
      <c r="Q60" s="155"/>
      <c r="R60" s="154"/>
      <c r="S60" s="156"/>
    </row>
    <row r="61" spans="1:20" ht="15.75" customHeight="1">
      <c r="A61" s="151"/>
      <c r="B61" s="211"/>
      <c r="C61" s="154"/>
      <c r="D61" s="154"/>
      <c r="E61" s="157"/>
      <c r="F61" s="157"/>
      <c r="G61" s="157"/>
      <c r="H61" s="158"/>
      <c r="I61" s="151"/>
      <c r="J61" s="297"/>
      <c r="K61" s="297"/>
      <c r="L61" s="297"/>
      <c r="M61" s="297"/>
      <c r="N61" s="297"/>
      <c r="O61" s="154"/>
      <c r="P61" s="154"/>
      <c r="Q61" s="154"/>
      <c r="R61" s="154"/>
      <c r="S61" s="156"/>
    </row>
    <row r="62" spans="1:20" ht="39" customHeight="1">
      <c r="A62" s="151"/>
      <c r="B62" s="211"/>
      <c r="C62" s="154"/>
      <c r="D62" s="154"/>
      <c r="E62" s="157"/>
      <c r="F62" s="157"/>
      <c r="G62" s="157"/>
      <c r="H62" s="158"/>
      <c r="I62" s="151"/>
      <c r="J62" s="159"/>
      <c r="K62" s="160"/>
      <c r="L62" s="161"/>
      <c r="M62" s="161"/>
      <c r="N62" s="162"/>
      <c r="O62" s="154"/>
      <c r="P62" s="154"/>
      <c r="Q62" s="154"/>
      <c r="R62" s="154"/>
      <c r="S62" s="156"/>
    </row>
    <row r="63" spans="1:20" ht="15.75" customHeight="1">
      <c r="A63" s="163" t="s">
        <v>77</v>
      </c>
      <c r="B63" s="211"/>
      <c r="C63" s="154"/>
      <c r="D63" s="154"/>
      <c r="E63" s="157"/>
      <c r="F63" s="157"/>
      <c r="G63" s="157"/>
      <c r="H63" s="158"/>
      <c r="I63" s="151"/>
      <c r="J63" s="164"/>
      <c r="K63" s="164"/>
      <c r="L63" s="164"/>
      <c r="M63" s="164"/>
      <c r="N63" s="162"/>
      <c r="O63" s="154"/>
      <c r="P63" s="154"/>
      <c r="Q63" s="154"/>
      <c r="R63" s="154"/>
      <c r="S63" s="156"/>
    </row>
    <row r="64" spans="1:20" ht="18" customHeight="1">
      <c r="A64" s="163" t="s">
        <v>78</v>
      </c>
      <c r="B64" s="211"/>
      <c r="C64" s="154"/>
      <c r="D64" s="154"/>
      <c r="E64" s="157"/>
      <c r="F64" s="157"/>
      <c r="G64" s="157"/>
      <c r="H64" s="158"/>
      <c r="I64" s="151"/>
      <c r="J64" s="164"/>
      <c r="K64" s="164"/>
      <c r="L64" s="159"/>
      <c r="M64" s="159"/>
      <c r="N64" s="165"/>
      <c r="O64" s="154"/>
      <c r="P64" s="166"/>
      <c r="Q64" s="154"/>
      <c r="R64" s="154"/>
      <c r="S64" s="156"/>
    </row>
    <row r="65" spans="1:19" ht="15.75" customHeight="1" thickBot="1">
      <c r="A65" s="167"/>
      <c r="B65" s="212"/>
      <c r="C65" s="168"/>
      <c r="D65" s="168"/>
      <c r="E65" s="169"/>
      <c r="F65" s="169"/>
      <c r="G65" s="169"/>
      <c r="H65" s="170"/>
      <c r="I65" s="151"/>
      <c r="J65" s="171"/>
      <c r="K65" s="171"/>
      <c r="L65" s="171"/>
      <c r="M65" s="171"/>
      <c r="N65" s="172"/>
      <c r="O65" s="154"/>
      <c r="P65" s="154"/>
      <c r="Q65" s="154"/>
      <c r="R65" s="154"/>
      <c r="S65" s="156"/>
    </row>
  </sheetData>
  <autoFilter ref="B6:Q6" xr:uid="{90601705-1B33-409B-B71E-3AEEAC21DCA1}"/>
  <mergeCells count="17">
    <mergeCell ref="R56:R57"/>
    <mergeCell ref="L57:O58"/>
    <mergeCell ref="P58:Q58"/>
    <mergeCell ref="M59:N59"/>
    <mergeCell ref="J61:N61"/>
    <mergeCell ref="P56:Q57"/>
    <mergeCell ref="A56:D59"/>
    <mergeCell ref="G56:G57"/>
    <mergeCell ref="H56:H57"/>
    <mergeCell ref="L56:M56"/>
    <mergeCell ref="N56:O56"/>
    <mergeCell ref="A1:O1"/>
    <mergeCell ref="Q1:R1"/>
    <mergeCell ref="A2:O2"/>
    <mergeCell ref="P3:S3"/>
    <mergeCell ref="A4:H4"/>
    <mergeCell ref="J4:S4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25-11590</vt:lpstr>
      <vt:lpstr>25-10148</vt:lpstr>
      <vt:lpstr>'25-11590'!Print_Area</vt:lpstr>
      <vt:lpstr>'25-11590'!Print_Titles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suna</dc:creator>
  <cp:lastModifiedBy>banpreet.saluja@gmail.com</cp:lastModifiedBy>
  <cp:lastPrinted>2025-08-12T09:12:45Z</cp:lastPrinted>
  <dcterms:created xsi:type="dcterms:W3CDTF">2023-12-14T08:09:44Z</dcterms:created>
  <dcterms:modified xsi:type="dcterms:W3CDTF">2026-04-09T10:56:42Z</dcterms:modified>
</cp:coreProperties>
</file>