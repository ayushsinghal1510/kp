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arw/Downloads/"/>
    </mc:Choice>
  </mc:AlternateContent>
  <xr:revisionPtr revIDLastSave="0" documentId="8_{E333FA6F-FE33-0943-B72C-CA4FD4D435FC}" xr6:coauthVersionLast="47" xr6:coauthVersionMax="47" xr10:uidLastSave="{00000000-0000-0000-0000-000000000000}"/>
  <bookViews>
    <workbookView xWindow="0" yWindow="720" windowWidth="29400" windowHeight="18400" xr2:uid="{A983A74C-AB1E-EF42-98A5-4136797D4816}"/>
  </bookViews>
  <sheets>
    <sheet name="Sheet1" sheetId="1" r:id="rId1"/>
  </sheets>
  <definedNames>
    <definedName name="_xlnm._FilterDatabase" localSheetId="0" hidden="1">Sheet1!$A$6:$S$23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G14" i="1" s="1"/>
  <c r="J14" i="1" s="1"/>
  <c r="F12" i="1"/>
  <c r="F10" i="1"/>
  <c r="G10" i="1" s="1"/>
  <c r="F15" i="1"/>
  <c r="G15" i="1" s="1"/>
  <c r="F19" i="1"/>
  <c r="G19" i="1" s="1"/>
  <c r="F18" i="1"/>
  <c r="F17" i="1"/>
  <c r="G17" i="1" s="1"/>
  <c r="J17" i="1" s="1"/>
  <c r="F16" i="1"/>
  <c r="G16" i="1" s="1"/>
  <c r="J16" i="1" s="1"/>
  <c r="F13" i="1"/>
  <c r="G13" i="1" s="1"/>
  <c r="F11" i="1"/>
  <c r="G11" i="1" s="1"/>
  <c r="F9" i="1"/>
  <c r="G9" i="1" s="1"/>
  <c r="F8" i="1"/>
  <c r="G8" i="1" s="1"/>
  <c r="F7" i="1"/>
  <c r="G7" i="1" s="1"/>
  <c r="J7" i="1" s="1"/>
  <c r="E15" i="1"/>
  <c r="O15" i="1" s="1"/>
  <c r="E11" i="1"/>
  <c r="O11" i="1" s="1"/>
  <c r="E13" i="1"/>
  <c r="O13" i="1" s="1"/>
  <c r="E9" i="1"/>
  <c r="O9" i="1" s="1"/>
  <c r="E19" i="1"/>
  <c r="O19" i="1" s="1"/>
  <c r="G18" i="1"/>
  <c r="E18" i="1"/>
  <c r="O18" i="1" s="1"/>
  <c r="E17" i="1"/>
  <c r="O17" i="1" s="1"/>
  <c r="E14" i="1"/>
  <c r="O14" i="1" s="1"/>
  <c r="E16" i="1"/>
  <c r="O16" i="1" s="1"/>
  <c r="G12" i="1"/>
  <c r="J12" i="1" s="1"/>
  <c r="E12" i="1"/>
  <c r="O12" i="1" s="1"/>
  <c r="E10" i="1"/>
  <c r="E8" i="1"/>
  <c r="O8" i="1" s="1"/>
  <c r="E7" i="1"/>
  <c r="O7" i="1" s="1"/>
  <c r="H15" i="1" l="1"/>
  <c r="K15" i="1" s="1"/>
  <c r="J15" i="1"/>
  <c r="H11" i="1"/>
  <c r="K11" i="1" s="1"/>
  <c r="J11" i="1"/>
  <c r="H13" i="1"/>
  <c r="K13" i="1" s="1"/>
  <c r="J13" i="1"/>
  <c r="H9" i="1"/>
  <c r="K9" i="1" s="1"/>
  <c r="J9" i="1"/>
  <c r="H17" i="1"/>
  <c r="K17" i="1" s="1"/>
  <c r="H18" i="1"/>
  <c r="K18" i="1" s="1"/>
  <c r="H14" i="1"/>
  <c r="K14" i="1" s="1"/>
  <c r="H19" i="1"/>
  <c r="K19" i="1" s="1"/>
  <c r="J19" i="1"/>
  <c r="J18" i="1"/>
  <c r="H7" i="1"/>
  <c r="K7" i="1" s="1"/>
  <c r="H16" i="1"/>
  <c r="K16" i="1" s="1"/>
  <c r="H12" i="1"/>
  <c r="K12" i="1" s="1"/>
  <c r="H10" i="1"/>
  <c r="K10" i="1" s="1"/>
  <c r="J10" i="1"/>
  <c r="H8" i="1"/>
  <c r="K8" i="1" s="1"/>
  <c r="J8" i="1"/>
  <c r="O10" i="1"/>
  <c r="N20" i="1" s="1"/>
  <c r="K20" i="1" l="1"/>
  <c r="M23" i="1" s="1"/>
  <c r="H20" i="1"/>
  <c r="H23" i="1" s="1"/>
  <c r="L11" i="1" l="1"/>
  <c r="P11" i="1" s="1"/>
  <c r="L15" i="1"/>
  <c r="M11" i="1"/>
  <c r="L9" i="1"/>
  <c r="M9" i="1" s="1"/>
  <c r="L13" i="1"/>
  <c r="L18" i="1"/>
  <c r="P18" i="1" s="1"/>
  <c r="L19" i="1"/>
  <c r="L14" i="1"/>
  <c r="M14" i="1" s="1"/>
  <c r="L17" i="1"/>
  <c r="M17" i="1" s="1"/>
  <c r="K21" i="1"/>
  <c r="K23" i="1" s="1"/>
  <c r="R20" i="1" s="1"/>
  <c r="R22" i="1" s="1"/>
  <c r="L8" i="1"/>
  <c r="P8" i="1" s="1"/>
  <c r="L10" i="1"/>
  <c r="L16" i="1"/>
  <c r="L7" i="1"/>
  <c r="L12" i="1"/>
  <c r="P9" i="1" l="1"/>
  <c r="P15" i="1"/>
  <c r="M15" i="1"/>
  <c r="R11" i="1"/>
  <c r="Q11" i="1"/>
  <c r="P13" i="1"/>
  <c r="M13" i="1"/>
  <c r="R9" i="1"/>
  <c r="Q9" i="1"/>
  <c r="M18" i="1"/>
  <c r="P17" i="1"/>
  <c r="Q17" i="1" s="1"/>
  <c r="P19" i="1"/>
  <c r="M19" i="1"/>
  <c r="R18" i="1"/>
  <c r="Q18" i="1"/>
  <c r="M8" i="1"/>
  <c r="P7" i="1"/>
  <c r="M7" i="1"/>
  <c r="M12" i="1"/>
  <c r="P12" i="1"/>
  <c r="R8" i="1"/>
  <c r="Q8" i="1"/>
  <c r="M10" i="1"/>
  <c r="P10" i="1"/>
  <c r="P14" i="1"/>
  <c r="P16" i="1"/>
  <c r="M16" i="1"/>
  <c r="R15" i="1" l="1"/>
  <c r="Q15" i="1"/>
  <c r="R13" i="1"/>
  <c r="Q13" i="1"/>
  <c r="R17" i="1"/>
  <c r="R19" i="1"/>
  <c r="Q19" i="1"/>
  <c r="Q10" i="1"/>
  <c r="R10" i="1"/>
  <c r="Q7" i="1"/>
  <c r="R7" i="1"/>
  <c r="R12" i="1"/>
  <c r="Q12" i="1"/>
  <c r="Q16" i="1"/>
  <c r="R16" i="1"/>
  <c r="R14" i="1"/>
  <c r="Q14" i="1"/>
</calcChain>
</file>

<file path=xl/sharedStrings.xml><?xml version="1.0" encoding="utf-8"?>
<sst xmlns="http://schemas.openxmlformats.org/spreadsheetml/2006/main" count="66" uniqueCount="55">
  <si>
    <t>Tian Ma Group Holdings Pte Ltd</t>
  </si>
  <si>
    <t xml:space="preserve">Date: </t>
  </si>
  <si>
    <t>9 Changi South Street 3 #07-02/03 Singapore 486361</t>
  </si>
  <si>
    <t>Rate :</t>
  </si>
  <si>
    <t>PURCHASE ORDER</t>
  </si>
  <si>
    <t>Cost with Freight &amp; GST, Selling with GST</t>
  </si>
  <si>
    <t>No.</t>
  </si>
  <si>
    <t>Product Name</t>
  </si>
  <si>
    <t>Qty 
(CTN)</t>
  </si>
  <si>
    <t>Packing Size
(PC)</t>
  </si>
  <si>
    <t>Total Ordered Qty</t>
  </si>
  <si>
    <t>Ctn Price
(SGD)
(W/O GST)</t>
  </si>
  <si>
    <t>Unit Price
(SGD)
(W/O GST)</t>
  </si>
  <si>
    <t>Total</t>
  </si>
  <si>
    <t>Unit Cost 
(SGD - PC)
(W/O GST)</t>
  </si>
  <si>
    <t>Total Cost 
(RAW)</t>
  </si>
  <si>
    <t>Unit Cost (9%)
(SGD - PC)</t>
  </si>
  <si>
    <t>Total Cost 
(SGD)
(W GST)</t>
  </si>
  <si>
    <t>TMG Selling Price</t>
  </si>
  <si>
    <t>Total Selling</t>
  </si>
  <si>
    <t>UNIT PROFIT ($)</t>
  </si>
  <si>
    <t>TOTAL PROFIT ($)</t>
  </si>
  <si>
    <t xml:space="preserve">Profit Margin - % </t>
  </si>
  <si>
    <t>TMG
Promotion
Price</t>
  </si>
  <si>
    <t>4</t>
  </si>
  <si>
    <t>24</t>
  </si>
  <si>
    <t>12</t>
  </si>
  <si>
    <r>
      <rPr>
        <b/>
        <u/>
        <sz val="11"/>
        <color indexed="8"/>
        <rFont val="Calibri"/>
        <family val="2"/>
      </rPr>
      <t xml:space="preserve">
</t>
    </r>
    <r>
      <rPr>
        <b/>
        <u/>
        <sz val="11"/>
        <color indexed="8"/>
        <rFont val="Calibri"/>
        <family val="2"/>
      </rPr>
      <t>REMARKS:</t>
    </r>
    <r>
      <rPr>
        <sz val="11"/>
        <color indexed="8"/>
        <rFont val="Calibri"/>
        <family val="2"/>
      </rPr>
      <t xml:space="preserve">
</t>
    </r>
    <r>
      <rPr>
        <sz val="11"/>
        <color indexed="8"/>
        <rFont val="Calibri"/>
        <family val="2"/>
      </rPr>
      <t/>
    </r>
  </si>
  <si>
    <t>SUB TOTAL:</t>
  </si>
  <si>
    <t>Total Cost:
(SGD)</t>
  </si>
  <si>
    <t>Total Selling: 
(SGD)</t>
  </si>
  <si>
    <t>Total Profit:</t>
  </si>
  <si>
    <t>9% GST</t>
  </si>
  <si>
    <t>Freight (CNF) Charge:</t>
  </si>
  <si>
    <t>NA</t>
  </si>
  <si>
    <t>Freight Charge:</t>
  </si>
  <si>
    <t>Profit over SP</t>
  </si>
  <si>
    <t>TOTAL AMT:</t>
  </si>
  <si>
    <t xml:space="preserve">Freight Charge Percentage  
(W/out GST)                                                  </t>
  </si>
  <si>
    <t>__________________                    _______________________                               __________________</t>
  </si>
  <si>
    <t>ORDER PREPARED BY                             ACKNOWLEDGE BY                                                      CHECKED BY</t>
  </si>
  <si>
    <t>POKKA CHINESE OOLONG TEA 300ML (SLEEK CAN)</t>
  </si>
  <si>
    <t>POKKA JASMINE GREEN TEA 300ML (SLEEK CAN)</t>
  </si>
  <si>
    <t>POKKA OOLONG TEA (500ML X 24 BTL)</t>
  </si>
  <si>
    <t>POKKA ICE PEACH TEA 500ML</t>
  </si>
  <si>
    <t>POKKA ICE LEMON TEA 500ML</t>
  </si>
  <si>
    <t>POKKA JASMINE GREEN TEA (1500ML X 12BTL)</t>
  </si>
  <si>
    <t>POKKA LEMON TEA (1500ML X 12BTL)</t>
  </si>
  <si>
    <t>POKKA ICE LEMON TEA (250MLX6S)</t>
  </si>
  <si>
    <t>POKKA OOLONG TEA (250MLX6S)</t>
  </si>
  <si>
    <t>POKKA OOLONG TEA (1500ML X 12 BTL)</t>
  </si>
  <si>
    <t>POKKA ICE LEMON TEA 1500ML</t>
  </si>
  <si>
    <t>POKKA ICE PEACH TEA 1500ML</t>
  </si>
  <si>
    <t>POKKA GREEN TEA 250ML X 6S</t>
  </si>
  <si>
    <t>Supplier: POKKA PTE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</si>
</sst>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₹&quot;* #,##0.00_);_(&quot;₹&quot;* \(#,##0.00\);_(&quot;₹&quot;* &quot;-&quot;??_);_(@_)"/>
    <numFmt numFmtId="43" formatCode="_(* #,##0.00_);_(* \(#,##0.00\);_(* &quot;-&quot;??_);_(@_)"/>
    <numFmt numFmtId="164" formatCode="0.000"/>
    <numFmt numFmtId="165" formatCode="0.0000"/>
    <numFmt numFmtId="166" formatCode="&quot;$&quot;#,##0.0000"/>
    <numFmt numFmtId="167" formatCode="&quot;$&quot;#,##0.00"/>
    <numFmt numFmtId="168" formatCode="_-[$$-4809]* #,##0.00_-;\-[$$-4809]* #,##0.00_-;_-[$$-4809]* &quot;-&quot;??_-;_-@_-"/>
    <numFmt numFmtId="169" formatCode="_-&quot;$&quot;* #,##0.000_-;\-&quot;$&quot;* #,##0.000_-;_-&quot;$&quot;* &quot;-&quot;???_-;_-@_-"/>
    <numFmt numFmtId="170" formatCode="_-&quot;$&quot;* #,##0.00_-;\-&quot;$&quot;* #,##0.00_-;_-&quot;$&quot;* &quot;-&quot;??_-;_-@_-"/>
    <numFmt numFmtId="171" formatCode="&quot;$&quot;&quot; &quot;#,##0.0000"/>
    <numFmt numFmtId="172" formatCode="&quot;$&quot;&quot; &quot;#,##0.00"/>
    <numFmt numFmtId="173" formatCode="0.000%"/>
    <numFmt numFmtId="174" formatCode="&quot; &quot;&quot;$&quot;* #,##0.00&quot; &quot;;&quot;-&quot;&quot;$&quot;* #,##0.00&quot; &quot;;&quot; &quot;&quot;$&quot;* &quot;-&quot;??&quot; &quot;"/>
    <numFmt numFmtId="175" formatCode="&quot; &quot;&quot;$&quot;* #,##0.0000&quot; &quot;;&quot;-&quot;&quot;$&quot;* #,##0.0000&quot; &quot;;&quot; &quot;&quot;$&quot;* &quot;-&quot;??&quot; &quot;"/>
    <numFmt numFmtId="176" formatCode="&quot; &quot;[$CNY]* #,##0.00&quot; &quot;;&quot; &quot;[$CNY]* &quot;-&quot;#,##0.00&quot; &quot;;&quot; &quot;[$CNY]* &quot;-&quot;??&quot; &quot;"/>
    <numFmt numFmtId="177" formatCode="&quot; &quot;[$$-409]* #,##0.0000&quot; &quot;;&quot; &quot;[$$-409]* &quot;-&quot;#,##0.0000&quot; &quot;;&quot; &quot;[$$-409]* &quot;-&quot;??&quot; &quot;"/>
    <numFmt numFmtId="178" formatCode="&quot; &quot;&quot;$&quot;* #,##0.00000&quot; &quot;;&quot;-&quot;&quot;$&quot;* #,##0.00000&quot; &quot;;&quot; &quot;&quot;$&quot;* &quot;-&quot;??&quot; &quot;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5"/>
      <color indexed="8"/>
      <name val="Calibri"/>
      <family val="2"/>
    </font>
    <font>
      <b/>
      <sz val="20"/>
      <color indexed="8"/>
      <name val="Calibri"/>
      <family val="2"/>
    </font>
    <font>
      <sz val="12"/>
      <color indexed="8"/>
      <name val="Calibri"/>
      <family val="2"/>
    </font>
    <font>
      <sz val="15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  <font>
      <b/>
      <sz val="12"/>
      <color indexed="8"/>
      <name val="Calibri"/>
      <family val="2"/>
    </font>
    <font>
      <u/>
      <sz val="14"/>
      <color indexed="8"/>
      <name val="Calibri"/>
      <family val="2"/>
    </font>
    <font>
      <b/>
      <sz val="14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sz val="10"/>
      <color indexed="8"/>
      <name val="Calibri"/>
      <family val="2"/>
    </font>
    <font>
      <b/>
      <sz val="16"/>
      <color indexed="8"/>
      <name val="Calibri"/>
      <family val="2"/>
    </font>
    <font>
      <sz val="16"/>
      <color indexed="8"/>
      <name val="Calibri"/>
      <family val="2"/>
    </font>
    <font>
      <sz val="9"/>
      <color indexed="8"/>
      <name val="Calibri"/>
      <family val="2"/>
    </font>
    <font>
      <b/>
      <u/>
      <sz val="11"/>
      <color indexed="13"/>
      <name val="Calibri"/>
      <family val="2"/>
    </font>
    <font>
      <sz val="11"/>
      <color indexed="13"/>
      <name val="Calibri"/>
      <family val="2"/>
    </font>
    <font>
      <b/>
      <sz val="11"/>
      <color indexed="1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81">
    <border>
      <left/>
      <right/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thin">
        <color indexed="1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dotted">
        <color indexed="8"/>
      </right>
      <top style="thin">
        <color indexed="64"/>
      </top>
      <bottom/>
      <diagonal/>
    </border>
    <border>
      <left style="dotted">
        <color indexed="8"/>
      </left>
      <right style="dotted">
        <color indexed="8"/>
      </right>
      <top style="thin">
        <color indexed="64"/>
      </top>
      <bottom/>
      <diagonal/>
    </border>
    <border>
      <left style="dotted">
        <color indexed="8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thin">
        <color indexed="64"/>
      </top>
      <bottom/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dotted">
        <color indexed="8"/>
      </right>
      <top/>
      <bottom style="thin">
        <color indexed="8"/>
      </bottom>
      <diagonal/>
    </border>
    <border>
      <left style="dotted">
        <color indexed="8"/>
      </left>
      <right style="dotted">
        <color indexed="8"/>
      </right>
      <top/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64"/>
      </top>
      <bottom style="medium">
        <color indexed="8"/>
      </bottom>
      <diagonal/>
    </border>
    <border>
      <left/>
      <right style="medium">
        <color indexed="8"/>
      </right>
      <top style="thin">
        <color indexed="64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2" fillId="0" borderId="0" applyNumberFormat="0" applyFill="0" applyBorder="0" applyProtection="0"/>
    <xf numFmtId="0" fontId="13" fillId="0" borderId="0"/>
  </cellStyleXfs>
  <cellXfs count="145">
    <xf numFmtId="0" fontId="0" fillId="0" borderId="0" xfId="0"/>
    <xf numFmtId="49" fontId="3" fillId="2" borderId="4" xfId="0" applyNumberFormat="1" applyFont="1" applyFill="1" applyBorder="1" applyAlignment="1">
      <alignment horizontal="right" vertical="center"/>
    </xf>
    <xf numFmtId="0" fontId="4" fillId="2" borderId="6" xfId="0" applyFont="1" applyFill="1" applyBorder="1"/>
    <xf numFmtId="49" fontId="3" fillId="2" borderId="10" xfId="0" applyNumberFormat="1" applyFont="1" applyFill="1" applyBorder="1" applyAlignment="1">
      <alignment horizontal="right"/>
    </xf>
    <xf numFmtId="164" fontId="6" fillId="2" borderId="11" xfId="0" applyNumberFormat="1" applyFont="1" applyFill="1" applyBorder="1" applyAlignment="1">
      <alignment horizontal="center"/>
    </xf>
    <xf numFmtId="165" fontId="7" fillId="2" borderId="11" xfId="0" applyNumberFormat="1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0" fillId="2" borderId="13" xfId="0" applyFill="1" applyBorder="1"/>
    <xf numFmtId="0" fontId="6" fillId="2" borderId="13" xfId="0" applyFont="1" applyFill="1" applyBorder="1"/>
    <xf numFmtId="166" fontId="0" fillId="2" borderId="13" xfId="0" applyNumberFormat="1" applyFill="1" applyBorder="1"/>
    <xf numFmtId="167" fontId="0" fillId="2" borderId="13" xfId="0" applyNumberFormat="1" applyFill="1" applyBorder="1"/>
    <xf numFmtId="0" fontId="0" fillId="2" borderId="2" xfId="0" applyFill="1" applyBorder="1"/>
    <xf numFmtId="0" fontId="0" fillId="2" borderId="14" xfId="0" applyFill="1" applyBorder="1"/>
    <xf numFmtId="0" fontId="9" fillId="2" borderId="14" xfId="0" applyFont="1" applyFill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4" fillId="2" borderId="15" xfId="0" applyFont="1" applyFill="1" applyBorder="1"/>
    <xf numFmtId="0" fontId="0" fillId="2" borderId="18" xfId="0" applyFill="1" applyBorder="1"/>
    <xf numFmtId="167" fontId="0" fillId="2" borderId="22" xfId="0" applyNumberFormat="1" applyFill="1" applyBorder="1"/>
    <xf numFmtId="0" fontId="0" fillId="2" borderId="15" xfId="0" applyFill="1" applyBorder="1"/>
    <xf numFmtId="0" fontId="0" fillId="0" borderId="15" xfId="0" applyBorder="1"/>
    <xf numFmtId="49" fontId="10" fillId="3" borderId="23" xfId="0" applyNumberFormat="1" applyFont="1" applyFill="1" applyBorder="1" applyAlignment="1">
      <alignment horizontal="center" vertical="center"/>
    </xf>
    <xf numFmtId="49" fontId="10" fillId="3" borderId="24" xfId="0" applyNumberFormat="1" applyFont="1" applyFill="1" applyBorder="1" applyAlignment="1">
      <alignment horizontal="center" vertical="center"/>
    </xf>
    <xf numFmtId="49" fontId="10" fillId="3" borderId="24" xfId="0" applyNumberFormat="1" applyFont="1" applyFill="1" applyBorder="1" applyAlignment="1">
      <alignment horizontal="center" vertical="center" wrapText="1"/>
    </xf>
    <xf numFmtId="49" fontId="10" fillId="3" borderId="25" xfId="0" applyNumberFormat="1" applyFont="1" applyFill="1" applyBorder="1" applyAlignment="1">
      <alignment horizontal="center" vertical="center"/>
    </xf>
    <xf numFmtId="167" fontId="10" fillId="2" borderId="26" xfId="0" applyNumberFormat="1" applyFont="1" applyFill="1" applyBorder="1" applyAlignment="1">
      <alignment horizontal="center" vertical="center"/>
    </xf>
    <xf numFmtId="49" fontId="10" fillId="3" borderId="27" xfId="0" applyNumberFormat="1" applyFont="1" applyFill="1" applyBorder="1" applyAlignment="1">
      <alignment horizontal="center" vertical="center" wrapText="1"/>
    </xf>
    <xf numFmtId="49" fontId="10" fillId="3" borderId="28" xfId="0" applyNumberFormat="1" applyFont="1" applyFill="1" applyBorder="1" applyAlignment="1">
      <alignment horizontal="center" vertical="center" wrapText="1"/>
    </xf>
    <xf numFmtId="49" fontId="10" fillId="4" borderId="28" xfId="0" applyNumberFormat="1" applyFont="1" applyFill="1" applyBorder="1" applyAlignment="1">
      <alignment horizontal="center" vertical="center" wrapText="1"/>
    </xf>
    <xf numFmtId="49" fontId="10" fillId="3" borderId="29" xfId="0" applyNumberFormat="1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3" fontId="0" fillId="0" borderId="30" xfId="0" applyNumberFormat="1" applyBorder="1" applyAlignment="1">
      <alignment horizontal="center" vertical="center"/>
    </xf>
    <xf numFmtId="49" fontId="12" fillId="0" borderId="30" xfId="0" applyNumberFormat="1" applyFont="1" applyBorder="1" applyAlignment="1">
      <alignment horizontal="center" vertical="center" wrapText="1"/>
    </xf>
    <xf numFmtId="168" fontId="0" fillId="0" borderId="30" xfId="1" applyNumberFormat="1" applyFont="1" applyFill="1" applyBorder="1" applyAlignment="1">
      <alignment horizontal="center" vertical="center"/>
    </xf>
    <xf numFmtId="169" fontId="0" fillId="0" borderId="30" xfId="3" applyNumberFormat="1" applyFont="1" applyFill="1" applyBorder="1" applyAlignment="1">
      <alignment vertical="center"/>
    </xf>
    <xf numFmtId="170" fontId="0" fillId="0" borderId="30" xfId="0" applyNumberFormat="1" applyBorder="1" applyAlignment="1">
      <alignment vertical="center"/>
    </xf>
    <xf numFmtId="1" fontId="14" fillId="0" borderId="30" xfId="0" applyNumberFormat="1" applyFont="1" applyBorder="1" applyAlignment="1">
      <alignment horizontal="center" vertical="center"/>
    </xf>
    <xf numFmtId="171" fontId="0" fillId="0" borderId="30" xfId="0" applyNumberFormat="1" applyBorder="1" applyAlignment="1">
      <alignment horizontal="center" vertical="center"/>
    </xf>
    <xf numFmtId="170" fontId="4" fillId="0" borderId="30" xfId="4" applyNumberFormat="1" applyFont="1" applyFill="1" applyBorder="1" applyAlignment="1">
      <alignment horizontal="center" vertical="center"/>
    </xf>
    <xf numFmtId="172" fontId="0" fillId="0" borderId="30" xfId="0" applyNumberFormat="1" applyBorder="1" applyAlignment="1">
      <alignment horizontal="center" vertical="center"/>
    </xf>
    <xf numFmtId="10" fontId="0" fillId="0" borderId="30" xfId="0" applyNumberFormat="1" applyBorder="1" applyAlignment="1">
      <alignment horizontal="center" vertical="center"/>
    </xf>
    <xf numFmtId="49" fontId="15" fillId="0" borderId="30" xfId="0" applyNumberFormat="1" applyFont="1" applyBorder="1" applyAlignment="1">
      <alignment horizontal="center" vertical="center" wrapText="1"/>
    </xf>
    <xf numFmtId="9" fontId="15" fillId="0" borderId="30" xfId="2" applyFont="1" applyFill="1" applyBorder="1" applyAlignment="1">
      <alignment horizontal="center" vertical="center" wrapText="1"/>
    </xf>
    <xf numFmtId="49" fontId="15" fillId="0" borderId="30" xfId="5" applyNumberFormat="1" applyFont="1" applyBorder="1" applyAlignment="1">
      <alignment horizontal="center" vertical="center" wrapText="1"/>
    </xf>
    <xf numFmtId="166" fontId="15" fillId="3" borderId="34" xfId="0" applyNumberFormat="1" applyFont="1" applyFill="1" applyBorder="1" applyAlignment="1">
      <alignment horizontal="right" vertical="center" wrapText="1"/>
    </xf>
    <xf numFmtId="166" fontId="15" fillId="3" borderId="35" xfId="0" applyNumberFormat="1" applyFont="1" applyFill="1" applyBorder="1" applyAlignment="1">
      <alignment horizontal="right" vertical="center" wrapText="1"/>
    </xf>
    <xf numFmtId="0" fontId="0" fillId="2" borderId="38" xfId="0" applyFill="1" applyBorder="1"/>
    <xf numFmtId="49" fontId="15" fillId="3" borderId="39" xfId="0" applyNumberFormat="1" applyFont="1" applyFill="1" applyBorder="1" applyAlignment="1">
      <alignment horizontal="right" vertical="center" wrapText="1"/>
    </xf>
    <xf numFmtId="172" fontId="8" fillId="2" borderId="40" xfId="0" applyNumberFormat="1" applyFont="1" applyFill="1" applyBorder="1" applyAlignment="1">
      <alignment horizontal="right" vertical="center"/>
    </xf>
    <xf numFmtId="0" fontId="4" fillId="0" borderId="48" xfId="0" applyFont="1" applyBorder="1"/>
    <xf numFmtId="166" fontId="15" fillId="3" borderId="49" xfId="0" applyNumberFormat="1" applyFont="1" applyFill="1" applyBorder="1" applyAlignment="1">
      <alignment horizontal="right" vertical="center" wrapText="1"/>
    </xf>
    <xf numFmtId="0" fontId="0" fillId="2" borderId="52" xfId="0" applyFill="1" applyBorder="1"/>
    <xf numFmtId="49" fontId="15" fillId="3" borderId="23" xfId="0" applyNumberFormat="1" applyFont="1" applyFill="1" applyBorder="1" applyAlignment="1">
      <alignment horizontal="right" vertical="center" wrapText="1"/>
    </xf>
    <xf numFmtId="167" fontId="8" fillId="2" borderId="53" xfId="0" applyNumberFormat="1" applyFont="1" applyFill="1" applyBorder="1" applyAlignment="1">
      <alignment horizontal="right" vertical="center"/>
    </xf>
    <xf numFmtId="0" fontId="4" fillId="0" borderId="57" xfId="0" applyFont="1" applyBorder="1"/>
    <xf numFmtId="166" fontId="15" fillId="3" borderId="58" xfId="0" applyNumberFormat="1" applyFont="1" applyFill="1" applyBorder="1" applyAlignment="1">
      <alignment horizontal="right" vertical="center" wrapText="1"/>
    </xf>
    <xf numFmtId="166" fontId="15" fillId="3" borderId="59" xfId="0" applyNumberFormat="1" applyFont="1" applyFill="1" applyBorder="1" applyAlignment="1">
      <alignment horizontal="right" vertical="center" wrapText="1"/>
    </xf>
    <xf numFmtId="49" fontId="15" fillId="3" borderId="60" xfId="0" applyNumberFormat="1" applyFont="1" applyFill="1" applyBorder="1" applyAlignment="1">
      <alignment horizontal="right" vertical="center" wrapText="1"/>
    </xf>
    <xf numFmtId="170" fontId="12" fillId="5" borderId="61" xfId="0" applyNumberFormat="1" applyFont="1" applyFill="1" applyBorder="1" applyAlignment="1">
      <alignment vertical="center"/>
    </xf>
    <xf numFmtId="49" fontId="8" fillId="3" borderId="62" xfId="0" applyNumberFormat="1" applyFont="1" applyFill="1" applyBorder="1" applyAlignment="1">
      <alignment horizontal="right" vertical="center" wrapText="1"/>
    </xf>
    <xf numFmtId="172" fontId="4" fillId="2" borderId="63" xfId="0" applyNumberFormat="1" applyFont="1" applyFill="1" applyBorder="1" applyAlignment="1">
      <alignment horizontal="center" vertical="center"/>
    </xf>
    <xf numFmtId="173" fontId="18" fillId="2" borderId="68" xfId="0" applyNumberFormat="1" applyFont="1" applyFill="1" applyBorder="1" applyAlignment="1">
      <alignment horizontal="center" vertical="center" wrapText="1"/>
    </xf>
    <xf numFmtId="174" fontId="4" fillId="2" borderId="57" xfId="0" applyNumberFormat="1" applyFont="1" applyFill="1" applyBorder="1" applyAlignment="1">
      <alignment horizontal="center" vertical="center" wrapText="1"/>
    </xf>
    <xf numFmtId="166" fontId="15" fillId="3" borderId="70" xfId="0" applyNumberFormat="1" applyFont="1" applyFill="1" applyBorder="1" applyAlignment="1">
      <alignment horizontal="right" vertical="center" wrapText="1"/>
    </xf>
    <xf numFmtId="166" fontId="15" fillId="3" borderId="71" xfId="0" applyNumberFormat="1" applyFont="1" applyFill="1" applyBorder="1" applyAlignment="1">
      <alignment horizontal="right" vertical="center" wrapText="1"/>
    </xf>
    <xf numFmtId="49" fontId="15" fillId="3" borderId="72" xfId="0" applyNumberFormat="1" applyFont="1" applyFill="1" applyBorder="1" applyAlignment="1">
      <alignment horizontal="right" vertical="center" wrapText="1"/>
    </xf>
    <xf numFmtId="170" fontId="0" fillId="2" borderId="61" xfId="0" applyNumberFormat="1" applyFill="1" applyBorder="1" applyAlignment="1">
      <alignment vertical="center"/>
    </xf>
    <xf numFmtId="49" fontId="8" fillId="3" borderId="73" xfId="0" applyNumberFormat="1" applyFont="1" applyFill="1" applyBorder="1" applyAlignment="1">
      <alignment horizontal="right" vertical="center" wrapText="1"/>
    </xf>
    <xf numFmtId="172" fontId="4" fillId="2" borderId="74" xfId="0" applyNumberFormat="1" applyFont="1" applyFill="1" applyBorder="1" applyAlignment="1">
      <alignment horizontal="center" vertical="center"/>
    </xf>
    <xf numFmtId="49" fontId="0" fillId="2" borderId="39" xfId="0" applyNumberFormat="1" applyFill="1" applyBorder="1" applyAlignment="1">
      <alignment horizontal="center" vertical="center" wrapText="1"/>
    </xf>
    <xf numFmtId="9" fontId="20" fillId="2" borderId="48" xfId="0" applyNumberFormat="1" applyFont="1" applyFill="1" applyBorder="1" applyAlignment="1">
      <alignment horizontal="left" vertical="center"/>
    </xf>
    <xf numFmtId="0" fontId="4" fillId="2" borderId="22" xfId="0" applyFont="1" applyFill="1" applyBorder="1"/>
    <xf numFmtId="0" fontId="0" fillId="2" borderId="1" xfId="0" applyFill="1" applyBorder="1"/>
    <xf numFmtId="166" fontId="0" fillId="2" borderId="2" xfId="0" applyNumberFormat="1" applyFill="1" applyBorder="1"/>
    <xf numFmtId="167" fontId="0" fillId="2" borderId="3" xfId="0" applyNumberFormat="1" applyFill="1" applyBorder="1"/>
    <xf numFmtId="0" fontId="0" fillId="2" borderId="57" xfId="0" applyFill="1" applyBorder="1"/>
    <xf numFmtId="9" fontId="0" fillId="2" borderId="2" xfId="0" applyNumberFormat="1" applyFill="1" applyBorder="1" applyAlignment="1">
      <alignment horizontal="center"/>
    </xf>
    <xf numFmtId="0" fontId="0" fillId="0" borderId="2" xfId="0" applyBorder="1"/>
    <xf numFmtId="0" fontId="0" fillId="2" borderId="22" xfId="0" applyFill="1" applyBorder="1"/>
    <xf numFmtId="2" fontId="0" fillId="2" borderId="22" xfId="0" applyNumberFormat="1" applyFill="1" applyBorder="1"/>
    <xf numFmtId="166" fontId="0" fillId="2" borderId="22" xfId="0" applyNumberFormat="1" applyFill="1" applyBorder="1"/>
    <xf numFmtId="167" fontId="0" fillId="2" borderId="77" xfId="0" applyNumberFormat="1" applyFill="1" applyBorder="1"/>
    <xf numFmtId="0" fontId="22" fillId="2" borderId="22" xfId="0" applyFont="1" applyFill="1" applyBorder="1" applyAlignment="1">
      <alignment vertical="center" wrapText="1"/>
    </xf>
    <xf numFmtId="175" fontId="22" fillId="2" borderId="22" xfId="0" applyNumberFormat="1" applyFont="1" applyFill="1" applyBorder="1" applyAlignment="1">
      <alignment vertical="center"/>
    </xf>
    <xf numFmtId="176" fontId="22" fillId="2" borderId="22" xfId="0" applyNumberFormat="1" applyFont="1" applyFill="1" applyBorder="1" applyAlignment="1">
      <alignment vertical="center"/>
    </xf>
    <xf numFmtId="174" fontId="22" fillId="0" borderId="22" xfId="0" applyNumberFormat="1" applyFont="1" applyBorder="1" applyAlignment="1">
      <alignment vertical="center"/>
    </xf>
    <xf numFmtId="49" fontId="0" fillId="2" borderId="57" xfId="0" applyNumberFormat="1" applyFill="1" applyBorder="1"/>
    <xf numFmtId="0" fontId="22" fillId="2" borderId="22" xfId="0" applyFont="1" applyFill="1" applyBorder="1" applyAlignment="1">
      <alignment vertical="center"/>
    </xf>
    <xf numFmtId="177" fontId="23" fillId="0" borderId="22" xfId="0" applyNumberFormat="1" applyFont="1" applyBorder="1" applyAlignment="1">
      <alignment vertical="center"/>
    </xf>
    <xf numFmtId="178" fontId="0" fillId="2" borderId="22" xfId="0" applyNumberFormat="1" applyFill="1" applyBorder="1"/>
    <xf numFmtId="0" fontId="0" fillId="2" borderId="7" xfId="0" applyFill="1" applyBorder="1"/>
    <xf numFmtId="0" fontId="0" fillId="2" borderId="8" xfId="0" applyFill="1" applyBorder="1"/>
    <xf numFmtId="166" fontId="0" fillId="2" borderId="8" xfId="0" applyNumberFormat="1" applyFill="1" applyBorder="1"/>
    <xf numFmtId="167" fontId="0" fillId="2" borderId="9" xfId="0" applyNumberFormat="1" applyFill="1" applyBorder="1"/>
    <xf numFmtId="0" fontId="22" fillId="2" borderId="22" xfId="0" applyFont="1" applyFill="1" applyBorder="1"/>
    <xf numFmtId="0" fontId="22" fillId="0" borderId="22" xfId="0" applyFont="1" applyBorder="1"/>
    <xf numFmtId="49" fontId="11" fillId="0" borderId="30" xfId="0" applyNumberFormat="1" applyFont="1" applyBorder="1" applyAlignment="1">
      <alignment vertical="center" wrapText="1"/>
    </xf>
    <xf numFmtId="49" fontId="12" fillId="0" borderId="30" xfId="0" applyNumberFormat="1" applyFont="1" applyBorder="1" applyAlignment="1">
      <alignment vertical="center" wrapText="1"/>
    </xf>
    <xf numFmtId="49" fontId="12" fillId="0" borderId="31" xfId="0" applyNumberFormat="1" applyFont="1" applyBorder="1" applyAlignment="1">
      <alignment vertical="center" wrapText="1"/>
    </xf>
    <xf numFmtId="0" fontId="21" fillId="2" borderId="78" xfId="0" applyFont="1" applyFill="1" applyBorder="1" applyAlignment="1">
      <alignment horizontal="left" vertical="center"/>
    </xf>
    <xf numFmtId="0" fontId="21" fillId="2" borderId="79" xfId="0" applyFont="1" applyFill="1" applyBorder="1" applyAlignment="1">
      <alignment horizontal="left" vertical="center"/>
    </xf>
    <xf numFmtId="0" fontId="21" fillId="2" borderId="80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3" fillId="2" borderId="5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49" fontId="3" fillId="2" borderId="16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12" fillId="2" borderId="32" xfId="0" applyNumberFormat="1" applyFont="1" applyFill="1" applyBorder="1" applyAlignment="1">
      <alignment horizontal="left" vertical="top" wrapText="1"/>
    </xf>
    <xf numFmtId="49" fontId="12" fillId="2" borderId="0" xfId="0" applyNumberFormat="1" applyFont="1" applyFill="1" applyAlignment="1">
      <alignment horizontal="left" vertical="top" wrapText="1"/>
    </xf>
    <xf numFmtId="49" fontId="12" fillId="2" borderId="33" xfId="0" applyNumberFormat="1" applyFont="1" applyFill="1" applyBorder="1" applyAlignment="1">
      <alignment horizontal="left" vertical="top" wrapText="1"/>
    </xf>
    <xf numFmtId="49" fontId="12" fillId="2" borderId="69" xfId="0" applyNumberFormat="1" applyFont="1" applyFill="1" applyBorder="1" applyAlignment="1">
      <alignment horizontal="left" vertical="top" wrapText="1"/>
    </xf>
    <xf numFmtId="49" fontId="12" fillId="2" borderId="11" xfId="0" applyNumberFormat="1" applyFont="1" applyFill="1" applyBorder="1" applyAlignment="1">
      <alignment horizontal="left" vertical="top" wrapText="1"/>
    </xf>
    <xf numFmtId="49" fontId="12" fillId="2" borderId="12" xfId="0" applyNumberFormat="1" applyFont="1" applyFill="1" applyBorder="1" applyAlignment="1">
      <alignment horizontal="left" vertical="top" wrapText="1"/>
    </xf>
    <xf numFmtId="49" fontId="15" fillId="3" borderId="36" xfId="0" applyNumberFormat="1" applyFont="1" applyFill="1" applyBorder="1" applyAlignment="1">
      <alignment horizontal="center" vertical="center" wrapText="1"/>
    </xf>
    <xf numFmtId="49" fontId="15" fillId="3" borderId="50" xfId="0" applyNumberFormat="1" applyFont="1" applyFill="1" applyBorder="1" applyAlignment="1">
      <alignment horizontal="center" vertical="center" wrapText="1"/>
    </xf>
    <xf numFmtId="170" fontId="0" fillId="2" borderId="37" xfId="0" applyNumberFormat="1" applyFill="1" applyBorder="1" applyAlignment="1">
      <alignment horizontal="center" vertical="center"/>
    </xf>
    <xf numFmtId="170" fontId="0" fillId="2" borderId="51" xfId="0" applyNumberFormat="1" applyFill="1" applyBorder="1" applyAlignment="1">
      <alignment horizontal="center" vertical="center"/>
    </xf>
    <xf numFmtId="49" fontId="15" fillId="3" borderId="41" xfId="0" applyNumberFormat="1" applyFont="1" applyFill="1" applyBorder="1" applyAlignment="1">
      <alignment horizontal="center" vertical="center" wrapText="1"/>
    </xf>
    <xf numFmtId="49" fontId="15" fillId="3" borderId="42" xfId="0" applyNumberFormat="1" applyFont="1" applyFill="1" applyBorder="1" applyAlignment="1">
      <alignment horizontal="center" vertical="center" wrapText="1"/>
    </xf>
    <xf numFmtId="172" fontId="10" fillId="2" borderId="43" xfId="0" applyNumberFormat="1" applyFont="1" applyFill="1" applyBorder="1" applyAlignment="1">
      <alignment horizontal="center" vertical="center"/>
    </xf>
    <xf numFmtId="172" fontId="10" fillId="2" borderId="44" xfId="0" applyNumberFormat="1" applyFont="1" applyFill="1" applyBorder="1" applyAlignment="1">
      <alignment horizontal="center" vertical="center"/>
    </xf>
    <xf numFmtId="49" fontId="15" fillId="3" borderId="45" xfId="0" applyNumberFormat="1" applyFont="1" applyFill="1" applyBorder="1" applyAlignment="1">
      <alignment horizontal="center" vertical="center"/>
    </xf>
    <xf numFmtId="49" fontId="15" fillId="3" borderId="46" xfId="0" applyNumberFormat="1" applyFont="1" applyFill="1" applyBorder="1" applyAlignment="1">
      <alignment horizontal="center" vertical="center"/>
    </xf>
    <xf numFmtId="49" fontId="15" fillId="3" borderId="11" xfId="0" applyNumberFormat="1" applyFont="1" applyFill="1" applyBorder="1" applyAlignment="1">
      <alignment horizontal="center" vertical="center"/>
    </xf>
    <xf numFmtId="49" fontId="15" fillId="3" borderId="12" xfId="0" applyNumberFormat="1" applyFont="1" applyFill="1" applyBorder="1" applyAlignment="1">
      <alignment horizontal="center" vertical="center"/>
    </xf>
    <xf numFmtId="172" fontId="4" fillId="2" borderId="47" xfId="0" applyNumberFormat="1" applyFont="1" applyFill="1" applyBorder="1" applyAlignment="1">
      <alignment horizontal="center" vertical="center"/>
    </xf>
    <xf numFmtId="172" fontId="4" fillId="2" borderId="56" xfId="0" applyNumberFormat="1" applyFont="1" applyFill="1" applyBorder="1" applyAlignment="1">
      <alignment horizontal="center" vertical="center"/>
    </xf>
    <xf numFmtId="49" fontId="17" fillId="2" borderId="54" xfId="0" applyNumberFormat="1" applyFont="1" applyFill="1" applyBorder="1" applyAlignment="1">
      <alignment horizontal="center" vertical="center" wrapText="1"/>
    </xf>
    <xf numFmtId="49" fontId="17" fillId="2" borderId="45" xfId="0" applyNumberFormat="1" applyFont="1" applyFill="1" applyBorder="1" applyAlignment="1">
      <alignment horizontal="center" vertical="center" wrapText="1"/>
    </xf>
    <xf numFmtId="49" fontId="17" fillId="2" borderId="55" xfId="0" applyNumberFormat="1" applyFont="1" applyFill="1" applyBorder="1" applyAlignment="1">
      <alignment horizontal="center" vertical="center" wrapText="1"/>
    </xf>
    <xf numFmtId="49" fontId="17" fillId="2" borderId="64" xfId="0" applyNumberFormat="1" applyFont="1" applyFill="1" applyBorder="1" applyAlignment="1">
      <alignment horizontal="center" vertical="center" wrapText="1"/>
    </xf>
    <xf numFmtId="49" fontId="17" fillId="2" borderId="65" xfId="0" applyNumberFormat="1" applyFont="1" applyFill="1" applyBorder="1" applyAlignment="1">
      <alignment horizontal="center" vertical="center" wrapText="1"/>
    </xf>
    <xf numFmtId="49" fontId="17" fillId="2" borderId="66" xfId="0" applyNumberFormat="1" applyFont="1" applyFill="1" applyBorder="1" applyAlignment="1">
      <alignment horizontal="center" vertical="center" wrapText="1"/>
    </xf>
    <xf numFmtId="49" fontId="3" fillId="3" borderId="67" xfId="0" applyNumberFormat="1" applyFont="1" applyFill="1" applyBorder="1" applyAlignment="1">
      <alignment horizontal="center" vertical="center"/>
    </xf>
    <xf numFmtId="49" fontId="3" fillId="3" borderId="21" xfId="0" applyNumberFormat="1" applyFont="1" applyFill="1" applyBorder="1" applyAlignment="1">
      <alignment horizontal="center" vertical="center"/>
    </xf>
    <xf numFmtId="173" fontId="19" fillId="2" borderId="75" xfId="0" applyNumberFormat="1" applyFont="1" applyFill="1" applyBorder="1" applyAlignment="1">
      <alignment horizontal="center" vertical="center"/>
    </xf>
    <xf numFmtId="173" fontId="19" fillId="2" borderId="76" xfId="0" applyNumberFormat="1" applyFont="1" applyFill="1" applyBorder="1" applyAlignment="1">
      <alignment horizontal="center" vertical="center"/>
    </xf>
  </cellXfs>
  <cellStyles count="6">
    <cellStyle name="Comma 2" xfId="3" xr:uid="{AE5C361B-8F21-A04E-BC9C-96DB6FEB154F}"/>
    <cellStyle name="Currency" xfId="1" builtinId="4"/>
    <cellStyle name="Normal" xfId="0" builtinId="0"/>
    <cellStyle name="Normal 2" xfId="4" xr:uid="{C24CAED5-3C14-2144-BF23-CE541EF61896}"/>
    <cellStyle name="Normal 3 2" xfId="5" xr:uid="{7BEC37B5-5052-DA4E-BB58-DD4E77F776F7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8752-63DD-DD49-BE2F-BED91EC939B1}">
  <dimension ref="A1:S29"/>
  <sheetViews>
    <sheetView tabSelected="1" workbookViewId="0">
      <selection activeCell="F20" sqref="F20"/>
    </sheetView>
  </sheetViews>
  <sheetFormatPr baseColWidth="10" defaultRowHeight="16" x14ac:dyDescent="0.2"/>
  <cols>
    <col min="1" max="1" width="4" customWidth="1"/>
    <col min="2" max="2" width="36.33203125" customWidth="1"/>
    <col min="3" max="3" width="11.1640625" bestFit="1" customWidth="1"/>
    <col min="5" max="7" width="11.1640625" bestFit="1" customWidth="1"/>
    <col min="8" max="8" width="11.5" bestFit="1" customWidth="1"/>
    <col min="10" max="10" width="11.1640625" bestFit="1" customWidth="1"/>
    <col min="11" max="11" width="12.33203125" bestFit="1" customWidth="1"/>
    <col min="12" max="12" width="11.1640625" bestFit="1" customWidth="1"/>
    <col min="13" max="13" width="15.33203125" bestFit="1" customWidth="1"/>
    <col min="15" max="16" width="11.1640625" bestFit="1" customWidth="1"/>
    <col min="17" max="17" width="13.83203125" bestFit="1" customWidth="1"/>
    <col min="18" max="18" width="11.5" bestFit="1" customWidth="1"/>
  </cols>
  <sheetData>
    <row r="1" spans="1:19" ht="33" x14ac:dyDescent="0.4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4"/>
      <c r="P1" s="1" t="s">
        <v>1</v>
      </c>
      <c r="Q1" s="105"/>
      <c r="R1" s="105"/>
      <c r="S1" s="2"/>
    </row>
    <row r="2" spans="1:19" ht="32" thickBot="1" x14ac:dyDescent="0.4">
      <c r="A2" s="106" t="s">
        <v>2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  <c r="P2" s="3" t="s">
        <v>3</v>
      </c>
      <c r="Q2" s="4">
        <v>1</v>
      </c>
      <c r="R2" s="5"/>
      <c r="S2" s="6"/>
    </row>
    <row r="3" spans="1:19" ht="25" thickBot="1" x14ac:dyDescent="0.35">
      <c r="A3" s="7"/>
      <c r="B3" s="8" t="s">
        <v>54</v>
      </c>
      <c r="C3" s="7"/>
      <c r="D3" s="7"/>
      <c r="E3" s="9"/>
      <c r="F3" s="9"/>
      <c r="G3" s="9"/>
      <c r="H3" s="10"/>
      <c r="I3" s="11"/>
      <c r="J3" s="12"/>
      <c r="K3" s="13"/>
      <c r="L3" s="13"/>
      <c r="M3" s="13"/>
      <c r="N3" s="14"/>
      <c r="O3" s="13"/>
      <c r="P3" s="15"/>
      <c r="Q3" s="15"/>
      <c r="R3" s="15"/>
      <c r="S3" s="16"/>
    </row>
    <row r="4" spans="1:19" ht="27" thickBot="1" x14ac:dyDescent="0.25">
      <c r="A4" s="109" t="s">
        <v>4</v>
      </c>
      <c r="B4" s="110"/>
      <c r="C4" s="110"/>
      <c r="D4" s="110"/>
      <c r="E4" s="110"/>
      <c r="F4" s="110"/>
      <c r="G4" s="110"/>
      <c r="H4" s="111"/>
      <c r="I4" s="17"/>
      <c r="J4" s="112" t="s">
        <v>5</v>
      </c>
      <c r="K4" s="113"/>
      <c r="L4" s="113"/>
      <c r="M4" s="113"/>
      <c r="N4" s="113"/>
      <c r="O4" s="113"/>
      <c r="P4" s="113"/>
      <c r="Q4" s="113"/>
      <c r="R4" s="113"/>
      <c r="S4" s="114"/>
    </row>
    <row r="5" spans="1:19" ht="17" thickBot="1" x14ac:dyDescent="0.25">
      <c r="A5" s="7"/>
      <c r="B5" s="7"/>
      <c r="C5" s="7"/>
      <c r="D5" s="7"/>
      <c r="E5" s="9"/>
      <c r="F5" s="9"/>
      <c r="G5" s="9"/>
      <c r="H5" s="10"/>
      <c r="I5" s="18"/>
      <c r="J5" s="19"/>
      <c r="K5" s="19"/>
      <c r="L5" s="19"/>
      <c r="M5" s="19"/>
      <c r="N5" s="20"/>
      <c r="O5" s="19"/>
      <c r="P5" s="19"/>
      <c r="Q5" s="19"/>
      <c r="R5" s="19"/>
      <c r="S5" s="16"/>
    </row>
    <row r="6" spans="1:19" ht="80" x14ac:dyDescent="0.2">
      <c r="A6" s="21" t="s">
        <v>6</v>
      </c>
      <c r="B6" s="22" t="s">
        <v>7</v>
      </c>
      <c r="C6" s="23" t="s">
        <v>8</v>
      </c>
      <c r="D6" s="23" t="s">
        <v>9</v>
      </c>
      <c r="E6" s="23" t="s">
        <v>10</v>
      </c>
      <c r="F6" s="23" t="s">
        <v>11</v>
      </c>
      <c r="G6" s="23" t="s">
        <v>12</v>
      </c>
      <c r="H6" s="24" t="s">
        <v>13</v>
      </c>
      <c r="I6" s="25"/>
      <c r="J6" s="26" t="s">
        <v>14</v>
      </c>
      <c r="K6" s="27" t="s">
        <v>15</v>
      </c>
      <c r="L6" s="27" t="s">
        <v>16</v>
      </c>
      <c r="M6" s="27" t="s">
        <v>17</v>
      </c>
      <c r="N6" s="28" t="s">
        <v>18</v>
      </c>
      <c r="O6" s="27" t="s">
        <v>19</v>
      </c>
      <c r="P6" s="27" t="s">
        <v>20</v>
      </c>
      <c r="Q6" s="27" t="s">
        <v>21</v>
      </c>
      <c r="R6" s="27" t="s">
        <v>22</v>
      </c>
      <c r="S6" s="29" t="s">
        <v>23</v>
      </c>
    </row>
    <row r="7" spans="1:19" ht="45" customHeight="1" x14ac:dyDescent="0.2">
      <c r="A7" s="30">
        <v>1</v>
      </c>
      <c r="B7" s="96" t="s">
        <v>41</v>
      </c>
      <c r="C7" s="31">
        <v>1</v>
      </c>
      <c r="D7" s="32" t="s">
        <v>25</v>
      </c>
      <c r="E7" s="31">
        <f t="shared" ref="E7:E16" si="0">D7*C7</f>
        <v>24</v>
      </c>
      <c r="F7" s="33">
        <f>13.9*(10/13)</f>
        <v>10.692307692307693</v>
      </c>
      <c r="G7" s="34">
        <f t="shared" ref="G7:G16" si="1">F7/D7</f>
        <v>0.44551282051282054</v>
      </c>
      <c r="H7" s="35">
        <f t="shared" ref="H7:H16" si="2">G7*E7</f>
        <v>10.692307692307693</v>
      </c>
      <c r="I7" s="36"/>
      <c r="J7" s="37">
        <f t="shared" ref="J7:K16" si="3">G7/$Q$2</f>
        <v>0.44551282051282054</v>
      </c>
      <c r="K7" s="37">
        <f t="shared" si="3"/>
        <v>10.692307692307693</v>
      </c>
      <c r="L7" s="37">
        <f t="shared" ref="L7:L16" si="4">J7*(1+$M$23+9%)</f>
        <v>0.48560897435897443</v>
      </c>
      <c r="M7" s="37">
        <f t="shared" ref="M7:M16" si="5">L7*E7</f>
        <v>11.654615384615386</v>
      </c>
      <c r="N7" s="38"/>
      <c r="O7" s="39">
        <f t="shared" ref="O7:O17" si="6">N7*E7</f>
        <v>0</v>
      </c>
      <c r="P7" s="39">
        <f t="shared" ref="P7:P17" si="7">N7-L7</f>
        <v>-0.48560897435897443</v>
      </c>
      <c r="Q7" s="39">
        <f t="shared" ref="Q7:Q17" si="8">P7*E7</f>
        <v>-11.654615384615386</v>
      </c>
      <c r="R7" s="40" t="e">
        <f t="shared" ref="R7:R17" si="9">P7/N7</f>
        <v>#DIV/0!</v>
      </c>
      <c r="S7" s="41"/>
    </row>
    <row r="8" spans="1:19" ht="45" customHeight="1" x14ac:dyDescent="0.2">
      <c r="A8" s="30">
        <v>2</v>
      </c>
      <c r="B8" s="97" t="s">
        <v>42</v>
      </c>
      <c r="C8" s="31">
        <v>1</v>
      </c>
      <c r="D8" s="32" t="s">
        <v>25</v>
      </c>
      <c r="E8" s="31">
        <f t="shared" si="0"/>
        <v>24</v>
      </c>
      <c r="F8" s="33">
        <f>13.9*(10/13)</f>
        <v>10.692307692307693</v>
      </c>
      <c r="G8" s="34">
        <f t="shared" si="1"/>
        <v>0.44551282051282054</v>
      </c>
      <c r="H8" s="35">
        <f t="shared" si="2"/>
        <v>10.692307692307693</v>
      </c>
      <c r="I8" s="36"/>
      <c r="J8" s="37">
        <f t="shared" si="3"/>
        <v>0.44551282051282054</v>
      </c>
      <c r="K8" s="37">
        <f t="shared" si="3"/>
        <v>10.692307692307693</v>
      </c>
      <c r="L8" s="37">
        <f t="shared" si="4"/>
        <v>0.48560897435897443</v>
      </c>
      <c r="M8" s="37">
        <f t="shared" si="5"/>
        <v>11.654615384615386</v>
      </c>
      <c r="N8" s="38"/>
      <c r="O8" s="39">
        <f t="shared" si="6"/>
        <v>0</v>
      </c>
      <c r="P8" s="39">
        <f t="shared" si="7"/>
        <v>-0.48560897435897443</v>
      </c>
      <c r="Q8" s="39">
        <f t="shared" si="8"/>
        <v>-11.654615384615386</v>
      </c>
      <c r="R8" s="40" t="e">
        <f t="shared" si="9"/>
        <v>#DIV/0!</v>
      </c>
      <c r="S8" s="42"/>
    </row>
    <row r="9" spans="1:19" ht="45" customHeight="1" x14ac:dyDescent="0.2">
      <c r="A9" s="30">
        <v>3</v>
      </c>
      <c r="B9" s="97" t="s">
        <v>50</v>
      </c>
      <c r="C9" s="31">
        <v>1</v>
      </c>
      <c r="D9" s="32" t="s">
        <v>26</v>
      </c>
      <c r="E9" s="31">
        <f t="shared" ref="E9" si="10">D9*C9</f>
        <v>12</v>
      </c>
      <c r="F9" s="33">
        <f>22*(96/120)</f>
        <v>17.600000000000001</v>
      </c>
      <c r="G9" s="34">
        <f t="shared" ref="G9" si="11">F9/D9</f>
        <v>1.4666666666666668</v>
      </c>
      <c r="H9" s="35">
        <f t="shared" ref="H9" si="12">G9*E9</f>
        <v>17.600000000000001</v>
      </c>
      <c r="I9" s="36"/>
      <c r="J9" s="37">
        <f t="shared" ref="J9" si="13">G9/$Q$2</f>
        <v>1.4666666666666668</v>
      </c>
      <c r="K9" s="37">
        <f t="shared" ref="K9" si="14">H9/$Q$2</f>
        <v>17.600000000000001</v>
      </c>
      <c r="L9" s="37">
        <f t="shared" si="4"/>
        <v>1.5986666666666669</v>
      </c>
      <c r="M9" s="37">
        <f t="shared" ref="M9" si="15">L9*E9</f>
        <v>19.184000000000005</v>
      </c>
      <c r="N9" s="38"/>
      <c r="O9" s="39">
        <f t="shared" ref="O9" si="16">N9*E9</f>
        <v>0</v>
      </c>
      <c r="P9" s="39">
        <f t="shared" ref="P9" si="17">N9-L9</f>
        <v>-1.5986666666666669</v>
      </c>
      <c r="Q9" s="39">
        <f t="shared" ref="Q9" si="18">P9*E9</f>
        <v>-19.184000000000005</v>
      </c>
      <c r="R9" s="40" t="e">
        <f t="shared" ref="R9" si="19">P9/N9</f>
        <v>#DIV/0!</v>
      </c>
      <c r="S9" s="43"/>
    </row>
    <row r="10" spans="1:19" ht="45" customHeight="1" x14ac:dyDescent="0.2">
      <c r="A10" s="30">
        <v>4</v>
      </c>
      <c r="B10" s="97" t="s">
        <v>43</v>
      </c>
      <c r="C10" s="31">
        <v>1</v>
      </c>
      <c r="D10" s="32" t="s">
        <v>25</v>
      </c>
      <c r="E10" s="31">
        <f t="shared" si="0"/>
        <v>24</v>
      </c>
      <c r="F10" s="33">
        <f>20.2*(50/59)</f>
        <v>17.118644067796609</v>
      </c>
      <c r="G10" s="34">
        <f t="shared" si="1"/>
        <v>0.71327683615819204</v>
      </c>
      <c r="H10" s="35">
        <f t="shared" si="2"/>
        <v>17.118644067796609</v>
      </c>
      <c r="I10" s="36"/>
      <c r="J10" s="37">
        <f t="shared" si="3"/>
        <v>0.71327683615819204</v>
      </c>
      <c r="K10" s="37">
        <f t="shared" si="3"/>
        <v>17.118644067796609</v>
      </c>
      <c r="L10" s="37">
        <f t="shared" si="4"/>
        <v>0.77747175141242941</v>
      </c>
      <c r="M10" s="37">
        <f t="shared" si="5"/>
        <v>18.659322033898306</v>
      </c>
      <c r="N10" s="38"/>
      <c r="O10" s="39">
        <f t="shared" si="6"/>
        <v>0</v>
      </c>
      <c r="P10" s="39">
        <f t="shared" si="7"/>
        <v>-0.77747175141242941</v>
      </c>
      <c r="Q10" s="39">
        <f t="shared" si="8"/>
        <v>-18.659322033898306</v>
      </c>
      <c r="R10" s="40" t="e">
        <f t="shared" si="9"/>
        <v>#DIV/0!</v>
      </c>
      <c r="S10" s="43"/>
    </row>
    <row r="11" spans="1:19" ht="45" customHeight="1" x14ac:dyDescent="0.2">
      <c r="A11" s="30">
        <v>5</v>
      </c>
      <c r="B11" s="97" t="s">
        <v>52</v>
      </c>
      <c r="C11" s="31">
        <v>1</v>
      </c>
      <c r="D11" s="32" t="s">
        <v>26</v>
      </c>
      <c r="E11" s="31">
        <f t="shared" ref="E11" si="20">D11*C11</f>
        <v>12</v>
      </c>
      <c r="F11" s="33">
        <f>22*(96/120)</f>
        <v>17.600000000000001</v>
      </c>
      <c r="G11" s="34">
        <f t="shared" ref="G11" si="21">F11/D11</f>
        <v>1.4666666666666668</v>
      </c>
      <c r="H11" s="35">
        <f t="shared" ref="H11" si="22">G11*E11</f>
        <v>17.600000000000001</v>
      </c>
      <c r="I11" s="36"/>
      <c r="J11" s="37">
        <f t="shared" ref="J11" si="23">G11/$Q$2</f>
        <v>1.4666666666666668</v>
      </c>
      <c r="K11" s="37">
        <f t="shared" ref="K11" si="24">H11/$Q$2</f>
        <v>17.600000000000001</v>
      </c>
      <c r="L11" s="37">
        <f t="shared" si="4"/>
        <v>1.5986666666666669</v>
      </c>
      <c r="M11" s="37">
        <f t="shared" ref="M11" si="25">L11*E11</f>
        <v>19.184000000000005</v>
      </c>
      <c r="N11" s="38"/>
      <c r="O11" s="39">
        <f t="shared" ref="O11" si="26">N11*E11</f>
        <v>0</v>
      </c>
      <c r="P11" s="39">
        <f t="shared" ref="P11" si="27">N11-L11</f>
        <v>-1.5986666666666669</v>
      </c>
      <c r="Q11" s="39">
        <f t="shared" ref="Q11" si="28">P11*E11</f>
        <v>-19.184000000000005</v>
      </c>
      <c r="R11" s="40" t="e">
        <f t="shared" ref="R11" si="29">P11/N11</f>
        <v>#DIV/0!</v>
      </c>
      <c r="S11" s="43"/>
    </row>
    <row r="12" spans="1:19" ht="45" customHeight="1" x14ac:dyDescent="0.2">
      <c r="A12" s="30">
        <v>6</v>
      </c>
      <c r="B12" s="97" t="s">
        <v>44</v>
      </c>
      <c r="C12" s="31">
        <v>1</v>
      </c>
      <c r="D12" s="32" t="s">
        <v>25</v>
      </c>
      <c r="E12" s="31">
        <f t="shared" si="0"/>
        <v>24</v>
      </c>
      <c r="F12" s="33">
        <f>20.2*(50/59)</f>
        <v>17.118644067796609</v>
      </c>
      <c r="G12" s="34">
        <f t="shared" si="1"/>
        <v>0.71327683615819204</v>
      </c>
      <c r="H12" s="35">
        <f t="shared" si="2"/>
        <v>17.118644067796609</v>
      </c>
      <c r="I12" s="36"/>
      <c r="J12" s="37">
        <f t="shared" si="3"/>
        <v>0.71327683615819204</v>
      </c>
      <c r="K12" s="37">
        <f t="shared" si="3"/>
        <v>17.118644067796609</v>
      </c>
      <c r="L12" s="37">
        <f t="shared" si="4"/>
        <v>0.77747175141242941</v>
      </c>
      <c r="M12" s="37">
        <f t="shared" si="5"/>
        <v>18.659322033898306</v>
      </c>
      <c r="N12" s="38"/>
      <c r="O12" s="39">
        <f t="shared" si="6"/>
        <v>0</v>
      </c>
      <c r="P12" s="39">
        <f t="shared" si="7"/>
        <v>-0.77747175141242941</v>
      </c>
      <c r="Q12" s="39">
        <f t="shared" si="8"/>
        <v>-18.659322033898306</v>
      </c>
      <c r="R12" s="40" t="e">
        <f t="shared" si="9"/>
        <v>#DIV/0!</v>
      </c>
      <c r="S12" s="43"/>
    </row>
    <row r="13" spans="1:19" ht="45" customHeight="1" x14ac:dyDescent="0.2">
      <c r="A13" s="30">
        <v>7</v>
      </c>
      <c r="B13" s="97" t="s">
        <v>51</v>
      </c>
      <c r="C13" s="31">
        <v>1</v>
      </c>
      <c r="D13" s="32" t="s">
        <v>26</v>
      </c>
      <c r="E13" s="31">
        <f t="shared" si="0"/>
        <v>12</v>
      </c>
      <c r="F13" s="33">
        <f>22*(96/120)</f>
        <v>17.600000000000001</v>
      </c>
      <c r="G13" s="34">
        <f t="shared" si="1"/>
        <v>1.4666666666666668</v>
      </c>
      <c r="H13" s="35">
        <f t="shared" si="2"/>
        <v>17.600000000000001</v>
      </c>
      <c r="I13" s="36"/>
      <c r="J13" s="37">
        <f t="shared" si="3"/>
        <v>1.4666666666666668</v>
      </c>
      <c r="K13" s="37">
        <f t="shared" si="3"/>
        <v>17.600000000000001</v>
      </c>
      <c r="L13" s="37">
        <f t="shared" si="4"/>
        <v>1.5986666666666669</v>
      </c>
      <c r="M13" s="37">
        <f t="shared" si="5"/>
        <v>19.184000000000005</v>
      </c>
      <c r="N13" s="38"/>
      <c r="O13" s="39">
        <f t="shared" ref="O13" si="30">N13*E13</f>
        <v>0</v>
      </c>
      <c r="P13" s="39">
        <f t="shared" ref="P13" si="31">N13-L13</f>
        <v>-1.5986666666666669</v>
      </c>
      <c r="Q13" s="39">
        <f t="shared" ref="Q13" si="32">P13*E13</f>
        <v>-19.184000000000005</v>
      </c>
      <c r="R13" s="40" t="e">
        <f t="shared" ref="R13" si="33">P13/N13</f>
        <v>#DIV/0!</v>
      </c>
      <c r="S13" s="43"/>
    </row>
    <row r="14" spans="1:19" ht="45" customHeight="1" x14ac:dyDescent="0.2">
      <c r="A14" s="30">
        <v>8</v>
      </c>
      <c r="B14" s="97" t="s">
        <v>45</v>
      </c>
      <c r="C14" s="31">
        <v>1</v>
      </c>
      <c r="D14" s="32" t="s">
        <v>25</v>
      </c>
      <c r="E14" s="31">
        <f t="shared" ref="E14:E15" si="34">D14*C14</f>
        <v>24</v>
      </c>
      <c r="F14" s="33">
        <f>20.2*(50/59)</f>
        <v>17.118644067796609</v>
      </c>
      <c r="G14" s="34">
        <f t="shared" ref="G14:G15" si="35">F14/D14</f>
        <v>0.71327683615819204</v>
      </c>
      <c r="H14" s="35">
        <f t="shared" ref="H14:H15" si="36">G14*E14</f>
        <v>17.118644067796609</v>
      </c>
      <c r="I14" s="36"/>
      <c r="J14" s="37">
        <f t="shared" ref="J14:J15" si="37">G14/$Q$2</f>
        <v>0.71327683615819204</v>
      </c>
      <c r="K14" s="37">
        <f t="shared" ref="K14:K15" si="38">H14/$Q$2</f>
        <v>17.118644067796609</v>
      </c>
      <c r="L14" s="37">
        <f t="shared" si="4"/>
        <v>0.77747175141242941</v>
      </c>
      <c r="M14" s="37">
        <f t="shared" ref="M14:M15" si="39">L14*E14</f>
        <v>18.659322033898306</v>
      </c>
      <c r="N14" s="38"/>
      <c r="O14" s="39">
        <f t="shared" si="6"/>
        <v>0</v>
      </c>
      <c r="P14" s="39">
        <f t="shared" si="7"/>
        <v>-0.77747175141242941</v>
      </c>
      <c r="Q14" s="39">
        <f t="shared" si="8"/>
        <v>-18.659322033898306</v>
      </c>
      <c r="R14" s="40" t="e">
        <f t="shared" si="9"/>
        <v>#DIV/0!</v>
      </c>
      <c r="S14" s="43"/>
    </row>
    <row r="15" spans="1:19" ht="45" customHeight="1" x14ac:dyDescent="0.2">
      <c r="A15" s="30">
        <v>9</v>
      </c>
      <c r="B15" s="97" t="s">
        <v>53</v>
      </c>
      <c r="C15" s="31">
        <v>1</v>
      </c>
      <c r="D15" s="32" t="s">
        <v>24</v>
      </c>
      <c r="E15" s="31">
        <f t="shared" si="34"/>
        <v>4</v>
      </c>
      <c r="F15" s="33">
        <f>9.6*(200/240)</f>
        <v>8</v>
      </c>
      <c r="G15" s="34">
        <f t="shared" si="35"/>
        <v>2</v>
      </c>
      <c r="H15" s="35">
        <f t="shared" si="36"/>
        <v>8</v>
      </c>
      <c r="I15" s="36"/>
      <c r="J15" s="37">
        <f t="shared" si="37"/>
        <v>2</v>
      </c>
      <c r="K15" s="37">
        <f t="shared" si="38"/>
        <v>8</v>
      </c>
      <c r="L15" s="37">
        <f t="shared" si="4"/>
        <v>2.1800000000000002</v>
      </c>
      <c r="M15" s="37">
        <f t="shared" si="39"/>
        <v>8.7200000000000006</v>
      </c>
      <c r="N15" s="38"/>
      <c r="O15" s="39">
        <f t="shared" ref="O15" si="40">N15*E15</f>
        <v>0</v>
      </c>
      <c r="P15" s="39">
        <f t="shared" ref="P15" si="41">N15-L15</f>
        <v>-2.1800000000000002</v>
      </c>
      <c r="Q15" s="39">
        <f t="shared" ref="Q15" si="42">P15*E15</f>
        <v>-8.7200000000000006</v>
      </c>
      <c r="R15" s="40" t="e">
        <f t="shared" ref="R15" si="43">P15/N15</f>
        <v>#DIV/0!</v>
      </c>
      <c r="S15" s="42"/>
    </row>
    <row r="16" spans="1:19" ht="45" customHeight="1" x14ac:dyDescent="0.2">
      <c r="A16" s="30">
        <v>10</v>
      </c>
      <c r="B16" s="98" t="s">
        <v>46</v>
      </c>
      <c r="C16" s="31">
        <v>1</v>
      </c>
      <c r="D16" s="32" t="s">
        <v>26</v>
      </c>
      <c r="E16" s="31">
        <f t="shared" si="0"/>
        <v>12</v>
      </c>
      <c r="F16" s="33">
        <f>22*(96/120)</f>
        <v>17.600000000000001</v>
      </c>
      <c r="G16" s="34">
        <f t="shared" si="1"/>
        <v>1.4666666666666668</v>
      </c>
      <c r="H16" s="35">
        <f t="shared" si="2"/>
        <v>17.600000000000001</v>
      </c>
      <c r="I16" s="36"/>
      <c r="J16" s="37">
        <f t="shared" si="3"/>
        <v>1.4666666666666668</v>
      </c>
      <c r="K16" s="37">
        <f t="shared" si="3"/>
        <v>17.600000000000001</v>
      </c>
      <c r="L16" s="37">
        <f t="shared" si="4"/>
        <v>1.5986666666666669</v>
      </c>
      <c r="M16" s="37">
        <f t="shared" si="5"/>
        <v>19.184000000000005</v>
      </c>
      <c r="N16" s="38"/>
      <c r="O16" s="39">
        <f t="shared" si="6"/>
        <v>0</v>
      </c>
      <c r="P16" s="39">
        <f t="shared" si="7"/>
        <v>-1.5986666666666669</v>
      </c>
      <c r="Q16" s="39">
        <f t="shared" si="8"/>
        <v>-19.184000000000005</v>
      </c>
      <c r="R16" s="40" t="e">
        <f t="shared" si="9"/>
        <v>#DIV/0!</v>
      </c>
      <c r="S16" s="43"/>
    </row>
    <row r="17" spans="1:19" ht="45" customHeight="1" x14ac:dyDescent="0.2">
      <c r="A17" s="30">
        <v>11</v>
      </c>
      <c r="B17" s="98" t="s">
        <v>47</v>
      </c>
      <c r="C17" s="31">
        <v>1</v>
      </c>
      <c r="D17" s="32" t="s">
        <v>26</v>
      </c>
      <c r="E17" s="31">
        <f t="shared" ref="E17:E19" si="44">D17*C17</f>
        <v>12</v>
      </c>
      <c r="F17" s="33">
        <f>22*(96/120)</f>
        <v>17.600000000000001</v>
      </c>
      <c r="G17" s="34">
        <f t="shared" ref="G17:G19" si="45">F17/D17</f>
        <v>1.4666666666666668</v>
      </c>
      <c r="H17" s="35">
        <f t="shared" ref="H17:H19" si="46">G17*E17</f>
        <v>17.600000000000001</v>
      </c>
      <c r="I17" s="36"/>
      <c r="J17" s="37">
        <f t="shared" ref="J17:J19" si="47">G17/$Q$2</f>
        <v>1.4666666666666668</v>
      </c>
      <c r="K17" s="37">
        <f t="shared" ref="K17:K19" si="48">H17/$Q$2</f>
        <v>17.600000000000001</v>
      </c>
      <c r="L17" s="37">
        <f t="shared" ref="L17:L19" si="49">J17*(1+$M$23+9%)</f>
        <v>1.5986666666666669</v>
      </c>
      <c r="M17" s="37">
        <f t="shared" ref="M17:M19" si="50">L17*E17</f>
        <v>19.184000000000005</v>
      </c>
      <c r="N17" s="38"/>
      <c r="O17" s="39">
        <f t="shared" si="6"/>
        <v>0</v>
      </c>
      <c r="P17" s="39">
        <f t="shared" si="7"/>
        <v>-1.5986666666666669</v>
      </c>
      <c r="Q17" s="39">
        <f t="shared" si="8"/>
        <v>-19.184000000000005</v>
      </c>
      <c r="R17" s="40" t="e">
        <f t="shared" si="9"/>
        <v>#DIV/0!</v>
      </c>
      <c r="S17" s="43"/>
    </row>
    <row r="18" spans="1:19" ht="45" customHeight="1" x14ac:dyDescent="0.2">
      <c r="A18" s="30">
        <v>12</v>
      </c>
      <c r="B18" s="97" t="s">
        <v>48</v>
      </c>
      <c r="C18" s="31">
        <v>1</v>
      </c>
      <c r="D18" s="32" t="s">
        <v>24</v>
      </c>
      <c r="E18" s="31">
        <f t="shared" si="44"/>
        <v>4</v>
      </c>
      <c r="F18" s="33">
        <f>9.6*(200/240)</f>
        <v>8</v>
      </c>
      <c r="G18" s="34">
        <f t="shared" si="45"/>
        <v>2</v>
      </c>
      <c r="H18" s="35">
        <f t="shared" si="46"/>
        <v>8</v>
      </c>
      <c r="I18" s="36"/>
      <c r="J18" s="37">
        <f t="shared" si="47"/>
        <v>2</v>
      </c>
      <c r="K18" s="37">
        <f t="shared" si="48"/>
        <v>8</v>
      </c>
      <c r="L18" s="37">
        <f t="shared" si="49"/>
        <v>2.1800000000000002</v>
      </c>
      <c r="M18" s="37">
        <f t="shared" si="50"/>
        <v>8.7200000000000006</v>
      </c>
      <c r="N18" s="38"/>
      <c r="O18" s="39">
        <f t="shared" ref="O18:O19" si="51">N18*E18</f>
        <v>0</v>
      </c>
      <c r="P18" s="39">
        <f t="shared" ref="P18:P19" si="52">N18-L18</f>
        <v>-2.1800000000000002</v>
      </c>
      <c r="Q18" s="39">
        <f t="shared" ref="Q18:Q19" si="53">P18*E18</f>
        <v>-8.7200000000000006</v>
      </c>
      <c r="R18" s="40" t="e">
        <f t="shared" ref="R18:R19" si="54">P18/N18</f>
        <v>#DIV/0!</v>
      </c>
      <c r="S18" s="43"/>
    </row>
    <row r="19" spans="1:19" ht="45" customHeight="1" x14ac:dyDescent="0.2">
      <c r="A19" s="30">
        <v>13</v>
      </c>
      <c r="B19" s="97" t="s">
        <v>49</v>
      </c>
      <c r="C19" s="31">
        <v>1</v>
      </c>
      <c r="D19" s="32" t="s">
        <v>24</v>
      </c>
      <c r="E19" s="31">
        <f t="shared" si="44"/>
        <v>4</v>
      </c>
      <c r="F19" s="33">
        <f>9.6*(200/240)</f>
        <v>8</v>
      </c>
      <c r="G19" s="34">
        <f t="shared" si="45"/>
        <v>2</v>
      </c>
      <c r="H19" s="35">
        <f t="shared" si="46"/>
        <v>8</v>
      </c>
      <c r="I19" s="36"/>
      <c r="J19" s="37">
        <f t="shared" si="47"/>
        <v>2</v>
      </c>
      <c r="K19" s="37">
        <f t="shared" si="48"/>
        <v>8</v>
      </c>
      <c r="L19" s="37">
        <f t="shared" si="49"/>
        <v>2.1800000000000002</v>
      </c>
      <c r="M19" s="37">
        <f t="shared" si="50"/>
        <v>8.7200000000000006</v>
      </c>
      <c r="N19" s="38"/>
      <c r="O19" s="39">
        <f t="shared" si="51"/>
        <v>0</v>
      </c>
      <c r="P19" s="39">
        <f t="shared" si="52"/>
        <v>-2.1800000000000002</v>
      </c>
      <c r="Q19" s="39">
        <f t="shared" si="53"/>
        <v>-8.7200000000000006</v>
      </c>
      <c r="R19" s="40" t="e">
        <f t="shared" si="54"/>
        <v>#DIV/0!</v>
      </c>
      <c r="S19" s="43"/>
    </row>
    <row r="20" spans="1:19" ht="33" thickBot="1" x14ac:dyDescent="0.25">
      <c r="A20" s="115" t="s">
        <v>27</v>
      </c>
      <c r="B20" s="116"/>
      <c r="C20" s="116"/>
      <c r="D20" s="117"/>
      <c r="E20" s="44"/>
      <c r="F20" s="45"/>
      <c r="G20" s="121" t="s">
        <v>28</v>
      </c>
      <c r="H20" s="123">
        <f>SUM(H7:H19)</f>
        <v>184.7405475880052</v>
      </c>
      <c r="I20" s="46"/>
      <c r="J20" s="47" t="s">
        <v>29</v>
      </c>
      <c r="K20" s="48">
        <f>SUM(K7:K19)</f>
        <v>184.7405475880052</v>
      </c>
      <c r="L20" s="125" t="s">
        <v>30</v>
      </c>
      <c r="M20" s="126"/>
      <c r="N20" s="127">
        <f>SUM(O7:O19)</f>
        <v>0</v>
      </c>
      <c r="O20" s="128"/>
      <c r="P20" s="129" t="s">
        <v>31</v>
      </c>
      <c r="Q20" s="130"/>
      <c r="R20" s="133">
        <f>N20-K23</f>
        <v>-201.36719687092568</v>
      </c>
      <c r="S20" s="49"/>
    </row>
    <row r="21" spans="1:19" ht="17" thickBot="1" x14ac:dyDescent="0.25">
      <c r="A21" s="115"/>
      <c r="B21" s="116"/>
      <c r="C21" s="116"/>
      <c r="D21" s="117"/>
      <c r="E21" s="44"/>
      <c r="F21" s="50"/>
      <c r="G21" s="122"/>
      <c r="H21" s="124"/>
      <c r="I21" s="51"/>
      <c r="J21" s="52" t="s">
        <v>32</v>
      </c>
      <c r="K21" s="53">
        <f>K20*0.09</f>
        <v>16.626649282920468</v>
      </c>
      <c r="L21" s="135"/>
      <c r="M21" s="136"/>
      <c r="N21" s="136"/>
      <c r="O21" s="137"/>
      <c r="P21" s="131"/>
      <c r="Q21" s="132"/>
      <c r="R21" s="134"/>
      <c r="S21" s="54"/>
    </row>
    <row r="22" spans="1:19" ht="35" thickBot="1" x14ac:dyDescent="0.25">
      <c r="A22" s="115"/>
      <c r="B22" s="116"/>
      <c r="C22" s="116"/>
      <c r="D22" s="117"/>
      <c r="E22" s="55"/>
      <c r="F22" s="56"/>
      <c r="G22" s="57" t="s">
        <v>33</v>
      </c>
      <c r="H22" s="58" t="s">
        <v>34</v>
      </c>
      <c r="I22" s="51"/>
      <c r="J22" s="59" t="s">
        <v>35</v>
      </c>
      <c r="K22" s="60">
        <v>0</v>
      </c>
      <c r="L22" s="138"/>
      <c r="M22" s="139"/>
      <c r="N22" s="139"/>
      <c r="O22" s="140"/>
      <c r="P22" s="141" t="s">
        <v>36</v>
      </c>
      <c r="Q22" s="142"/>
      <c r="R22" s="61" t="e">
        <f>R20/N20</f>
        <v>#DIV/0!</v>
      </c>
      <c r="S22" s="62"/>
    </row>
    <row r="23" spans="1:19" ht="86" thickBot="1" x14ac:dyDescent="0.25">
      <c r="A23" s="118"/>
      <c r="B23" s="119"/>
      <c r="C23" s="119"/>
      <c r="D23" s="120"/>
      <c r="E23" s="63"/>
      <c r="F23" s="64"/>
      <c r="G23" s="65" t="s">
        <v>37</v>
      </c>
      <c r="H23" s="66">
        <f>SUM(H20:H22)</f>
        <v>184.7405475880052</v>
      </c>
      <c r="I23" s="51"/>
      <c r="J23" s="67" t="s">
        <v>37</v>
      </c>
      <c r="K23" s="68">
        <f>SUM(K20:K22)</f>
        <v>201.36719687092568</v>
      </c>
      <c r="L23" s="69" t="s">
        <v>38</v>
      </c>
      <c r="M23" s="143">
        <f>K22/K20</f>
        <v>0</v>
      </c>
      <c r="N23" s="144"/>
      <c r="O23" s="70"/>
      <c r="P23" s="11"/>
      <c r="Q23" s="11"/>
      <c r="R23" s="11"/>
      <c r="S23" s="71"/>
    </row>
    <row r="24" spans="1:19" x14ac:dyDescent="0.2">
      <c r="A24" s="72"/>
      <c r="B24" s="11"/>
      <c r="C24" s="11"/>
      <c r="D24" s="11"/>
      <c r="E24" s="73"/>
      <c r="F24" s="73"/>
      <c r="G24" s="73"/>
      <c r="H24" s="74"/>
      <c r="I24" s="75"/>
      <c r="J24" s="11"/>
      <c r="K24" s="11"/>
      <c r="L24" s="76"/>
      <c r="M24" s="76"/>
      <c r="N24" s="77"/>
      <c r="O24" s="78"/>
      <c r="P24" s="78"/>
      <c r="Q24" s="79"/>
      <c r="R24" s="78"/>
      <c r="S24" s="71"/>
    </row>
    <row r="25" spans="1:19" x14ac:dyDescent="0.2">
      <c r="A25" s="75"/>
      <c r="B25" s="78"/>
      <c r="C25" s="78"/>
      <c r="D25" s="78"/>
      <c r="E25" s="80"/>
      <c r="F25" s="80"/>
      <c r="G25" s="80"/>
      <c r="H25" s="81"/>
      <c r="I25" s="75"/>
      <c r="J25" s="99"/>
      <c r="K25" s="100"/>
      <c r="L25" s="100"/>
      <c r="M25" s="100"/>
      <c r="N25" s="101"/>
      <c r="O25" s="78"/>
      <c r="P25" s="78"/>
      <c r="Q25" s="78"/>
      <c r="R25" s="78"/>
      <c r="S25" s="71"/>
    </row>
    <row r="26" spans="1:19" x14ac:dyDescent="0.2">
      <c r="A26" s="75"/>
      <c r="B26" s="78"/>
      <c r="C26" s="78"/>
      <c r="D26" s="78"/>
      <c r="E26" s="80"/>
      <c r="F26" s="80"/>
      <c r="G26" s="80"/>
      <c r="H26" s="81"/>
      <c r="I26" s="75"/>
      <c r="J26" s="82"/>
      <c r="K26" s="83"/>
      <c r="L26" s="84"/>
      <c r="M26" s="84"/>
      <c r="N26" s="85"/>
      <c r="O26" s="78"/>
      <c r="P26" s="78"/>
      <c r="Q26" s="78"/>
      <c r="R26" s="78"/>
      <c r="S26" s="71"/>
    </row>
    <row r="27" spans="1:19" x14ac:dyDescent="0.2">
      <c r="A27" s="86" t="s">
        <v>39</v>
      </c>
      <c r="B27" s="78"/>
      <c r="C27" s="78"/>
      <c r="D27" s="78"/>
      <c r="E27" s="80"/>
      <c r="F27" s="80"/>
      <c r="G27" s="80"/>
      <c r="H27" s="81"/>
      <c r="I27" s="75"/>
      <c r="J27" s="87"/>
      <c r="K27" s="87"/>
      <c r="L27" s="87"/>
      <c r="M27" s="87"/>
      <c r="N27" s="85"/>
      <c r="O27" s="78"/>
      <c r="P27" s="78"/>
      <c r="Q27" s="78"/>
      <c r="R27" s="78"/>
      <c r="S27" s="71"/>
    </row>
    <row r="28" spans="1:19" x14ac:dyDescent="0.2">
      <c r="A28" s="86" t="s">
        <v>40</v>
      </c>
      <c r="B28" s="78"/>
      <c r="C28" s="78"/>
      <c r="D28" s="78"/>
      <c r="E28" s="80"/>
      <c r="F28" s="80"/>
      <c r="G28" s="80"/>
      <c r="H28" s="81"/>
      <c r="I28" s="75"/>
      <c r="J28" s="87"/>
      <c r="K28" s="87"/>
      <c r="L28" s="82"/>
      <c r="M28" s="82"/>
      <c r="N28" s="88"/>
      <c r="O28" s="78"/>
      <c r="P28" s="89"/>
      <c r="Q28" s="78"/>
      <c r="R28" s="78"/>
      <c r="S28" s="71"/>
    </row>
    <row r="29" spans="1:19" ht="17" thickBot="1" x14ac:dyDescent="0.25">
      <c r="A29" s="90"/>
      <c r="B29" s="91"/>
      <c r="C29" s="91"/>
      <c r="D29" s="91"/>
      <c r="E29" s="92"/>
      <c r="F29" s="92"/>
      <c r="G29" s="92"/>
      <c r="H29" s="93"/>
      <c r="I29" s="75"/>
      <c r="J29" s="94"/>
      <c r="K29" s="94"/>
      <c r="L29" s="94"/>
      <c r="M29" s="94"/>
      <c r="N29" s="95"/>
      <c r="O29" s="78"/>
      <c r="P29" s="78"/>
      <c r="Q29" s="78"/>
      <c r="R29" s="78"/>
      <c r="S29" s="71"/>
    </row>
  </sheetData>
  <autoFilter ref="A6:S23" xr:uid="{6F418752-63DD-DD49-BE2F-BED91EC939B1}"/>
  <mergeCells count="16">
    <mergeCell ref="J25:N25"/>
    <mergeCell ref="A1:O1"/>
    <mergeCell ref="Q1:R1"/>
    <mergeCell ref="A2:O2"/>
    <mergeCell ref="A4:H4"/>
    <mergeCell ref="J4:S4"/>
    <mergeCell ref="A20:D23"/>
    <mergeCell ref="G20:G21"/>
    <mergeCell ref="H20:H21"/>
    <mergeCell ref="L20:M20"/>
    <mergeCell ref="N20:O20"/>
    <mergeCell ref="P20:Q21"/>
    <mergeCell ref="R20:R21"/>
    <mergeCell ref="L21:O22"/>
    <mergeCell ref="P22:Q22"/>
    <mergeCell ref="M23:N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Agarwal</dc:creator>
  <cp:lastModifiedBy>Viraj Agarwal</cp:lastModifiedBy>
  <dcterms:created xsi:type="dcterms:W3CDTF">2026-04-14T03:48:16Z</dcterms:created>
  <dcterms:modified xsi:type="dcterms:W3CDTF">2026-04-14T06:01:37Z</dcterms:modified>
</cp:coreProperties>
</file>