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B4AA88B-640D-4F37-8AF4-000FCB999A02}" xr6:coauthVersionLast="47" xr6:coauthVersionMax="47" xr10:uidLastSave="{00000000-0000-0000-0000-000000000000}"/>
  <bookViews>
    <workbookView xWindow="-120" yWindow="-120" windowWidth="20730" windowHeight="11160" xr2:uid="{74296BC9-603C-A84B-BEC2-5B94F47A70E9}"/>
  </bookViews>
  <sheets>
    <sheet name="MASTERFILE" sheetId="17" r:id="rId1"/>
  </sheets>
  <definedNames>
    <definedName name="_xlnm._FilterDatabase" localSheetId="0" hidden="1">MASTERFILE!$A$6:$S$177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67" i="17" l="1"/>
  <c r="V167" i="17" s="1"/>
  <c r="G167" i="17"/>
  <c r="E167" i="17"/>
  <c r="O167" i="17" s="1"/>
  <c r="T15" i="17"/>
  <c r="V15" i="17" s="1"/>
  <c r="G15" i="17"/>
  <c r="E15" i="17"/>
  <c r="O15" i="17" s="1"/>
  <c r="T61" i="17"/>
  <c r="V61" i="17" s="1"/>
  <c r="O61" i="17"/>
  <c r="G61" i="17"/>
  <c r="T60" i="17"/>
  <c r="V60" i="17" s="1"/>
  <c r="O60" i="17"/>
  <c r="G60" i="17"/>
  <c r="T173" i="17"/>
  <c r="V173" i="17" s="1"/>
  <c r="T172" i="17"/>
  <c r="V172" i="17" s="1"/>
  <c r="W172" i="17" s="1"/>
  <c r="T171" i="17"/>
  <c r="V171" i="17" s="1"/>
  <c r="W171" i="17" s="1"/>
  <c r="T170" i="17"/>
  <c r="V170" i="17" s="1"/>
  <c r="T169" i="17"/>
  <c r="V169" i="17" s="1"/>
  <c r="W169" i="17" s="1"/>
  <c r="X169" i="17" s="1"/>
  <c r="Y169" i="17" s="1"/>
  <c r="T168" i="17"/>
  <c r="V168" i="17" s="1"/>
  <c r="T166" i="17"/>
  <c r="V166" i="17" s="1"/>
  <c r="T165" i="17"/>
  <c r="V165" i="17" s="1"/>
  <c r="T164" i="17"/>
  <c r="V164" i="17" s="1"/>
  <c r="T163" i="17"/>
  <c r="V163" i="17" s="1"/>
  <c r="W163" i="17" s="1"/>
  <c r="T162" i="17"/>
  <c r="V162" i="17" s="1"/>
  <c r="T161" i="17"/>
  <c r="V161" i="17" s="1"/>
  <c r="T160" i="17"/>
  <c r="V160" i="17" s="1"/>
  <c r="T159" i="17"/>
  <c r="V159" i="17" s="1"/>
  <c r="T158" i="17"/>
  <c r="V158" i="17" s="1"/>
  <c r="T157" i="17"/>
  <c r="V157" i="17" s="1"/>
  <c r="W157" i="17" s="1"/>
  <c r="T156" i="17"/>
  <c r="V156" i="17" s="1"/>
  <c r="T155" i="17"/>
  <c r="V155" i="17" s="1"/>
  <c r="W155" i="17" s="1"/>
  <c r="T154" i="17"/>
  <c r="V154" i="17" s="1"/>
  <c r="W154" i="17" s="1"/>
  <c r="T153" i="17"/>
  <c r="V153" i="17" s="1"/>
  <c r="T152" i="17"/>
  <c r="V152" i="17" s="1"/>
  <c r="W152" i="17" s="1"/>
  <c r="T151" i="17"/>
  <c r="V151" i="17" s="1"/>
  <c r="T150" i="17"/>
  <c r="V150" i="17" s="1"/>
  <c r="T149" i="17"/>
  <c r="V149" i="17" s="1"/>
  <c r="T148" i="17"/>
  <c r="V148" i="17" s="1"/>
  <c r="T147" i="17"/>
  <c r="V147" i="17" s="1"/>
  <c r="W147" i="17" s="1"/>
  <c r="T146" i="17"/>
  <c r="V146" i="17" s="1"/>
  <c r="T145" i="17"/>
  <c r="V145" i="17" s="1"/>
  <c r="T144" i="17"/>
  <c r="V144" i="17" s="1"/>
  <c r="T143" i="17"/>
  <c r="V143" i="17" s="1"/>
  <c r="T142" i="17"/>
  <c r="V142" i="17" s="1"/>
  <c r="T141" i="17"/>
  <c r="V141" i="17" s="1"/>
  <c r="W141" i="17" s="1"/>
  <c r="X141" i="17" s="1"/>
  <c r="T140" i="17"/>
  <c r="V140" i="17" s="1"/>
  <c r="T139" i="17"/>
  <c r="V139" i="17" s="1"/>
  <c r="W139" i="17" s="1"/>
  <c r="T138" i="17"/>
  <c r="V138" i="17" s="1"/>
  <c r="W138" i="17" s="1"/>
  <c r="T137" i="17"/>
  <c r="V137" i="17" s="1"/>
  <c r="T136" i="17"/>
  <c r="V136" i="17" s="1"/>
  <c r="W136" i="17" s="1"/>
  <c r="X136" i="17" s="1"/>
  <c r="Y136" i="17" s="1"/>
  <c r="T135" i="17"/>
  <c r="V135" i="17" s="1"/>
  <c r="T134" i="17"/>
  <c r="V134" i="17" s="1"/>
  <c r="T133" i="17"/>
  <c r="V133" i="17" s="1"/>
  <c r="T132" i="17"/>
  <c r="V132" i="17" s="1"/>
  <c r="T131" i="17"/>
  <c r="V131" i="17" s="1"/>
  <c r="W131" i="17" s="1"/>
  <c r="T130" i="17"/>
  <c r="V130" i="17" s="1"/>
  <c r="T129" i="17"/>
  <c r="V129" i="17" s="1"/>
  <c r="T128" i="17"/>
  <c r="V128" i="17" s="1"/>
  <c r="T127" i="17"/>
  <c r="V127" i="17" s="1"/>
  <c r="T126" i="17"/>
  <c r="V126" i="17" s="1"/>
  <c r="T125" i="17"/>
  <c r="V125" i="17" s="1"/>
  <c r="T124" i="17"/>
  <c r="V124" i="17" s="1"/>
  <c r="T123" i="17"/>
  <c r="V123" i="17" s="1"/>
  <c r="W123" i="17" s="1"/>
  <c r="T122" i="17"/>
  <c r="V122" i="17" s="1"/>
  <c r="W122" i="17" s="1"/>
  <c r="T121" i="17"/>
  <c r="V121" i="17" s="1"/>
  <c r="T120" i="17"/>
  <c r="V120" i="17" s="1"/>
  <c r="W120" i="17" s="1"/>
  <c r="X120" i="17" s="1"/>
  <c r="Y120" i="17" s="1"/>
  <c r="T119" i="17"/>
  <c r="V119" i="17" s="1"/>
  <c r="T118" i="17"/>
  <c r="V118" i="17" s="1"/>
  <c r="T117" i="17"/>
  <c r="V117" i="17" s="1"/>
  <c r="T116" i="17"/>
  <c r="V116" i="17" s="1"/>
  <c r="T115" i="17"/>
  <c r="V115" i="17" s="1"/>
  <c r="W115" i="17" s="1"/>
  <c r="T114" i="17"/>
  <c r="V114" i="17" s="1"/>
  <c r="T113" i="17"/>
  <c r="V113" i="17" s="1"/>
  <c r="T112" i="17"/>
  <c r="V112" i="17" s="1"/>
  <c r="T111" i="17"/>
  <c r="V111" i="17" s="1"/>
  <c r="T110" i="17"/>
  <c r="V110" i="17" s="1"/>
  <c r="T109" i="17"/>
  <c r="V109" i="17" s="1"/>
  <c r="T108" i="17"/>
  <c r="V108" i="17" s="1"/>
  <c r="W108" i="17" s="1"/>
  <c r="T107" i="17"/>
  <c r="V107" i="17" s="1"/>
  <c r="W107" i="17" s="1"/>
  <c r="T106" i="17"/>
  <c r="V106" i="17" s="1"/>
  <c r="T105" i="17"/>
  <c r="V105" i="17" s="1"/>
  <c r="W105" i="17" s="1"/>
  <c r="T104" i="17"/>
  <c r="V104" i="17" s="1"/>
  <c r="T103" i="17"/>
  <c r="V103" i="17" s="1"/>
  <c r="T102" i="17"/>
  <c r="V102" i="17" s="1"/>
  <c r="T101" i="17"/>
  <c r="V101" i="17" s="1"/>
  <c r="T100" i="17"/>
  <c r="V100" i="17" s="1"/>
  <c r="W100" i="17" s="1"/>
  <c r="T99" i="17"/>
  <c r="V99" i="17" s="1"/>
  <c r="T98" i="17"/>
  <c r="V98" i="17" s="1"/>
  <c r="T97" i="17"/>
  <c r="V97" i="17" s="1"/>
  <c r="T96" i="17"/>
  <c r="V96" i="17" s="1"/>
  <c r="T95" i="17"/>
  <c r="V95" i="17" s="1"/>
  <c r="T94" i="17"/>
  <c r="V94" i="17" s="1"/>
  <c r="W94" i="17" s="1"/>
  <c r="T93" i="17"/>
  <c r="V93" i="17" s="1"/>
  <c r="T92" i="17"/>
  <c r="V92" i="17" s="1"/>
  <c r="W92" i="17" s="1"/>
  <c r="T91" i="17"/>
  <c r="V91" i="17" s="1"/>
  <c r="W91" i="17" s="1"/>
  <c r="T90" i="17"/>
  <c r="V90" i="17" s="1"/>
  <c r="T89" i="17"/>
  <c r="V89" i="17" s="1"/>
  <c r="W89" i="17" s="1"/>
  <c r="X89" i="17" s="1"/>
  <c r="Y89" i="17" s="1"/>
  <c r="T88" i="17"/>
  <c r="V88" i="17" s="1"/>
  <c r="T87" i="17"/>
  <c r="V87" i="17" s="1"/>
  <c r="T86" i="17"/>
  <c r="V86" i="17" s="1"/>
  <c r="W86" i="17" s="1"/>
  <c r="X86" i="17" s="1"/>
  <c r="Y86" i="17" s="1"/>
  <c r="T85" i="17"/>
  <c r="V85" i="17" s="1"/>
  <c r="T84" i="17"/>
  <c r="V84" i="17" s="1"/>
  <c r="W84" i="17" s="1"/>
  <c r="T83" i="17"/>
  <c r="V83" i="17" s="1"/>
  <c r="W83" i="17" s="1"/>
  <c r="X83" i="17" s="1"/>
  <c r="Y83" i="17" s="1"/>
  <c r="Z83" i="17" s="1"/>
  <c r="T82" i="17"/>
  <c r="V82" i="17" s="1"/>
  <c r="W82" i="17" s="1"/>
  <c r="T81" i="17"/>
  <c r="V81" i="17" s="1"/>
  <c r="T80" i="17"/>
  <c r="V80" i="17" s="1"/>
  <c r="W80" i="17" s="1"/>
  <c r="T79" i="17"/>
  <c r="V79" i="17" s="1"/>
  <c r="T78" i="17"/>
  <c r="V78" i="17" s="1"/>
  <c r="T77" i="17"/>
  <c r="V77" i="17" s="1"/>
  <c r="T76" i="17"/>
  <c r="V76" i="17" s="1"/>
  <c r="W76" i="17" s="1"/>
  <c r="T75" i="17"/>
  <c r="V75" i="17" s="1"/>
  <c r="W75" i="17" s="1"/>
  <c r="T74" i="17"/>
  <c r="V74" i="17" s="1"/>
  <c r="T73" i="17"/>
  <c r="V73" i="17" s="1"/>
  <c r="T72" i="17"/>
  <c r="V72" i="17" s="1"/>
  <c r="W72" i="17" s="1"/>
  <c r="T71" i="17"/>
  <c r="V71" i="17" s="1"/>
  <c r="T70" i="17"/>
  <c r="V70" i="17" s="1"/>
  <c r="W70" i="17" s="1"/>
  <c r="T69" i="17"/>
  <c r="V69" i="17" s="1"/>
  <c r="W69" i="17" s="1"/>
  <c r="T68" i="17"/>
  <c r="V68" i="17" s="1"/>
  <c r="W68" i="17" s="1"/>
  <c r="T67" i="17"/>
  <c r="V67" i="17" s="1"/>
  <c r="W67" i="17" s="1"/>
  <c r="X67" i="17" s="1"/>
  <c r="Y67" i="17" s="1"/>
  <c r="Z67" i="17" s="1"/>
  <c r="T66" i="17"/>
  <c r="V66" i="17" s="1"/>
  <c r="W66" i="17" s="1"/>
  <c r="X66" i="17" s="1"/>
  <c r="Y66" i="17" s="1"/>
  <c r="T65" i="17"/>
  <c r="V65" i="17" s="1"/>
  <c r="T64" i="17"/>
  <c r="V64" i="17" s="1"/>
  <c r="W64" i="17" s="1"/>
  <c r="T63" i="17"/>
  <c r="V63" i="17" s="1"/>
  <c r="W63" i="17" s="1"/>
  <c r="X63" i="17" s="1"/>
  <c r="Y63" i="17" s="1"/>
  <c r="Z63" i="17" s="1"/>
  <c r="T62" i="17"/>
  <c r="V62" i="17" s="1"/>
  <c r="T59" i="17"/>
  <c r="V59" i="17" s="1"/>
  <c r="T58" i="17"/>
  <c r="V58" i="17" s="1"/>
  <c r="W58" i="17" s="1"/>
  <c r="T57" i="17"/>
  <c r="V57" i="17" s="1"/>
  <c r="W57" i="17" s="1"/>
  <c r="X57" i="17" s="1"/>
  <c r="Y57" i="17" s="1"/>
  <c r="Z57" i="17" s="1"/>
  <c r="T56" i="17"/>
  <c r="V56" i="17" s="1"/>
  <c r="T55" i="17"/>
  <c r="V55" i="17" s="1"/>
  <c r="T54" i="17"/>
  <c r="V54" i="17" s="1"/>
  <c r="W54" i="17" s="1"/>
  <c r="T53" i="17"/>
  <c r="V53" i="17" s="1"/>
  <c r="W53" i="17" s="1"/>
  <c r="X53" i="17" s="1"/>
  <c r="Y53" i="17" s="1"/>
  <c r="Z53" i="17" s="1"/>
  <c r="T52" i="17"/>
  <c r="V52" i="17" s="1"/>
  <c r="W52" i="17" s="1"/>
  <c r="T51" i="17"/>
  <c r="V51" i="17" s="1"/>
  <c r="T50" i="17"/>
  <c r="V50" i="17" s="1"/>
  <c r="T49" i="17"/>
  <c r="V49" i="17" s="1"/>
  <c r="W49" i="17" s="1"/>
  <c r="T48" i="17"/>
  <c r="V48" i="17" s="1"/>
  <c r="T47" i="17"/>
  <c r="V47" i="17" s="1"/>
  <c r="W47" i="17" s="1"/>
  <c r="T46" i="17"/>
  <c r="V46" i="17" s="1"/>
  <c r="W46" i="17" s="1"/>
  <c r="X46" i="17" s="1"/>
  <c r="T45" i="17"/>
  <c r="V45" i="17" s="1"/>
  <c r="W45" i="17" s="1"/>
  <c r="X45" i="17" s="1"/>
  <c r="Y45" i="17" s="1"/>
  <c r="Z45" i="17" s="1"/>
  <c r="T44" i="17"/>
  <c r="V44" i="17" s="1"/>
  <c r="W44" i="17" s="1"/>
  <c r="T43" i="17"/>
  <c r="V43" i="17" s="1"/>
  <c r="W43" i="17" s="1"/>
  <c r="T42" i="17"/>
  <c r="V42" i="17" s="1"/>
  <c r="W42" i="17" s="1"/>
  <c r="T41" i="17"/>
  <c r="V41" i="17" s="1"/>
  <c r="W41" i="17" s="1"/>
  <c r="T40" i="17"/>
  <c r="V40" i="17" s="1"/>
  <c r="W40" i="17" s="1"/>
  <c r="T39" i="17"/>
  <c r="V39" i="17" s="1"/>
  <c r="W39" i="17" s="1"/>
  <c r="T38" i="17"/>
  <c r="V38" i="17" s="1"/>
  <c r="W38" i="17" s="1"/>
  <c r="X38" i="17" s="1"/>
  <c r="T37" i="17"/>
  <c r="V37" i="17" s="1"/>
  <c r="W37" i="17" s="1"/>
  <c r="T36" i="17"/>
  <c r="V36" i="17" s="1"/>
  <c r="W36" i="17" s="1"/>
  <c r="T35" i="17"/>
  <c r="V35" i="17" s="1"/>
  <c r="W35" i="17" s="1"/>
  <c r="T34" i="17"/>
  <c r="V34" i="17" s="1"/>
  <c r="W34" i="17" s="1"/>
  <c r="T33" i="17"/>
  <c r="V33" i="17" s="1"/>
  <c r="W33" i="17" s="1"/>
  <c r="T32" i="17"/>
  <c r="V32" i="17" s="1"/>
  <c r="W32" i="17" s="1"/>
  <c r="T31" i="17"/>
  <c r="V31" i="17" s="1"/>
  <c r="W31" i="17" s="1"/>
  <c r="T30" i="17"/>
  <c r="V30" i="17" s="1"/>
  <c r="W30" i="17" s="1"/>
  <c r="T29" i="17"/>
  <c r="V29" i="17" s="1"/>
  <c r="W29" i="17" s="1"/>
  <c r="T28" i="17"/>
  <c r="V28" i="17" s="1"/>
  <c r="W28" i="17" s="1"/>
  <c r="T27" i="17"/>
  <c r="V27" i="17" s="1"/>
  <c r="W27" i="17" s="1"/>
  <c r="T26" i="17"/>
  <c r="V26" i="17" s="1"/>
  <c r="W26" i="17" s="1"/>
  <c r="T25" i="17"/>
  <c r="V25" i="17" s="1"/>
  <c r="W25" i="17" s="1"/>
  <c r="T24" i="17"/>
  <c r="V24" i="17" s="1"/>
  <c r="W24" i="17" s="1"/>
  <c r="T23" i="17"/>
  <c r="V23" i="17" s="1"/>
  <c r="W23" i="17" s="1"/>
  <c r="T22" i="17"/>
  <c r="V22" i="17" s="1"/>
  <c r="W22" i="17" s="1"/>
  <c r="T21" i="17"/>
  <c r="V21" i="17" s="1"/>
  <c r="W21" i="17" s="1"/>
  <c r="T20" i="17"/>
  <c r="V20" i="17" s="1"/>
  <c r="W20" i="17" s="1"/>
  <c r="T19" i="17"/>
  <c r="V19" i="17" s="1"/>
  <c r="W19" i="17" s="1"/>
  <c r="T18" i="17"/>
  <c r="V18" i="17" s="1"/>
  <c r="W18" i="17" s="1"/>
  <c r="T17" i="17"/>
  <c r="V17" i="17" s="1"/>
  <c r="W17" i="17" s="1"/>
  <c r="T16" i="17"/>
  <c r="V16" i="17" s="1"/>
  <c r="W16" i="17" s="1"/>
  <c r="T14" i="17"/>
  <c r="V14" i="17" s="1"/>
  <c r="W14" i="17" s="1"/>
  <c r="T13" i="17"/>
  <c r="V13" i="17" s="1"/>
  <c r="W13" i="17" s="1"/>
  <c r="T12" i="17"/>
  <c r="V12" i="17" s="1"/>
  <c r="W12" i="17" s="1"/>
  <c r="T11" i="17"/>
  <c r="V11" i="17" s="1"/>
  <c r="W11" i="17" s="1"/>
  <c r="T10" i="17"/>
  <c r="V10" i="17" s="1"/>
  <c r="W10" i="17" s="1"/>
  <c r="T9" i="17"/>
  <c r="V9" i="17" s="1"/>
  <c r="W9" i="17" s="1"/>
  <c r="T8" i="17"/>
  <c r="V8" i="17" s="1"/>
  <c r="W8" i="17" s="1"/>
  <c r="T7" i="17"/>
  <c r="V7" i="17" s="1"/>
  <c r="W7" i="17" s="1"/>
  <c r="W167" i="17" l="1"/>
  <c r="H167" i="17"/>
  <c r="K167" i="17" s="1"/>
  <c r="J167" i="17"/>
  <c r="W15" i="17"/>
  <c r="H15" i="17"/>
  <c r="K15" i="17" s="1"/>
  <c r="J15" i="17"/>
  <c r="W61" i="17"/>
  <c r="J61" i="17"/>
  <c r="H61" i="17"/>
  <c r="K61" i="17" s="1"/>
  <c r="W60" i="17"/>
  <c r="J60" i="17"/>
  <c r="H60" i="17"/>
  <c r="K60" i="17" s="1"/>
  <c r="X163" i="17"/>
  <c r="Y163" i="17" s="1"/>
  <c r="Z163" i="17" s="1"/>
  <c r="X152" i="17"/>
  <c r="Y152" i="17" s="1"/>
  <c r="Z152" i="17" s="1"/>
  <c r="X147" i="17"/>
  <c r="Y147" i="17" s="1"/>
  <c r="Z147" i="17" s="1"/>
  <c r="X131" i="17"/>
  <c r="Y131" i="17" s="1"/>
  <c r="Z131" i="17" s="1"/>
  <c r="X115" i="17"/>
  <c r="Y115" i="17" s="1"/>
  <c r="Z115" i="17" s="1"/>
  <c r="X105" i="17"/>
  <c r="Y105" i="17" s="1"/>
  <c r="Z105" i="17" s="1"/>
  <c r="X100" i="17"/>
  <c r="Y100" i="17" s="1"/>
  <c r="Z100" i="17" s="1"/>
  <c r="W79" i="17"/>
  <c r="X75" i="17"/>
  <c r="Y75" i="17" s="1"/>
  <c r="Z75" i="17" s="1"/>
  <c r="W71" i="17"/>
  <c r="X44" i="17"/>
  <c r="Y44" i="17" s="1"/>
  <c r="Z44" i="17" s="1"/>
  <c r="X40" i="17"/>
  <c r="Y40" i="17" s="1"/>
  <c r="Z40" i="17" s="1"/>
  <c r="X36" i="17"/>
  <c r="Y36" i="17" s="1"/>
  <c r="Z36" i="17" s="1"/>
  <c r="X32" i="17"/>
  <c r="Y32" i="17" s="1"/>
  <c r="Z32" i="17" s="1"/>
  <c r="X28" i="17"/>
  <c r="Y28" i="17" s="1"/>
  <c r="Z28" i="17" s="1"/>
  <c r="X24" i="17"/>
  <c r="Y24" i="17" s="1"/>
  <c r="Z24" i="17" s="1"/>
  <c r="X20" i="17"/>
  <c r="Y20" i="17" s="1"/>
  <c r="Z20" i="17" s="1"/>
  <c r="X16" i="17"/>
  <c r="Y16" i="17"/>
  <c r="Z16" i="17" s="1"/>
  <c r="X11" i="17"/>
  <c r="Y11" i="17" s="1"/>
  <c r="Z11" i="17" s="1"/>
  <c r="X7" i="17"/>
  <c r="Y7" i="17" s="1"/>
  <c r="Z7" i="17" s="1"/>
  <c r="X69" i="17"/>
  <c r="Y69" i="17" s="1"/>
  <c r="Z69" i="17" s="1"/>
  <c r="X157" i="17"/>
  <c r="Y157" i="17" s="1"/>
  <c r="Z157" i="17" s="1"/>
  <c r="X31" i="17"/>
  <c r="Y31" i="17" s="1"/>
  <c r="Z31" i="17" s="1"/>
  <c r="X39" i="17"/>
  <c r="Y39" i="17" s="1"/>
  <c r="Z39" i="17" s="1"/>
  <c r="X70" i="17"/>
  <c r="Y70" i="17" s="1"/>
  <c r="Z70" i="17" s="1"/>
  <c r="W78" i="17"/>
  <c r="X80" i="17"/>
  <c r="Y80" i="17" s="1"/>
  <c r="Z80" i="17" s="1"/>
  <c r="W112" i="17"/>
  <c r="X139" i="17"/>
  <c r="Y139" i="17" s="1"/>
  <c r="Z139" i="17" s="1"/>
  <c r="X9" i="17"/>
  <c r="Y9" i="17" s="1"/>
  <c r="Z9" i="17" s="1"/>
  <c r="X13" i="17"/>
  <c r="Y13" i="17" s="1"/>
  <c r="Z13" i="17" s="1"/>
  <c r="X18" i="17"/>
  <c r="Y18" i="17" s="1"/>
  <c r="Z18" i="17" s="1"/>
  <c r="X22" i="17"/>
  <c r="Y22" i="17" s="1"/>
  <c r="Z22" i="17" s="1"/>
  <c r="X26" i="17"/>
  <c r="Y26" i="17" s="1"/>
  <c r="Z26" i="17" s="1"/>
  <c r="X42" i="17"/>
  <c r="Y42" i="17" s="1"/>
  <c r="Z42" i="17" s="1"/>
  <c r="W48" i="17"/>
  <c r="X47" i="17"/>
  <c r="Y47" i="17" s="1"/>
  <c r="Z47" i="17" s="1"/>
  <c r="X49" i="17"/>
  <c r="Y49" i="17" s="1"/>
  <c r="Z49" i="17" s="1"/>
  <c r="X58" i="17"/>
  <c r="Y58" i="17" s="1"/>
  <c r="Z58" i="17" s="1"/>
  <c r="W97" i="17"/>
  <c r="W127" i="17"/>
  <c r="Y141" i="17"/>
  <c r="Z141" i="17" s="1"/>
  <c r="X155" i="17"/>
  <c r="Y155" i="17" s="1"/>
  <c r="Z155" i="17" s="1"/>
  <c r="X108" i="17"/>
  <c r="Y108" i="17" s="1"/>
  <c r="Z108" i="17" s="1"/>
  <c r="W162" i="17"/>
  <c r="X94" i="17"/>
  <c r="Y94" i="17" s="1"/>
  <c r="Z94" i="17" s="1"/>
  <c r="W128" i="17"/>
  <c r="W159" i="17"/>
  <c r="W125" i="17"/>
  <c r="X64" i="17"/>
  <c r="Y64" i="17" s="1"/>
  <c r="Z64" i="17" s="1"/>
  <c r="X10" i="17"/>
  <c r="Y10" i="17" s="1"/>
  <c r="Z10" i="17" s="1"/>
  <c r="X23" i="17"/>
  <c r="Y23" i="17" s="1"/>
  <c r="Z23" i="17" s="1"/>
  <c r="X27" i="17"/>
  <c r="Y27" i="17" s="1"/>
  <c r="Z27" i="17" s="1"/>
  <c r="X68" i="17"/>
  <c r="Y68" i="17" s="1"/>
  <c r="Z68" i="17" s="1"/>
  <c r="X84" i="17"/>
  <c r="Y84" i="17" s="1"/>
  <c r="Z84" i="17" s="1"/>
  <c r="X72" i="17"/>
  <c r="Y72" i="17" s="1"/>
  <c r="Z72" i="17" s="1"/>
  <c r="X34" i="17"/>
  <c r="Y34" i="17" s="1"/>
  <c r="Z34" i="17" s="1"/>
  <c r="W146" i="17"/>
  <c r="W160" i="17"/>
  <c r="W65" i="17"/>
  <c r="W85" i="17"/>
  <c r="W99" i="17"/>
  <c r="W143" i="17"/>
  <c r="X14" i="17"/>
  <c r="Y14" i="17" s="1"/>
  <c r="Z14" i="17" s="1"/>
  <c r="X19" i="17"/>
  <c r="Y19" i="17" s="1"/>
  <c r="Z19" i="17" s="1"/>
  <c r="X35" i="17"/>
  <c r="Y35" i="17" s="1"/>
  <c r="Z35" i="17" s="1"/>
  <c r="X43" i="17"/>
  <c r="Y43" i="17" s="1"/>
  <c r="Z43" i="17" s="1"/>
  <c r="W74" i="17"/>
  <c r="W55" i="17"/>
  <c r="X30" i="17"/>
  <c r="Y30" i="17" s="1"/>
  <c r="Z30" i="17" s="1"/>
  <c r="Y46" i="17"/>
  <c r="Z46" i="17" s="1"/>
  <c r="W59" i="17"/>
  <c r="Y38" i="17"/>
  <c r="Z38" i="17" s="1"/>
  <c r="X52" i="17"/>
  <c r="Y52" i="17" s="1"/>
  <c r="Z52" i="17" s="1"/>
  <c r="X12" i="17"/>
  <c r="Y12" i="17" s="1"/>
  <c r="Z12" i="17" s="1"/>
  <c r="X17" i="17"/>
  <c r="Y17" i="17" s="1"/>
  <c r="Z17" i="17" s="1"/>
  <c r="X21" i="17"/>
  <c r="Y21" i="17" s="1"/>
  <c r="Z21" i="17" s="1"/>
  <c r="X25" i="17"/>
  <c r="Y25" i="17" s="1"/>
  <c r="Z25" i="17" s="1"/>
  <c r="X29" i="17"/>
  <c r="Y29" i="17" s="1"/>
  <c r="Z29" i="17" s="1"/>
  <c r="X33" i="17"/>
  <c r="Y33" i="17" s="1"/>
  <c r="Z33" i="17" s="1"/>
  <c r="X37" i="17"/>
  <c r="Y37" i="17" s="1"/>
  <c r="Z37" i="17" s="1"/>
  <c r="X41" i="17"/>
  <c r="Y41" i="17" s="1"/>
  <c r="Z41" i="17" s="1"/>
  <c r="W56" i="17"/>
  <c r="W81" i="17"/>
  <c r="W96" i="17"/>
  <c r="W110" i="17"/>
  <c r="X123" i="17"/>
  <c r="Y123" i="17" s="1"/>
  <c r="Z123" i="17" s="1"/>
  <c r="X82" i="17"/>
  <c r="Y82" i="17" s="1"/>
  <c r="Z82" i="17" s="1"/>
  <c r="W114" i="17"/>
  <c r="W50" i="17"/>
  <c r="X76" i="17"/>
  <c r="Y76" i="17" s="1"/>
  <c r="Z76" i="17" s="1"/>
  <c r="X92" i="17"/>
  <c r="Y92" i="17" s="1"/>
  <c r="Z92" i="17" s="1"/>
  <c r="X8" i="17"/>
  <c r="Y8" i="17" s="1"/>
  <c r="Z8" i="17" s="1"/>
  <c r="W51" i="17"/>
  <c r="X54" i="17"/>
  <c r="Y54" i="17" s="1"/>
  <c r="Z54" i="17" s="1"/>
  <c r="W62" i="17"/>
  <c r="Z66" i="17"/>
  <c r="W73" i="17"/>
  <c r="W77" i="17"/>
  <c r="W88" i="17"/>
  <c r="W130" i="17"/>
  <c r="W144" i="17"/>
  <c r="Z86" i="17"/>
  <c r="X91" i="17"/>
  <c r="Y91" i="17" s="1"/>
  <c r="Z91" i="17" s="1"/>
  <c r="X107" i="17"/>
  <c r="Y107" i="17" s="1"/>
  <c r="Z107" i="17" s="1"/>
  <c r="X122" i="17"/>
  <c r="Y122" i="17" s="1"/>
  <c r="Z122" i="17" s="1"/>
  <c r="X138" i="17"/>
  <c r="Y138" i="17" s="1"/>
  <c r="Z138" i="17" s="1"/>
  <c r="X154" i="17"/>
  <c r="Y154" i="17" s="1"/>
  <c r="Z154" i="17" s="1"/>
  <c r="X171" i="17"/>
  <c r="Y171" i="17" s="1"/>
  <c r="Z171" i="17" s="1"/>
  <c r="X172" i="17"/>
  <c r="Y172" i="17" s="1"/>
  <c r="Z172" i="17" s="1"/>
  <c r="W104" i="17"/>
  <c r="W119" i="17"/>
  <c r="W135" i="17"/>
  <c r="W151" i="17"/>
  <c r="W168" i="17"/>
  <c r="W87" i="17"/>
  <c r="W102" i="17"/>
  <c r="W117" i="17"/>
  <c r="W133" i="17"/>
  <c r="W149" i="17"/>
  <c r="W165" i="17"/>
  <c r="Z89" i="17"/>
  <c r="Z120" i="17"/>
  <c r="Z136" i="17"/>
  <c r="Z169" i="17"/>
  <c r="W93" i="17"/>
  <c r="W101" i="17"/>
  <c r="W109" i="17"/>
  <c r="W116" i="17"/>
  <c r="W124" i="17"/>
  <c r="W132" i="17"/>
  <c r="W140" i="17"/>
  <c r="W148" i="17"/>
  <c r="W156" i="17"/>
  <c r="W164" i="17"/>
  <c r="W173" i="17"/>
  <c r="W90" i="17"/>
  <c r="W98" i="17"/>
  <c r="W106" i="17"/>
  <c r="W113" i="17"/>
  <c r="W121" i="17"/>
  <c r="W129" i="17"/>
  <c r="W137" i="17"/>
  <c r="W145" i="17"/>
  <c r="W153" i="17"/>
  <c r="W161" i="17"/>
  <c r="W170" i="17"/>
  <c r="W95" i="17"/>
  <c r="W103" i="17"/>
  <c r="W111" i="17"/>
  <c r="W118" i="17"/>
  <c r="W126" i="17"/>
  <c r="W134" i="17"/>
  <c r="W142" i="17"/>
  <c r="W150" i="17"/>
  <c r="W158" i="17"/>
  <c r="W166" i="17"/>
  <c r="X167" i="17" l="1"/>
  <c r="Y167" i="17" s="1"/>
  <c r="Z167" i="17" s="1"/>
  <c r="X15" i="17"/>
  <c r="Y15" i="17" s="1"/>
  <c r="Z15" i="17" s="1"/>
  <c r="X61" i="17"/>
  <c r="Y61" i="17" s="1"/>
  <c r="Z61" i="17" s="1"/>
  <c r="X60" i="17"/>
  <c r="Y60" i="17" s="1"/>
  <c r="Z60" i="17" s="1"/>
  <c r="X79" i="17"/>
  <c r="Y79" i="17" s="1"/>
  <c r="Z79" i="17" s="1"/>
  <c r="X71" i="17"/>
  <c r="Y71" i="17" s="1"/>
  <c r="Z71" i="17" s="1"/>
  <c r="X125" i="17"/>
  <c r="Y125" i="17" s="1"/>
  <c r="Z125" i="17" s="1"/>
  <c r="X97" i="17"/>
  <c r="Y97" i="17" s="1"/>
  <c r="Z97" i="17" s="1"/>
  <c r="X110" i="17"/>
  <c r="Y110" i="17" s="1"/>
  <c r="Z110" i="17" s="1"/>
  <c r="X137" i="17"/>
  <c r="Y137" i="17" s="1"/>
  <c r="Z137" i="17" s="1"/>
  <c r="X156" i="17"/>
  <c r="Y156" i="17" s="1"/>
  <c r="Z156" i="17" s="1"/>
  <c r="X124" i="17"/>
  <c r="Y124" i="17" s="1"/>
  <c r="Z124" i="17" s="1"/>
  <c r="X93" i="17"/>
  <c r="Y93" i="17" s="1"/>
  <c r="Z93" i="17" s="1"/>
  <c r="X119" i="17"/>
  <c r="Y119" i="17" s="1"/>
  <c r="Z119" i="17" s="1"/>
  <c r="X130" i="17"/>
  <c r="Y130" i="17" s="1"/>
  <c r="Z130" i="17" s="1"/>
  <c r="X56" i="17"/>
  <c r="Y56" i="17" s="1"/>
  <c r="Z56" i="17" s="1"/>
  <c r="X85" i="17"/>
  <c r="Y85" i="17" s="1"/>
  <c r="Z85" i="17" s="1"/>
  <c r="X159" i="17"/>
  <c r="Y159" i="17" s="1"/>
  <c r="Z159" i="17" s="1"/>
  <c r="X142" i="17"/>
  <c r="Y142" i="17" s="1"/>
  <c r="Z142" i="17" s="1"/>
  <c r="X111" i="17"/>
  <c r="Y111" i="17" s="1"/>
  <c r="Z111" i="17" s="1"/>
  <c r="X161" i="17"/>
  <c r="Y161" i="17" s="1"/>
  <c r="Z161" i="17" s="1"/>
  <c r="X129" i="17"/>
  <c r="Y129" i="17" s="1"/>
  <c r="Z129" i="17" s="1"/>
  <c r="X98" i="17"/>
  <c r="Y98" i="17" s="1"/>
  <c r="Z98" i="17" s="1"/>
  <c r="X165" i="17"/>
  <c r="Y165" i="17" s="1"/>
  <c r="Z165" i="17" s="1"/>
  <c r="X96" i="17"/>
  <c r="Y96" i="17" s="1"/>
  <c r="Z96" i="17" s="1"/>
  <c r="X55" i="17"/>
  <c r="Y55" i="17" s="1"/>
  <c r="Z55" i="17" s="1"/>
  <c r="X78" i="17"/>
  <c r="Y78" i="17" s="1"/>
  <c r="Z78" i="17" s="1"/>
  <c r="X170" i="17"/>
  <c r="Y170" i="17" s="1"/>
  <c r="Z170" i="17" s="1"/>
  <c r="X168" i="17"/>
  <c r="Y168" i="17" s="1"/>
  <c r="Z168" i="17" s="1"/>
  <c r="X116" i="17"/>
  <c r="Y116" i="17" s="1"/>
  <c r="Z116" i="17" s="1"/>
  <c r="X149" i="17"/>
  <c r="Y149" i="17" s="1"/>
  <c r="Z149" i="17" s="1"/>
  <c r="X51" i="17"/>
  <c r="Y51" i="17" s="1"/>
  <c r="Z51" i="17" s="1"/>
  <c r="X143" i="17"/>
  <c r="Y143" i="17" s="1"/>
  <c r="Z143" i="17" s="1"/>
  <c r="X103" i="17"/>
  <c r="Y103" i="17" s="1"/>
  <c r="Z103" i="17" s="1"/>
  <c r="X90" i="17"/>
  <c r="Y90" i="17" s="1"/>
  <c r="Z90" i="17" s="1"/>
  <c r="X133" i="17"/>
  <c r="Y133" i="17" s="1"/>
  <c r="Z133" i="17" s="1"/>
  <c r="X77" i="17"/>
  <c r="Y77" i="17" s="1"/>
  <c r="Z77" i="17" s="1"/>
  <c r="X109" i="17"/>
  <c r="Y109" i="17" s="1"/>
  <c r="Z109" i="17" s="1"/>
  <c r="X117" i="17"/>
  <c r="Y117" i="17" s="1"/>
  <c r="Z117" i="17" s="1"/>
  <c r="X81" i="17"/>
  <c r="Y81" i="17" s="1"/>
  <c r="Z81" i="17" s="1"/>
  <c r="X160" i="17"/>
  <c r="Y160" i="17" s="1"/>
  <c r="Z160" i="17" s="1"/>
  <c r="X112" i="17"/>
  <c r="Y112" i="17" s="1"/>
  <c r="Z112" i="17" s="1"/>
  <c r="X150" i="17"/>
  <c r="Y150" i="17" s="1"/>
  <c r="Z150" i="17" s="1"/>
  <c r="X106" i="17"/>
  <c r="Y106" i="17" s="1"/>
  <c r="Z106" i="17" s="1"/>
  <c r="X50" i="17"/>
  <c r="Y50" i="17" s="1"/>
  <c r="Z50" i="17" s="1"/>
  <c r="X166" i="17"/>
  <c r="Y166" i="17" s="1"/>
  <c r="Z166" i="17" s="1"/>
  <c r="X153" i="17"/>
  <c r="Y153" i="17" s="1"/>
  <c r="Z153" i="17" s="1"/>
  <c r="X104" i="17"/>
  <c r="Y104" i="17" s="1"/>
  <c r="Z104" i="17" s="1"/>
  <c r="X48" i="17"/>
  <c r="Y48" i="17" s="1"/>
  <c r="Z48" i="17" s="1"/>
  <c r="X158" i="17"/>
  <c r="Y158" i="17" s="1"/>
  <c r="Z158" i="17" s="1"/>
  <c r="X145" i="17"/>
  <c r="Y145" i="17" s="1"/>
  <c r="Z145" i="17" s="1"/>
  <c r="X102" i="17"/>
  <c r="Y102" i="17" s="1"/>
  <c r="Z102" i="17" s="1"/>
  <c r="X135" i="17"/>
  <c r="Y135" i="17" s="1"/>
  <c r="Z135" i="17" s="1"/>
  <c r="X144" i="17"/>
  <c r="Y144" i="17" s="1"/>
  <c r="Z144" i="17" s="1"/>
  <c r="X73" i="17"/>
  <c r="Y73" i="17" s="1"/>
  <c r="Z73" i="17" s="1"/>
  <c r="X162" i="17"/>
  <c r="Y162" i="17" s="1"/>
  <c r="Z162" i="17" s="1"/>
  <c r="X127" i="17"/>
  <c r="Y127" i="17" s="1"/>
  <c r="Z127" i="17" s="1"/>
  <c r="X118" i="17"/>
  <c r="Y118" i="17" s="1"/>
  <c r="Z118" i="17" s="1"/>
  <c r="X62" i="17"/>
  <c r="Y62" i="17" s="1"/>
  <c r="Z62" i="17" s="1"/>
  <c r="X148" i="17"/>
  <c r="Y148" i="17" s="1"/>
  <c r="Z148" i="17" s="1"/>
  <c r="X151" i="17"/>
  <c r="Y151" i="17" s="1"/>
  <c r="Z151" i="17" s="1"/>
  <c r="X88" i="17"/>
  <c r="Y88" i="17" s="1"/>
  <c r="Z88" i="17" s="1"/>
  <c r="X74" i="17"/>
  <c r="Y74" i="17" s="1"/>
  <c r="Z74" i="17" s="1"/>
  <c r="X65" i="17"/>
  <c r="Y65" i="17" s="1"/>
  <c r="Z65" i="17" s="1"/>
  <c r="X128" i="17"/>
  <c r="Y128" i="17" s="1"/>
  <c r="Z128" i="17" s="1"/>
  <c r="X134" i="17"/>
  <c r="Y134" i="17" s="1"/>
  <c r="Z134" i="17" s="1"/>
  <c r="X121" i="17"/>
  <c r="Y121" i="17" s="1"/>
  <c r="Z121" i="17" s="1"/>
  <c r="X114" i="17"/>
  <c r="Y114" i="17" s="1"/>
  <c r="Z114" i="17" s="1"/>
  <c r="X173" i="17"/>
  <c r="Y173" i="17" s="1"/>
  <c r="Z173" i="17" s="1"/>
  <c r="X140" i="17"/>
  <c r="Y140" i="17" s="1"/>
  <c r="Z140" i="17" s="1"/>
  <c r="X126" i="17"/>
  <c r="Y126" i="17" s="1"/>
  <c r="Z126" i="17" s="1"/>
  <c r="X95" i="17"/>
  <c r="Y95" i="17" s="1"/>
  <c r="Z95" i="17" s="1"/>
  <c r="X113" i="17"/>
  <c r="Y113" i="17" s="1"/>
  <c r="Z113" i="17" s="1"/>
  <c r="X164" i="17"/>
  <c r="Y164" i="17" s="1"/>
  <c r="Z164" i="17" s="1"/>
  <c r="X132" i="17"/>
  <c r="Y132" i="17" s="1"/>
  <c r="Z132" i="17" s="1"/>
  <c r="X101" i="17"/>
  <c r="Y101" i="17" s="1"/>
  <c r="Z101" i="17" s="1"/>
  <c r="X87" i="17"/>
  <c r="Y87" i="17" s="1"/>
  <c r="Z87" i="17" s="1"/>
  <c r="X59" i="17"/>
  <c r="Y59" i="17" s="1"/>
  <c r="Z59" i="17" s="1"/>
  <c r="X99" i="17"/>
  <c r="Y99" i="17" s="1"/>
  <c r="Z99" i="17" s="1"/>
  <c r="X146" i="17"/>
  <c r="Y146" i="17" s="1"/>
  <c r="Z146" i="17" s="1"/>
  <c r="G20" i="17" l="1"/>
  <c r="E20" i="17"/>
  <c r="O20" i="17" s="1"/>
  <c r="G139" i="17"/>
  <c r="E139" i="17"/>
  <c r="O139" i="17" s="1"/>
  <c r="G26" i="17"/>
  <c r="E26" i="17"/>
  <c r="O26" i="17" s="1"/>
  <c r="G80" i="17"/>
  <c r="E80" i="17"/>
  <c r="O80" i="17" s="1"/>
  <c r="G77" i="17"/>
  <c r="E77" i="17"/>
  <c r="O77" i="17" s="1"/>
  <c r="H20" i="17" l="1"/>
  <c r="K20" i="17" s="1"/>
  <c r="J20" i="17"/>
  <c r="H139" i="17"/>
  <c r="K139" i="17" s="1"/>
  <c r="J139" i="17"/>
  <c r="H26" i="17"/>
  <c r="K26" i="17" s="1"/>
  <c r="J26" i="17"/>
  <c r="H80" i="17"/>
  <c r="K80" i="17" s="1"/>
  <c r="J80" i="17"/>
  <c r="H77" i="17"/>
  <c r="K77" i="17" s="1"/>
  <c r="J77" i="17"/>
  <c r="G12" i="17"/>
  <c r="E12" i="17"/>
  <c r="O12" i="17" s="1"/>
  <c r="G104" i="17"/>
  <c r="E104" i="17"/>
  <c r="O104" i="17" s="1"/>
  <c r="G126" i="17"/>
  <c r="E126" i="17"/>
  <c r="O126" i="17" s="1"/>
  <c r="G120" i="17"/>
  <c r="J120" i="17" s="1"/>
  <c r="E120" i="17"/>
  <c r="G155" i="17"/>
  <c r="E155" i="17"/>
  <c r="O155" i="17" s="1"/>
  <c r="G105" i="17"/>
  <c r="J105" i="17" s="1"/>
  <c r="E105" i="17"/>
  <c r="O105" i="17" s="1"/>
  <c r="H12" i="17" l="1"/>
  <c r="K12" i="17" s="1"/>
  <c r="J12" i="17"/>
  <c r="H104" i="17"/>
  <c r="K104" i="17" s="1"/>
  <c r="J104" i="17"/>
  <c r="H126" i="17"/>
  <c r="K126" i="17" s="1"/>
  <c r="J126" i="17"/>
  <c r="H120" i="17"/>
  <c r="K120" i="17" s="1"/>
  <c r="H155" i="17"/>
  <c r="K155" i="17" s="1"/>
  <c r="J155" i="17"/>
  <c r="H105" i="17"/>
  <c r="K105" i="17" s="1"/>
  <c r="G9" i="17"/>
  <c r="G10" i="17"/>
  <c r="J10" i="17" s="1"/>
  <c r="G11" i="17"/>
  <c r="J11" i="17" s="1"/>
  <c r="E9" i="17"/>
  <c r="O9" i="17" s="1"/>
  <c r="E10" i="17"/>
  <c r="O10" i="17" s="1"/>
  <c r="E11" i="17"/>
  <c r="O11" i="17" s="1"/>
  <c r="G16" i="17"/>
  <c r="E16" i="17"/>
  <c r="O16" i="17" s="1"/>
  <c r="G76" i="17"/>
  <c r="E76" i="17"/>
  <c r="O76" i="17" s="1"/>
  <c r="G111" i="17"/>
  <c r="E111" i="17"/>
  <c r="O111" i="17" s="1"/>
  <c r="G78" i="17"/>
  <c r="J78" i="17" s="1"/>
  <c r="E78" i="17"/>
  <c r="O78" i="17" s="1"/>
  <c r="G103" i="17"/>
  <c r="J103" i="17" s="1"/>
  <c r="E103" i="17"/>
  <c r="O103" i="17" s="1"/>
  <c r="G36" i="17"/>
  <c r="E36" i="17"/>
  <c r="O36" i="17" s="1"/>
  <c r="G39" i="17"/>
  <c r="J39" i="17" s="1"/>
  <c r="E39" i="17"/>
  <c r="O39" i="17" s="1"/>
  <c r="H9" i="17" l="1"/>
  <c r="K9" i="17" s="1"/>
  <c r="H10" i="17"/>
  <c r="K10" i="17" s="1"/>
  <c r="H11" i="17"/>
  <c r="K11" i="17" s="1"/>
  <c r="J9" i="17"/>
  <c r="H16" i="17"/>
  <c r="K16" i="17" s="1"/>
  <c r="J16" i="17"/>
  <c r="H76" i="17"/>
  <c r="K76" i="17" s="1"/>
  <c r="J76" i="17"/>
  <c r="H111" i="17"/>
  <c r="K111" i="17" s="1"/>
  <c r="J111" i="17"/>
  <c r="H78" i="17"/>
  <c r="K78" i="17" s="1"/>
  <c r="H103" i="17"/>
  <c r="K103" i="17" s="1"/>
  <c r="H36" i="17"/>
  <c r="K36" i="17" s="1"/>
  <c r="J36" i="17"/>
  <c r="H39" i="17"/>
  <c r="K39" i="17" s="1"/>
  <c r="G62" i="17"/>
  <c r="E62" i="17"/>
  <c r="O62" i="17" s="1"/>
  <c r="G129" i="17"/>
  <c r="E129" i="17"/>
  <c r="O129" i="17" s="1"/>
  <c r="G38" i="17"/>
  <c r="J38" i="17" s="1"/>
  <c r="E38" i="17"/>
  <c r="O38" i="17" s="1"/>
  <c r="G127" i="17"/>
  <c r="E127" i="17"/>
  <c r="O127" i="17" s="1"/>
  <c r="G147" i="17"/>
  <c r="E147" i="17"/>
  <c r="O147" i="17" s="1"/>
  <c r="G144" i="17"/>
  <c r="J144" i="17" s="1"/>
  <c r="E144" i="17"/>
  <c r="G143" i="17"/>
  <c r="E143" i="17"/>
  <c r="O143" i="17" s="1"/>
  <c r="G154" i="17"/>
  <c r="G156" i="17"/>
  <c r="E154" i="17"/>
  <c r="O154" i="17" s="1"/>
  <c r="G50" i="17"/>
  <c r="E50" i="17"/>
  <c r="O50" i="17" s="1"/>
  <c r="G13" i="17"/>
  <c r="E13" i="17"/>
  <c r="O13" i="17" s="1"/>
  <c r="G14" i="17"/>
  <c r="E14" i="17"/>
  <c r="O14" i="17" s="1"/>
  <c r="G135" i="17"/>
  <c r="E135" i="17"/>
  <c r="O135" i="17" s="1"/>
  <c r="G134" i="17"/>
  <c r="E134" i="17"/>
  <c r="O134" i="17" s="1"/>
  <c r="G131" i="17"/>
  <c r="E131" i="17"/>
  <c r="O131" i="17" s="1"/>
  <c r="G96" i="17"/>
  <c r="J96" i="17" s="1"/>
  <c r="E96" i="17"/>
  <c r="G37" i="17"/>
  <c r="E37" i="17"/>
  <c r="O37" i="17" s="1"/>
  <c r="G47" i="17"/>
  <c r="E47" i="17"/>
  <c r="O47" i="17" s="1"/>
  <c r="G112" i="17"/>
  <c r="J112" i="17" s="1"/>
  <c r="E112" i="17"/>
  <c r="O112" i="17" s="1"/>
  <c r="G136" i="17"/>
  <c r="E136" i="17"/>
  <c r="O136" i="17" s="1"/>
  <c r="G64" i="17"/>
  <c r="E64" i="17"/>
  <c r="O64" i="17" s="1"/>
  <c r="G99" i="17"/>
  <c r="E99" i="17"/>
  <c r="O99" i="17" s="1"/>
  <c r="G25" i="17"/>
  <c r="E25" i="17"/>
  <c r="O25" i="17" s="1"/>
  <c r="G28" i="17"/>
  <c r="E28" i="17"/>
  <c r="O28" i="17" s="1"/>
  <c r="G27" i="17"/>
  <c r="E27" i="17"/>
  <c r="O27" i="17" s="1"/>
  <c r="E121" i="17"/>
  <c r="G121" i="17"/>
  <c r="G92" i="17"/>
  <c r="E92" i="17"/>
  <c r="G31" i="17"/>
  <c r="E31" i="17"/>
  <c r="O31" i="17" s="1"/>
  <c r="G32" i="17"/>
  <c r="E32" i="17"/>
  <c r="O32" i="17" s="1"/>
  <c r="E33" i="17"/>
  <c r="O33" i="17" s="1"/>
  <c r="G33" i="17"/>
  <c r="G116" i="17"/>
  <c r="E116" i="17"/>
  <c r="O116" i="17" s="1"/>
  <c r="G98" i="17"/>
  <c r="E98" i="17"/>
  <c r="O98" i="17" s="1"/>
  <c r="G24" i="17"/>
  <c r="E24" i="17"/>
  <c r="O24" i="17" s="1"/>
  <c r="G23" i="17"/>
  <c r="E23" i="17"/>
  <c r="O23" i="17" s="1"/>
  <c r="G22" i="17"/>
  <c r="E22" i="17"/>
  <c r="O22" i="17" s="1"/>
  <c r="G29" i="17"/>
  <c r="E29" i="17"/>
  <c r="O29" i="17" s="1"/>
  <c r="G59" i="17"/>
  <c r="E59" i="17"/>
  <c r="O59" i="17" s="1"/>
  <c r="G58" i="17"/>
  <c r="J58" i="17" s="1"/>
  <c r="E58" i="17"/>
  <c r="O58" i="17" s="1"/>
  <c r="G19" i="17"/>
  <c r="E19" i="17"/>
  <c r="O19" i="17" s="1"/>
  <c r="G18" i="17"/>
  <c r="E18" i="17"/>
  <c r="O18" i="17" s="1"/>
  <c r="G150" i="17"/>
  <c r="E150" i="17"/>
  <c r="O150" i="17" s="1"/>
  <c r="G170" i="17"/>
  <c r="J170" i="17" s="1"/>
  <c r="E170" i="17"/>
  <c r="O170" i="17" s="1"/>
  <c r="G168" i="17"/>
  <c r="E168" i="17"/>
  <c r="O168" i="17" s="1"/>
  <c r="H62" i="17" l="1"/>
  <c r="K62" i="17" s="1"/>
  <c r="J62" i="17"/>
  <c r="H129" i="17"/>
  <c r="K129" i="17" s="1"/>
  <c r="J129" i="17"/>
  <c r="H38" i="17"/>
  <c r="K38" i="17" s="1"/>
  <c r="H144" i="17"/>
  <c r="K144" i="17" s="1"/>
  <c r="H147" i="17"/>
  <c r="K147" i="17" s="1"/>
  <c r="H127" i="17"/>
  <c r="K127" i="17" s="1"/>
  <c r="J127" i="17"/>
  <c r="J147" i="17"/>
  <c r="H143" i="17"/>
  <c r="K143" i="17" s="1"/>
  <c r="O144" i="17"/>
  <c r="J143" i="17"/>
  <c r="H154" i="17"/>
  <c r="K154" i="17" s="1"/>
  <c r="H50" i="17"/>
  <c r="K50" i="17" s="1"/>
  <c r="J154" i="17"/>
  <c r="J50" i="17"/>
  <c r="H13" i="17"/>
  <c r="K13" i="17" s="1"/>
  <c r="J13" i="17"/>
  <c r="H14" i="17"/>
  <c r="K14" i="17" s="1"/>
  <c r="J14" i="17"/>
  <c r="H96" i="17"/>
  <c r="K96" i="17" s="1"/>
  <c r="H135" i="17"/>
  <c r="K135" i="17" s="1"/>
  <c r="J135" i="17"/>
  <c r="H134" i="17"/>
  <c r="K134" i="17" s="1"/>
  <c r="J134" i="17"/>
  <c r="H131" i="17"/>
  <c r="K131" i="17" s="1"/>
  <c r="J131" i="17"/>
  <c r="O96" i="17"/>
  <c r="H37" i="17"/>
  <c r="K37" i="17" s="1"/>
  <c r="J37" i="17"/>
  <c r="H47" i="17"/>
  <c r="K47" i="17" s="1"/>
  <c r="J47" i="17"/>
  <c r="H112" i="17"/>
  <c r="K112" i="17" s="1"/>
  <c r="H136" i="17"/>
  <c r="K136" i="17" s="1"/>
  <c r="J136" i="17"/>
  <c r="H64" i="17"/>
  <c r="K64" i="17" s="1"/>
  <c r="J64" i="17"/>
  <c r="H99" i="17"/>
  <c r="K99" i="17" s="1"/>
  <c r="J99" i="17"/>
  <c r="H25" i="17"/>
  <c r="K25" i="17" s="1"/>
  <c r="H28" i="17"/>
  <c r="K28" i="17" s="1"/>
  <c r="J25" i="17"/>
  <c r="H27" i="17"/>
  <c r="K27" i="17" s="1"/>
  <c r="J28" i="17"/>
  <c r="J27" i="17"/>
  <c r="H121" i="17"/>
  <c r="K121" i="17" s="1"/>
  <c r="H92" i="17"/>
  <c r="K92" i="17" s="1"/>
  <c r="J121" i="17"/>
  <c r="J92" i="17"/>
  <c r="H33" i="17"/>
  <c r="K33" i="17" s="1"/>
  <c r="H32" i="17"/>
  <c r="K32" i="17" s="1"/>
  <c r="H31" i="17"/>
  <c r="K31" i="17" s="1"/>
  <c r="J31" i="17"/>
  <c r="J32" i="17"/>
  <c r="J33" i="17"/>
  <c r="H116" i="17"/>
  <c r="K116" i="17" s="1"/>
  <c r="J116" i="17"/>
  <c r="H98" i="17"/>
  <c r="K98" i="17" s="1"/>
  <c r="J98" i="17"/>
  <c r="H24" i="17"/>
  <c r="K24" i="17" s="1"/>
  <c r="J24" i="17"/>
  <c r="H22" i="17"/>
  <c r="K22" i="17" s="1"/>
  <c r="H23" i="17"/>
  <c r="K23" i="17" s="1"/>
  <c r="J23" i="17"/>
  <c r="J22" i="17"/>
  <c r="H29" i="17"/>
  <c r="K29" i="17" s="1"/>
  <c r="J29" i="17"/>
  <c r="H59" i="17"/>
  <c r="K59" i="17" s="1"/>
  <c r="J59" i="17"/>
  <c r="H58" i="17"/>
  <c r="K58" i="17" s="1"/>
  <c r="H19" i="17"/>
  <c r="K19" i="17" s="1"/>
  <c r="H18" i="17"/>
  <c r="K18" i="17" s="1"/>
  <c r="J19" i="17"/>
  <c r="J18" i="17"/>
  <c r="H150" i="17"/>
  <c r="K150" i="17" s="1"/>
  <c r="J150" i="17"/>
  <c r="H170" i="17"/>
  <c r="K170" i="17" s="1"/>
  <c r="H168" i="17"/>
  <c r="K168" i="17" s="1"/>
  <c r="J168" i="17"/>
  <c r="G137" i="17" l="1"/>
  <c r="E137" i="17"/>
  <c r="O137" i="17" s="1"/>
  <c r="G70" i="17"/>
  <c r="E70" i="17"/>
  <c r="O70" i="17" s="1"/>
  <c r="G115" i="17"/>
  <c r="E115" i="17"/>
  <c r="O115" i="17" s="1"/>
  <c r="H137" i="17" l="1"/>
  <c r="K137" i="17" s="1"/>
  <c r="J137" i="17"/>
  <c r="H115" i="17"/>
  <c r="K115" i="17" s="1"/>
  <c r="H70" i="17"/>
  <c r="K70" i="17" s="1"/>
  <c r="J70" i="17"/>
  <c r="J115" i="17"/>
  <c r="G30" i="17"/>
  <c r="E30" i="17"/>
  <c r="O30" i="17" s="1"/>
  <c r="G54" i="17"/>
  <c r="J54" i="17" s="1"/>
  <c r="G53" i="17"/>
  <c r="J53" i="17" s="1"/>
  <c r="E54" i="17"/>
  <c r="O54" i="17" s="1"/>
  <c r="E53" i="17"/>
  <c r="O53" i="17" s="1"/>
  <c r="G118" i="17"/>
  <c r="J118" i="17" s="1"/>
  <c r="E118" i="17"/>
  <c r="O118" i="17" s="1"/>
  <c r="G117" i="17"/>
  <c r="E117" i="17"/>
  <c r="O117" i="17" s="1"/>
  <c r="G166" i="17"/>
  <c r="E166" i="17"/>
  <c r="O166" i="17" s="1"/>
  <c r="G55" i="17"/>
  <c r="E55" i="17"/>
  <c r="O55" i="17" s="1"/>
  <c r="G86" i="17"/>
  <c r="E86" i="17"/>
  <c r="O86" i="17" s="1"/>
  <c r="G173" i="17"/>
  <c r="J173" i="17" s="1"/>
  <c r="E173" i="17"/>
  <c r="O173" i="17" s="1"/>
  <c r="G172" i="17"/>
  <c r="J172" i="17" s="1"/>
  <c r="E172" i="17"/>
  <c r="O172" i="17" s="1"/>
  <c r="G171" i="17"/>
  <c r="E171" i="17"/>
  <c r="O171" i="17" s="1"/>
  <c r="G169" i="17"/>
  <c r="J169" i="17" s="1"/>
  <c r="E169" i="17"/>
  <c r="G165" i="17"/>
  <c r="J165" i="17" s="1"/>
  <c r="E165" i="17"/>
  <c r="O165" i="17" s="1"/>
  <c r="G164" i="17"/>
  <c r="J164" i="17" s="1"/>
  <c r="E164" i="17"/>
  <c r="O164" i="17" s="1"/>
  <c r="G163" i="17"/>
  <c r="J163" i="17" s="1"/>
  <c r="E163" i="17"/>
  <c r="O163" i="17" s="1"/>
  <c r="G162" i="17"/>
  <c r="J162" i="17" s="1"/>
  <c r="E162" i="17"/>
  <c r="O162" i="17" s="1"/>
  <c r="G161" i="17"/>
  <c r="J161" i="17" s="1"/>
  <c r="E161" i="17"/>
  <c r="O161" i="17" s="1"/>
  <c r="G160" i="17"/>
  <c r="J160" i="17" s="1"/>
  <c r="E160" i="17"/>
  <c r="O160" i="17" s="1"/>
  <c r="G159" i="17"/>
  <c r="J159" i="17" s="1"/>
  <c r="E159" i="17"/>
  <c r="O159" i="17" s="1"/>
  <c r="G158" i="17"/>
  <c r="J158" i="17" s="1"/>
  <c r="E158" i="17"/>
  <c r="O158" i="17" s="1"/>
  <c r="G157" i="17"/>
  <c r="E157" i="17"/>
  <c r="O157" i="17" s="1"/>
  <c r="E156" i="17"/>
  <c r="O156" i="17" s="1"/>
  <c r="G153" i="17"/>
  <c r="E153" i="17"/>
  <c r="O153" i="17" s="1"/>
  <c r="G152" i="17"/>
  <c r="E152" i="17"/>
  <c r="O152" i="17" s="1"/>
  <c r="G151" i="17"/>
  <c r="J151" i="17" s="1"/>
  <c r="E151" i="17"/>
  <c r="G149" i="17"/>
  <c r="J149" i="17" s="1"/>
  <c r="E149" i="17"/>
  <c r="O149" i="17" s="1"/>
  <c r="G148" i="17"/>
  <c r="J148" i="17" s="1"/>
  <c r="E148" i="17"/>
  <c r="O148" i="17" s="1"/>
  <c r="G146" i="17"/>
  <c r="J146" i="17" s="1"/>
  <c r="E146" i="17"/>
  <c r="O146" i="17" s="1"/>
  <c r="G145" i="17"/>
  <c r="E145" i="17"/>
  <c r="O145" i="17" s="1"/>
  <c r="G142" i="17"/>
  <c r="E142" i="17"/>
  <c r="O142" i="17" s="1"/>
  <c r="G141" i="17"/>
  <c r="J141" i="17" s="1"/>
  <c r="E141" i="17"/>
  <c r="O141" i="17" s="1"/>
  <c r="G140" i="17"/>
  <c r="J140" i="17" s="1"/>
  <c r="E140" i="17"/>
  <c r="O140" i="17" s="1"/>
  <c r="G138" i="17"/>
  <c r="E138" i="17"/>
  <c r="O138" i="17" s="1"/>
  <c r="G133" i="17"/>
  <c r="E133" i="17"/>
  <c r="O133" i="17" s="1"/>
  <c r="G132" i="17"/>
  <c r="J132" i="17" s="1"/>
  <c r="E132" i="17"/>
  <c r="O132" i="17" s="1"/>
  <c r="G130" i="17"/>
  <c r="E130" i="17"/>
  <c r="O130" i="17" s="1"/>
  <c r="G128" i="17"/>
  <c r="J128" i="17" s="1"/>
  <c r="E128" i="17"/>
  <c r="O128" i="17" s="1"/>
  <c r="G125" i="17"/>
  <c r="E125" i="17"/>
  <c r="O125" i="17" s="1"/>
  <c r="G124" i="17"/>
  <c r="E124" i="17"/>
  <c r="O124" i="17" s="1"/>
  <c r="G123" i="17"/>
  <c r="J123" i="17" s="1"/>
  <c r="E123" i="17"/>
  <c r="O123" i="17" s="1"/>
  <c r="G122" i="17"/>
  <c r="J122" i="17" s="1"/>
  <c r="E122" i="17"/>
  <c r="G119" i="17"/>
  <c r="J119" i="17" s="1"/>
  <c r="E119" i="17"/>
  <c r="O119" i="17" s="1"/>
  <c r="G114" i="17"/>
  <c r="J114" i="17" s="1"/>
  <c r="E114" i="17"/>
  <c r="O114" i="17" s="1"/>
  <c r="G113" i="17"/>
  <c r="J113" i="17" s="1"/>
  <c r="E113" i="17"/>
  <c r="O113" i="17" s="1"/>
  <c r="G110" i="17"/>
  <c r="E110" i="17"/>
  <c r="O110" i="17" s="1"/>
  <c r="G109" i="17"/>
  <c r="E109" i="17"/>
  <c r="O109" i="17" s="1"/>
  <c r="G108" i="17"/>
  <c r="J108" i="17" s="1"/>
  <c r="E108" i="17"/>
  <c r="O108" i="17" s="1"/>
  <c r="G107" i="17"/>
  <c r="J107" i="17" s="1"/>
  <c r="E107" i="17"/>
  <c r="O107" i="17" s="1"/>
  <c r="G106" i="17"/>
  <c r="J106" i="17" s="1"/>
  <c r="E106" i="17"/>
  <c r="O106" i="17" s="1"/>
  <c r="G102" i="17"/>
  <c r="E102" i="17"/>
  <c r="O102" i="17" s="1"/>
  <c r="G101" i="17"/>
  <c r="J101" i="17" s="1"/>
  <c r="E101" i="17"/>
  <c r="O101" i="17" s="1"/>
  <c r="G100" i="17"/>
  <c r="J100" i="17" s="1"/>
  <c r="E100" i="17"/>
  <c r="O100" i="17" s="1"/>
  <c r="G97" i="17"/>
  <c r="J97" i="17" s="1"/>
  <c r="E97" i="17"/>
  <c r="G95" i="17"/>
  <c r="J95" i="17" s="1"/>
  <c r="E95" i="17"/>
  <c r="O95" i="17" s="1"/>
  <c r="G94" i="17"/>
  <c r="J94" i="17" s="1"/>
  <c r="E94" i="17"/>
  <c r="O94" i="17" s="1"/>
  <c r="G93" i="17"/>
  <c r="J93" i="17" s="1"/>
  <c r="E93" i="17"/>
  <c r="O93" i="17" s="1"/>
  <c r="G91" i="17"/>
  <c r="E91" i="17"/>
  <c r="O91" i="17" s="1"/>
  <c r="G90" i="17"/>
  <c r="J90" i="17" s="1"/>
  <c r="E90" i="17"/>
  <c r="O90" i="17" s="1"/>
  <c r="G89" i="17"/>
  <c r="J89" i="17" s="1"/>
  <c r="E89" i="17"/>
  <c r="O89" i="17" s="1"/>
  <c r="G88" i="17"/>
  <c r="J88" i="17" s="1"/>
  <c r="E88" i="17"/>
  <c r="O88" i="17" s="1"/>
  <c r="G87" i="17"/>
  <c r="J87" i="17" s="1"/>
  <c r="E87" i="17"/>
  <c r="O87" i="17" s="1"/>
  <c r="G85" i="17"/>
  <c r="J85" i="17" s="1"/>
  <c r="E85" i="17"/>
  <c r="O85" i="17" s="1"/>
  <c r="G84" i="17"/>
  <c r="E84" i="17"/>
  <c r="O84" i="17" s="1"/>
  <c r="G83" i="17"/>
  <c r="J83" i="17" s="1"/>
  <c r="E83" i="17"/>
  <c r="G82" i="17"/>
  <c r="J82" i="17" s="1"/>
  <c r="E82" i="17"/>
  <c r="O82" i="17" s="1"/>
  <c r="G81" i="17"/>
  <c r="J81" i="17" s="1"/>
  <c r="E81" i="17"/>
  <c r="O81" i="17" s="1"/>
  <c r="G79" i="17"/>
  <c r="J79" i="17" s="1"/>
  <c r="E79" i="17"/>
  <c r="O79" i="17" s="1"/>
  <c r="G75" i="17"/>
  <c r="E75" i="17"/>
  <c r="O75" i="17" s="1"/>
  <c r="G74" i="17"/>
  <c r="E74" i="17"/>
  <c r="O74" i="17" s="1"/>
  <c r="G73" i="17"/>
  <c r="J73" i="17" s="1"/>
  <c r="E73" i="17"/>
  <c r="O73" i="17" s="1"/>
  <c r="G72" i="17"/>
  <c r="E72" i="17"/>
  <c r="O72" i="17" s="1"/>
  <c r="G71" i="17"/>
  <c r="J71" i="17" s="1"/>
  <c r="E71" i="17"/>
  <c r="O71" i="17" s="1"/>
  <c r="G69" i="17"/>
  <c r="E69" i="17"/>
  <c r="O69" i="17" s="1"/>
  <c r="G68" i="17"/>
  <c r="J68" i="17" s="1"/>
  <c r="E68" i="17"/>
  <c r="O68" i="17" s="1"/>
  <c r="G67" i="17"/>
  <c r="E67" i="17"/>
  <c r="O67" i="17" s="1"/>
  <c r="G66" i="17"/>
  <c r="J66" i="17" s="1"/>
  <c r="E66" i="17"/>
  <c r="G65" i="17"/>
  <c r="J65" i="17" s="1"/>
  <c r="E65" i="17"/>
  <c r="O65" i="17" s="1"/>
  <c r="G63" i="17"/>
  <c r="J63" i="17" s="1"/>
  <c r="E63" i="17"/>
  <c r="O63" i="17" s="1"/>
  <c r="G57" i="17"/>
  <c r="J57" i="17" s="1"/>
  <c r="E57" i="17"/>
  <c r="O57" i="17" s="1"/>
  <c r="G56" i="17"/>
  <c r="J56" i="17" s="1"/>
  <c r="E56" i="17"/>
  <c r="O56" i="17" s="1"/>
  <c r="G52" i="17"/>
  <c r="E52" i="17"/>
  <c r="O52" i="17" s="1"/>
  <c r="G51" i="17"/>
  <c r="E51" i="17"/>
  <c r="O51" i="17" s="1"/>
  <c r="G49" i="17"/>
  <c r="J49" i="17" s="1"/>
  <c r="E49" i="17"/>
  <c r="O49" i="17" s="1"/>
  <c r="G48" i="17"/>
  <c r="J48" i="17" s="1"/>
  <c r="E48" i="17"/>
  <c r="G46" i="17"/>
  <c r="E46" i="17"/>
  <c r="O46" i="17" s="1"/>
  <c r="G45" i="17"/>
  <c r="J45" i="17" s="1"/>
  <c r="E45" i="17"/>
  <c r="O45" i="17" s="1"/>
  <c r="G44" i="17"/>
  <c r="J44" i="17" s="1"/>
  <c r="E44" i="17"/>
  <c r="O44" i="17" s="1"/>
  <c r="G43" i="17"/>
  <c r="E43" i="17"/>
  <c r="O43" i="17" s="1"/>
  <c r="G42" i="17"/>
  <c r="E42" i="17"/>
  <c r="O42" i="17" s="1"/>
  <c r="G41" i="17"/>
  <c r="J41" i="17" s="1"/>
  <c r="E41" i="17"/>
  <c r="O41" i="17" s="1"/>
  <c r="G40" i="17"/>
  <c r="E40" i="17"/>
  <c r="O40" i="17" s="1"/>
  <c r="G35" i="17"/>
  <c r="J35" i="17" s="1"/>
  <c r="E35" i="17"/>
  <c r="O35" i="17" s="1"/>
  <c r="G34" i="17"/>
  <c r="J34" i="17" s="1"/>
  <c r="E34" i="17"/>
  <c r="O34" i="17" s="1"/>
  <c r="G21" i="17"/>
  <c r="J21" i="17" s="1"/>
  <c r="E21" i="17"/>
  <c r="O21" i="17" s="1"/>
  <c r="G17" i="17"/>
  <c r="J17" i="17" s="1"/>
  <c r="E17" i="17"/>
  <c r="O17" i="17" s="1"/>
  <c r="G8" i="17"/>
  <c r="J8" i="17" s="1"/>
  <c r="E8" i="17"/>
  <c r="O8" i="17" s="1"/>
  <c r="G7" i="17"/>
  <c r="J7" i="17" s="1"/>
  <c r="E7" i="17"/>
  <c r="O7" i="17" s="1"/>
  <c r="H30" i="17" l="1"/>
  <c r="K30" i="17" s="1"/>
  <c r="J30" i="17"/>
  <c r="H53" i="17"/>
  <c r="K53" i="17" s="1"/>
  <c r="H54" i="17"/>
  <c r="K54" i="17" s="1"/>
  <c r="H166" i="17"/>
  <c r="K166" i="17" s="1"/>
  <c r="H118" i="17"/>
  <c r="K118" i="17" s="1"/>
  <c r="H117" i="17"/>
  <c r="K117" i="17" s="1"/>
  <c r="J117" i="17"/>
  <c r="J166" i="17"/>
  <c r="H55" i="17"/>
  <c r="K55" i="17" s="1"/>
  <c r="J55" i="17"/>
  <c r="H86" i="17"/>
  <c r="K86" i="17" s="1"/>
  <c r="J86" i="17"/>
  <c r="H122" i="17"/>
  <c r="K122" i="17" s="1"/>
  <c r="H145" i="17"/>
  <c r="K145" i="17" s="1"/>
  <c r="H124" i="17"/>
  <c r="K124" i="17" s="1"/>
  <c r="H173" i="17"/>
  <c r="K173" i="17" s="1"/>
  <c r="H171" i="17"/>
  <c r="K171" i="17" s="1"/>
  <c r="H157" i="17"/>
  <c r="K157" i="17" s="1"/>
  <c r="H172" i="17"/>
  <c r="K172" i="17" s="1"/>
  <c r="H133" i="17"/>
  <c r="K133" i="17" s="1"/>
  <c r="H152" i="17"/>
  <c r="K152" i="17" s="1"/>
  <c r="H158" i="17"/>
  <c r="K158" i="17" s="1"/>
  <c r="H125" i="17"/>
  <c r="K125" i="17" s="1"/>
  <c r="J171" i="17"/>
  <c r="H151" i="17"/>
  <c r="K151" i="17" s="1"/>
  <c r="H156" i="17"/>
  <c r="K156" i="17" s="1"/>
  <c r="H109" i="17"/>
  <c r="K109" i="17" s="1"/>
  <c r="O122" i="17"/>
  <c r="H159" i="17"/>
  <c r="K159" i="17" s="1"/>
  <c r="H114" i="17"/>
  <c r="K114" i="17" s="1"/>
  <c r="H162" i="17"/>
  <c r="K162" i="17" s="1"/>
  <c r="H130" i="17"/>
  <c r="K130" i="17" s="1"/>
  <c r="H142" i="17"/>
  <c r="K142" i="17" s="1"/>
  <c r="H169" i="17"/>
  <c r="K169" i="17" s="1"/>
  <c r="H165" i="17"/>
  <c r="K165" i="17" s="1"/>
  <c r="O169" i="17"/>
  <c r="H140" i="17"/>
  <c r="K140" i="17" s="1"/>
  <c r="H138" i="17"/>
  <c r="K138" i="17" s="1"/>
  <c r="H153" i="17"/>
  <c r="K153" i="17" s="1"/>
  <c r="J157" i="17"/>
  <c r="H160" i="17"/>
  <c r="K160" i="17" s="1"/>
  <c r="H163" i="17"/>
  <c r="K163" i="17" s="1"/>
  <c r="H148" i="17"/>
  <c r="K148" i="17" s="1"/>
  <c r="J145" i="17"/>
  <c r="H48" i="17"/>
  <c r="K48" i="17" s="1"/>
  <c r="H106" i="17"/>
  <c r="K106" i="17" s="1"/>
  <c r="H128" i="17"/>
  <c r="K128" i="17" s="1"/>
  <c r="J156" i="17"/>
  <c r="H161" i="17"/>
  <c r="K161" i="17" s="1"/>
  <c r="H123" i="17"/>
  <c r="K123" i="17" s="1"/>
  <c r="H164" i="17"/>
  <c r="K164" i="17" s="1"/>
  <c r="H110" i="17"/>
  <c r="K110" i="17" s="1"/>
  <c r="J125" i="17"/>
  <c r="O151" i="17"/>
  <c r="J133" i="17"/>
  <c r="J152" i="17"/>
  <c r="J130" i="17"/>
  <c r="H94" i="17"/>
  <c r="K94" i="17" s="1"/>
  <c r="H113" i="17"/>
  <c r="K113" i="17" s="1"/>
  <c r="J124" i="17"/>
  <c r="J138" i="17"/>
  <c r="H141" i="17"/>
  <c r="K141" i="17" s="1"/>
  <c r="J142" i="17"/>
  <c r="H146" i="17"/>
  <c r="K146" i="17" s="1"/>
  <c r="J153" i="17"/>
  <c r="H102" i="17"/>
  <c r="K102" i="17" s="1"/>
  <c r="J110" i="17"/>
  <c r="H119" i="17"/>
  <c r="K119" i="17" s="1"/>
  <c r="H149" i="17"/>
  <c r="K149" i="17" s="1"/>
  <c r="H108" i="17"/>
  <c r="K108" i="17" s="1"/>
  <c r="H100" i="17"/>
  <c r="K100" i="17" s="1"/>
  <c r="H132" i="17"/>
  <c r="K132" i="17" s="1"/>
  <c r="J102" i="17"/>
  <c r="H107" i="17"/>
  <c r="K107" i="17" s="1"/>
  <c r="H72" i="17"/>
  <c r="K72" i="17" s="1"/>
  <c r="H97" i="17"/>
  <c r="K97" i="17" s="1"/>
  <c r="J109" i="17"/>
  <c r="H84" i="17"/>
  <c r="K84" i="17" s="1"/>
  <c r="H43" i="17"/>
  <c r="K43" i="17" s="1"/>
  <c r="O97" i="17"/>
  <c r="H90" i="17"/>
  <c r="K90" i="17" s="1"/>
  <c r="H83" i="17"/>
  <c r="K83" i="17" s="1"/>
  <c r="H74" i="17"/>
  <c r="K74" i="17" s="1"/>
  <c r="H95" i="17"/>
  <c r="K95" i="17" s="1"/>
  <c r="H101" i="17"/>
  <c r="K101" i="17" s="1"/>
  <c r="J84" i="17"/>
  <c r="H51" i="17"/>
  <c r="K51" i="17" s="1"/>
  <c r="H93" i="17"/>
  <c r="K93" i="17" s="1"/>
  <c r="H41" i="17"/>
  <c r="K41" i="17" s="1"/>
  <c r="J74" i="17"/>
  <c r="O83" i="17"/>
  <c r="H46" i="17"/>
  <c r="K46" i="17" s="1"/>
  <c r="H89" i="17"/>
  <c r="K89" i="17" s="1"/>
  <c r="J43" i="17"/>
  <c r="H91" i="17"/>
  <c r="K91" i="17" s="1"/>
  <c r="H40" i="17"/>
  <c r="K40" i="17" s="1"/>
  <c r="J40" i="17"/>
  <c r="J72" i="17"/>
  <c r="H67" i="17"/>
  <c r="K67" i="17" s="1"/>
  <c r="H88" i="17"/>
  <c r="K88" i="17" s="1"/>
  <c r="H85" i="17"/>
  <c r="K85" i="17" s="1"/>
  <c r="H34" i="17"/>
  <c r="K34" i="17" s="1"/>
  <c r="J51" i="17"/>
  <c r="H65" i="17"/>
  <c r="K65" i="17" s="1"/>
  <c r="H73" i="17"/>
  <c r="K73" i="17" s="1"/>
  <c r="H87" i="17"/>
  <c r="K87" i="17" s="1"/>
  <c r="J91" i="17"/>
  <c r="J46" i="17"/>
  <c r="H8" i="17"/>
  <c r="K8" i="17" s="1"/>
  <c r="H69" i="17"/>
  <c r="K69" i="17" s="1"/>
  <c r="H79" i="17"/>
  <c r="K79" i="17" s="1"/>
  <c r="J69" i="17"/>
  <c r="H42" i="17"/>
  <c r="K42" i="17" s="1"/>
  <c r="H56" i="17"/>
  <c r="K56" i="17" s="1"/>
  <c r="H49" i="17"/>
  <c r="K49" i="17" s="1"/>
  <c r="H52" i="17"/>
  <c r="K52" i="17" s="1"/>
  <c r="H57" i="17"/>
  <c r="K57" i="17" s="1"/>
  <c r="H66" i="17"/>
  <c r="K66" i="17" s="1"/>
  <c r="H68" i="17"/>
  <c r="K68" i="17" s="1"/>
  <c r="H75" i="17"/>
  <c r="K75" i="17" s="1"/>
  <c r="H81" i="17"/>
  <c r="K81" i="17" s="1"/>
  <c r="O48" i="17"/>
  <c r="O66" i="17"/>
  <c r="H17" i="17"/>
  <c r="K17" i="17" s="1"/>
  <c r="H44" i="17"/>
  <c r="K44" i="17" s="1"/>
  <c r="H35" i="17"/>
  <c r="K35" i="17" s="1"/>
  <c r="H7" i="17"/>
  <c r="H21" i="17"/>
  <c r="K21" i="17" s="1"/>
  <c r="J42" i="17"/>
  <c r="H45" i="17"/>
  <c r="K45" i="17" s="1"/>
  <c r="J52" i="17"/>
  <c r="H63" i="17"/>
  <c r="K63" i="17" s="1"/>
  <c r="J67" i="17"/>
  <c r="H71" i="17"/>
  <c r="K71" i="17" s="1"/>
  <c r="J75" i="17"/>
  <c r="H82" i="17"/>
  <c r="K82" i="17" s="1"/>
  <c r="N174" i="17" l="1"/>
  <c r="H174" i="17"/>
  <c r="H177" i="17" s="1"/>
  <c r="K7" i="17"/>
  <c r="K174" i="17" s="1"/>
  <c r="M177" i="17" l="1"/>
  <c r="K175" i="17"/>
  <c r="K177" i="17" s="1"/>
  <c r="R174" i="17" s="1"/>
  <c r="R176" i="17" s="1"/>
  <c r="L15" i="17" l="1"/>
  <c r="L167" i="17"/>
  <c r="L61" i="17"/>
  <c r="L60" i="17"/>
  <c r="L20" i="17"/>
  <c r="AA20" i="17" s="1"/>
  <c r="L26" i="17"/>
  <c r="AA26" i="17" s="1"/>
  <c r="L139" i="17"/>
  <c r="AA139" i="17" s="1"/>
  <c r="L77" i="17"/>
  <c r="AA77" i="17" s="1"/>
  <c r="L80" i="17"/>
  <c r="AA80" i="17" s="1"/>
  <c r="L104" i="17"/>
  <c r="AA104" i="17" s="1"/>
  <c r="L12" i="17"/>
  <c r="AA12" i="17" s="1"/>
  <c r="L120" i="17"/>
  <c r="AA120" i="17" s="1"/>
  <c r="AB120" i="17" s="1"/>
  <c r="L126" i="17"/>
  <c r="AA126" i="17" s="1"/>
  <c r="L105" i="17"/>
  <c r="AA105" i="17" s="1"/>
  <c r="L155" i="17"/>
  <c r="AA155" i="17" s="1"/>
  <c r="L11" i="17"/>
  <c r="AA11" i="17" s="1"/>
  <c r="L10" i="17"/>
  <c r="AA10" i="17" s="1"/>
  <c r="L9" i="17"/>
  <c r="AA9" i="17" s="1"/>
  <c r="L76" i="17"/>
  <c r="AA76" i="17" s="1"/>
  <c r="L16" i="17"/>
  <c r="AA16" i="17" s="1"/>
  <c r="L78" i="17"/>
  <c r="AA78" i="17" s="1"/>
  <c r="L111" i="17"/>
  <c r="AA111" i="17" s="1"/>
  <c r="L36" i="17"/>
  <c r="AA36" i="17" s="1"/>
  <c r="L103" i="17"/>
  <c r="AA103" i="17" s="1"/>
  <c r="L62" i="17"/>
  <c r="AA62" i="17" s="1"/>
  <c r="L39" i="17"/>
  <c r="AA39" i="17" s="1"/>
  <c r="L129" i="17"/>
  <c r="AA129" i="17" s="1"/>
  <c r="L38" i="17"/>
  <c r="AA38" i="17" s="1"/>
  <c r="L147" i="17"/>
  <c r="AA147" i="17" s="1"/>
  <c r="L127" i="17"/>
  <c r="AA127" i="17" s="1"/>
  <c r="L143" i="17"/>
  <c r="AA143" i="17" s="1"/>
  <c r="L144" i="17"/>
  <c r="AA144" i="17" s="1"/>
  <c r="L154" i="17"/>
  <c r="AA154" i="17" s="1"/>
  <c r="L13" i="17"/>
  <c r="AA13" i="17" s="1"/>
  <c r="L50" i="17"/>
  <c r="AA50" i="17" s="1"/>
  <c r="L135" i="17"/>
  <c r="AA135" i="17" s="1"/>
  <c r="L14" i="17"/>
  <c r="AA14" i="17" s="1"/>
  <c r="L131" i="17"/>
  <c r="AA131" i="17" s="1"/>
  <c r="L134" i="17"/>
  <c r="AA134" i="17" s="1"/>
  <c r="L37" i="17"/>
  <c r="AA37" i="17" s="1"/>
  <c r="L96" i="17"/>
  <c r="AA96" i="17" s="1"/>
  <c r="L47" i="17"/>
  <c r="AA47" i="17" s="1"/>
  <c r="L112" i="17"/>
  <c r="AA112" i="17" s="1"/>
  <c r="L64" i="17"/>
  <c r="AA64" i="17" s="1"/>
  <c r="L136" i="17"/>
  <c r="AA136" i="17" s="1"/>
  <c r="L25" i="17"/>
  <c r="AA25" i="17" s="1"/>
  <c r="L99" i="17"/>
  <c r="AA99" i="17" s="1"/>
  <c r="L27" i="17"/>
  <c r="AA27" i="17" s="1"/>
  <c r="L28" i="17"/>
  <c r="AA28" i="17" s="1"/>
  <c r="L92" i="17"/>
  <c r="AA92" i="17" s="1"/>
  <c r="AB92" i="17" s="1"/>
  <c r="L121" i="17"/>
  <c r="AA121" i="17" s="1"/>
  <c r="AB121" i="17" s="1"/>
  <c r="L31" i="17"/>
  <c r="AA31" i="17" s="1"/>
  <c r="L68" i="17"/>
  <c r="AA68" i="17" s="1"/>
  <c r="L33" i="17"/>
  <c r="AA33" i="17" s="1"/>
  <c r="L32" i="17"/>
  <c r="AA32" i="17" s="1"/>
  <c r="L170" i="17"/>
  <c r="AA170" i="17" s="1"/>
  <c r="L116" i="17"/>
  <c r="AA116" i="17" s="1"/>
  <c r="L98" i="17"/>
  <c r="AA98" i="17" s="1"/>
  <c r="L168" i="17"/>
  <c r="AA168" i="17" s="1"/>
  <c r="L150" i="17"/>
  <c r="AA150" i="17" s="1"/>
  <c r="L115" i="17"/>
  <c r="AA115" i="17" s="1"/>
  <c r="L100" i="17"/>
  <c r="AA100" i="17" s="1"/>
  <c r="L82" i="17"/>
  <c r="AA82" i="17" s="1"/>
  <c r="L137" i="17"/>
  <c r="AA137" i="17" s="1"/>
  <c r="L162" i="17"/>
  <c r="AA162" i="17" s="1"/>
  <c r="L149" i="17"/>
  <c r="AA149" i="17" s="1"/>
  <c r="L79" i="17"/>
  <c r="AA79" i="17" s="1"/>
  <c r="L87" i="17"/>
  <c r="AA87" i="17" s="1"/>
  <c r="L148" i="17"/>
  <c r="AA148" i="17" s="1"/>
  <c r="L89" i="17"/>
  <c r="AA89" i="17" s="1"/>
  <c r="L159" i="17"/>
  <c r="AA159" i="17" s="1"/>
  <c r="L122" i="17"/>
  <c r="AA122" i="17" s="1"/>
  <c r="L141" i="17"/>
  <c r="AA141" i="17" s="1"/>
  <c r="L113" i="17"/>
  <c r="AA113" i="17" s="1"/>
  <c r="L106" i="17"/>
  <c r="AA106" i="17" s="1"/>
  <c r="L88" i="17"/>
  <c r="AA88" i="17" s="1"/>
  <c r="L81" i="17"/>
  <c r="AA81" i="17" s="1"/>
  <c r="L160" i="17"/>
  <c r="AA160" i="17" s="1"/>
  <c r="L128" i="17"/>
  <c r="AA128" i="17" s="1"/>
  <c r="L172" i="17"/>
  <c r="AA172" i="17" s="1"/>
  <c r="L95" i="17"/>
  <c r="AA95" i="17" s="1"/>
  <c r="L97" i="17"/>
  <c r="AA97" i="17" s="1"/>
  <c r="L107" i="17"/>
  <c r="AA107" i="17" s="1"/>
  <c r="L173" i="17"/>
  <c r="AA173" i="17" s="1"/>
  <c r="L132" i="17"/>
  <c r="AA132" i="17" s="1"/>
  <c r="L93" i="17"/>
  <c r="AA93" i="17" s="1"/>
  <c r="L158" i="17"/>
  <c r="AA158" i="17" s="1"/>
  <c r="L123" i="17"/>
  <c r="AA123" i="17" s="1"/>
  <c r="L140" i="17"/>
  <c r="AA140" i="17" s="1"/>
  <c r="L119" i="17"/>
  <c r="AA119" i="17" s="1"/>
  <c r="L85" i="17"/>
  <c r="AA85" i="17" s="1"/>
  <c r="L164" i="17"/>
  <c r="AA164" i="17" s="1"/>
  <c r="L161" i="17"/>
  <c r="AA161" i="17" s="1"/>
  <c r="L151" i="17"/>
  <c r="AA151" i="17" s="1"/>
  <c r="L169" i="17"/>
  <c r="AA169" i="17" s="1"/>
  <c r="L165" i="17"/>
  <c r="AA165" i="17" s="1"/>
  <c r="L90" i="17"/>
  <c r="AA90" i="17" s="1"/>
  <c r="L108" i="17"/>
  <c r="AA108" i="17" s="1"/>
  <c r="L94" i="17"/>
  <c r="AA94" i="17" s="1"/>
  <c r="L114" i="17"/>
  <c r="AA114" i="17" s="1"/>
  <c r="L83" i="17"/>
  <c r="AA83" i="17" s="1"/>
  <c r="L101" i="17"/>
  <c r="AA101" i="17" s="1"/>
  <c r="L163" i="17"/>
  <c r="AA163" i="17" s="1"/>
  <c r="L118" i="17"/>
  <c r="AA118" i="17" s="1"/>
  <c r="L146" i="17"/>
  <c r="AA146" i="17" s="1"/>
  <c r="L110" i="17"/>
  <c r="AA110" i="17" s="1"/>
  <c r="L125" i="17"/>
  <c r="AA125" i="17" s="1"/>
  <c r="L109" i="17"/>
  <c r="AA109" i="17" s="1"/>
  <c r="L171" i="17"/>
  <c r="AA171" i="17" s="1"/>
  <c r="L166" i="17"/>
  <c r="AA166" i="17" s="1"/>
  <c r="L138" i="17"/>
  <c r="AA138" i="17" s="1"/>
  <c r="L117" i="17"/>
  <c r="AA117" i="17" s="1"/>
  <c r="L102" i="17"/>
  <c r="AA102" i="17" s="1"/>
  <c r="L153" i="17"/>
  <c r="AA153" i="17" s="1"/>
  <c r="L91" i="17"/>
  <c r="AA91" i="17" s="1"/>
  <c r="L142" i="17"/>
  <c r="AA142" i="17" s="1"/>
  <c r="L145" i="17"/>
  <c r="AA145" i="17" s="1"/>
  <c r="L156" i="17"/>
  <c r="AA156" i="17" s="1"/>
  <c r="L86" i="17"/>
  <c r="AA86" i="17" s="1"/>
  <c r="L130" i="17"/>
  <c r="AA130" i="17" s="1"/>
  <c r="L157" i="17"/>
  <c r="AA157" i="17" s="1"/>
  <c r="L124" i="17"/>
  <c r="AA124" i="17" s="1"/>
  <c r="L133" i="17"/>
  <c r="AA133" i="17" s="1"/>
  <c r="L152" i="17"/>
  <c r="AA152" i="17" s="1"/>
  <c r="L84" i="17"/>
  <c r="AA84" i="17" s="1"/>
  <c r="L23" i="17"/>
  <c r="AA23" i="17" s="1"/>
  <c r="L24" i="17"/>
  <c r="AA24" i="17" s="1"/>
  <c r="L29" i="17"/>
  <c r="AA29" i="17" s="1"/>
  <c r="L22" i="17"/>
  <c r="AA22" i="17" s="1"/>
  <c r="L19" i="17"/>
  <c r="AA19" i="17" s="1"/>
  <c r="L59" i="17"/>
  <c r="AA59" i="17" s="1"/>
  <c r="L58" i="17"/>
  <c r="AA58" i="17" s="1"/>
  <c r="L70" i="17"/>
  <c r="AA70" i="17" s="1"/>
  <c r="L18" i="17"/>
  <c r="AA18" i="17" s="1"/>
  <c r="L54" i="17"/>
  <c r="AA54" i="17" s="1"/>
  <c r="L30" i="17"/>
  <c r="AA30" i="17" s="1"/>
  <c r="L55" i="17"/>
  <c r="AA55" i="17" s="1"/>
  <c r="L53" i="17"/>
  <c r="AA53" i="17" s="1"/>
  <c r="L72" i="17"/>
  <c r="AA72" i="17" s="1"/>
  <c r="L43" i="17"/>
  <c r="AA43" i="17" s="1"/>
  <c r="L8" i="17"/>
  <c r="AA8" i="17" s="1"/>
  <c r="L49" i="17"/>
  <c r="AA49" i="17" s="1"/>
  <c r="L40" i="17"/>
  <c r="AA40" i="17" s="1"/>
  <c r="L69" i="17"/>
  <c r="AA69" i="17" s="1"/>
  <c r="L7" i="17"/>
  <c r="AA7" i="17" s="1"/>
  <c r="L51" i="17"/>
  <c r="AA51" i="17" s="1"/>
  <c r="L45" i="17"/>
  <c r="AA45" i="17" s="1"/>
  <c r="L35" i="17"/>
  <c r="AA35" i="17" s="1"/>
  <c r="L41" i="17"/>
  <c r="AA41" i="17" s="1"/>
  <c r="L65" i="17"/>
  <c r="AA65" i="17" s="1"/>
  <c r="L74" i="17"/>
  <c r="AA74" i="17" s="1"/>
  <c r="L17" i="17"/>
  <c r="AA17" i="17" s="1"/>
  <c r="L46" i="17"/>
  <c r="AA46" i="17" s="1"/>
  <c r="L57" i="17"/>
  <c r="AA57" i="17" s="1"/>
  <c r="L48" i="17"/>
  <c r="AA48" i="17" s="1"/>
  <c r="L56" i="17"/>
  <c r="AA56" i="17" s="1"/>
  <c r="L34" i="17"/>
  <c r="AA34" i="17" s="1"/>
  <c r="L71" i="17"/>
  <c r="AA71" i="17" s="1"/>
  <c r="L44" i="17"/>
  <c r="AA44" i="17" s="1"/>
  <c r="L73" i="17"/>
  <c r="AA73" i="17" s="1"/>
  <c r="L21" i="17"/>
  <c r="AA21" i="17" s="1"/>
  <c r="L66" i="17"/>
  <c r="AA66" i="17" s="1"/>
  <c r="L63" i="17"/>
  <c r="AA63" i="17" s="1"/>
  <c r="L75" i="17"/>
  <c r="AA75" i="17" s="1"/>
  <c r="L52" i="17"/>
  <c r="AA52" i="17" s="1"/>
  <c r="L42" i="17"/>
  <c r="AA42" i="17" s="1"/>
  <c r="L67" i="17"/>
  <c r="AA67" i="17" s="1"/>
  <c r="AA15" i="17" l="1"/>
  <c r="P15" i="17"/>
  <c r="M15" i="17"/>
  <c r="AA167" i="17"/>
  <c r="P167" i="17"/>
  <c r="M167" i="17"/>
  <c r="Q15" i="17"/>
  <c r="R15" i="17"/>
  <c r="AB15" i="17" s="1"/>
  <c r="AA61" i="17"/>
  <c r="P61" i="17"/>
  <c r="M61" i="17"/>
  <c r="AA60" i="17"/>
  <c r="P60" i="17"/>
  <c r="M60" i="17"/>
  <c r="M112" i="17"/>
  <c r="M76" i="17"/>
  <c r="P94" i="17"/>
  <c r="M121" i="17"/>
  <c r="M135" i="17"/>
  <c r="P38" i="17"/>
  <c r="Q38" i="17" s="1"/>
  <c r="M120" i="17"/>
  <c r="M77" i="17"/>
  <c r="P19" i="17"/>
  <c r="P129" i="17"/>
  <c r="M55" i="17"/>
  <c r="M154" i="17"/>
  <c r="M62" i="17"/>
  <c r="M54" i="17"/>
  <c r="P37" i="17"/>
  <c r="M23" i="17"/>
  <c r="P33" i="17"/>
  <c r="M25" i="17"/>
  <c r="M143" i="17"/>
  <c r="M36" i="17"/>
  <c r="M92" i="17"/>
  <c r="M29" i="17"/>
  <c r="P27" i="17"/>
  <c r="M70" i="17"/>
  <c r="M131" i="17"/>
  <c r="M105" i="17"/>
  <c r="M26" i="17"/>
  <c r="P47" i="17"/>
  <c r="M13" i="17"/>
  <c r="P104" i="17"/>
  <c r="P17" i="17"/>
  <c r="P31" i="17"/>
  <c r="R31" i="17" s="1"/>
  <c r="AB31" i="17" s="1"/>
  <c r="M64" i="17"/>
  <c r="M147" i="17"/>
  <c r="P78" i="17"/>
  <c r="R78" i="17" s="1"/>
  <c r="AB78" i="17" s="1"/>
  <c r="P20" i="17"/>
  <c r="M20" i="17"/>
  <c r="P26" i="17"/>
  <c r="Q26" i="17" s="1"/>
  <c r="M139" i="17"/>
  <c r="P139" i="17"/>
  <c r="P77" i="17"/>
  <c r="Q77" i="17" s="1"/>
  <c r="P80" i="17"/>
  <c r="M80" i="17"/>
  <c r="M104" i="17"/>
  <c r="M12" i="17"/>
  <c r="P12" i="17"/>
  <c r="P105" i="17"/>
  <c r="R105" i="17" s="1"/>
  <c r="AB105" i="17" s="1"/>
  <c r="P126" i="17"/>
  <c r="M126" i="17"/>
  <c r="M155" i="17"/>
  <c r="P155" i="17"/>
  <c r="M9" i="17"/>
  <c r="P9" i="17"/>
  <c r="M10" i="17"/>
  <c r="P10" i="17"/>
  <c r="M11" i="17"/>
  <c r="P11" i="17"/>
  <c r="P76" i="17"/>
  <c r="Q76" i="17" s="1"/>
  <c r="M78" i="17"/>
  <c r="M16" i="17"/>
  <c r="P16" i="17"/>
  <c r="P36" i="17"/>
  <c r="Q36" i="17" s="1"/>
  <c r="M111" i="17"/>
  <c r="P111" i="17"/>
  <c r="P62" i="17"/>
  <c r="Q62" i="17" s="1"/>
  <c r="M103" i="17"/>
  <c r="P103" i="17"/>
  <c r="M129" i="17"/>
  <c r="M39" i="17"/>
  <c r="P39" i="17"/>
  <c r="M38" i="17"/>
  <c r="P147" i="17"/>
  <c r="Q147" i="17" s="1"/>
  <c r="P143" i="17"/>
  <c r="Q143" i="17" s="1"/>
  <c r="M127" i="17"/>
  <c r="P127" i="17"/>
  <c r="P154" i="17"/>
  <c r="R154" i="17" s="1"/>
  <c r="AB154" i="17" s="1"/>
  <c r="M144" i="17"/>
  <c r="P144" i="17"/>
  <c r="P135" i="17"/>
  <c r="Q135" i="17" s="1"/>
  <c r="P13" i="17"/>
  <c r="Q13" i="17" s="1"/>
  <c r="M50" i="17"/>
  <c r="P50" i="17"/>
  <c r="P131" i="17"/>
  <c r="R131" i="17" s="1"/>
  <c r="AB131" i="17" s="1"/>
  <c r="M14" i="17"/>
  <c r="P14" i="17"/>
  <c r="M37" i="17"/>
  <c r="M134" i="17"/>
  <c r="P134" i="17"/>
  <c r="M47" i="17"/>
  <c r="P96" i="17"/>
  <c r="M96" i="17"/>
  <c r="P112" i="17"/>
  <c r="R112" i="17" s="1"/>
  <c r="AB112" i="17" s="1"/>
  <c r="P64" i="17"/>
  <c r="Q64" i="17" s="1"/>
  <c r="P25" i="17"/>
  <c r="R25" i="17" s="1"/>
  <c r="AB25" i="17" s="1"/>
  <c r="P136" i="17"/>
  <c r="M136" i="17"/>
  <c r="M27" i="17"/>
  <c r="P99" i="17"/>
  <c r="M99" i="17"/>
  <c r="M28" i="17"/>
  <c r="P28" i="17"/>
  <c r="M31" i="17"/>
  <c r="M33" i="17"/>
  <c r="M32" i="17"/>
  <c r="P32" i="17"/>
  <c r="P23" i="17"/>
  <c r="R23" i="17" s="1"/>
  <c r="AB23" i="17" s="1"/>
  <c r="P29" i="17"/>
  <c r="R29" i="17" s="1"/>
  <c r="AB29" i="17" s="1"/>
  <c r="M24" i="17"/>
  <c r="P24" i="17"/>
  <c r="M19" i="17"/>
  <c r="P22" i="17"/>
  <c r="M22" i="17"/>
  <c r="M59" i="17"/>
  <c r="P59" i="17"/>
  <c r="P58" i="17"/>
  <c r="M58" i="17"/>
  <c r="P70" i="17"/>
  <c r="Q70" i="17" s="1"/>
  <c r="P54" i="17"/>
  <c r="R54" i="17" s="1"/>
  <c r="AB54" i="17" s="1"/>
  <c r="M18" i="17"/>
  <c r="P18" i="17"/>
  <c r="P55" i="17"/>
  <c r="R55" i="17" s="1"/>
  <c r="AB55" i="17" s="1"/>
  <c r="M30" i="17"/>
  <c r="P30" i="17"/>
  <c r="M53" i="17"/>
  <c r="P53" i="17"/>
  <c r="P63" i="17"/>
  <c r="M63" i="17"/>
  <c r="P56" i="17"/>
  <c r="M56" i="17"/>
  <c r="M41" i="17"/>
  <c r="P41" i="17"/>
  <c r="P40" i="17"/>
  <c r="M40" i="17"/>
  <c r="P66" i="17"/>
  <c r="M66" i="17"/>
  <c r="P48" i="17"/>
  <c r="M48" i="17"/>
  <c r="P35" i="17"/>
  <c r="M35" i="17"/>
  <c r="P49" i="17"/>
  <c r="M49" i="17"/>
  <c r="P21" i="17"/>
  <c r="M21" i="17"/>
  <c r="M57" i="17"/>
  <c r="P57" i="17"/>
  <c r="P45" i="17"/>
  <c r="M45" i="17"/>
  <c r="P73" i="17"/>
  <c r="M73" i="17"/>
  <c r="P46" i="17"/>
  <c r="M46" i="17"/>
  <c r="M51" i="17"/>
  <c r="P51" i="17"/>
  <c r="P8" i="17"/>
  <c r="M8" i="17"/>
  <c r="P67" i="17"/>
  <c r="M67" i="17"/>
  <c r="M17" i="17"/>
  <c r="P82" i="17"/>
  <c r="M82" i="17"/>
  <c r="M43" i="17"/>
  <c r="P43" i="17"/>
  <c r="P42" i="17"/>
  <c r="M42" i="17"/>
  <c r="M44" i="17"/>
  <c r="P44" i="17"/>
  <c r="P68" i="17"/>
  <c r="M68" i="17"/>
  <c r="M81" i="17"/>
  <c r="P81" i="17"/>
  <c r="P79" i="17"/>
  <c r="M79" i="17"/>
  <c r="P52" i="17"/>
  <c r="M52" i="17"/>
  <c r="P71" i="17"/>
  <c r="M71" i="17"/>
  <c r="P74" i="17"/>
  <c r="M74" i="17"/>
  <c r="P7" i="17"/>
  <c r="M7" i="17"/>
  <c r="P72" i="17"/>
  <c r="M72" i="17"/>
  <c r="P75" i="17"/>
  <c r="M75" i="17"/>
  <c r="P34" i="17"/>
  <c r="M34" i="17"/>
  <c r="P65" i="17"/>
  <c r="M65" i="17"/>
  <c r="M69" i="17"/>
  <c r="P69" i="17"/>
  <c r="R20" i="17" l="1"/>
  <c r="AB20" i="17" s="1"/>
  <c r="Q20" i="17"/>
  <c r="Q167" i="17"/>
  <c r="R167" i="17"/>
  <c r="AB167" i="17" s="1"/>
  <c r="R61" i="17"/>
  <c r="AB61" i="17" s="1"/>
  <c r="Q61" i="17"/>
  <c r="Q60" i="17"/>
  <c r="R60" i="17"/>
  <c r="AB60" i="17" s="1"/>
  <c r="R19" i="17"/>
  <c r="AB19" i="17" s="1"/>
  <c r="Q19" i="17"/>
  <c r="Q33" i="17"/>
  <c r="R33" i="17"/>
  <c r="AB33" i="17" s="1"/>
  <c r="R27" i="17"/>
  <c r="AB27" i="17" s="1"/>
  <c r="Q27" i="17"/>
  <c r="Q47" i="17"/>
  <c r="R47" i="17"/>
  <c r="AB47" i="17" s="1"/>
  <c r="R104" i="17"/>
  <c r="AB104" i="17" s="1"/>
  <c r="Q104" i="17"/>
  <c r="R129" i="17"/>
  <c r="AB129" i="17" s="1"/>
  <c r="Q129" i="17"/>
  <c r="R37" i="17"/>
  <c r="AB37" i="17" s="1"/>
  <c r="Q37" i="17"/>
  <c r="R38" i="17"/>
  <c r="AB38" i="17" s="1"/>
  <c r="Q31" i="17"/>
  <c r="Q78" i="17"/>
  <c r="R26" i="17"/>
  <c r="AB26" i="17" s="1"/>
  <c r="R77" i="17"/>
  <c r="AB77" i="17" s="1"/>
  <c r="R139" i="17"/>
  <c r="AB139" i="17" s="1"/>
  <c r="Q139" i="17"/>
  <c r="R80" i="17"/>
  <c r="AB80" i="17" s="1"/>
  <c r="Q80" i="17"/>
  <c r="Q105" i="17"/>
  <c r="Q12" i="17"/>
  <c r="R12" i="17"/>
  <c r="AB12" i="17" s="1"/>
  <c r="R126" i="17"/>
  <c r="AB126" i="17" s="1"/>
  <c r="Q126" i="17"/>
  <c r="R155" i="17"/>
  <c r="AB155" i="17" s="1"/>
  <c r="Q155" i="17"/>
  <c r="Q11" i="17"/>
  <c r="R11" i="17"/>
  <c r="AB11" i="17" s="1"/>
  <c r="R76" i="17"/>
  <c r="AB76" i="17" s="1"/>
  <c r="Q9" i="17"/>
  <c r="R9" i="17"/>
  <c r="AB9" i="17" s="1"/>
  <c r="R10" i="17"/>
  <c r="AB10" i="17" s="1"/>
  <c r="Q10" i="17"/>
  <c r="R36" i="17"/>
  <c r="AB36" i="17" s="1"/>
  <c r="Q16" i="17"/>
  <c r="R16" i="17"/>
  <c r="AB16" i="17" s="1"/>
  <c r="R111" i="17"/>
  <c r="AB111" i="17" s="1"/>
  <c r="Q111" i="17"/>
  <c r="R62" i="17"/>
  <c r="AB62" i="17" s="1"/>
  <c r="R103" i="17"/>
  <c r="AB103" i="17" s="1"/>
  <c r="Q103" i="17"/>
  <c r="R39" i="17"/>
  <c r="AB39" i="17" s="1"/>
  <c r="Q39" i="17"/>
  <c r="R147" i="17"/>
  <c r="AB147" i="17" s="1"/>
  <c r="R143" i="17"/>
  <c r="AB143" i="17" s="1"/>
  <c r="Q154" i="17"/>
  <c r="R127" i="17"/>
  <c r="AB127" i="17" s="1"/>
  <c r="Q127" i="17"/>
  <c r="R144" i="17"/>
  <c r="AB144" i="17" s="1"/>
  <c r="Q144" i="17"/>
  <c r="R135" i="17"/>
  <c r="AB135" i="17" s="1"/>
  <c r="R13" i="17"/>
  <c r="AB13" i="17" s="1"/>
  <c r="Q131" i="17"/>
  <c r="Q50" i="17"/>
  <c r="R50" i="17"/>
  <c r="AB50" i="17" s="1"/>
  <c r="Q14" i="17"/>
  <c r="R14" i="17"/>
  <c r="AB14" i="17" s="1"/>
  <c r="R134" i="17"/>
  <c r="AB134" i="17" s="1"/>
  <c r="Q134" i="17"/>
  <c r="R96" i="17"/>
  <c r="AB96" i="17" s="1"/>
  <c r="Q96" i="17"/>
  <c r="Q112" i="17"/>
  <c r="R64" i="17"/>
  <c r="AB64" i="17" s="1"/>
  <c r="Q25" i="17"/>
  <c r="R136" i="17"/>
  <c r="AB136" i="17" s="1"/>
  <c r="Q136" i="17"/>
  <c r="R99" i="17"/>
  <c r="AB99" i="17" s="1"/>
  <c r="Q99" i="17"/>
  <c r="R28" i="17"/>
  <c r="AB28" i="17" s="1"/>
  <c r="Q28" i="17"/>
  <c r="Q23" i="17"/>
  <c r="R32" i="17"/>
  <c r="AB32" i="17" s="1"/>
  <c r="Q32" i="17"/>
  <c r="Q29" i="17"/>
  <c r="P98" i="17"/>
  <c r="M98" i="17"/>
  <c r="R24" i="17"/>
  <c r="AB24" i="17" s="1"/>
  <c r="Q24" i="17"/>
  <c r="R22" i="17"/>
  <c r="AB22" i="17" s="1"/>
  <c r="Q22" i="17"/>
  <c r="R70" i="17"/>
  <c r="AB70" i="17" s="1"/>
  <c r="R58" i="17"/>
  <c r="AB58" i="17" s="1"/>
  <c r="Q58" i="17"/>
  <c r="R59" i="17"/>
  <c r="AB59" i="17" s="1"/>
  <c r="Q59" i="17"/>
  <c r="Q54" i="17"/>
  <c r="R18" i="17"/>
  <c r="AB18" i="17" s="1"/>
  <c r="Q18" i="17"/>
  <c r="P170" i="17"/>
  <c r="M170" i="17"/>
  <c r="P166" i="17"/>
  <c r="Q55" i="17"/>
  <c r="R30" i="17"/>
  <c r="AB30" i="17" s="1"/>
  <c r="Q30" i="17"/>
  <c r="R53" i="17"/>
  <c r="AB53" i="17" s="1"/>
  <c r="Q53" i="17"/>
  <c r="M86" i="17"/>
  <c r="P86" i="17"/>
  <c r="P93" i="17"/>
  <c r="R75" i="17"/>
  <c r="AB75" i="17" s="1"/>
  <c r="Q75" i="17"/>
  <c r="Q71" i="17"/>
  <c r="R71" i="17"/>
  <c r="AB71" i="17" s="1"/>
  <c r="Q68" i="17"/>
  <c r="R68" i="17"/>
  <c r="AB68" i="17" s="1"/>
  <c r="R82" i="17"/>
  <c r="AB82" i="17" s="1"/>
  <c r="Q82" i="17"/>
  <c r="Q8" i="17"/>
  <c r="R8" i="17"/>
  <c r="AB8" i="17" s="1"/>
  <c r="R49" i="17"/>
  <c r="AB49" i="17" s="1"/>
  <c r="Q49" i="17"/>
  <c r="R40" i="17"/>
  <c r="AB40" i="17" s="1"/>
  <c r="Q40" i="17"/>
  <c r="R69" i="17"/>
  <c r="AB69" i="17" s="1"/>
  <c r="Q69" i="17"/>
  <c r="R44" i="17"/>
  <c r="AB44" i="17" s="1"/>
  <c r="Q44" i="17"/>
  <c r="R17" i="17"/>
  <c r="AB17" i="17" s="1"/>
  <c r="Q17" i="17"/>
  <c r="R51" i="17"/>
  <c r="AB51" i="17" s="1"/>
  <c r="Q51" i="17"/>
  <c r="R41" i="17"/>
  <c r="AB41" i="17" s="1"/>
  <c r="Q41" i="17"/>
  <c r="R72" i="17"/>
  <c r="AB72" i="17" s="1"/>
  <c r="Q72" i="17"/>
  <c r="R52" i="17"/>
  <c r="AB52" i="17" s="1"/>
  <c r="Q52" i="17"/>
  <c r="R45" i="17"/>
  <c r="AB45" i="17" s="1"/>
  <c r="Q45" i="17"/>
  <c r="R35" i="17"/>
  <c r="AB35" i="17" s="1"/>
  <c r="Q35" i="17"/>
  <c r="R57" i="17"/>
  <c r="AB57" i="17" s="1"/>
  <c r="Q57" i="17"/>
  <c r="R65" i="17"/>
  <c r="AB65" i="17" s="1"/>
  <c r="Q65" i="17"/>
  <c r="R7" i="17"/>
  <c r="AB7" i="17" s="1"/>
  <c r="Q7" i="17"/>
  <c r="Q79" i="17"/>
  <c r="R79" i="17"/>
  <c r="AB79" i="17" s="1"/>
  <c r="R42" i="17"/>
  <c r="AB42" i="17" s="1"/>
  <c r="Q42" i="17"/>
  <c r="R46" i="17"/>
  <c r="AB46" i="17" s="1"/>
  <c r="Q46" i="17"/>
  <c r="R48" i="17"/>
  <c r="AB48" i="17" s="1"/>
  <c r="Q48" i="17"/>
  <c r="Q56" i="17"/>
  <c r="R56" i="17"/>
  <c r="AB56" i="17" s="1"/>
  <c r="R81" i="17"/>
  <c r="AB81" i="17" s="1"/>
  <c r="Q81" i="17"/>
  <c r="Q43" i="17"/>
  <c r="R43" i="17"/>
  <c r="AB43" i="17" s="1"/>
  <c r="R34" i="17"/>
  <c r="AB34" i="17" s="1"/>
  <c r="Q34" i="17"/>
  <c r="R74" i="17"/>
  <c r="AB74" i="17" s="1"/>
  <c r="Q74" i="17"/>
  <c r="R67" i="17"/>
  <c r="AB67" i="17" s="1"/>
  <c r="Q67" i="17"/>
  <c r="R73" i="17"/>
  <c r="AB73" i="17" s="1"/>
  <c r="Q73" i="17"/>
  <c r="Q21" i="17"/>
  <c r="R21" i="17"/>
  <c r="AB21" i="17" s="1"/>
  <c r="R66" i="17"/>
  <c r="AB66" i="17" s="1"/>
  <c r="Q66" i="17"/>
  <c r="Q63" i="17"/>
  <c r="R63" i="17"/>
  <c r="AB63" i="17" s="1"/>
  <c r="R98" i="17" l="1"/>
  <c r="AB98" i="17" s="1"/>
  <c r="Q98" i="17"/>
  <c r="M166" i="17"/>
  <c r="R170" i="17"/>
  <c r="AB170" i="17" s="1"/>
  <c r="Q170" i="17"/>
  <c r="M168" i="17"/>
  <c r="P168" i="17"/>
  <c r="R166" i="17"/>
  <c r="AB166" i="17" s="1"/>
  <c r="Q166" i="17"/>
  <c r="R86" i="17"/>
  <c r="AB86" i="17" s="1"/>
  <c r="Q86" i="17"/>
  <c r="M93" i="17"/>
  <c r="M173" i="17"/>
  <c r="P173" i="17"/>
  <c r="P172" i="17"/>
  <c r="M172" i="17"/>
  <c r="M169" i="17"/>
  <c r="P169" i="17"/>
  <c r="P160" i="17"/>
  <c r="M160" i="17"/>
  <c r="P162" i="17"/>
  <c r="M162" i="17"/>
  <c r="P165" i="17"/>
  <c r="M165" i="17"/>
  <c r="P157" i="17"/>
  <c r="M157" i="17"/>
  <c r="P161" i="17"/>
  <c r="M161" i="17"/>
  <c r="P164" i="17"/>
  <c r="M164" i="17"/>
  <c r="M163" i="17"/>
  <c r="P163" i="17"/>
  <c r="P171" i="17"/>
  <c r="M171" i="17"/>
  <c r="M158" i="17"/>
  <c r="P158" i="17"/>
  <c r="P159" i="17"/>
  <c r="M159" i="17"/>
  <c r="P109" i="17"/>
  <c r="M109" i="17"/>
  <c r="M107" i="17"/>
  <c r="P107" i="17"/>
  <c r="P108" i="17"/>
  <c r="M108" i="17"/>
  <c r="P110" i="17"/>
  <c r="M110" i="17"/>
  <c r="P106" i="17"/>
  <c r="M106" i="17"/>
  <c r="M94" i="17"/>
  <c r="P97" i="17"/>
  <c r="M97" i="17"/>
  <c r="P101" i="17"/>
  <c r="M101" i="17"/>
  <c r="P100" i="17"/>
  <c r="M100" i="17"/>
  <c r="M95" i="17"/>
  <c r="P95" i="17"/>
  <c r="P102" i="17"/>
  <c r="M102" i="17"/>
  <c r="R93" i="17"/>
  <c r="AB93" i="17" s="1"/>
  <c r="Q93" i="17"/>
  <c r="M88" i="17"/>
  <c r="P88" i="17"/>
  <c r="P87" i="17"/>
  <c r="M87" i="17"/>
  <c r="P85" i="17"/>
  <c r="M85" i="17"/>
  <c r="P84" i="17"/>
  <c r="M84" i="17"/>
  <c r="P90" i="17"/>
  <c r="M90" i="17"/>
  <c r="P89" i="17"/>
  <c r="M89" i="17"/>
  <c r="P91" i="17"/>
  <c r="M91" i="17"/>
  <c r="M83" i="17"/>
  <c r="P83" i="17"/>
  <c r="P116" i="17" l="1"/>
  <c r="M116" i="17"/>
  <c r="P150" i="17"/>
  <c r="R168" i="17"/>
  <c r="AB168" i="17" s="1"/>
  <c r="Q168" i="17"/>
  <c r="P115" i="17"/>
  <c r="R173" i="17"/>
  <c r="AB173" i="17" s="1"/>
  <c r="Q173" i="17"/>
  <c r="R172" i="17"/>
  <c r="AB172" i="17" s="1"/>
  <c r="Q172" i="17"/>
  <c r="R160" i="17"/>
  <c r="AB160" i="17" s="1"/>
  <c r="Q160" i="17"/>
  <c r="Q162" i="17"/>
  <c r="R162" i="17"/>
  <c r="AB162" i="17" s="1"/>
  <c r="R169" i="17"/>
  <c r="AB169" i="17" s="1"/>
  <c r="Q169" i="17"/>
  <c r="R163" i="17"/>
  <c r="AB163" i="17" s="1"/>
  <c r="Q163" i="17"/>
  <c r="Q165" i="17"/>
  <c r="R165" i="17"/>
  <c r="AB165" i="17" s="1"/>
  <c r="R159" i="17"/>
  <c r="AB159" i="17" s="1"/>
  <c r="Q159" i="17"/>
  <c r="R164" i="17"/>
  <c r="AB164" i="17" s="1"/>
  <c r="Q164" i="17"/>
  <c r="R158" i="17"/>
  <c r="AB158" i="17" s="1"/>
  <c r="Q158" i="17"/>
  <c r="R161" i="17"/>
  <c r="AB161" i="17" s="1"/>
  <c r="Q161" i="17"/>
  <c r="R171" i="17"/>
  <c r="AB171" i="17" s="1"/>
  <c r="Q171" i="17"/>
  <c r="R157" i="17"/>
  <c r="AB157" i="17" s="1"/>
  <c r="Q157" i="17"/>
  <c r="R110" i="17"/>
  <c r="AB110" i="17" s="1"/>
  <c r="Q110" i="17"/>
  <c r="Q106" i="17"/>
  <c r="R106" i="17"/>
  <c r="AB106" i="17" s="1"/>
  <c r="R107" i="17"/>
  <c r="AB107" i="17" s="1"/>
  <c r="Q107" i="17"/>
  <c r="R108" i="17"/>
  <c r="AB108" i="17" s="1"/>
  <c r="Q108" i="17"/>
  <c r="Q109" i="17"/>
  <c r="R109" i="17"/>
  <c r="AB109" i="17" s="1"/>
  <c r="R97" i="17"/>
  <c r="AB97" i="17" s="1"/>
  <c r="Q97" i="17"/>
  <c r="R101" i="17"/>
  <c r="AB101" i="17" s="1"/>
  <c r="Q101" i="17"/>
  <c r="Q95" i="17"/>
  <c r="R95" i="17"/>
  <c r="AB95" i="17" s="1"/>
  <c r="Q94" i="17"/>
  <c r="R94" i="17"/>
  <c r="AB94" i="17" s="1"/>
  <c r="R100" i="17"/>
  <c r="AB100" i="17" s="1"/>
  <c r="Q100" i="17"/>
  <c r="R102" i="17"/>
  <c r="AB102" i="17" s="1"/>
  <c r="Q102" i="17"/>
  <c r="R84" i="17"/>
  <c r="AB84" i="17" s="1"/>
  <c r="Q84" i="17"/>
  <c r="R89" i="17"/>
  <c r="AB89" i="17" s="1"/>
  <c r="Q89" i="17"/>
  <c r="R83" i="17"/>
  <c r="AB83" i="17" s="1"/>
  <c r="Q83" i="17"/>
  <c r="Q90" i="17"/>
  <c r="R90" i="17"/>
  <c r="AB90" i="17" s="1"/>
  <c r="R88" i="17"/>
  <c r="AB88" i="17" s="1"/>
  <c r="Q88" i="17"/>
  <c r="R87" i="17"/>
  <c r="AB87" i="17" s="1"/>
  <c r="Q87" i="17"/>
  <c r="Q91" i="17"/>
  <c r="R91" i="17"/>
  <c r="AB91" i="17" s="1"/>
  <c r="R85" i="17"/>
  <c r="AB85" i="17" s="1"/>
  <c r="Q85" i="17"/>
  <c r="R116" i="17" l="1"/>
  <c r="AB116" i="17" s="1"/>
  <c r="Q116" i="17"/>
  <c r="M150" i="17"/>
  <c r="M115" i="17"/>
  <c r="Q150" i="17"/>
  <c r="R150" i="17"/>
  <c r="AB150" i="17" s="1"/>
  <c r="M137" i="17"/>
  <c r="P137" i="17"/>
  <c r="Q115" i="17"/>
  <c r="R115" i="17"/>
  <c r="AB115" i="17" s="1"/>
  <c r="M117" i="17"/>
  <c r="P117" i="17"/>
  <c r="P118" i="17"/>
  <c r="M118" i="17"/>
  <c r="M149" i="17"/>
  <c r="P149" i="17"/>
  <c r="M128" i="17"/>
  <c r="P128" i="17"/>
  <c r="P153" i="17"/>
  <c r="M153" i="17"/>
  <c r="P123" i="17"/>
  <c r="M123" i="17"/>
  <c r="M145" i="17"/>
  <c r="P145" i="17"/>
  <c r="P146" i="17"/>
  <c r="M146" i="17"/>
  <c r="M138" i="17"/>
  <c r="P138" i="17"/>
  <c r="P152" i="17"/>
  <c r="M152" i="17"/>
  <c r="M130" i="17"/>
  <c r="P130" i="17"/>
  <c r="P125" i="17"/>
  <c r="M125" i="17"/>
  <c r="M119" i="17"/>
  <c r="P119" i="17"/>
  <c r="P124" i="17"/>
  <c r="M124" i="17"/>
  <c r="P133" i="17"/>
  <c r="M133" i="17"/>
  <c r="P141" i="17"/>
  <c r="M141" i="17"/>
  <c r="P113" i="17"/>
  <c r="M113" i="17"/>
  <c r="P151" i="17"/>
  <c r="M151" i="17"/>
  <c r="P122" i="17"/>
  <c r="M122" i="17"/>
  <c r="M114" i="17"/>
  <c r="P114" i="17"/>
  <c r="P142" i="17"/>
  <c r="M142" i="17"/>
  <c r="P132" i="17"/>
  <c r="M132" i="17"/>
  <c r="M140" i="17"/>
  <c r="P140" i="17"/>
  <c r="P156" i="17"/>
  <c r="M156" i="17"/>
  <c r="M148" i="17"/>
  <c r="P148" i="17"/>
  <c r="R137" i="17" l="1"/>
  <c r="AB137" i="17" s="1"/>
  <c r="Q137" i="17"/>
  <c r="R118" i="17"/>
  <c r="AB118" i="17" s="1"/>
  <c r="Q118" i="17"/>
  <c r="R117" i="17"/>
  <c r="AB117" i="17" s="1"/>
  <c r="Q117" i="17"/>
  <c r="Q114" i="17"/>
  <c r="R114" i="17"/>
  <c r="AB114" i="17" s="1"/>
  <c r="R119" i="17"/>
  <c r="AB119" i="17" s="1"/>
  <c r="Q119" i="17"/>
  <c r="R138" i="17"/>
  <c r="AB138" i="17" s="1"/>
  <c r="Q138" i="17"/>
  <c r="R156" i="17"/>
  <c r="AB156" i="17" s="1"/>
  <c r="Q156" i="17"/>
  <c r="Q113" i="17"/>
  <c r="R113" i="17"/>
  <c r="AB113" i="17" s="1"/>
  <c r="Q141" i="17"/>
  <c r="R141" i="17"/>
  <c r="AB141" i="17" s="1"/>
  <c r="Q140" i="17"/>
  <c r="R140" i="17"/>
  <c r="AB140" i="17" s="1"/>
  <c r="R151" i="17"/>
  <c r="AB151" i="17" s="1"/>
  <c r="Q151" i="17"/>
  <c r="R133" i="17"/>
  <c r="AB133" i="17" s="1"/>
  <c r="Q133" i="17"/>
  <c r="R123" i="17"/>
  <c r="AB123" i="17" s="1"/>
  <c r="Q123" i="17"/>
  <c r="R145" i="17"/>
  <c r="AB145" i="17" s="1"/>
  <c r="Q145" i="17"/>
  <c r="R122" i="17"/>
  <c r="AB122" i="17" s="1"/>
  <c r="Q122" i="17"/>
  <c r="R125" i="17"/>
  <c r="AB125" i="17" s="1"/>
  <c r="Q125" i="17"/>
  <c r="R130" i="17"/>
  <c r="AB130" i="17" s="1"/>
  <c r="Q130" i="17"/>
  <c r="Q128" i="17"/>
  <c r="R128" i="17"/>
  <c r="AB128" i="17" s="1"/>
  <c r="Q148" i="17"/>
  <c r="R148" i="17"/>
  <c r="AB148" i="17" s="1"/>
  <c r="R149" i="17"/>
  <c r="AB149" i="17" s="1"/>
  <c r="Q149" i="17"/>
  <c r="R153" i="17"/>
  <c r="AB153" i="17" s="1"/>
  <c r="Q153" i="17"/>
  <c r="R132" i="17"/>
  <c r="AB132" i="17" s="1"/>
  <c r="Q132" i="17"/>
  <c r="R142" i="17"/>
  <c r="AB142" i="17" s="1"/>
  <c r="Q142" i="17"/>
  <c r="Q124" i="17"/>
  <c r="R124" i="17"/>
  <c r="AB124" i="17" s="1"/>
  <c r="R152" i="17"/>
  <c r="AB152" i="17" s="1"/>
  <c r="Q152" i="17"/>
  <c r="Q146" i="17"/>
  <c r="R146" i="17"/>
  <c r="AB146" i="17" s="1"/>
</calcChain>
</file>

<file path=xl/sharedStrings.xml><?xml version="1.0" encoding="utf-8"?>
<sst xmlns="http://schemas.openxmlformats.org/spreadsheetml/2006/main" count="513" uniqueCount="234">
  <si>
    <t>Tian Ma Group Holdings Pte Ltd</t>
  </si>
  <si>
    <t xml:space="preserve">Date: </t>
  </si>
  <si>
    <t>9 Changi South Street 3 #07-02/03 Singapore 486361</t>
  </si>
  <si>
    <t>Rate :</t>
  </si>
  <si>
    <t>PURCHASE ORDER</t>
  </si>
  <si>
    <t>Cost with Freight &amp; GST, Selling with GST</t>
  </si>
  <si>
    <t>No.</t>
  </si>
  <si>
    <t>Product Name</t>
  </si>
  <si>
    <t>Qty 
(CTN)</t>
  </si>
  <si>
    <t>Packing Size
(PC)</t>
  </si>
  <si>
    <t>Total Ordered Qty</t>
  </si>
  <si>
    <t>Ctn Price
(SGD)
(W/O GST)</t>
  </si>
  <si>
    <t>Unit Price
(SGD)
(W/O GST)</t>
  </si>
  <si>
    <t>Total</t>
  </si>
  <si>
    <t>Unit Cost 
(SGD - PC)
(W/O GST)</t>
  </si>
  <si>
    <t>Total Cost 
(RAW)</t>
  </si>
  <si>
    <t>Unit Cost (9%)
(SGD - PC)</t>
  </si>
  <si>
    <t>Total Cost 
(SGD)
(W GST)</t>
  </si>
  <si>
    <t>TMG Selling Price</t>
  </si>
  <si>
    <t>Total Selling</t>
  </si>
  <si>
    <t>UNIT PROFIT ($)</t>
  </si>
  <si>
    <t>TOTAL PROFIT ($)</t>
  </si>
  <si>
    <t xml:space="preserve">Profit Margin - % </t>
  </si>
  <si>
    <t>TMG
Promotion
Price</t>
  </si>
  <si>
    <t>24</t>
  </si>
  <si>
    <t>6</t>
  </si>
  <si>
    <t>SUB TOTAL:</t>
  </si>
  <si>
    <t>Total Cost:
(SGD)</t>
  </si>
  <si>
    <t>Total Selling: 
(SGD)</t>
  </si>
  <si>
    <t>Total Profit:</t>
  </si>
  <si>
    <t>9% GST</t>
  </si>
  <si>
    <t>Freight (CNF) Charge:</t>
  </si>
  <si>
    <t>NA</t>
  </si>
  <si>
    <t>Profit over SP</t>
  </si>
  <si>
    <t>TOTAL AMT:</t>
  </si>
  <si>
    <t xml:space="preserve">Freight Charge Percentage  
(W/out GST)                                                  </t>
  </si>
  <si>
    <t>__________________                    _______________________                               __________________</t>
  </si>
  <si>
    <t>ORDER PREPARED BY                             ACKNOWLEDGE BY                                                      CHECKED BY</t>
  </si>
  <si>
    <t>Supplier: TGS GROUP SDN BHD</t>
  </si>
  <si>
    <t xml:space="preserve">
</t>
  </si>
  <si>
    <t>MUNCHY CRACKER VEGETABLE 12X390G</t>
  </si>
  <si>
    <t>MUNCHYS WHEAT CRACKERS 12X276G</t>
  </si>
  <si>
    <t>MAGGI HOT CUP C 54X57G</t>
  </si>
  <si>
    <t>MAGGI HOT CUP CURRY 54X58G</t>
  </si>
  <si>
    <t>MAMEE EXPRESS CUP NOODLE VEGETABLE 24X65G</t>
  </si>
  <si>
    <t>MAMEE PREMIUM VEGETARIAN NOODLE 8(5X78G)</t>
  </si>
  <si>
    <t>MAMEE PREMIUM CURRY NOODLE 5+1 8(6X80G)</t>
  </si>
  <si>
    <t>MAMEE CHEF SPICY W SHITAKE C 8(4X82G)</t>
  </si>
  <si>
    <t>MAMEE CHEF CURRY LAKSA 8(4X89G)</t>
  </si>
  <si>
    <t>MAMEE CHEF CREAMY TOMYAM THAI 8(4X82G)</t>
  </si>
  <si>
    <t>LEXUS VEGETABLE CRACKER 12X200G</t>
  </si>
  <si>
    <t xml:space="preserve">MUNCHYS CHOCOLATE SANDWICH CRACKER 12X258G </t>
  </si>
  <si>
    <t>LEXUS PEANUT BUTTER SANDWICH 12X190G</t>
  </si>
  <si>
    <t>LEXUS CHOCOLATE SANDWICH 12X190G</t>
  </si>
  <si>
    <t>LEXUS CHEESE SANDWICH 12X190G</t>
  </si>
  <si>
    <t>LEXUS SANDWICH PEANUT BUTTER 12X418G</t>
  </si>
  <si>
    <t>LEXUS SANDWICH CHOCOLATE 12X418G</t>
  </si>
  <si>
    <t>JULIES PEANUT BUTTER 12X360G</t>
  </si>
  <si>
    <t>APOLLO CHOC LAYER CAKE 12(24X16G)</t>
  </si>
  <si>
    <t>APOLLO PANDAN LAYER CAKE 12(24X18G)</t>
  </si>
  <si>
    <t>BIKA CHICKEN FLA.SNACK 6X10X60G</t>
  </si>
  <si>
    <t>DOUBLE DECKER CHEESE RING 10(8X13G)</t>
  </si>
  <si>
    <t>MAMEE MONSTER HOT AND SPICY 10(10X25G)</t>
  </si>
  <si>
    <t>SUPER RING CHEESE FLAVOUR 6X10X60G</t>
  </si>
  <si>
    <t>ORIENTAL CHICKEN RING 30(8X14G)</t>
  </si>
  <si>
    <t>ORIENTAL GREEN PEAS 30(8X14G)</t>
  </si>
  <si>
    <t>SUPER RING FAMILY PACK 30(8X14G)</t>
  </si>
  <si>
    <t>POPO MURUKU SPICY CHICKEN 20(24X12G)</t>
  </si>
  <si>
    <t>POPO MURUKU SWEET&amp;SPICY 20(24X12G)</t>
  </si>
  <si>
    <t>FRUITS PLUS GUAVA 48X120G</t>
  </si>
  <si>
    <t>FRUITS PLUS STRAWBERRY 48X120G</t>
  </si>
  <si>
    <t>HANSAPLAST ELASTIC 12X10X20'S</t>
  </si>
  <si>
    <t>HANSAPLAST PLASTER 12X10X20'S</t>
  </si>
  <si>
    <t>12</t>
  </si>
  <si>
    <t>54</t>
  </si>
  <si>
    <t>48</t>
  </si>
  <si>
    <t>CUSTOM FORM</t>
  </si>
  <si>
    <t>MAMEE PREMIUM NOODLE (C) 8(5X76G)</t>
  </si>
  <si>
    <t>POPO MURUKU SEAWEED KEROPOK 20(24X12G)</t>
  </si>
  <si>
    <t>POPO MURUKU IKAN KEROPOK 20(24X12G)</t>
  </si>
  <si>
    <t>MAGICLEAN BATHROOM STAIN AND MOLD TRIGGER 12X400ML</t>
  </si>
  <si>
    <t>100 PLUS CAN (24+4) 28X325ML</t>
  </si>
  <si>
    <t>28</t>
  </si>
  <si>
    <t>4</t>
  </si>
  <si>
    <t>8</t>
  </si>
  <si>
    <t>JULIES LOVE LETTERS STRAWBERRY 6X360G</t>
  </si>
  <si>
    <t>BREEZE LIQUID ANTI BACTERIAL AND COLOUR PROTECT 4X3.6KG</t>
  </si>
  <si>
    <t>BREEZE LIQUID FRAGRANCE OF COMFORT (PINK) 4X3.6KG</t>
  </si>
  <si>
    <t>BREEZE LIQUID GOODBYE MUSTY 4X3.6KG</t>
  </si>
  <si>
    <t>JULIES LOVE LETTERS CHOCOLATE 6X360G</t>
  </si>
  <si>
    <t>MUNCHY CREAM CRACKER 12X300G</t>
  </si>
  <si>
    <t>MUNCHYS SUGAR CRACKER 12X390G</t>
  </si>
  <si>
    <t>POKKA JASMINE GREEN TEA 4(6X250ML)</t>
  </si>
  <si>
    <t>100 PLUS 12X1.75L</t>
  </si>
  <si>
    <t>MAMEE EXPRESS CUP NOODLE (C) 24X64G</t>
  </si>
  <si>
    <t>MAMEE EXPRESS CUP NOODLE CURRY 24X65G</t>
  </si>
  <si>
    <t>MAMEE EXPRESS CUP NOODLE TOMYAM 24X68G</t>
  </si>
  <si>
    <t>MAMEE MONSTER F/P BBQ 10(10X25G)</t>
  </si>
  <si>
    <t>ORIENTAL CHICKEN RING 6X10X60G</t>
  </si>
  <si>
    <t>ORIENTAL GREEN PEAS SNACK 6X10X60G</t>
  </si>
  <si>
    <t>NIPS COOKIES AND CRÈME 6(12X62G)</t>
  </si>
  <si>
    <t>NIPS MILK CHOCOLATE 6(12X65G)</t>
  </si>
  <si>
    <t>NIPS PEANUT RAISIN 6(12X70G)</t>
  </si>
  <si>
    <t>BREEZE LIQUID COLOUR CARE 4X3.6KG</t>
  </si>
  <si>
    <t>BREEZE LIQUID POWER CLEAN 4X3.6KG</t>
  </si>
  <si>
    <t>MAGICLEAN BATHROOM STAIN AND MOLD REFILL 12X400ML</t>
  </si>
  <si>
    <t>MAMEE MONSTER F/P CHICKEN 10(10X25G)</t>
  </si>
  <si>
    <t>ORIENTAL CHEESE BALL 6X10X60G</t>
  </si>
  <si>
    <t>KAO WIDE BLEACH COLOUR LIQUID 6X2L</t>
  </si>
  <si>
    <t>HUP SENG DELUXE SUGAR CRACKERS 12X258G</t>
  </si>
  <si>
    <t>HUP SENG DELUXE VEGETABLE CRACKERS 12X258G</t>
  </si>
  <si>
    <t>OBASAN STEAMED CAKE PANDAN 20X100G</t>
  </si>
  <si>
    <t>OBASAN STEAMED CAKE CHOCOLATE 20X100G</t>
  </si>
  <si>
    <t>NESTLE HONEY STAR 24X70G</t>
  </si>
  <si>
    <t>NESTLE MILO CEREAL 24X70G</t>
  </si>
  <si>
    <t>DOUBLE DECKER F/P CHICKEN 10(8X10G)</t>
  </si>
  <si>
    <t>DOUBLE DECKER F/P PRAWN 10(8X13G)</t>
  </si>
  <si>
    <t>CLOUD 9 CANDY BUTTER CARAMEL (POUCH) 72X62.5G</t>
  </si>
  <si>
    <t>CLOUD 9 CANDY CRÈME AND STRAWBERRY (POUCH) 72X62.5G</t>
  </si>
  <si>
    <t>FRUITS PLUS BLACKCURRENT 48X120G</t>
  </si>
  <si>
    <t>MILO NUGGETS 30X25G</t>
  </si>
  <si>
    <t>F&amp;N GRAPE 12X1.1L</t>
  </si>
  <si>
    <t>F&amp;N ICE CREAM SODA 12X1.1L</t>
  </si>
  <si>
    <t>F&amp;N SARSI 12X1.1L</t>
  </si>
  <si>
    <t>F&amp;N STRAWBERRY 12X1.1L</t>
  </si>
  <si>
    <t>F&amp;N ZAPPEL 12X1.1L</t>
  </si>
  <si>
    <t>E-ZEE INSTANT NOODLE 10X600G</t>
  </si>
  <si>
    <t>F&amp;N ORANGE 12X1.1L</t>
  </si>
  <si>
    <t>COKE 12X1.25L</t>
  </si>
  <si>
    <t>SPRITE 12X1.25L</t>
  </si>
  <si>
    <t>A&amp;W SARSAP 12X1.25L</t>
  </si>
  <si>
    <t>CAP SERAMA BIHUN 10X400G</t>
  </si>
  <si>
    <t>MUNCHY'S BUTTER SANDWICH CRACKER 12X270G</t>
  </si>
  <si>
    <t>HUP SENG DELUXE ORIGINAL CRACKERS 12X258G</t>
  </si>
  <si>
    <t>SOFTLAN FLORAL FANTASY REFILL 8X1.6L</t>
  </si>
  <si>
    <t>COKE ZERO 12X1.25L</t>
  </si>
  <si>
    <t>10</t>
  </si>
  <si>
    <t>JULIES BUTTER CRACKERS 200G</t>
  </si>
  <si>
    <t>F&amp;N FRUITADE 12X1.1L</t>
  </si>
  <si>
    <t>MUNCHYS CREAM-O-TART BLUEBERRY 8(6X60G)</t>
  </si>
  <si>
    <t>MUNCHYS CREAM-O-TART STRAWBERRY 8(6X60G)</t>
  </si>
  <si>
    <t>20</t>
  </si>
  <si>
    <t>KEROPOK ORIGINAL CAP MEANARA 80G</t>
  </si>
  <si>
    <t>KEROPOK SIRA CAP MEANARA 80G</t>
  </si>
  <si>
    <t>30</t>
  </si>
  <si>
    <t>TA LIAN POP CORN DURIAN F/P (8X14G)</t>
  </si>
  <si>
    <t>MUNCHYS OAT KRUNCH  BREAKFAST CRANBERRY 192G</t>
  </si>
  <si>
    <t>ORIENTAL ROTA PRAWN 30(8X14G)</t>
  </si>
  <si>
    <t>MAGICLEAN KITCHEN TRIGGER LIME 24X500ML</t>
  </si>
  <si>
    <t>ZESS SUPER RING CHEESE CRACKERS 75G</t>
  </si>
  <si>
    <t>KICKAPOO JOY JUICE 1.5 L</t>
  </si>
  <si>
    <t>NESTLE KOKO CRUNCH 24X70G</t>
  </si>
  <si>
    <t>MAGGI TOMATO KETCHUP 325G</t>
  </si>
  <si>
    <t>MAGGI CHILLI SAUCE 340G</t>
  </si>
  <si>
    <t>APOLLO STRAWBERRY WAFER  24(30X11G)</t>
  </si>
  <si>
    <t>APOLLO CHOCO WAFER  24(30X11G)</t>
  </si>
  <si>
    <t>IB CHOKI-CHOKI CHOCO 18(12X5X9G)</t>
  </si>
  <si>
    <t>60</t>
  </si>
  <si>
    <t>JAMI PINEAPPLE JAM 450G</t>
  </si>
  <si>
    <t>JAMI MIXES FRUIT JAM 450G</t>
  </si>
  <si>
    <t>JAMI PREMIUM JAM 450G</t>
  </si>
  <si>
    <t>SKITTLES SOUR CANDY (20X40G)</t>
  </si>
  <si>
    <t>SOFTLAN LAVENDER REFILL 8X1.6L</t>
  </si>
  <si>
    <t>MUNCHYS OAT KRUNCH  BREAKFAST DARK CHOCOLATE BLUEBERRY 192G</t>
  </si>
  <si>
    <t>120</t>
  </si>
  <si>
    <t>72</t>
  </si>
  <si>
    <t>216</t>
  </si>
  <si>
    <t>SKITTLES original CANDY (20X40G)</t>
  </si>
  <si>
    <t>SKITTLES yogurt CANDY (20X40G)</t>
  </si>
  <si>
    <t>JULIE'S CHEESE SANDWICH 12X336G</t>
  </si>
  <si>
    <t>IBUMIE ALWAYS GORENG ASLI (6X80G)</t>
  </si>
  <si>
    <t>FUDO SWISS ROLL CAKE CHOCO (24SX18G)</t>
  </si>
  <si>
    <t>FUDO SWISS ROLL CAKE BUTTER (24SX18G)</t>
  </si>
  <si>
    <t>JACK &amp; JILL ROLLER COASTER CANISTER ORIGINAL 14X100G</t>
  </si>
  <si>
    <t>14</t>
  </si>
  <si>
    <t>SOFTLAN SPRING FRESH REFILL 8X1.6L</t>
  </si>
  <si>
    <t>BIKA PARTY PACK CHICKEN FLAVOURED SNACKS (GREEN) 8X12G</t>
  </si>
  <si>
    <t>40</t>
  </si>
  <si>
    <t>MAGICLEAN KITCHEN REFILL LIME 500ML</t>
  </si>
  <si>
    <t>LEXUS CHOCO CREAM COATED BISCUITS 12X200G</t>
  </si>
  <si>
    <t>MAMEE PREMIUM DUCK NOODLE 5+1 8(6X79G)</t>
  </si>
  <si>
    <t>BREEZE LIQUID 2IN1 - SILKY SAKURA 4X3.6KG</t>
  </si>
  <si>
    <t>BREEZE LIQUID GENTLE OF SKIN 4X3.6KG</t>
  </si>
  <si>
    <t>MAGICLEAN KITCHEN REFILL TP 500ML</t>
  </si>
  <si>
    <t>MAGICLEAN TOILET BLEACH REGULAR 500ML</t>
  </si>
  <si>
    <t>HANDBRAND COCONUT 120G</t>
  </si>
  <si>
    <t>DAHFA SNACK 120G</t>
  </si>
  <si>
    <t>LEXUS SANDWICH SALTED VANILLA 418G</t>
  </si>
  <si>
    <t>CLOUD 9 CANDY CHOCOLATE CHEWS (POUCH) 72X62.5G</t>
  </si>
  <si>
    <t>HUP SENG SESAME CRACKERS 12X258G</t>
  </si>
  <si>
    <t>HUP SENG  SUGAR CRACKERS 12X250G</t>
  </si>
  <si>
    <t>OBASAN STEAMED CAKE CHEESE 20X100G</t>
  </si>
  <si>
    <t>NIPS PEANUT  6(12X70G)</t>
  </si>
  <si>
    <t>MAMEE PREMIUM CURRY NOODLE  8(5X77G)</t>
  </si>
  <si>
    <t>BREEZE LIQUID LUXURY PERFUME 4X3.6KG</t>
  </si>
  <si>
    <t>APOLLO STRAWBERRY LAYER CAKE 12(24X18G)</t>
  </si>
  <si>
    <t>MAMEE PREMIUM NOODLE (C) 8(5+1X79G)</t>
  </si>
  <si>
    <t>MAMEE PREMIUM VEGETARIAN NOODLE 8(5+1X78G)</t>
  </si>
  <si>
    <t>POKKA JASMINE GREEN TEA 300ML</t>
  </si>
  <si>
    <t>MUNCHY ORIGINAL CREAM CRACKER 12X375G</t>
  </si>
  <si>
    <t>MUNCHY FUNMIX ASSORTED BISCUIT (JUMBO) 900G</t>
  </si>
  <si>
    <t>FRUITS PLUS ORANGE 48X120G</t>
  </si>
  <si>
    <t>FRUITS PLUS LYCHEE 48X120G</t>
  </si>
  <si>
    <t>COKE ORIGINAL CAN 320ML</t>
  </si>
  <si>
    <t>BENTOREE KOREAN SPICY FLAVOUR NOODLE ( C ) 71.5G</t>
  </si>
  <si>
    <t>BENTOREE CHEESE SPICY FLAVOUR NOODLE ( C ) 71.5G</t>
  </si>
  <si>
    <t>BENTOREE KIMCHI SOUP RAMEN NOODLE ( C ) 62G</t>
  </si>
  <si>
    <t>POKKA JASMINE GREEN TEA 500ML</t>
  </si>
  <si>
    <t>CLOUD 9 CANDY ICE LEMON TEA (POUCH) 72X62.5G</t>
  </si>
  <si>
    <t>IBUMIE BAA GUS MI SUP KARI (5X75G)</t>
  </si>
  <si>
    <t>NIPS PEANUT 160G</t>
  </si>
  <si>
    <t>POKKA JASMINE GREEN TEA 1.5L</t>
  </si>
  <si>
    <t>CKL SYOK BITE CHOCOLATE COOKIES 80G</t>
  </si>
  <si>
    <t>FRUITS PLUS MANGO 48X120G</t>
  </si>
  <si>
    <t>HANSAPLAST WATER RESISTANT 12X10X20'S</t>
  </si>
  <si>
    <t>FUDO SWISS ROLL CAKE STRAWBERRY (24SX18G)</t>
  </si>
  <si>
    <t>ORIENTAL ROTA PRAWN 6X10X60G</t>
  </si>
  <si>
    <t>MAGGI HOT CUP TOMYAM 54X58G</t>
  </si>
  <si>
    <t>PRICE WE WANT</t>
  </si>
  <si>
    <t>GRAB COMM 18%</t>
  </si>
  <si>
    <t>REQUIRED S PRICE</t>
  </si>
  <si>
    <t>FOOD PANDA COMM</t>
  </si>
  <si>
    <t>TOTAL</t>
  </si>
  <si>
    <t>NET AFTER COMM</t>
  </si>
  <si>
    <t>-</t>
  </si>
  <si>
    <t>GST%</t>
  </si>
  <si>
    <t>MARGIN EARNED %</t>
  </si>
  <si>
    <t>DIFFERENCE</t>
  </si>
  <si>
    <t>VALUE DOLLAR{TAMPINES AND BEDOK} PRICING</t>
  </si>
  <si>
    <t>APOLLO BLUEBERRY LAYER CAKE 12(24X18G)</t>
  </si>
  <si>
    <t>APOLLO COCOA LAYER CAKE 12(24X18G)</t>
  </si>
  <si>
    <t>SNEK KU SHOYUEMI FUNPACK ORIGINAL 8X14G</t>
  </si>
  <si>
    <t>SNEK KU SHOYUEMI FUNPACK SPICY 8X14G</t>
  </si>
  <si>
    <t>ZESS SAVOURY CRACKERS 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</si>
</sst>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&quot;₹&quot;* #,##0.00_);_(&quot;₹&quot;* \(#,##0.00\);_(&quot;₹&quot;* &quot;-&quot;??_);_(@_)"/>
    <numFmt numFmtId="165" formatCode="0.000"/>
    <numFmt numFmtId="166" formatCode="0.0000"/>
    <numFmt numFmtId="167" formatCode="&quot;$&quot;#,##0.0000"/>
    <numFmt numFmtId="168" formatCode="&quot;$&quot;#,##0.00"/>
    <numFmt numFmtId="169" formatCode="_-&quot;$&quot;* #,##0.000_-;\-&quot;$&quot;* #,##0.000_-;_-&quot;$&quot;* &quot;-&quot;???_-;_-@_-"/>
    <numFmt numFmtId="170" formatCode="_-&quot;$&quot;* #,##0.00_-;\-&quot;$&quot;* #,##0.00_-;_-&quot;$&quot;* &quot;-&quot;??_-;_-@_-"/>
    <numFmt numFmtId="171" formatCode="&quot;$&quot;&quot; &quot;#,##0.0000"/>
    <numFmt numFmtId="172" formatCode="&quot;$&quot;&quot; &quot;#,##0.00"/>
    <numFmt numFmtId="173" formatCode="0.000%"/>
    <numFmt numFmtId="174" formatCode="&quot; &quot;&quot;$&quot;* #,##0.00&quot; &quot;;&quot;-&quot;&quot;$&quot;* #,##0.00&quot; &quot;;&quot; &quot;&quot;$&quot;* &quot;-&quot;??&quot; &quot;"/>
    <numFmt numFmtId="175" formatCode="&quot; &quot;&quot;$&quot;* #,##0.0000&quot; &quot;;&quot;-&quot;&quot;$&quot;* #,##0.0000&quot; &quot;;&quot; &quot;&quot;$&quot;* &quot;-&quot;??&quot; &quot;"/>
    <numFmt numFmtId="176" formatCode="&quot; &quot;[$CNY]* #,##0.00&quot; &quot;;&quot; &quot;[$CNY]* &quot;-&quot;#,##0.00&quot; &quot;;&quot; &quot;[$CNY]* &quot;-&quot;??&quot; &quot;"/>
    <numFmt numFmtId="177" formatCode="&quot; &quot;[$$-409]* #,##0.0000&quot; &quot;;&quot; &quot;[$$-409]* &quot;-&quot;#,##0.0000&quot; &quot;;&quot; &quot;[$$-409]* &quot;-&quot;??&quot; &quot;"/>
    <numFmt numFmtId="178" formatCode="&quot; &quot;&quot;$&quot;* #,##0.00000&quot; &quot;;&quot;-&quot;&quot;$&quot;* #,##0.00000&quot; &quot;;&quot; &quot;&quot;$&quot;* &quot;-&quot;??&quot; &quot;"/>
    <numFmt numFmtId="179" formatCode="_-[$$-4809]* #,##0.00_-;\-[$$-4809]* #,##0.00_-;_-[$$-4809]* &quot;-&quot;??_-;_-@_-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2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u/>
      <sz val="14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13"/>
      <name val="Calibri"/>
      <family val="2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4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thin">
        <color indexed="64"/>
      </top>
      <bottom/>
      <diagonal/>
    </border>
    <border>
      <left style="medium">
        <color indexed="8"/>
      </left>
      <right style="dotted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 applyNumberFormat="0" applyFill="0" applyBorder="0" applyProtection="0"/>
    <xf numFmtId="0" fontId="12" fillId="0" borderId="0"/>
  </cellStyleXfs>
  <cellXfs count="163">
    <xf numFmtId="0" fontId="0" fillId="0" borderId="0" xfId="0"/>
    <xf numFmtId="49" fontId="3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/>
    <xf numFmtId="49" fontId="3" fillId="2" borderId="10" xfId="0" applyNumberFormat="1" applyFont="1" applyFill="1" applyBorder="1" applyAlignment="1">
      <alignment horizontal="right"/>
    </xf>
    <xf numFmtId="165" fontId="6" fillId="2" borderId="11" xfId="0" applyNumberFormat="1" applyFont="1" applyFill="1" applyBorder="1" applyAlignment="1">
      <alignment horizontal="center"/>
    </xf>
    <xf numFmtId="166" fontId="7" fillId="2" borderId="11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0" fillId="2" borderId="13" xfId="0" applyFill="1" applyBorder="1"/>
    <xf numFmtId="0" fontId="6" fillId="2" borderId="13" xfId="0" applyFont="1" applyFill="1" applyBorder="1"/>
    <xf numFmtId="167" fontId="0" fillId="2" borderId="13" xfId="0" applyNumberFormat="1" applyFill="1" applyBorder="1"/>
    <xf numFmtId="168" fontId="0" fillId="2" borderId="13" xfId="0" applyNumberFormat="1" applyFill="1" applyBorder="1"/>
    <xf numFmtId="0" fontId="0" fillId="2" borderId="2" xfId="0" applyFill="1" applyBorder="1"/>
    <xf numFmtId="0" fontId="0" fillId="2" borderId="14" xfId="0" applyFill="1" applyBorder="1"/>
    <xf numFmtId="0" fontId="9" fillId="2" borderId="14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4" fillId="2" borderId="15" xfId="0" applyFont="1" applyFill="1" applyBorder="1"/>
    <xf numFmtId="0" fontId="0" fillId="2" borderId="18" xfId="0" applyFill="1" applyBorder="1"/>
    <xf numFmtId="168" fontId="0" fillId="2" borderId="22" xfId="0" applyNumberFormat="1" applyFill="1" applyBorder="1"/>
    <xf numFmtId="0" fontId="0" fillId="2" borderId="15" xfId="0" applyFill="1" applyBorder="1"/>
    <xf numFmtId="0" fontId="0" fillId="0" borderId="15" xfId="0" applyBorder="1"/>
    <xf numFmtId="49" fontId="10" fillId="3" borderId="23" xfId="0" applyNumberFormat="1" applyFont="1" applyFill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 wrapText="1"/>
    </xf>
    <xf numFmtId="49" fontId="10" fillId="3" borderId="25" xfId="0" applyNumberFormat="1" applyFont="1" applyFill="1" applyBorder="1" applyAlignment="1">
      <alignment horizontal="center" vertical="center"/>
    </xf>
    <xf numFmtId="168" fontId="10" fillId="2" borderId="26" xfId="0" applyNumberFormat="1" applyFont="1" applyFill="1" applyBorder="1" applyAlignment="1">
      <alignment horizontal="center" vertical="center"/>
    </xf>
    <xf numFmtId="49" fontId="10" fillId="3" borderId="27" xfId="0" applyNumberFormat="1" applyFont="1" applyFill="1" applyBorder="1" applyAlignment="1">
      <alignment horizontal="center" vertical="center" wrapText="1"/>
    </xf>
    <xf numFmtId="49" fontId="10" fillId="3" borderId="28" xfId="0" applyNumberFormat="1" applyFont="1" applyFill="1" applyBorder="1" applyAlignment="1">
      <alignment horizontal="center" vertical="center" wrapText="1"/>
    </xf>
    <xf numFmtId="49" fontId="10" fillId="4" borderId="28" xfId="0" applyNumberFormat="1" applyFont="1" applyFill="1" applyBorder="1" applyAlignment="1">
      <alignment horizontal="center" vertical="center" wrapText="1"/>
    </xf>
    <xf numFmtId="49" fontId="10" fillId="3" borderId="29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 wrapText="1"/>
    </xf>
    <xf numFmtId="169" fontId="0" fillId="0" borderId="30" xfId="3" applyNumberFormat="1" applyFont="1" applyFill="1" applyBorder="1" applyAlignment="1">
      <alignment vertical="center"/>
    </xf>
    <xf numFmtId="170" fontId="0" fillId="0" borderId="30" xfId="0" applyNumberFormat="1" applyBorder="1" applyAlignment="1">
      <alignment vertical="center"/>
    </xf>
    <xf numFmtId="1" fontId="13" fillId="0" borderId="30" xfId="0" applyNumberFormat="1" applyFont="1" applyBorder="1" applyAlignment="1">
      <alignment horizontal="center" vertical="center"/>
    </xf>
    <xf numFmtId="171" fontId="0" fillId="0" borderId="30" xfId="0" applyNumberFormat="1" applyBorder="1" applyAlignment="1">
      <alignment horizontal="center" vertical="center"/>
    </xf>
    <xf numFmtId="170" fontId="4" fillId="0" borderId="30" xfId="4" applyNumberFormat="1" applyFont="1" applyFill="1" applyBorder="1" applyAlignment="1">
      <alignment horizontal="center" vertical="center"/>
    </xf>
    <xf numFmtId="172" fontId="0" fillId="0" borderId="30" xfId="0" applyNumberFormat="1" applyBorder="1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 wrapText="1"/>
    </xf>
    <xf numFmtId="9" fontId="14" fillId="0" borderId="30" xfId="2" applyFont="1" applyFill="1" applyBorder="1" applyAlignment="1">
      <alignment horizontal="center" vertical="center" wrapText="1"/>
    </xf>
    <xf numFmtId="49" fontId="14" fillId="0" borderId="30" xfId="5" applyNumberFormat="1" applyFont="1" applyBorder="1" applyAlignment="1">
      <alignment horizontal="center" vertical="center" wrapText="1"/>
    </xf>
    <xf numFmtId="49" fontId="14" fillId="0" borderId="33" xfId="5" applyNumberFormat="1" applyFont="1" applyBorder="1" applyAlignment="1">
      <alignment horizontal="center" vertical="center" wrapText="1"/>
    </xf>
    <xf numFmtId="167" fontId="14" fillId="3" borderId="34" xfId="0" applyNumberFormat="1" applyFont="1" applyFill="1" applyBorder="1" applyAlignment="1">
      <alignment horizontal="right" vertical="center" wrapText="1"/>
    </xf>
    <xf numFmtId="167" fontId="14" fillId="3" borderId="35" xfId="0" applyNumberFormat="1" applyFont="1" applyFill="1" applyBorder="1" applyAlignment="1">
      <alignment horizontal="right" vertical="center" wrapText="1"/>
    </xf>
    <xf numFmtId="0" fontId="0" fillId="2" borderId="36" xfId="0" applyFill="1" applyBorder="1"/>
    <xf numFmtId="49" fontId="14" fillId="3" borderId="37" xfId="0" applyNumberFormat="1" applyFont="1" applyFill="1" applyBorder="1" applyAlignment="1">
      <alignment horizontal="right" vertical="center" wrapText="1"/>
    </xf>
    <xf numFmtId="172" fontId="8" fillId="2" borderId="38" xfId="0" applyNumberFormat="1" applyFont="1" applyFill="1" applyBorder="1" applyAlignment="1">
      <alignment horizontal="right" vertical="center"/>
    </xf>
    <xf numFmtId="0" fontId="4" fillId="0" borderId="40" xfId="0" applyFont="1" applyBorder="1"/>
    <xf numFmtId="167" fontId="14" fillId="3" borderId="41" xfId="0" applyNumberFormat="1" applyFont="1" applyFill="1" applyBorder="1" applyAlignment="1">
      <alignment horizontal="right" vertical="center" wrapText="1"/>
    </xf>
    <xf numFmtId="0" fontId="0" fillId="2" borderId="44" xfId="0" applyFill="1" applyBorder="1"/>
    <xf numFmtId="49" fontId="14" fillId="3" borderId="23" xfId="0" applyNumberFormat="1" applyFont="1" applyFill="1" applyBorder="1" applyAlignment="1">
      <alignment horizontal="right" vertical="center" wrapText="1"/>
    </xf>
    <xf numFmtId="168" fontId="8" fillId="2" borderId="45" xfId="0" applyNumberFormat="1" applyFont="1" applyFill="1" applyBorder="1" applyAlignment="1">
      <alignment horizontal="right" vertical="center"/>
    </xf>
    <xf numFmtId="0" fontId="4" fillId="0" borderId="47" xfId="0" applyFont="1" applyBorder="1"/>
    <xf numFmtId="167" fontId="14" fillId="3" borderId="49" xfId="0" applyNumberFormat="1" applyFont="1" applyFill="1" applyBorder="1" applyAlignment="1">
      <alignment horizontal="right" vertical="center" wrapText="1"/>
    </xf>
    <xf numFmtId="167" fontId="14" fillId="3" borderId="50" xfId="0" applyNumberFormat="1" applyFont="1" applyFill="1" applyBorder="1" applyAlignment="1">
      <alignment horizontal="right" vertical="center" wrapText="1"/>
    </xf>
    <xf numFmtId="49" fontId="14" fillId="3" borderId="51" xfId="0" applyNumberFormat="1" applyFont="1" applyFill="1" applyBorder="1" applyAlignment="1">
      <alignment horizontal="right" vertical="center" wrapText="1"/>
    </xf>
    <xf numFmtId="170" fontId="11" fillId="5" borderId="52" xfId="0" applyNumberFormat="1" applyFont="1" applyFill="1" applyBorder="1" applyAlignment="1">
      <alignment vertical="center"/>
    </xf>
    <xf numFmtId="49" fontId="8" fillId="3" borderId="53" xfId="0" applyNumberFormat="1" applyFont="1" applyFill="1" applyBorder="1" applyAlignment="1">
      <alignment horizontal="right" vertical="center" wrapText="1"/>
    </xf>
    <xf numFmtId="172" fontId="4" fillId="2" borderId="54" xfId="0" applyNumberFormat="1" applyFont="1" applyFill="1" applyBorder="1" applyAlignment="1">
      <alignment horizontal="center" vertical="center"/>
    </xf>
    <xf numFmtId="173" fontId="16" fillId="2" borderId="55" xfId="0" applyNumberFormat="1" applyFont="1" applyFill="1" applyBorder="1" applyAlignment="1">
      <alignment horizontal="center" vertical="center" wrapText="1"/>
    </xf>
    <xf numFmtId="174" fontId="4" fillId="2" borderId="47" xfId="0" applyNumberFormat="1" applyFont="1" applyFill="1" applyBorder="1" applyAlignment="1">
      <alignment horizontal="center" vertical="center" wrapText="1"/>
    </xf>
    <xf numFmtId="167" fontId="14" fillId="3" borderId="56" xfId="0" applyNumberFormat="1" applyFont="1" applyFill="1" applyBorder="1" applyAlignment="1">
      <alignment horizontal="right" vertical="center" wrapText="1"/>
    </xf>
    <xf numFmtId="167" fontId="14" fillId="3" borderId="57" xfId="0" applyNumberFormat="1" applyFont="1" applyFill="1" applyBorder="1" applyAlignment="1">
      <alignment horizontal="right" vertical="center" wrapText="1"/>
    </xf>
    <xf numFmtId="49" fontId="14" fillId="3" borderId="58" xfId="0" applyNumberFormat="1" applyFont="1" applyFill="1" applyBorder="1" applyAlignment="1">
      <alignment horizontal="right" vertical="center" wrapText="1"/>
    </xf>
    <xf numFmtId="170" fontId="0" fillId="2" borderId="52" xfId="0" applyNumberFormat="1" applyFill="1" applyBorder="1" applyAlignment="1">
      <alignment vertical="center"/>
    </xf>
    <xf numFmtId="49" fontId="8" fillId="3" borderId="59" xfId="0" applyNumberFormat="1" applyFont="1" applyFill="1" applyBorder="1" applyAlignment="1">
      <alignment horizontal="right" vertical="center" wrapText="1"/>
    </xf>
    <xf numFmtId="172" fontId="4" fillId="2" borderId="60" xfId="0" applyNumberFormat="1" applyFont="1" applyFill="1" applyBorder="1" applyAlignment="1">
      <alignment horizontal="center" vertical="center"/>
    </xf>
    <xf numFmtId="49" fontId="0" fillId="2" borderId="37" xfId="0" applyNumberFormat="1" applyFill="1" applyBorder="1" applyAlignment="1">
      <alignment horizontal="center" vertical="center" wrapText="1"/>
    </xf>
    <xf numFmtId="9" fontId="18" fillId="2" borderId="40" xfId="0" applyNumberFormat="1" applyFont="1" applyFill="1" applyBorder="1" applyAlignment="1">
      <alignment horizontal="left" vertical="center"/>
    </xf>
    <xf numFmtId="0" fontId="4" fillId="2" borderId="22" xfId="0" applyFont="1" applyFill="1" applyBorder="1"/>
    <xf numFmtId="0" fontId="0" fillId="2" borderId="1" xfId="0" applyFill="1" applyBorder="1"/>
    <xf numFmtId="167" fontId="0" fillId="2" borderId="2" xfId="0" applyNumberFormat="1" applyFill="1" applyBorder="1"/>
    <xf numFmtId="168" fontId="0" fillId="2" borderId="3" xfId="0" applyNumberFormat="1" applyFill="1" applyBorder="1"/>
    <xf numFmtId="0" fontId="0" fillId="2" borderId="47" xfId="0" applyFill="1" applyBorder="1"/>
    <xf numFmtId="9" fontId="0" fillId="2" borderId="2" xfId="0" applyNumberFormat="1" applyFill="1" applyBorder="1" applyAlignment="1">
      <alignment horizontal="center"/>
    </xf>
    <xf numFmtId="0" fontId="0" fillId="0" borderId="2" xfId="0" applyBorder="1"/>
    <xf numFmtId="0" fontId="0" fillId="2" borderId="22" xfId="0" applyFill="1" applyBorder="1"/>
    <xf numFmtId="2" fontId="0" fillId="2" borderId="22" xfId="0" applyNumberFormat="1" applyFill="1" applyBorder="1"/>
    <xf numFmtId="167" fontId="0" fillId="2" borderId="22" xfId="0" applyNumberFormat="1" applyFill="1" applyBorder="1"/>
    <xf numFmtId="168" fontId="0" fillId="2" borderId="48" xfId="0" applyNumberFormat="1" applyFill="1" applyBorder="1"/>
    <xf numFmtId="0" fontId="20" fillId="2" borderId="22" xfId="0" applyFont="1" applyFill="1" applyBorder="1" applyAlignment="1">
      <alignment vertical="center" wrapText="1"/>
    </xf>
    <xf numFmtId="175" fontId="20" fillId="2" borderId="22" xfId="0" applyNumberFormat="1" applyFont="1" applyFill="1" applyBorder="1" applyAlignment="1">
      <alignment vertical="center"/>
    </xf>
    <xf numFmtId="176" fontId="20" fillId="2" borderId="22" xfId="0" applyNumberFormat="1" applyFont="1" applyFill="1" applyBorder="1" applyAlignment="1">
      <alignment vertical="center"/>
    </xf>
    <xf numFmtId="174" fontId="20" fillId="0" borderId="22" xfId="0" applyNumberFormat="1" applyFont="1" applyBorder="1" applyAlignment="1">
      <alignment vertical="center"/>
    </xf>
    <xf numFmtId="49" fontId="0" fillId="2" borderId="47" xfId="0" applyNumberFormat="1" applyFill="1" applyBorder="1"/>
    <xf numFmtId="0" fontId="20" fillId="2" borderId="22" xfId="0" applyFont="1" applyFill="1" applyBorder="1" applyAlignment="1">
      <alignment vertical="center"/>
    </xf>
    <xf numFmtId="177" fontId="21" fillId="0" borderId="22" xfId="0" applyNumberFormat="1" applyFont="1" applyBorder="1" applyAlignment="1">
      <alignment vertical="center"/>
    </xf>
    <xf numFmtId="178" fontId="0" fillId="2" borderId="22" xfId="0" applyNumberFormat="1" applyFill="1" applyBorder="1"/>
    <xf numFmtId="0" fontId="0" fillId="2" borderId="7" xfId="0" applyFill="1" applyBorder="1"/>
    <xf numFmtId="0" fontId="0" fillId="2" borderId="8" xfId="0" applyFill="1" applyBorder="1"/>
    <xf numFmtId="167" fontId="0" fillId="2" borderId="8" xfId="0" applyNumberFormat="1" applyFill="1" applyBorder="1"/>
    <xf numFmtId="168" fontId="0" fillId="2" borderId="9" xfId="0" applyNumberFormat="1" applyFill="1" applyBorder="1"/>
    <xf numFmtId="0" fontId="20" fillId="2" borderId="22" xfId="0" applyFont="1" applyFill="1" applyBorder="1"/>
    <xf numFmtId="0" fontId="20" fillId="0" borderId="22" xfId="0" applyFont="1" applyBorder="1"/>
    <xf numFmtId="179" fontId="0" fillId="0" borderId="30" xfId="1" applyNumberFormat="1" applyFont="1" applyFill="1" applyBorder="1" applyAlignment="1">
      <alignment horizontal="center" vertical="center"/>
    </xf>
    <xf numFmtId="49" fontId="11" fillId="0" borderId="32" xfId="0" applyNumberFormat="1" applyFont="1" applyBorder="1" applyAlignment="1">
      <alignment horizontal="left" vertical="center" wrapText="1"/>
    </xf>
    <xf numFmtId="179" fontId="23" fillId="0" borderId="83" xfId="0" applyNumberFormat="1" applyFont="1" applyBorder="1" applyAlignment="1">
      <alignment horizontal="center" vertical="center"/>
    </xf>
    <xf numFmtId="10" fontId="22" fillId="0" borderId="30" xfId="0" applyNumberFormat="1" applyFont="1" applyBorder="1" applyAlignment="1">
      <alignment horizontal="center" vertical="center"/>
    </xf>
    <xf numFmtId="49" fontId="24" fillId="0" borderId="30" xfId="0" applyNumberFormat="1" applyFont="1" applyBorder="1" applyAlignment="1">
      <alignment vertical="center" wrapText="1"/>
    </xf>
    <xf numFmtId="49" fontId="24" fillId="0" borderId="31" xfId="0" applyNumberFormat="1" applyFont="1" applyBorder="1" applyAlignment="1">
      <alignment vertical="center" wrapText="1"/>
    </xf>
    <xf numFmtId="49" fontId="24" fillId="0" borderId="31" xfId="0" applyNumberFormat="1" applyFont="1" applyBorder="1" applyAlignment="1">
      <alignment horizontal="left" vertical="center" wrapText="1"/>
    </xf>
    <xf numFmtId="49" fontId="24" fillId="0" borderId="32" xfId="0" applyNumberFormat="1" applyFont="1" applyBorder="1" applyAlignment="1">
      <alignment horizontal="left" vertical="center" wrapText="1"/>
    </xf>
    <xf numFmtId="49" fontId="24" fillId="0" borderId="32" xfId="0" applyNumberFormat="1" applyFont="1" applyBorder="1" applyAlignment="1">
      <alignment vertical="center" wrapText="1"/>
    </xf>
    <xf numFmtId="49" fontId="24" fillId="0" borderId="0" xfId="0" applyNumberFormat="1" applyFont="1" applyAlignment="1">
      <alignment vertical="center" wrapText="1"/>
    </xf>
    <xf numFmtId="49" fontId="24" fillId="0" borderId="30" xfId="0" applyNumberFormat="1" applyFont="1" applyBorder="1" applyAlignment="1">
      <alignment horizontal="left" vertical="center" wrapText="1"/>
    </xf>
    <xf numFmtId="9" fontId="0" fillId="0" borderId="30" xfId="0" applyNumberFormat="1" applyBorder="1" applyAlignment="1">
      <alignment horizontal="center"/>
    </xf>
    <xf numFmtId="0" fontId="25" fillId="6" borderId="30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2" fontId="0" fillId="0" borderId="30" xfId="0" applyNumberFormat="1" applyBorder="1"/>
    <xf numFmtId="43" fontId="0" fillId="5" borderId="30" xfId="0" applyNumberFormat="1" applyFill="1" applyBorder="1"/>
    <xf numFmtId="43" fontId="0" fillId="0" borderId="30" xfId="0" applyNumberFormat="1" applyBorder="1"/>
    <xf numFmtId="43" fontId="0" fillId="0" borderId="30" xfId="2" applyNumberFormat="1" applyFont="1" applyBorder="1"/>
    <xf numFmtId="10" fontId="0" fillId="0" borderId="30" xfId="2" applyNumberFormat="1" applyFont="1" applyBorder="1"/>
    <xf numFmtId="10" fontId="0" fillId="0" borderId="30" xfId="0" applyNumberFormat="1" applyBorder="1"/>
    <xf numFmtId="0" fontId="0" fillId="0" borderId="30" xfId="0" applyBorder="1"/>
    <xf numFmtId="0" fontId="19" fillId="2" borderId="69" xfId="0" applyFont="1" applyFill="1" applyBorder="1" applyAlignment="1">
      <alignment horizontal="left" vertical="center"/>
    </xf>
    <xf numFmtId="0" fontId="19" fillId="2" borderId="70" xfId="0" applyFont="1" applyFill="1" applyBorder="1" applyAlignment="1">
      <alignment horizontal="left" vertical="center"/>
    </xf>
    <xf numFmtId="0" fontId="19" fillId="2" borderId="7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3" fillId="2" borderId="16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11" fillId="2" borderId="67" xfId="0" applyNumberFormat="1" applyFont="1" applyFill="1" applyBorder="1" applyAlignment="1">
      <alignment horizontal="left" vertical="top" wrapText="1"/>
    </xf>
    <xf numFmtId="49" fontId="11" fillId="2" borderId="0" xfId="0" applyNumberFormat="1" applyFont="1" applyFill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49" fontId="11" fillId="2" borderId="68" xfId="0" applyNumberFormat="1" applyFont="1" applyFill="1" applyBorder="1" applyAlignment="1">
      <alignment horizontal="left" vertical="top" wrapText="1"/>
    </xf>
    <xf numFmtId="49" fontId="11" fillId="2" borderId="11" xfId="0" applyNumberFormat="1" applyFont="1" applyFill="1" applyBorder="1" applyAlignment="1">
      <alignment horizontal="left" vertical="top" wrapText="1"/>
    </xf>
    <xf numFmtId="49" fontId="11" fillId="2" borderId="12" xfId="0" applyNumberFormat="1" applyFont="1" applyFill="1" applyBorder="1" applyAlignment="1">
      <alignment horizontal="left" vertical="top" wrapText="1"/>
    </xf>
    <xf numFmtId="49" fontId="14" fillId="3" borderId="66" xfId="0" applyNumberFormat="1" applyFont="1" applyFill="1" applyBorder="1" applyAlignment="1">
      <alignment horizontal="center" vertical="center" wrapText="1"/>
    </xf>
    <xf numFmtId="49" fontId="14" fillId="3" borderId="42" xfId="0" applyNumberFormat="1" applyFont="1" applyFill="1" applyBorder="1" applyAlignment="1">
      <alignment horizontal="center" vertical="center" wrapText="1"/>
    </xf>
    <xf numFmtId="170" fontId="0" fillId="2" borderId="65" xfId="0" applyNumberFormat="1" applyFill="1" applyBorder="1" applyAlignment="1">
      <alignment horizontal="center" vertical="center"/>
    </xf>
    <xf numFmtId="170" fontId="0" fillId="2" borderId="43" xfId="0" applyNumberFormat="1" applyFill="1" applyBorder="1" applyAlignment="1">
      <alignment horizontal="center" vertical="center"/>
    </xf>
    <xf numFmtId="49" fontId="14" fillId="3" borderId="63" xfId="0" applyNumberFormat="1" applyFont="1" applyFill="1" applyBorder="1" applyAlignment="1">
      <alignment horizontal="center" vertical="center" wrapText="1"/>
    </xf>
    <xf numFmtId="49" fontId="14" fillId="3" borderId="64" xfId="0" applyNumberFormat="1" applyFont="1" applyFill="1" applyBorder="1" applyAlignment="1">
      <alignment horizontal="center" vertical="center" wrapText="1"/>
    </xf>
    <xf numFmtId="172" fontId="10" fillId="2" borderId="61" xfId="0" applyNumberFormat="1" applyFont="1" applyFill="1" applyBorder="1" applyAlignment="1">
      <alignment horizontal="center" vertical="center"/>
    </xf>
    <xf numFmtId="172" fontId="10" fillId="2" borderId="62" xfId="0" applyNumberFormat="1" applyFont="1" applyFill="1" applyBorder="1" applyAlignment="1">
      <alignment horizontal="center" vertical="center"/>
    </xf>
    <xf numFmtId="49" fontId="14" fillId="3" borderId="76" xfId="0" applyNumberFormat="1" applyFont="1" applyFill="1" applyBorder="1" applyAlignment="1">
      <alignment horizontal="center" vertical="center"/>
    </xf>
    <xf numFmtId="49" fontId="14" fillId="3" borderId="82" xfId="0" applyNumberFormat="1" applyFont="1" applyFill="1" applyBorder="1" applyAlignment="1">
      <alignment horizontal="center" vertical="center"/>
    </xf>
    <xf numFmtId="49" fontId="14" fillId="3" borderId="11" xfId="0" applyNumberFormat="1" applyFont="1" applyFill="1" applyBorder="1" applyAlignment="1">
      <alignment horizontal="center" vertical="center"/>
    </xf>
    <xf numFmtId="49" fontId="14" fillId="3" borderId="12" xfId="0" applyNumberFormat="1" applyFont="1" applyFill="1" applyBorder="1" applyAlignment="1">
      <alignment horizontal="center" vertical="center"/>
    </xf>
    <xf numFmtId="172" fontId="4" fillId="2" borderId="81" xfId="0" applyNumberFormat="1" applyFont="1" applyFill="1" applyBorder="1" applyAlignment="1">
      <alignment horizontal="center" vertical="center"/>
    </xf>
    <xf numFmtId="172" fontId="4" fillId="2" borderId="46" xfId="0" applyNumberFormat="1" applyFont="1" applyFill="1" applyBorder="1" applyAlignment="1">
      <alignment horizontal="center" vertical="center"/>
    </xf>
    <xf numFmtId="49" fontId="15" fillId="2" borderId="75" xfId="0" applyNumberFormat="1" applyFont="1" applyFill="1" applyBorder="1" applyAlignment="1">
      <alignment horizontal="center" vertical="center" wrapText="1"/>
    </xf>
    <xf numFmtId="49" fontId="15" fillId="2" borderId="76" xfId="0" applyNumberFormat="1" applyFont="1" applyFill="1" applyBorder="1" applyAlignment="1">
      <alignment horizontal="center" vertical="center" wrapText="1"/>
    </xf>
    <xf numFmtId="49" fontId="15" fillId="2" borderId="77" xfId="0" applyNumberFormat="1" applyFont="1" applyFill="1" applyBorder="1" applyAlignment="1">
      <alignment horizontal="center" vertical="center" wrapText="1"/>
    </xf>
    <xf numFmtId="49" fontId="15" fillId="2" borderId="78" xfId="0" applyNumberFormat="1" applyFont="1" applyFill="1" applyBorder="1" applyAlignment="1">
      <alignment horizontal="center" vertical="center" wrapText="1"/>
    </xf>
    <xf numFmtId="49" fontId="15" fillId="2" borderId="79" xfId="0" applyNumberFormat="1" applyFont="1" applyFill="1" applyBorder="1" applyAlignment="1">
      <alignment horizontal="center" vertical="center" wrapText="1"/>
    </xf>
    <xf numFmtId="49" fontId="15" fillId="2" borderId="80" xfId="0" applyNumberFormat="1" applyFont="1" applyFill="1" applyBorder="1" applyAlignment="1">
      <alignment horizontal="center" vertical="center" wrapText="1"/>
    </xf>
    <xf numFmtId="49" fontId="3" fillId="3" borderId="74" xfId="0" applyNumberFormat="1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horizontal="center" vertical="center"/>
    </xf>
    <xf numFmtId="173" fontId="17" fillId="2" borderId="72" xfId="0" applyNumberFormat="1" applyFont="1" applyFill="1" applyBorder="1" applyAlignment="1">
      <alignment horizontal="center" vertical="center"/>
    </xf>
    <xf numFmtId="173" fontId="17" fillId="2" borderId="73" xfId="0" applyNumberFormat="1" applyFont="1" applyFill="1" applyBorder="1" applyAlignment="1">
      <alignment horizontal="center" vertical="center"/>
    </xf>
  </cellXfs>
  <cellStyles count="6">
    <cellStyle name="Comma 2" xfId="3" xr:uid="{24546FB7-C136-5847-AF0E-A0A4C2A1443E}"/>
    <cellStyle name="Currency" xfId="1" builtinId="4"/>
    <cellStyle name="Normal" xfId="0" builtinId="0"/>
    <cellStyle name="Normal 2" xfId="4" xr:uid="{259809D8-D128-6842-A7B9-F0EBBA153D97}"/>
    <cellStyle name="Normal 3 2" xfId="5" xr:uid="{DD95C509-04DC-0B40-8C1D-8F1302F7DE5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DF3B-44B9-AF41-A0D0-5108CC497DF7}">
  <dimension ref="A1:AC197"/>
  <sheetViews>
    <sheetView tabSelected="1" topLeftCell="A4" zoomScale="98" zoomScaleNormal="98" workbookViewId="0">
      <selection activeCell="J5" sqref="J5"/>
    </sheetView>
  </sheetViews>
  <sheetFormatPr defaultColWidth="11" defaultRowHeight="15.75" x14ac:dyDescent="0.25"/>
  <cols>
    <col min="1" max="1" width="4.625" customWidth="1"/>
    <col min="2" max="2" width="42.625" bestFit="1" customWidth="1"/>
    <col min="3" max="3" width="11.125" bestFit="1" customWidth="1"/>
    <col min="5" max="7" width="11.125" bestFit="1" customWidth="1"/>
    <col min="8" max="8" width="13" bestFit="1" customWidth="1"/>
    <col min="10" max="10" width="11.125" bestFit="1" customWidth="1"/>
    <col min="11" max="11" width="11.625" bestFit="1" customWidth="1"/>
    <col min="12" max="12" width="14.125" bestFit="1" customWidth="1"/>
    <col min="13" max="13" width="17.875" bestFit="1" customWidth="1"/>
    <col min="15" max="15" width="11" bestFit="1" customWidth="1"/>
    <col min="16" max="16" width="11.125" bestFit="1" customWidth="1"/>
    <col min="17" max="17" width="16.375" bestFit="1" customWidth="1"/>
    <col min="18" max="18" width="11" bestFit="1" customWidth="1"/>
  </cols>
  <sheetData>
    <row r="1" spans="1:29" ht="32.25" x14ac:dyDescent="0.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" t="s">
        <v>1</v>
      </c>
      <c r="Q1" s="123">
        <v>46142</v>
      </c>
      <c r="R1" s="123"/>
      <c r="S1" s="2"/>
    </row>
    <row r="2" spans="1:29" ht="32.25" thickBot="1" x14ac:dyDescent="0.55000000000000004">
      <c r="A2" s="124" t="s">
        <v>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3" t="s">
        <v>3</v>
      </c>
      <c r="Q2" s="4">
        <v>1</v>
      </c>
      <c r="R2" s="5"/>
      <c r="S2" s="6"/>
    </row>
    <row r="3" spans="1:29" ht="24" thickBot="1" x14ac:dyDescent="0.4">
      <c r="A3" s="7"/>
      <c r="B3" s="8" t="s">
        <v>38</v>
      </c>
      <c r="C3" s="7"/>
      <c r="D3" s="7"/>
      <c r="E3" s="9"/>
      <c r="F3" s="9"/>
      <c r="G3" s="9"/>
      <c r="H3" s="10"/>
      <c r="I3" s="11"/>
      <c r="J3" s="12"/>
      <c r="K3" s="13"/>
      <c r="L3" s="13"/>
      <c r="M3" s="13"/>
      <c r="N3" s="14"/>
      <c r="O3" s="13"/>
      <c r="P3" s="15"/>
      <c r="Q3" s="15"/>
      <c r="R3" s="15"/>
      <c r="S3" s="16"/>
    </row>
    <row r="4" spans="1:29" ht="27" thickBot="1" x14ac:dyDescent="0.3">
      <c r="A4" s="127" t="s">
        <v>4</v>
      </c>
      <c r="B4" s="128"/>
      <c r="C4" s="128"/>
      <c r="D4" s="128"/>
      <c r="E4" s="128"/>
      <c r="F4" s="128"/>
      <c r="G4" s="128"/>
      <c r="H4" s="129"/>
      <c r="I4" s="17"/>
      <c r="J4" s="130" t="s">
        <v>5</v>
      </c>
      <c r="K4" s="131"/>
      <c r="L4" s="131"/>
      <c r="M4" s="131"/>
      <c r="N4" s="131"/>
      <c r="O4" s="131"/>
      <c r="P4" s="131"/>
      <c r="Q4" s="131"/>
      <c r="R4" s="131"/>
      <c r="S4" s="132"/>
    </row>
    <row r="5" spans="1:29" ht="16.5" thickBot="1" x14ac:dyDescent="0.3">
      <c r="A5" s="7"/>
      <c r="B5" s="7"/>
      <c r="C5" s="7"/>
      <c r="D5" s="7"/>
      <c r="E5" s="9"/>
      <c r="F5" s="9"/>
      <c r="G5" s="9"/>
      <c r="H5" s="10"/>
      <c r="I5" s="18"/>
      <c r="J5" s="19"/>
      <c r="K5" s="19"/>
      <c r="L5" s="19"/>
      <c r="M5" s="19"/>
      <c r="N5" s="20"/>
      <c r="O5" s="19"/>
      <c r="P5" s="19"/>
      <c r="Q5" s="19"/>
      <c r="R5" s="19"/>
      <c r="S5" s="16"/>
    </row>
    <row r="6" spans="1:29" ht="94.5" x14ac:dyDescent="0.25">
      <c r="A6" s="21" t="s">
        <v>6</v>
      </c>
      <c r="B6" s="22" t="s">
        <v>7</v>
      </c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4" t="s">
        <v>13</v>
      </c>
      <c r="I6" s="25"/>
      <c r="J6" s="26" t="s">
        <v>14</v>
      </c>
      <c r="K6" s="27" t="s">
        <v>15</v>
      </c>
      <c r="L6" s="27" t="s">
        <v>16</v>
      </c>
      <c r="M6" s="27" t="s">
        <v>17</v>
      </c>
      <c r="N6" s="28" t="s">
        <v>18</v>
      </c>
      <c r="O6" s="27" t="s">
        <v>19</v>
      </c>
      <c r="P6" s="27" t="s">
        <v>20</v>
      </c>
      <c r="Q6" s="27" t="s">
        <v>21</v>
      </c>
      <c r="R6" s="27" t="s">
        <v>22</v>
      </c>
      <c r="S6" s="29" t="s">
        <v>23</v>
      </c>
      <c r="T6" s="108" t="s">
        <v>218</v>
      </c>
      <c r="U6" s="108" t="s">
        <v>219</v>
      </c>
      <c r="V6" s="108" t="s">
        <v>220</v>
      </c>
      <c r="W6" s="108" t="s">
        <v>221</v>
      </c>
      <c r="X6" s="108" t="s">
        <v>225</v>
      </c>
      <c r="Y6" s="108" t="s">
        <v>222</v>
      </c>
      <c r="Z6" s="108" t="s">
        <v>223</v>
      </c>
      <c r="AA6" s="108" t="s">
        <v>226</v>
      </c>
      <c r="AB6" s="108" t="s">
        <v>227</v>
      </c>
      <c r="AC6" s="109" t="s">
        <v>228</v>
      </c>
    </row>
    <row r="7" spans="1:29" ht="45" customHeight="1" x14ac:dyDescent="0.25">
      <c r="A7" s="30">
        <v>1</v>
      </c>
      <c r="B7" s="100" t="s">
        <v>40</v>
      </c>
      <c r="C7" s="31">
        <v>1</v>
      </c>
      <c r="D7" s="32" t="s">
        <v>73</v>
      </c>
      <c r="E7" s="31">
        <f t="shared" ref="E7:E110" si="0">D7*C7</f>
        <v>12</v>
      </c>
      <c r="F7" s="96">
        <v>18.850000000000001</v>
      </c>
      <c r="G7" s="33">
        <f>F7/D7</f>
        <v>1.5708333333333335</v>
      </c>
      <c r="H7" s="34">
        <f>G7*E7</f>
        <v>18.850000000000001</v>
      </c>
      <c r="I7" s="35"/>
      <c r="J7" s="36">
        <f t="shared" ref="J7:K51" si="1">G7/$Q$2</f>
        <v>1.5708333333333335</v>
      </c>
      <c r="K7" s="36">
        <f t="shared" si="1"/>
        <v>18.850000000000001</v>
      </c>
      <c r="L7" s="36">
        <f t="shared" ref="L7:L38" si="2">J7*(1+$M$177+9%)</f>
        <v>1.7122083333333338</v>
      </c>
      <c r="M7" s="36">
        <f>L7*E7</f>
        <v>20.546500000000005</v>
      </c>
      <c r="N7" s="37">
        <v>2.5</v>
      </c>
      <c r="O7" s="38">
        <f>N7*E7</f>
        <v>30</v>
      </c>
      <c r="P7" s="38">
        <f t="shared" ref="P7:P110" si="3">N7-L7</f>
        <v>0.78779166666666622</v>
      </c>
      <c r="Q7" s="38">
        <f>P7*E7</f>
        <v>9.4534999999999947</v>
      </c>
      <c r="R7" s="39">
        <f t="shared" ref="R7:R110" si="4">P7/N7</f>
        <v>0.31511666666666649</v>
      </c>
      <c r="S7" s="40"/>
      <c r="T7" s="110">
        <f>N7</f>
        <v>2.5</v>
      </c>
      <c r="U7" s="107">
        <v>0.18</v>
      </c>
      <c r="V7" s="111">
        <f>T7/(1-18%)</f>
        <v>3.0487804878048776</v>
      </c>
      <c r="W7" s="112">
        <f>V7-T7</f>
        <v>0.54878048780487765</v>
      </c>
      <c r="X7" s="112">
        <f>W7*0.09</f>
        <v>4.9390243902438985E-2</v>
      </c>
      <c r="Y7" s="113">
        <f>W7+X7</f>
        <v>0.59817073170731661</v>
      </c>
      <c r="Z7" s="112">
        <f>V7-Y7</f>
        <v>2.450609756097561</v>
      </c>
      <c r="AA7" s="114">
        <f>(Z7-L7)/Z7</f>
        <v>0.30131334494484513</v>
      </c>
      <c r="AB7" s="115">
        <f>AA7-R7</f>
        <v>-1.380332172182136E-2</v>
      </c>
      <c r="AC7" s="116" t="s">
        <v>224</v>
      </c>
    </row>
    <row r="8" spans="1:29" ht="45" customHeight="1" x14ac:dyDescent="0.25">
      <c r="A8" s="30">
        <v>2</v>
      </c>
      <c r="B8" s="100" t="s">
        <v>41</v>
      </c>
      <c r="C8" s="31">
        <v>1</v>
      </c>
      <c r="D8" s="32" t="s">
        <v>73</v>
      </c>
      <c r="E8" s="31">
        <f t="shared" si="0"/>
        <v>12</v>
      </c>
      <c r="F8" s="96">
        <v>18.850000000000001</v>
      </c>
      <c r="G8" s="33">
        <f>F8/D8</f>
        <v>1.5708333333333335</v>
      </c>
      <c r="H8" s="34">
        <f>G8*E8</f>
        <v>18.850000000000001</v>
      </c>
      <c r="I8" s="35"/>
      <c r="J8" s="36">
        <f t="shared" si="1"/>
        <v>1.5708333333333335</v>
      </c>
      <c r="K8" s="36">
        <f t="shared" si="1"/>
        <v>18.850000000000001</v>
      </c>
      <c r="L8" s="36">
        <f t="shared" si="2"/>
        <v>1.7122083333333338</v>
      </c>
      <c r="M8" s="36">
        <f>L8*E8</f>
        <v>20.546500000000005</v>
      </c>
      <c r="N8" s="37">
        <v>2.5</v>
      </c>
      <c r="O8" s="38">
        <f>N8*E8</f>
        <v>30</v>
      </c>
      <c r="P8" s="38">
        <f t="shared" si="3"/>
        <v>0.78779166666666622</v>
      </c>
      <c r="Q8" s="38">
        <f>P8*E8</f>
        <v>9.4534999999999947</v>
      </c>
      <c r="R8" s="39">
        <f t="shared" si="4"/>
        <v>0.31511666666666649</v>
      </c>
      <c r="S8" s="41"/>
      <c r="T8" s="110">
        <f t="shared" ref="T8:T74" si="5">N8</f>
        <v>2.5</v>
      </c>
      <c r="U8" s="107">
        <v>0.18</v>
      </c>
      <c r="V8" s="111">
        <f t="shared" ref="V8:V74" si="6">T8/(1-18%)</f>
        <v>3.0487804878048776</v>
      </c>
      <c r="W8" s="112">
        <f t="shared" ref="W8:W74" si="7">V8-T8</f>
        <v>0.54878048780487765</v>
      </c>
      <c r="X8" s="112">
        <f t="shared" ref="X8:X74" si="8">W8*0.09</f>
        <v>4.9390243902438985E-2</v>
      </c>
      <c r="Y8" s="113">
        <f t="shared" ref="Y8:Y74" si="9">W8+X8</f>
        <v>0.59817073170731661</v>
      </c>
      <c r="Z8" s="112">
        <f t="shared" ref="Z8:Z74" si="10">V8-Y8</f>
        <v>2.450609756097561</v>
      </c>
      <c r="AA8" s="114">
        <f t="shared" ref="AA8:AA74" si="11">(Z8-L8)/Z8</f>
        <v>0.30131334494484513</v>
      </c>
      <c r="AB8" s="115">
        <f t="shared" ref="AB8:AB74" si="12">AA8-R8</f>
        <v>-1.380332172182136E-2</v>
      </c>
      <c r="AC8" s="116" t="s">
        <v>224</v>
      </c>
    </row>
    <row r="9" spans="1:29" ht="45" customHeight="1" x14ac:dyDescent="0.25">
      <c r="A9" s="30">
        <v>3</v>
      </c>
      <c r="B9" s="100" t="s">
        <v>204</v>
      </c>
      <c r="C9" s="31">
        <v>1</v>
      </c>
      <c r="D9" s="32" t="s">
        <v>144</v>
      </c>
      <c r="E9" s="31">
        <f t="shared" si="0"/>
        <v>30</v>
      </c>
      <c r="F9" s="96">
        <v>18.899999999999999</v>
      </c>
      <c r="G9" s="33">
        <f>F9/D9</f>
        <v>0.63</v>
      </c>
      <c r="H9" s="34">
        <f>G9*E9</f>
        <v>18.899999999999999</v>
      </c>
      <c r="I9" s="35"/>
      <c r="J9" s="36">
        <f t="shared" ref="J9:J12" si="13">G9/$Q$2</f>
        <v>0.63</v>
      </c>
      <c r="K9" s="36">
        <f t="shared" ref="K9:K12" si="14">H9/$Q$2</f>
        <v>18.899999999999999</v>
      </c>
      <c r="L9" s="36">
        <f t="shared" si="2"/>
        <v>0.68670000000000009</v>
      </c>
      <c r="M9" s="36">
        <f>L9*E9</f>
        <v>20.601000000000003</v>
      </c>
      <c r="N9" s="37"/>
      <c r="O9" s="38">
        <f>N9*E9</f>
        <v>0</v>
      </c>
      <c r="P9" s="38">
        <f t="shared" ref="P9:P12" si="15">N9-L9</f>
        <v>-0.68670000000000009</v>
      </c>
      <c r="Q9" s="38">
        <f>P9*E9</f>
        <v>-20.601000000000003</v>
      </c>
      <c r="R9" s="39" t="e">
        <f t="shared" ref="R9:R12" si="16">P9/N9</f>
        <v>#DIV/0!</v>
      </c>
      <c r="S9" s="41"/>
      <c r="T9" s="110">
        <f t="shared" si="5"/>
        <v>0</v>
      </c>
      <c r="U9" s="107">
        <v>0.18</v>
      </c>
      <c r="V9" s="111">
        <f t="shared" si="6"/>
        <v>0</v>
      </c>
      <c r="W9" s="112">
        <f t="shared" si="7"/>
        <v>0</v>
      </c>
      <c r="X9" s="112">
        <f t="shared" si="8"/>
        <v>0</v>
      </c>
      <c r="Y9" s="113">
        <f t="shared" si="9"/>
        <v>0</v>
      </c>
      <c r="Z9" s="112">
        <f t="shared" si="10"/>
        <v>0</v>
      </c>
      <c r="AA9" s="114" t="e">
        <f t="shared" si="11"/>
        <v>#DIV/0!</v>
      </c>
      <c r="AB9" s="115" t="e">
        <f t="shared" si="12"/>
        <v>#DIV/0!</v>
      </c>
      <c r="AC9" s="116" t="s">
        <v>224</v>
      </c>
    </row>
    <row r="10" spans="1:29" ht="45" customHeight="1" x14ac:dyDescent="0.25">
      <c r="A10" s="30">
        <v>4</v>
      </c>
      <c r="B10" s="100" t="s">
        <v>205</v>
      </c>
      <c r="C10" s="31">
        <v>1</v>
      </c>
      <c r="D10" s="32" t="s">
        <v>144</v>
      </c>
      <c r="E10" s="31">
        <f t="shared" si="0"/>
        <v>30</v>
      </c>
      <c r="F10" s="96">
        <v>18.899999999999999</v>
      </c>
      <c r="G10" s="33">
        <f>F10/D10</f>
        <v>0.63</v>
      </c>
      <c r="H10" s="34">
        <f>G10*E10</f>
        <v>18.899999999999999</v>
      </c>
      <c r="I10" s="35"/>
      <c r="J10" s="36">
        <f t="shared" si="13"/>
        <v>0.63</v>
      </c>
      <c r="K10" s="36">
        <f t="shared" si="14"/>
        <v>18.899999999999999</v>
      </c>
      <c r="L10" s="36">
        <f t="shared" si="2"/>
        <v>0.68670000000000009</v>
      </c>
      <c r="M10" s="36">
        <f>L10*E10</f>
        <v>20.601000000000003</v>
      </c>
      <c r="N10" s="37"/>
      <c r="O10" s="38">
        <f>N10*E10</f>
        <v>0</v>
      </c>
      <c r="P10" s="38">
        <f t="shared" si="15"/>
        <v>-0.68670000000000009</v>
      </c>
      <c r="Q10" s="38">
        <f>P10*E10</f>
        <v>-20.601000000000003</v>
      </c>
      <c r="R10" s="39" t="e">
        <f t="shared" si="16"/>
        <v>#DIV/0!</v>
      </c>
      <c r="S10" s="41"/>
      <c r="T10" s="110">
        <f t="shared" si="5"/>
        <v>0</v>
      </c>
      <c r="U10" s="107">
        <v>0.18</v>
      </c>
      <c r="V10" s="111">
        <f t="shared" si="6"/>
        <v>0</v>
      </c>
      <c r="W10" s="112">
        <f t="shared" si="7"/>
        <v>0</v>
      </c>
      <c r="X10" s="112">
        <f t="shared" si="8"/>
        <v>0</v>
      </c>
      <c r="Y10" s="113">
        <f t="shared" si="9"/>
        <v>0</v>
      </c>
      <c r="Z10" s="112">
        <f t="shared" si="10"/>
        <v>0</v>
      </c>
      <c r="AA10" s="114" t="e">
        <f t="shared" si="11"/>
        <v>#DIV/0!</v>
      </c>
      <c r="AB10" s="115" t="e">
        <f t="shared" si="12"/>
        <v>#DIV/0!</v>
      </c>
      <c r="AC10" s="116" t="s">
        <v>224</v>
      </c>
    </row>
    <row r="11" spans="1:29" ht="45" customHeight="1" x14ac:dyDescent="0.25">
      <c r="A11" s="30">
        <v>5</v>
      </c>
      <c r="B11" s="100" t="s">
        <v>206</v>
      </c>
      <c r="C11" s="31">
        <v>1</v>
      </c>
      <c r="D11" s="32" t="s">
        <v>144</v>
      </c>
      <c r="E11" s="31">
        <f t="shared" si="0"/>
        <v>30</v>
      </c>
      <c r="F11" s="96">
        <v>18.899999999999999</v>
      </c>
      <c r="G11" s="33">
        <f>F11/D11</f>
        <v>0.63</v>
      </c>
      <c r="H11" s="34">
        <f>G11*E11</f>
        <v>18.899999999999999</v>
      </c>
      <c r="I11" s="35"/>
      <c r="J11" s="36">
        <f t="shared" si="13"/>
        <v>0.63</v>
      </c>
      <c r="K11" s="36">
        <f t="shared" si="14"/>
        <v>18.899999999999999</v>
      </c>
      <c r="L11" s="36">
        <f t="shared" si="2"/>
        <v>0.68670000000000009</v>
      </c>
      <c r="M11" s="36">
        <f>L11*E11</f>
        <v>20.601000000000003</v>
      </c>
      <c r="N11" s="37"/>
      <c r="O11" s="38">
        <f>N11*E11</f>
        <v>0</v>
      </c>
      <c r="P11" s="38">
        <f t="shared" si="15"/>
        <v>-0.68670000000000009</v>
      </c>
      <c r="Q11" s="38">
        <f>P11*E11</f>
        <v>-20.601000000000003</v>
      </c>
      <c r="R11" s="39" t="e">
        <f t="shared" si="16"/>
        <v>#DIV/0!</v>
      </c>
      <c r="S11" s="41"/>
      <c r="T11" s="110">
        <f t="shared" si="5"/>
        <v>0</v>
      </c>
      <c r="U11" s="107">
        <v>0.18</v>
      </c>
      <c r="V11" s="111">
        <f t="shared" si="6"/>
        <v>0</v>
      </c>
      <c r="W11" s="112">
        <f t="shared" si="7"/>
        <v>0</v>
      </c>
      <c r="X11" s="112">
        <f t="shared" si="8"/>
        <v>0</v>
      </c>
      <c r="Y11" s="113">
        <f t="shared" si="9"/>
        <v>0</v>
      </c>
      <c r="Z11" s="112">
        <f t="shared" si="10"/>
        <v>0</v>
      </c>
      <c r="AA11" s="114" t="e">
        <f t="shared" si="11"/>
        <v>#DIV/0!</v>
      </c>
      <c r="AB11" s="115" t="e">
        <f t="shared" si="12"/>
        <v>#DIV/0!</v>
      </c>
      <c r="AC11" s="116" t="s">
        <v>224</v>
      </c>
    </row>
    <row r="12" spans="1:29" ht="45" customHeight="1" x14ac:dyDescent="0.25">
      <c r="A12" s="30">
        <v>6</v>
      </c>
      <c r="B12" s="100" t="s">
        <v>212</v>
      </c>
      <c r="C12" s="31">
        <v>1</v>
      </c>
      <c r="D12" s="32" t="s">
        <v>24</v>
      </c>
      <c r="E12" s="31">
        <f t="shared" si="0"/>
        <v>24</v>
      </c>
      <c r="F12" s="96">
        <v>14.4</v>
      </c>
      <c r="G12" s="33">
        <f>F12/D12</f>
        <v>0.6</v>
      </c>
      <c r="H12" s="34">
        <f>G12*E12</f>
        <v>14.399999999999999</v>
      </c>
      <c r="I12" s="35"/>
      <c r="J12" s="36">
        <f t="shared" si="13"/>
        <v>0.6</v>
      </c>
      <c r="K12" s="36">
        <f t="shared" si="14"/>
        <v>14.399999999999999</v>
      </c>
      <c r="L12" s="36">
        <f t="shared" si="2"/>
        <v>0.65400000000000003</v>
      </c>
      <c r="M12" s="36">
        <f>L12*E12</f>
        <v>15.696000000000002</v>
      </c>
      <c r="N12" s="37"/>
      <c r="O12" s="38">
        <f>N12*E12</f>
        <v>0</v>
      </c>
      <c r="P12" s="38">
        <f t="shared" si="15"/>
        <v>-0.65400000000000003</v>
      </c>
      <c r="Q12" s="38">
        <f>P12*E12</f>
        <v>-15.696000000000002</v>
      </c>
      <c r="R12" s="39" t="e">
        <f t="shared" si="16"/>
        <v>#DIV/0!</v>
      </c>
      <c r="S12" s="41"/>
      <c r="T12" s="110">
        <f t="shared" si="5"/>
        <v>0</v>
      </c>
      <c r="U12" s="107">
        <v>0.18</v>
      </c>
      <c r="V12" s="111">
        <f t="shared" si="6"/>
        <v>0</v>
      </c>
      <c r="W12" s="112">
        <f t="shared" si="7"/>
        <v>0</v>
      </c>
      <c r="X12" s="112">
        <f t="shared" si="8"/>
        <v>0</v>
      </c>
      <c r="Y12" s="113">
        <f t="shared" si="9"/>
        <v>0</v>
      </c>
      <c r="Z12" s="112">
        <f t="shared" si="10"/>
        <v>0</v>
      </c>
      <c r="AA12" s="114" t="e">
        <f t="shared" si="11"/>
        <v>#DIV/0!</v>
      </c>
      <c r="AB12" s="115" t="e">
        <f t="shared" si="12"/>
        <v>#DIV/0!</v>
      </c>
      <c r="AC12" s="116" t="s">
        <v>224</v>
      </c>
    </row>
    <row r="13" spans="1:29" ht="45" customHeight="1" x14ac:dyDescent="0.25">
      <c r="A13" s="30">
        <v>7</v>
      </c>
      <c r="B13" s="100" t="s">
        <v>186</v>
      </c>
      <c r="C13" s="31">
        <v>1</v>
      </c>
      <c r="D13" s="32" t="s">
        <v>144</v>
      </c>
      <c r="E13" s="31">
        <f t="shared" si="0"/>
        <v>30</v>
      </c>
      <c r="F13" s="96">
        <v>90.5</v>
      </c>
      <c r="G13" s="33">
        <f>F13/D13</f>
        <v>3.0166666666666666</v>
      </c>
      <c r="H13" s="34">
        <f>G13*E13</f>
        <v>90.5</v>
      </c>
      <c r="I13" s="35"/>
      <c r="J13" s="36">
        <f t="shared" ref="J13" si="17">G13/$Q$2</f>
        <v>3.0166666666666666</v>
      </c>
      <c r="K13" s="36">
        <f t="shared" ref="K13" si="18">H13/$Q$2</f>
        <v>90.5</v>
      </c>
      <c r="L13" s="36">
        <f t="shared" si="2"/>
        <v>3.2881666666666667</v>
      </c>
      <c r="M13" s="36">
        <f>L13*E13</f>
        <v>98.644999999999996</v>
      </c>
      <c r="N13" s="37"/>
      <c r="O13" s="38">
        <f>N13*E13</f>
        <v>0</v>
      </c>
      <c r="P13" s="38">
        <f t="shared" ref="P13" si="19">N13-L13</f>
        <v>-3.2881666666666667</v>
      </c>
      <c r="Q13" s="38">
        <f>P13*E13</f>
        <v>-98.644999999999996</v>
      </c>
      <c r="R13" s="39" t="e">
        <f t="shared" ref="R13" si="20">P13/N13</f>
        <v>#DIV/0!</v>
      </c>
      <c r="S13" s="41"/>
      <c r="T13" s="110">
        <f t="shared" si="5"/>
        <v>0</v>
      </c>
      <c r="U13" s="107">
        <v>0.18</v>
      </c>
      <c r="V13" s="111">
        <f t="shared" si="6"/>
        <v>0</v>
      </c>
      <c r="W13" s="112">
        <f t="shared" si="7"/>
        <v>0</v>
      </c>
      <c r="X13" s="112">
        <f t="shared" si="8"/>
        <v>0</v>
      </c>
      <c r="Y13" s="113">
        <f t="shared" si="9"/>
        <v>0</v>
      </c>
      <c r="Z13" s="112">
        <f t="shared" si="10"/>
        <v>0</v>
      </c>
      <c r="AA13" s="114" t="e">
        <f t="shared" si="11"/>
        <v>#DIV/0!</v>
      </c>
      <c r="AB13" s="115" t="e">
        <f t="shared" si="12"/>
        <v>#DIV/0!</v>
      </c>
      <c r="AC13" s="116" t="s">
        <v>224</v>
      </c>
    </row>
    <row r="14" spans="1:29" ht="45" customHeight="1" x14ac:dyDescent="0.25">
      <c r="A14" s="30">
        <v>8</v>
      </c>
      <c r="B14" s="100" t="s">
        <v>185</v>
      </c>
      <c r="C14" s="31">
        <v>1</v>
      </c>
      <c r="D14" s="32" t="s">
        <v>157</v>
      </c>
      <c r="E14" s="31">
        <f t="shared" si="0"/>
        <v>60</v>
      </c>
      <c r="F14" s="96">
        <v>61.2</v>
      </c>
      <c r="G14" s="33">
        <f>F14/D14</f>
        <v>1.02</v>
      </c>
      <c r="H14" s="34">
        <f>G14*E14</f>
        <v>61.2</v>
      </c>
      <c r="I14" s="35"/>
      <c r="J14" s="36">
        <f t="shared" ref="J14:J16" si="21">G14/$Q$2</f>
        <v>1.02</v>
      </c>
      <c r="K14" s="36">
        <f t="shared" ref="K14:K16" si="22">H14/$Q$2</f>
        <v>61.2</v>
      </c>
      <c r="L14" s="36">
        <f t="shared" si="2"/>
        <v>1.1118000000000001</v>
      </c>
      <c r="M14" s="36">
        <f>L14*E14</f>
        <v>66.708000000000013</v>
      </c>
      <c r="N14" s="37"/>
      <c r="O14" s="38">
        <f>N14*E14</f>
        <v>0</v>
      </c>
      <c r="P14" s="38">
        <f t="shared" ref="P14:P16" si="23">N14-L14</f>
        <v>-1.1118000000000001</v>
      </c>
      <c r="Q14" s="38">
        <f>P14*E14</f>
        <v>-66.708000000000013</v>
      </c>
      <c r="R14" s="39" t="e">
        <f t="shared" ref="R14:R16" si="24">P14/N14</f>
        <v>#DIV/0!</v>
      </c>
      <c r="S14" s="41"/>
      <c r="T14" s="110">
        <f t="shared" si="5"/>
        <v>0</v>
      </c>
      <c r="U14" s="107">
        <v>0.18</v>
      </c>
      <c r="V14" s="111">
        <f t="shared" si="6"/>
        <v>0</v>
      </c>
      <c r="W14" s="112">
        <f t="shared" si="7"/>
        <v>0</v>
      </c>
      <c r="X14" s="112">
        <f t="shared" si="8"/>
        <v>0</v>
      </c>
      <c r="Y14" s="113">
        <f t="shared" si="9"/>
        <v>0</v>
      </c>
      <c r="Z14" s="112">
        <f t="shared" si="10"/>
        <v>0</v>
      </c>
      <c r="AA14" s="114" t="e">
        <f t="shared" si="11"/>
        <v>#DIV/0!</v>
      </c>
      <c r="AB14" s="115" t="e">
        <f t="shared" si="12"/>
        <v>#DIV/0!</v>
      </c>
      <c r="AC14" s="116" t="s">
        <v>224</v>
      </c>
    </row>
    <row r="15" spans="1:29" ht="45" customHeight="1" x14ac:dyDescent="0.25">
      <c r="A15" s="30">
        <v>9</v>
      </c>
      <c r="B15" s="100" t="s">
        <v>231</v>
      </c>
      <c r="C15" s="31">
        <v>1</v>
      </c>
      <c r="D15" s="32" t="s">
        <v>24</v>
      </c>
      <c r="E15" s="31">
        <f t="shared" ref="E15" si="25">D15*C15</f>
        <v>24</v>
      </c>
      <c r="F15" s="96">
        <v>27</v>
      </c>
      <c r="G15" s="33">
        <f>F15/D15</f>
        <v>1.125</v>
      </c>
      <c r="H15" s="34">
        <f>G15*E15</f>
        <v>27</v>
      </c>
      <c r="I15" s="35"/>
      <c r="J15" s="36">
        <f t="shared" ref="J15" si="26">G15/$Q$2</f>
        <v>1.125</v>
      </c>
      <c r="K15" s="36">
        <f t="shared" ref="K15" si="27">H15/$Q$2</f>
        <v>27</v>
      </c>
      <c r="L15" s="36">
        <f t="shared" si="2"/>
        <v>1.2262500000000001</v>
      </c>
      <c r="M15" s="36">
        <f>L15*E15</f>
        <v>29.43</v>
      </c>
      <c r="N15" s="37"/>
      <c r="O15" s="38">
        <f>N15*E15</f>
        <v>0</v>
      </c>
      <c r="P15" s="38">
        <f t="shared" ref="P15" si="28">N15-L15</f>
        <v>-1.2262500000000001</v>
      </c>
      <c r="Q15" s="38">
        <f>P15*E15</f>
        <v>-29.43</v>
      </c>
      <c r="R15" s="39" t="e">
        <f t="shared" ref="R15" si="29">P15/N15</f>
        <v>#DIV/0!</v>
      </c>
      <c r="S15" s="41"/>
      <c r="T15" s="110">
        <f t="shared" ref="T15" si="30">N15</f>
        <v>0</v>
      </c>
      <c r="U15" s="107">
        <v>0.18</v>
      </c>
      <c r="V15" s="111">
        <f t="shared" ref="V15" si="31">T15/(1-18%)</f>
        <v>0</v>
      </c>
      <c r="W15" s="112">
        <f t="shared" ref="W15" si="32">V15-T15</f>
        <v>0</v>
      </c>
      <c r="X15" s="112">
        <f t="shared" ref="X15" si="33">W15*0.09</f>
        <v>0</v>
      </c>
      <c r="Y15" s="113">
        <f t="shared" ref="Y15" si="34">W15+X15</f>
        <v>0</v>
      </c>
      <c r="Z15" s="112">
        <f t="shared" ref="Z15" si="35">V15-Y15</f>
        <v>0</v>
      </c>
      <c r="AA15" s="114" t="e">
        <f t="shared" ref="AA15" si="36">(Z15-L15)/Z15</f>
        <v>#DIV/0!</v>
      </c>
      <c r="AB15" s="115" t="e">
        <f t="shared" ref="AB15" si="37">AA15-R15</f>
        <v>#DIV/0!</v>
      </c>
      <c r="AC15" s="116" t="s">
        <v>224</v>
      </c>
    </row>
    <row r="16" spans="1:29" ht="45" customHeight="1" x14ac:dyDescent="0.25">
      <c r="A16" s="30">
        <v>9</v>
      </c>
      <c r="B16" s="100" t="s">
        <v>232</v>
      </c>
      <c r="C16" s="31">
        <v>1</v>
      </c>
      <c r="D16" s="32" t="s">
        <v>24</v>
      </c>
      <c r="E16" s="31">
        <f t="shared" si="0"/>
        <v>24</v>
      </c>
      <c r="F16" s="96">
        <v>27</v>
      </c>
      <c r="G16" s="33">
        <f>F16/D16</f>
        <v>1.125</v>
      </c>
      <c r="H16" s="34">
        <f>G16*E16</f>
        <v>27</v>
      </c>
      <c r="I16" s="35"/>
      <c r="J16" s="36">
        <f t="shared" si="21"/>
        <v>1.125</v>
      </c>
      <c r="K16" s="36">
        <f t="shared" si="22"/>
        <v>27</v>
      </c>
      <c r="L16" s="36">
        <f t="shared" si="2"/>
        <v>1.2262500000000001</v>
      </c>
      <c r="M16" s="36">
        <f>L16*E16</f>
        <v>29.43</v>
      </c>
      <c r="N16" s="37"/>
      <c r="O16" s="38">
        <f>N16*E16</f>
        <v>0</v>
      </c>
      <c r="P16" s="38">
        <f t="shared" si="23"/>
        <v>-1.2262500000000001</v>
      </c>
      <c r="Q16" s="38">
        <f>P16*E16</f>
        <v>-29.43</v>
      </c>
      <c r="R16" s="39" t="e">
        <f t="shared" si="24"/>
        <v>#DIV/0!</v>
      </c>
      <c r="S16" s="41"/>
      <c r="T16" s="110">
        <f t="shared" si="5"/>
        <v>0</v>
      </c>
      <c r="U16" s="107">
        <v>0.18</v>
      </c>
      <c r="V16" s="111">
        <f t="shared" si="6"/>
        <v>0</v>
      </c>
      <c r="W16" s="112">
        <f t="shared" si="7"/>
        <v>0</v>
      </c>
      <c r="X16" s="112">
        <f t="shared" si="8"/>
        <v>0</v>
      </c>
      <c r="Y16" s="113">
        <f t="shared" si="9"/>
        <v>0</v>
      </c>
      <c r="Z16" s="112">
        <f t="shared" si="10"/>
        <v>0</v>
      </c>
      <c r="AA16" s="114" t="e">
        <f t="shared" si="11"/>
        <v>#DIV/0!</v>
      </c>
      <c r="AB16" s="115" t="e">
        <f t="shared" si="12"/>
        <v>#DIV/0!</v>
      </c>
      <c r="AC16" s="116" t="s">
        <v>224</v>
      </c>
    </row>
    <row r="17" spans="1:29" ht="45" customHeight="1" x14ac:dyDescent="0.25">
      <c r="A17" s="30">
        <v>10</v>
      </c>
      <c r="B17" s="100" t="s">
        <v>42</v>
      </c>
      <c r="C17" s="31">
        <v>1</v>
      </c>
      <c r="D17" s="32" t="s">
        <v>74</v>
      </c>
      <c r="E17" s="31">
        <f t="shared" si="0"/>
        <v>54</v>
      </c>
      <c r="F17" s="96">
        <v>35.799999999999997</v>
      </c>
      <c r="G17" s="33">
        <f>F17/D17</f>
        <v>0.66296296296296287</v>
      </c>
      <c r="H17" s="34">
        <f>G17*E17</f>
        <v>35.799999999999997</v>
      </c>
      <c r="I17" s="35"/>
      <c r="J17" s="36">
        <f t="shared" si="1"/>
        <v>0.66296296296296287</v>
      </c>
      <c r="K17" s="36">
        <f t="shared" si="1"/>
        <v>35.799999999999997</v>
      </c>
      <c r="L17" s="36">
        <f t="shared" si="2"/>
        <v>0.72262962962962962</v>
      </c>
      <c r="M17" s="36">
        <f>L17*E17</f>
        <v>39.021999999999998</v>
      </c>
      <c r="N17" s="37">
        <v>1</v>
      </c>
      <c r="O17" s="38">
        <f>N17*E17</f>
        <v>54</v>
      </c>
      <c r="P17" s="38">
        <f>N17-L17</f>
        <v>0.27737037037037038</v>
      </c>
      <c r="Q17" s="38">
        <f>P17*E17</f>
        <v>14.978</v>
      </c>
      <c r="R17" s="39">
        <f t="shared" si="4"/>
        <v>0.27737037037037038</v>
      </c>
      <c r="S17" s="42"/>
      <c r="T17" s="110">
        <f t="shared" si="5"/>
        <v>1</v>
      </c>
      <c r="U17" s="107">
        <v>0.18</v>
      </c>
      <c r="V17" s="111">
        <f t="shared" si="6"/>
        <v>1.2195121951219512</v>
      </c>
      <c r="W17" s="112">
        <f t="shared" si="7"/>
        <v>0.21951219512195119</v>
      </c>
      <c r="X17" s="112">
        <f t="shared" si="8"/>
        <v>1.9756097560975606E-2</v>
      </c>
      <c r="Y17" s="113">
        <f t="shared" si="9"/>
        <v>0.23926829268292679</v>
      </c>
      <c r="Z17" s="112">
        <f t="shared" si="10"/>
        <v>0.98024390243902437</v>
      </c>
      <c r="AA17" s="114">
        <f t="shared" si="11"/>
        <v>0.26280629970602598</v>
      </c>
      <c r="AB17" s="115">
        <f t="shared" si="12"/>
        <v>-1.4564070664344397E-2</v>
      </c>
      <c r="AC17" s="116" t="s">
        <v>224</v>
      </c>
    </row>
    <row r="18" spans="1:29" ht="45" customHeight="1" x14ac:dyDescent="0.25">
      <c r="A18" s="30">
        <v>11</v>
      </c>
      <c r="B18" s="100" t="s">
        <v>152</v>
      </c>
      <c r="C18" s="31">
        <v>1</v>
      </c>
      <c r="D18" s="32" t="s">
        <v>24</v>
      </c>
      <c r="E18" s="31">
        <f t="shared" ref="E18" si="38">D18*C18</f>
        <v>24</v>
      </c>
      <c r="F18" s="96">
        <v>25.9</v>
      </c>
      <c r="G18" s="33">
        <f>F18/D18</f>
        <v>1.0791666666666666</v>
      </c>
      <c r="H18" s="34">
        <f>G18*E18</f>
        <v>25.9</v>
      </c>
      <c r="I18" s="35"/>
      <c r="J18" s="36">
        <f t="shared" ref="J18" si="39">G18/$Q$2</f>
        <v>1.0791666666666666</v>
      </c>
      <c r="K18" s="36">
        <f t="shared" ref="K18" si="40">H18/$Q$2</f>
        <v>25.9</v>
      </c>
      <c r="L18" s="36">
        <f t="shared" si="2"/>
        <v>1.1762916666666667</v>
      </c>
      <c r="M18" s="36">
        <f>L18*E18</f>
        <v>28.231000000000002</v>
      </c>
      <c r="N18" s="37">
        <v>1.75</v>
      </c>
      <c r="O18" s="38">
        <f>N18*E18</f>
        <v>42</v>
      </c>
      <c r="P18" s="38">
        <f t="shared" ref="P18" si="41">N18-L18</f>
        <v>0.57370833333333326</v>
      </c>
      <c r="Q18" s="38">
        <f>P18*E18</f>
        <v>13.768999999999998</v>
      </c>
      <c r="R18" s="39">
        <f t="shared" ref="R18" si="42">P18/N18</f>
        <v>0.32783333333333331</v>
      </c>
      <c r="S18" s="42"/>
      <c r="T18" s="110">
        <f t="shared" si="5"/>
        <v>1.75</v>
      </c>
      <c r="U18" s="107">
        <v>0.18</v>
      </c>
      <c r="V18" s="111">
        <f t="shared" si="6"/>
        <v>2.1341463414634143</v>
      </c>
      <c r="W18" s="112">
        <f t="shared" si="7"/>
        <v>0.38414634146341431</v>
      </c>
      <c r="X18" s="112">
        <f t="shared" si="8"/>
        <v>3.4573170731707285E-2</v>
      </c>
      <c r="Y18" s="113">
        <f t="shared" si="9"/>
        <v>0.4187195121951216</v>
      </c>
      <c r="Z18" s="112">
        <f t="shared" si="10"/>
        <v>1.7154268292682926</v>
      </c>
      <c r="AA18" s="114">
        <f t="shared" si="11"/>
        <v>0.31428630670979507</v>
      </c>
      <c r="AB18" s="115">
        <f t="shared" si="12"/>
        <v>-1.3547026623538239E-2</v>
      </c>
      <c r="AC18" s="116" t="s">
        <v>224</v>
      </c>
    </row>
    <row r="19" spans="1:29" ht="45" customHeight="1" x14ac:dyDescent="0.25">
      <c r="A19" s="30">
        <v>12</v>
      </c>
      <c r="B19" s="100" t="s">
        <v>153</v>
      </c>
      <c r="C19" s="31">
        <v>1</v>
      </c>
      <c r="D19" s="32" t="s">
        <v>24</v>
      </c>
      <c r="E19" s="31">
        <f t="shared" ref="E19:E20" si="43">D19*C19</f>
        <v>24</v>
      </c>
      <c r="F19" s="96">
        <v>27.9</v>
      </c>
      <c r="G19" s="33">
        <f>F19/D19</f>
        <v>1.1624999999999999</v>
      </c>
      <c r="H19" s="34">
        <f>G19*E19</f>
        <v>27.9</v>
      </c>
      <c r="I19" s="35"/>
      <c r="J19" s="36">
        <f t="shared" ref="J19:J20" si="44">G19/$Q$2</f>
        <v>1.1624999999999999</v>
      </c>
      <c r="K19" s="36">
        <f t="shared" ref="K19:K20" si="45">H19/$Q$2</f>
        <v>27.9</v>
      </c>
      <c r="L19" s="36">
        <f t="shared" si="2"/>
        <v>1.2671250000000001</v>
      </c>
      <c r="M19" s="36">
        <f>L19*E19</f>
        <v>30.411000000000001</v>
      </c>
      <c r="N19" s="37">
        <v>1.75</v>
      </c>
      <c r="O19" s="38">
        <f>N19*E19</f>
        <v>42</v>
      </c>
      <c r="P19" s="38">
        <f t="shared" ref="P19:P20" si="46">N19-L19</f>
        <v>0.48287499999999994</v>
      </c>
      <c r="Q19" s="38">
        <f>P19*E19</f>
        <v>11.588999999999999</v>
      </c>
      <c r="R19" s="39">
        <f t="shared" ref="R19:R20" si="47">P19/N19</f>
        <v>0.27592857142857141</v>
      </c>
      <c r="S19" s="42"/>
      <c r="T19" s="110">
        <f t="shared" si="5"/>
        <v>1.75</v>
      </c>
      <c r="U19" s="107">
        <v>0.18</v>
      </c>
      <c r="V19" s="111">
        <f t="shared" si="6"/>
        <v>2.1341463414634143</v>
      </c>
      <c r="W19" s="112">
        <f t="shared" si="7"/>
        <v>0.38414634146341431</v>
      </c>
      <c r="X19" s="112">
        <f t="shared" si="8"/>
        <v>3.4573170731707285E-2</v>
      </c>
      <c r="Y19" s="113">
        <f t="shared" si="9"/>
        <v>0.4187195121951216</v>
      </c>
      <c r="Z19" s="112">
        <f t="shared" si="10"/>
        <v>1.7154268292682926</v>
      </c>
      <c r="AA19" s="114">
        <f t="shared" si="11"/>
        <v>0.26133544236306111</v>
      </c>
      <c r="AB19" s="115">
        <f t="shared" si="12"/>
        <v>-1.4593129065510302E-2</v>
      </c>
      <c r="AC19" s="116" t="s">
        <v>224</v>
      </c>
    </row>
    <row r="20" spans="1:29" ht="45" customHeight="1" x14ac:dyDescent="0.25">
      <c r="A20" s="30">
        <v>13</v>
      </c>
      <c r="B20" s="101" t="s">
        <v>217</v>
      </c>
      <c r="C20" s="31">
        <v>1</v>
      </c>
      <c r="D20" s="32" t="s">
        <v>74</v>
      </c>
      <c r="E20" s="31">
        <f t="shared" si="43"/>
        <v>54</v>
      </c>
      <c r="F20" s="96">
        <v>35.799999999999997</v>
      </c>
      <c r="G20" s="33">
        <f>F20/D20</f>
        <v>0.66296296296296287</v>
      </c>
      <c r="H20" s="34">
        <f>G20*E20</f>
        <v>35.799999999999997</v>
      </c>
      <c r="I20" s="35"/>
      <c r="J20" s="36">
        <f t="shared" si="44"/>
        <v>0.66296296296296287</v>
      </c>
      <c r="K20" s="36">
        <f t="shared" si="45"/>
        <v>35.799999999999997</v>
      </c>
      <c r="L20" s="36">
        <f t="shared" si="2"/>
        <v>0.72262962962962962</v>
      </c>
      <c r="M20" s="36">
        <f>L20*E20</f>
        <v>39.021999999999998</v>
      </c>
      <c r="N20" s="37">
        <v>1</v>
      </c>
      <c r="O20" s="38">
        <f>N20*E20</f>
        <v>54</v>
      </c>
      <c r="P20" s="38">
        <f t="shared" si="46"/>
        <v>0.27737037037037038</v>
      </c>
      <c r="Q20" s="38">
        <f>P20*E20</f>
        <v>14.978</v>
      </c>
      <c r="R20" s="39">
        <f t="shared" si="47"/>
        <v>0.27737037037037038</v>
      </c>
      <c r="S20" s="42"/>
      <c r="T20" s="110">
        <f t="shared" si="5"/>
        <v>1</v>
      </c>
      <c r="U20" s="107">
        <v>0.18</v>
      </c>
      <c r="V20" s="111">
        <f t="shared" si="6"/>
        <v>1.2195121951219512</v>
      </c>
      <c r="W20" s="112">
        <f t="shared" si="7"/>
        <v>0.21951219512195119</v>
      </c>
      <c r="X20" s="112">
        <f t="shared" si="8"/>
        <v>1.9756097560975606E-2</v>
      </c>
      <c r="Y20" s="113">
        <f t="shared" si="9"/>
        <v>0.23926829268292679</v>
      </c>
      <c r="Z20" s="112">
        <f t="shared" si="10"/>
        <v>0.98024390243902437</v>
      </c>
      <c r="AA20" s="114">
        <f t="shared" si="11"/>
        <v>0.26280629970602598</v>
      </c>
      <c r="AB20" s="115">
        <f t="shared" si="12"/>
        <v>-1.4564070664344397E-2</v>
      </c>
      <c r="AC20" s="116" t="s">
        <v>224</v>
      </c>
    </row>
    <row r="21" spans="1:29" ht="45" customHeight="1" x14ac:dyDescent="0.25">
      <c r="A21" s="30">
        <v>14</v>
      </c>
      <c r="B21" s="101" t="s">
        <v>43</v>
      </c>
      <c r="C21" s="31">
        <v>1</v>
      </c>
      <c r="D21" s="32" t="s">
        <v>74</v>
      </c>
      <c r="E21" s="31">
        <f t="shared" si="0"/>
        <v>54</v>
      </c>
      <c r="F21" s="96">
        <v>35.799999999999997</v>
      </c>
      <c r="G21" s="33">
        <f>F21/D21</f>
        <v>0.66296296296296287</v>
      </c>
      <c r="H21" s="34">
        <f>G21*E21</f>
        <v>35.799999999999997</v>
      </c>
      <c r="I21" s="35"/>
      <c r="J21" s="36">
        <f t="shared" si="1"/>
        <v>0.66296296296296287</v>
      </c>
      <c r="K21" s="36">
        <f t="shared" si="1"/>
        <v>35.799999999999997</v>
      </c>
      <c r="L21" s="36">
        <f t="shared" si="2"/>
        <v>0.72262962962962962</v>
      </c>
      <c r="M21" s="36">
        <f>L21*E21</f>
        <v>39.021999999999998</v>
      </c>
      <c r="N21" s="37">
        <v>1</v>
      </c>
      <c r="O21" s="38">
        <f>N21*E21</f>
        <v>54</v>
      </c>
      <c r="P21" s="38">
        <f t="shared" si="3"/>
        <v>0.27737037037037038</v>
      </c>
      <c r="Q21" s="38">
        <f>P21*E21</f>
        <v>14.978</v>
      </c>
      <c r="R21" s="39">
        <f t="shared" si="4"/>
        <v>0.27737037037037038</v>
      </c>
      <c r="S21" s="42"/>
      <c r="T21" s="110">
        <f t="shared" si="5"/>
        <v>1</v>
      </c>
      <c r="U21" s="107">
        <v>0.18</v>
      </c>
      <c r="V21" s="111">
        <f t="shared" si="6"/>
        <v>1.2195121951219512</v>
      </c>
      <c r="W21" s="112">
        <f t="shared" si="7"/>
        <v>0.21951219512195119</v>
      </c>
      <c r="X21" s="112">
        <f t="shared" si="8"/>
        <v>1.9756097560975606E-2</v>
      </c>
      <c r="Y21" s="113">
        <f t="shared" si="9"/>
        <v>0.23926829268292679</v>
      </c>
      <c r="Z21" s="112">
        <f t="shared" si="10"/>
        <v>0.98024390243902437</v>
      </c>
      <c r="AA21" s="114">
        <f t="shared" si="11"/>
        <v>0.26280629970602598</v>
      </c>
      <c r="AB21" s="115">
        <f t="shared" si="12"/>
        <v>-1.4564070664344397E-2</v>
      </c>
      <c r="AC21" s="116" t="s">
        <v>224</v>
      </c>
    </row>
    <row r="22" spans="1:29" ht="45" customHeight="1" x14ac:dyDescent="0.25">
      <c r="A22" s="30">
        <v>15</v>
      </c>
      <c r="B22" s="101" t="s">
        <v>158</v>
      </c>
      <c r="C22" s="31">
        <v>1</v>
      </c>
      <c r="D22" s="32" t="s">
        <v>73</v>
      </c>
      <c r="E22" s="31">
        <f t="shared" ref="E22:E23" si="48">D22*C22</f>
        <v>12</v>
      </c>
      <c r="F22" s="96">
        <v>16.5</v>
      </c>
      <c r="G22" s="33">
        <f>F22/D22</f>
        <v>1.375</v>
      </c>
      <c r="H22" s="34">
        <f>G22*E22</f>
        <v>16.5</v>
      </c>
      <c r="I22" s="35"/>
      <c r="J22" s="36">
        <f t="shared" ref="J22:J23" si="49">G22/$Q$2</f>
        <v>1.375</v>
      </c>
      <c r="K22" s="36">
        <f t="shared" ref="K22:K23" si="50">H22/$Q$2</f>
        <v>16.5</v>
      </c>
      <c r="L22" s="36">
        <f t="shared" si="2"/>
        <v>1.49875</v>
      </c>
      <c r="M22" s="36">
        <f>L22*E22</f>
        <v>17.984999999999999</v>
      </c>
      <c r="N22" s="37">
        <v>2.5</v>
      </c>
      <c r="O22" s="38">
        <f>N22*E22</f>
        <v>30</v>
      </c>
      <c r="P22" s="38">
        <f t="shared" ref="P22:P23" si="51">N22-L22</f>
        <v>1.00125</v>
      </c>
      <c r="Q22" s="38">
        <f>P22*E22</f>
        <v>12.015000000000001</v>
      </c>
      <c r="R22" s="39">
        <f t="shared" ref="R22:R23" si="52">P22/N22</f>
        <v>0.40049999999999997</v>
      </c>
      <c r="S22" s="42"/>
      <c r="T22" s="110">
        <f t="shared" si="5"/>
        <v>2.5</v>
      </c>
      <c r="U22" s="107">
        <v>0.18</v>
      </c>
      <c r="V22" s="111">
        <f t="shared" si="6"/>
        <v>3.0487804878048776</v>
      </c>
      <c r="W22" s="112">
        <f t="shared" si="7"/>
        <v>0.54878048780487765</v>
      </c>
      <c r="X22" s="112">
        <f t="shared" si="8"/>
        <v>4.9390243902438985E-2</v>
      </c>
      <c r="Y22" s="113">
        <f t="shared" si="9"/>
        <v>0.59817073170731661</v>
      </c>
      <c r="Z22" s="112">
        <f t="shared" si="10"/>
        <v>2.450609756097561</v>
      </c>
      <c r="AA22" s="114">
        <f t="shared" si="11"/>
        <v>0.38841751679522268</v>
      </c>
      <c r="AB22" s="115">
        <f t="shared" si="12"/>
        <v>-1.2082483204777283E-2</v>
      </c>
      <c r="AC22" s="116" t="s">
        <v>224</v>
      </c>
    </row>
    <row r="23" spans="1:29" ht="45" customHeight="1" x14ac:dyDescent="0.25">
      <c r="A23" s="30">
        <v>16</v>
      </c>
      <c r="B23" s="101" t="s">
        <v>159</v>
      </c>
      <c r="C23" s="31">
        <v>1</v>
      </c>
      <c r="D23" s="32" t="s">
        <v>73</v>
      </c>
      <c r="E23" s="31">
        <f t="shared" si="48"/>
        <v>12</v>
      </c>
      <c r="F23" s="96">
        <v>16.5</v>
      </c>
      <c r="G23" s="33">
        <f>F23/D23</f>
        <v>1.375</v>
      </c>
      <c r="H23" s="34">
        <f>G23*E23</f>
        <v>16.5</v>
      </c>
      <c r="I23" s="35"/>
      <c r="J23" s="36">
        <f t="shared" si="49"/>
        <v>1.375</v>
      </c>
      <c r="K23" s="36">
        <f t="shared" si="50"/>
        <v>16.5</v>
      </c>
      <c r="L23" s="36">
        <f t="shared" si="2"/>
        <v>1.49875</v>
      </c>
      <c r="M23" s="36">
        <f>L23*E23</f>
        <v>17.984999999999999</v>
      </c>
      <c r="N23" s="37">
        <v>2.5</v>
      </c>
      <c r="O23" s="38">
        <f>N23*E23</f>
        <v>30</v>
      </c>
      <c r="P23" s="38">
        <f t="shared" si="51"/>
        <v>1.00125</v>
      </c>
      <c r="Q23" s="38">
        <f>P23*E23</f>
        <v>12.015000000000001</v>
      </c>
      <c r="R23" s="39">
        <f t="shared" si="52"/>
        <v>0.40049999999999997</v>
      </c>
      <c r="S23" s="42"/>
      <c r="T23" s="110">
        <f t="shared" si="5"/>
        <v>2.5</v>
      </c>
      <c r="U23" s="107">
        <v>0.18</v>
      </c>
      <c r="V23" s="111">
        <f t="shared" si="6"/>
        <v>3.0487804878048776</v>
      </c>
      <c r="W23" s="112">
        <f t="shared" si="7"/>
        <v>0.54878048780487765</v>
      </c>
      <c r="X23" s="112">
        <f t="shared" si="8"/>
        <v>4.9390243902438985E-2</v>
      </c>
      <c r="Y23" s="113">
        <f t="shared" si="9"/>
        <v>0.59817073170731661</v>
      </c>
      <c r="Z23" s="112">
        <f t="shared" si="10"/>
        <v>2.450609756097561</v>
      </c>
      <c r="AA23" s="114">
        <f t="shared" si="11"/>
        <v>0.38841751679522268</v>
      </c>
      <c r="AB23" s="115">
        <f t="shared" si="12"/>
        <v>-1.2082483204777283E-2</v>
      </c>
      <c r="AC23" s="116" t="s">
        <v>224</v>
      </c>
    </row>
    <row r="24" spans="1:29" ht="45" customHeight="1" x14ac:dyDescent="0.25">
      <c r="A24" s="30">
        <v>17</v>
      </c>
      <c r="B24" s="101" t="s">
        <v>160</v>
      </c>
      <c r="C24" s="31">
        <v>1</v>
      </c>
      <c r="D24" s="32" t="s">
        <v>73</v>
      </c>
      <c r="E24" s="31">
        <f t="shared" ref="E24:E26" si="53">D24*C24</f>
        <v>12</v>
      </c>
      <c r="F24" s="96">
        <v>16.5</v>
      </c>
      <c r="G24" s="33">
        <f>F24/D24</f>
        <v>1.375</v>
      </c>
      <c r="H24" s="34">
        <f>G24*E24</f>
        <v>16.5</v>
      </c>
      <c r="I24" s="35"/>
      <c r="J24" s="36">
        <f t="shared" ref="J24:J26" si="54">G24/$Q$2</f>
        <v>1.375</v>
      </c>
      <c r="K24" s="36">
        <f t="shared" ref="K24:K26" si="55">H24/$Q$2</f>
        <v>16.5</v>
      </c>
      <c r="L24" s="36">
        <f t="shared" si="2"/>
        <v>1.49875</v>
      </c>
      <c r="M24" s="36">
        <f>L24*E24</f>
        <v>17.984999999999999</v>
      </c>
      <c r="N24" s="37">
        <v>2.5</v>
      </c>
      <c r="O24" s="38">
        <f>N24*E24</f>
        <v>30</v>
      </c>
      <c r="P24" s="38">
        <f t="shared" ref="P24:P26" si="56">N24-L24</f>
        <v>1.00125</v>
      </c>
      <c r="Q24" s="38">
        <f>P24*E24</f>
        <v>12.015000000000001</v>
      </c>
      <c r="R24" s="39">
        <f t="shared" ref="R24:R26" si="57">P24/N24</f>
        <v>0.40049999999999997</v>
      </c>
      <c r="S24" s="42"/>
      <c r="T24" s="110">
        <f t="shared" si="5"/>
        <v>2.5</v>
      </c>
      <c r="U24" s="107">
        <v>0.18</v>
      </c>
      <c r="V24" s="111">
        <f t="shared" si="6"/>
        <v>3.0487804878048776</v>
      </c>
      <c r="W24" s="112">
        <f t="shared" si="7"/>
        <v>0.54878048780487765</v>
      </c>
      <c r="X24" s="112">
        <f t="shared" si="8"/>
        <v>4.9390243902438985E-2</v>
      </c>
      <c r="Y24" s="113">
        <f t="shared" si="9"/>
        <v>0.59817073170731661</v>
      </c>
      <c r="Z24" s="112">
        <f t="shared" si="10"/>
        <v>2.450609756097561</v>
      </c>
      <c r="AA24" s="114">
        <f t="shared" si="11"/>
        <v>0.38841751679522268</v>
      </c>
      <c r="AB24" s="115">
        <f t="shared" si="12"/>
        <v>-1.2082483204777283E-2</v>
      </c>
      <c r="AC24" s="116" t="s">
        <v>224</v>
      </c>
    </row>
    <row r="25" spans="1:29" ht="45" customHeight="1" x14ac:dyDescent="0.25">
      <c r="A25" s="30">
        <v>18</v>
      </c>
      <c r="B25" s="101" t="s">
        <v>173</v>
      </c>
      <c r="C25" s="31">
        <v>1</v>
      </c>
      <c r="D25" s="32" t="s">
        <v>174</v>
      </c>
      <c r="E25" s="31">
        <f t="shared" si="53"/>
        <v>14</v>
      </c>
      <c r="F25" s="96">
        <v>16.5</v>
      </c>
      <c r="G25" s="33">
        <f>F25/D25</f>
        <v>1.1785714285714286</v>
      </c>
      <c r="H25" s="34">
        <f>G25*E25</f>
        <v>16.5</v>
      </c>
      <c r="I25" s="35"/>
      <c r="J25" s="36">
        <f t="shared" si="54"/>
        <v>1.1785714285714286</v>
      </c>
      <c r="K25" s="36">
        <f t="shared" si="55"/>
        <v>16.5</v>
      </c>
      <c r="L25" s="36">
        <f t="shared" si="2"/>
        <v>1.2846428571428572</v>
      </c>
      <c r="M25" s="36">
        <f>L25*E25</f>
        <v>17.984999999999999</v>
      </c>
      <c r="N25" s="37"/>
      <c r="O25" s="38">
        <f>N25*E25</f>
        <v>0</v>
      </c>
      <c r="P25" s="38">
        <f t="shared" si="56"/>
        <v>-1.2846428571428572</v>
      </c>
      <c r="Q25" s="38">
        <f>P25*E25</f>
        <v>-17.984999999999999</v>
      </c>
      <c r="R25" s="39" t="e">
        <f t="shared" si="57"/>
        <v>#DIV/0!</v>
      </c>
      <c r="S25" s="42"/>
      <c r="T25" s="110">
        <f t="shared" si="5"/>
        <v>0</v>
      </c>
      <c r="U25" s="107">
        <v>0.18</v>
      </c>
      <c r="V25" s="111">
        <f t="shared" si="6"/>
        <v>0</v>
      </c>
      <c r="W25" s="112">
        <f t="shared" si="7"/>
        <v>0</v>
      </c>
      <c r="X25" s="112">
        <f t="shared" si="8"/>
        <v>0</v>
      </c>
      <c r="Y25" s="113">
        <f t="shared" si="9"/>
        <v>0</v>
      </c>
      <c r="Z25" s="112">
        <f t="shared" si="10"/>
        <v>0</v>
      </c>
      <c r="AA25" s="114" t="e">
        <f t="shared" si="11"/>
        <v>#DIV/0!</v>
      </c>
      <c r="AB25" s="115" t="e">
        <f t="shared" si="12"/>
        <v>#DIV/0!</v>
      </c>
      <c r="AC25" s="116" t="s">
        <v>224</v>
      </c>
    </row>
    <row r="26" spans="1:29" ht="45" customHeight="1" x14ac:dyDescent="0.25">
      <c r="A26" s="30">
        <v>19</v>
      </c>
      <c r="B26" s="101" t="s">
        <v>215</v>
      </c>
      <c r="C26" s="31">
        <v>1</v>
      </c>
      <c r="D26" s="32" t="s">
        <v>73</v>
      </c>
      <c r="E26" s="31">
        <f t="shared" si="53"/>
        <v>12</v>
      </c>
      <c r="F26" s="96">
        <v>20</v>
      </c>
      <c r="G26" s="33">
        <f>F26/D26</f>
        <v>1.6666666666666667</v>
      </c>
      <c r="H26" s="34">
        <f>G26*E26</f>
        <v>20</v>
      </c>
      <c r="I26" s="35"/>
      <c r="J26" s="36">
        <f t="shared" si="54"/>
        <v>1.6666666666666667</v>
      </c>
      <c r="K26" s="36">
        <f t="shared" si="55"/>
        <v>20</v>
      </c>
      <c r="L26" s="36">
        <f t="shared" si="2"/>
        <v>1.8166666666666669</v>
      </c>
      <c r="M26" s="36">
        <f>L26*E26</f>
        <v>21.800000000000004</v>
      </c>
      <c r="N26" s="37"/>
      <c r="O26" s="38">
        <f>N26*E26</f>
        <v>0</v>
      </c>
      <c r="P26" s="38">
        <f t="shared" si="56"/>
        <v>-1.8166666666666669</v>
      </c>
      <c r="Q26" s="38">
        <f>P26*E26</f>
        <v>-21.800000000000004</v>
      </c>
      <c r="R26" s="39" t="e">
        <f t="shared" si="57"/>
        <v>#DIV/0!</v>
      </c>
      <c r="S26" s="42"/>
      <c r="T26" s="110">
        <f t="shared" si="5"/>
        <v>0</v>
      </c>
      <c r="U26" s="107">
        <v>0.18</v>
      </c>
      <c r="V26" s="111">
        <f t="shared" si="6"/>
        <v>0</v>
      </c>
      <c r="W26" s="112">
        <f t="shared" si="7"/>
        <v>0</v>
      </c>
      <c r="X26" s="112">
        <f t="shared" si="8"/>
        <v>0</v>
      </c>
      <c r="Y26" s="113">
        <f t="shared" si="9"/>
        <v>0</v>
      </c>
      <c r="Z26" s="112">
        <f t="shared" si="10"/>
        <v>0</v>
      </c>
      <c r="AA26" s="114" t="e">
        <f t="shared" si="11"/>
        <v>#DIV/0!</v>
      </c>
      <c r="AB26" s="115" t="e">
        <f t="shared" si="12"/>
        <v>#DIV/0!</v>
      </c>
      <c r="AC26" s="116" t="s">
        <v>224</v>
      </c>
    </row>
    <row r="27" spans="1:29" ht="45" customHeight="1" x14ac:dyDescent="0.25">
      <c r="A27" s="30">
        <v>20</v>
      </c>
      <c r="B27" s="101" t="s">
        <v>171</v>
      </c>
      <c r="C27" s="31">
        <v>1</v>
      </c>
      <c r="D27" s="32" t="s">
        <v>73</v>
      </c>
      <c r="E27" s="31">
        <f t="shared" ref="E27" si="58">D27*C27</f>
        <v>12</v>
      </c>
      <c r="F27" s="96">
        <v>20</v>
      </c>
      <c r="G27" s="33">
        <f>F27/D27</f>
        <v>1.6666666666666667</v>
      </c>
      <c r="H27" s="34">
        <f>G27*E27</f>
        <v>20</v>
      </c>
      <c r="I27" s="35"/>
      <c r="J27" s="36">
        <f t="shared" ref="J27" si="59">G27/$Q$2</f>
        <v>1.6666666666666667</v>
      </c>
      <c r="K27" s="36">
        <f t="shared" ref="K27" si="60">H27/$Q$2</f>
        <v>20</v>
      </c>
      <c r="L27" s="36">
        <f t="shared" si="2"/>
        <v>1.8166666666666669</v>
      </c>
      <c r="M27" s="36">
        <f>L27*E27</f>
        <v>21.800000000000004</v>
      </c>
      <c r="N27" s="37"/>
      <c r="O27" s="38">
        <f>N27*E27</f>
        <v>0</v>
      </c>
      <c r="P27" s="38">
        <f t="shared" ref="P27" si="61">N27-L27</f>
        <v>-1.8166666666666669</v>
      </c>
      <c r="Q27" s="38">
        <f>P27*E27</f>
        <v>-21.800000000000004</v>
      </c>
      <c r="R27" s="39" t="e">
        <f t="shared" ref="R27" si="62">P27/N27</f>
        <v>#DIV/0!</v>
      </c>
      <c r="S27" s="42"/>
      <c r="T27" s="110">
        <f t="shared" si="5"/>
        <v>0</v>
      </c>
      <c r="U27" s="107">
        <v>0.18</v>
      </c>
      <c r="V27" s="111">
        <f t="shared" si="6"/>
        <v>0</v>
      </c>
      <c r="W27" s="112">
        <f t="shared" si="7"/>
        <v>0</v>
      </c>
      <c r="X27" s="112">
        <f t="shared" si="8"/>
        <v>0</v>
      </c>
      <c r="Y27" s="113">
        <f t="shared" si="9"/>
        <v>0</v>
      </c>
      <c r="Z27" s="112">
        <f t="shared" si="10"/>
        <v>0</v>
      </c>
      <c r="AA27" s="114" t="e">
        <f t="shared" si="11"/>
        <v>#DIV/0!</v>
      </c>
      <c r="AB27" s="115" t="e">
        <f t="shared" si="12"/>
        <v>#DIV/0!</v>
      </c>
      <c r="AC27" s="116" t="s">
        <v>224</v>
      </c>
    </row>
    <row r="28" spans="1:29" ht="45" customHeight="1" x14ac:dyDescent="0.25">
      <c r="A28" s="30">
        <v>21</v>
      </c>
      <c r="B28" s="101" t="s">
        <v>172</v>
      </c>
      <c r="C28" s="31">
        <v>1</v>
      </c>
      <c r="D28" s="32" t="s">
        <v>73</v>
      </c>
      <c r="E28" s="31">
        <f t="shared" ref="E28" si="63">D28*C28</f>
        <v>12</v>
      </c>
      <c r="F28" s="96">
        <v>20</v>
      </c>
      <c r="G28" s="33">
        <f>F28/D28</f>
        <v>1.6666666666666667</v>
      </c>
      <c r="H28" s="34">
        <f>G28*E28</f>
        <v>20</v>
      </c>
      <c r="I28" s="35"/>
      <c r="J28" s="36">
        <f t="shared" ref="J28" si="64">G28/$Q$2</f>
        <v>1.6666666666666667</v>
      </c>
      <c r="K28" s="36">
        <f t="shared" ref="K28" si="65">H28/$Q$2</f>
        <v>20</v>
      </c>
      <c r="L28" s="36">
        <f t="shared" si="2"/>
        <v>1.8166666666666669</v>
      </c>
      <c r="M28" s="36">
        <f>L28*E28</f>
        <v>21.800000000000004</v>
      </c>
      <c r="N28" s="37"/>
      <c r="O28" s="38">
        <f>N28*E28</f>
        <v>0</v>
      </c>
      <c r="P28" s="38">
        <f t="shared" ref="P28" si="66">N28-L28</f>
        <v>-1.8166666666666669</v>
      </c>
      <c r="Q28" s="38">
        <f>P28*E28</f>
        <v>-21.800000000000004</v>
      </c>
      <c r="R28" s="39" t="e">
        <f t="shared" ref="R28" si="67">P28/N28</f>
        <v>#DIV/0!</v>
      </c>
      <c r="S28" s="42"/>
      <c r="T28" s="110">
        <f t="shared" si="5"/>
        <v>0</v>
      </c>
      <c r="U28" s="107">
        <v>0.18</v>
      </c>
      <c r="V28" s="111">
        <f t="shared" si="6"/>
        <v>0</v>
      </c>
      <c r="W28" s="112">
        <f t="shared" si="7"/>
        <v>0</v>
      </c>
      <c r="X28" s="112">
        <f t="shared" si="8"/>
        <v>0</v>
      </c>
      <c r="Y28" s="113">
        <f t="shared" si="9"/>
        <v>0</v>
      </c>
      <c r="Z28" s="112">
        <f t="shared" si="10"/>
        <v>0</v>
      </c>
      <c r="AA28" s="114" t="e">
        <f t="shared" si="11"/>
        <v>#DIV/0!</v>
      </c>
      <c r="AB28" s="115" t="e">
        <f t="shared" si="12"/>
        <v>#DIV/0!</v>
      </c>
      <c r="AC28" s="116" t="s">
        <v>224</v>
      </c>
    </row>
    <row r="29" spans="1:29" ht="45" customHeight="1" x14ac:dyDescent="0.25">
      <c r="A29" s="30">
        <v>22</v>
      </c>
      <c r="B29" s="101" t="s">
        <v>156</v>
      </c>
      <c r="C29" s="31">
        <v>1</v>
      </c>
      <c r="D29" s="32" t="s">
        <v>166</v>
      </c>
      <c r="E29" s="31">
        <f t="shared" si="0"/>
        <v>216</v>
      </c>
      <c r="F29" s="96">
        <v>113</v>
      </c>
      <c r="G29" s="33">
        <f>F29/D29</f>
        <v>0.52314814814814814</v>
      </c>
      <c r="H29" s="34">
        <f>G29*E29</f>
        <v>113</v>
      </c>
      <c r="I29" s="35"/>
      <c r="J29" s="36">
        <f t="shared" si="1"/>
        <v>0.52314814814814814</v>
      </c>
      <c r="K29" s="36">
        <f t="shared" si="1"/>
        <v>113</v>
      </c>
      <c r="L29" s="36">
        <f t="shared" si="2"/>
        <v>0.57023148148148151</v>
      </c>
      <c r="M29" s="36">
        <f>L29*E29</f>
        <v>123.17</v>
      </c>
      <c r="N29" s="37">
        <v>0.8</v>
      </c>
      <c r="O29" s="38">
        <f>N29*E29</f>
        <v>172.8</v>
      </c>
      <c r="P29" s="38">
        <f t="shared" si="3"/>
        <v>0.22976851851851854</v>
      </c>
      <c r="Q29" s="38">
        <f>P29*E29</f>
        <v>49.63</v>
      </c>
      <c r="R29" s="39">
        <f t="shared" si="4"/>
        <v>0.28721064814814817</v>
      </c>
      <c r="S29" s="42"/>
      <c r="T29" s="110">
        <f t="shared" si="5"/>
        <v>0.8</v>
      </c>
      <c r="U29" s="107">
        <v>0.18</v>
      </c>
      <c r="V29" s="111">
        <f t="shared" si="6"/>
        <v>0.97560975609756095</v>
      </c>
      <c r="W29" s="112">
        <f t="shared" si="7"/>
        <v>0.17560975609756091</v>
      </c>
      <c r="X29" s="112">
        <f t="shared" si="8"/>
        <v>1.5804878048780481E-2</v>
      </c>
      <c r="Y29" s="113">
        <f t="shared" si="9"/>
        <v>0.19141463414634138</v>
      </c>
      <c r="Z29" s="112">
        <f t="shared" si="10"/>
        <v>0.78419512195121954</v>
      </c>
      <c r="AA29" s="114">
        <f t="shared" si="11"/>
        <v>0.27284490107176096</v>
      </c>
      <c r="AB29" s="115">
        <f t="shared" si="12"/>
        <v>-1.4365747076387214E-2</v>
      </c>
      <c r="AC29" s="116" t="s">
        <v>224</v>
      </c>
    </row>
    <row r="30" spans="1:29" ht="45" customHeight="1" x14ac:dyDescent="0.25">
      <c r="A30" s="30">
        <v>23</v>
      </c>
      <c r="B30" s="101" t="s">
        <v>145</v>
      </c>
      <c r="C30" s="31">
        <v>1</v>
      </c>
      <c r="D30" s="32" t="s">
        <v>144</v>
      </c>
      <c r="E30" s="31">
        <f t="shared" si="0"/>
        <v>30</v>
      </c>
      <c r="F30" s="96">
        <v>31</v>
      </c>
      <c r="G30" s="33">
        <f>F30/D30</f>
        <v>1.0333333333333334</v>
      </c>
      <c r="H30" s="34">
        <f>G30*E30</f>
        <v>31.000000000000004</v>
      </c>
      <c r="I30" s="35"/>
      <c r="J30" s="36">
        <f t="shared" si="1"/>
        <v>1.0333333333333334</v>
      </c>
      <c r="K30" s="36">
        <f t="shared" si="1"/>
        <v>31.000000000000004</v>
      </c>
      <c r="L30" s="36">
        <f t="shared" si="2"/>
        <v>1.1263333333333336</v>
      </c>
      <c r="M30" s="36">
        <f>L30*E30</f>
        <v>33.790000000000006</v>
      </c>
      <c r="N30" s="37">
        <v>1.5</v>
      </c>
      <c r="O30" s="38">
        <f>N30*E30</f>
        <v>45</v>
      </c>
      <c r="P30" s="38">
        <f t="shared" si="3"/>
        <v>0.37366666666666637</v>
      </c>
      <c r="Q30" s="38">
        <f>P30*E30</f>
        <v>11.20999999999999</v>
      </c>
      <c r="R30" s="39">
        <f t="shared" si="4"/>
        <v>0.24911111111111092</v>
      </c>
      <c r="S30" s="42"/>
      <c r="T30" s="110">
        <f t="shared" si="5"/>
        <v>1.5</v>
      </c>
      <c r="U30" s="107">
        <v>0.18</v>
      </c>
      <c r="V30" s="111">
        <f t="shared" si="6"/>
        <v>1.8292682926829267</v>
      </c>
      <c r="W30" s="112">
        <f t="shared" si="7"/>
        <v>0.32926829268292668</v>
      </c>
      <c r="X30" s="112">
        <f t="shared" si="8"/>
        <v>2.9634146341463399E-2</v>
      </c>
      <c r="Y30" s="113">
        <f t="shared" si="9"/>
        <v>0.35890243902439006</v>
      </c>
      <c r="Z30" s="112">
        <f t="shared" si="10"/>
        <v>1.4703658536585367</v>
      </c>
      <c r="AA30" s="114">
        <f t="shared" si="11"/>
        <v>0.23397749578391513</v>
      </c>
      <c r="AB30" s="115">
        <f t="shared" si="12"/>
        <v>-1.5133615327195787E-2</v>
      </c>
      <c r="AC30" s="116" t="s">
        <v>224</v>
      </c>
    </row>
    <row r="31" spans="1:29" ht="45" customHeight="1" x14ac:dyDescent="0.25">
      <c r="A31" s="30">
        <v>24</v>
      </c>
      <c r="B31" s="101" t="s">
        <v>167</v>
      </c>
      <c r="C31" s="31">
        <v>1</v>
      </c>
      <c r="D31" s="32" t="s">
        <v>164</v>
      </c>
      <c r="E31" s="31">
        <f t="shared" ref="E31" si="68">D31*C31</f>
        <v>120</v>
      </c>
      <c r="F31" s="96">
        <v>82</v>
      </c>
      <c r="G31" s="33">
        <f>F31/D31</f>
        <v>0.68333333333333335</v>
      </c>
      <c r="H31" s="34">
        <f>G31*E31</f>
        <v>82</v>
      </c>
      <c r="I31" s="35"/>
      <c r="J31" s="36">
        <f t="shared" ref="J31" si="69">G31/$Q$2</f>
        <v>0.68333333333333335</v>
      </c>
      <c r="K31" s="36">
        <f>H31/$Q$2</f>
        <v>82</v>
      </c>
      <c r="L31" s="36">
        <f t="shared" si="2"/>
        <v>0.74483333333333346</v>
      </c>
      <c r="M31" s="36">
        <f>L31*E31</f>
        <v>89.38000000000001</v>
      </c>
      <c r="N31" s="37">
        <v>1</v>
      </c>
      <c r="O31" s="38">
        <f>N31*E31</f>
        <v>120</v>
      </c>
      <c r="P31" s="38">
        <f t="shared" ref="P31" si="70">N31-L31</f>
        <v>0.25516666666666654</v>
      </c>
      <c r="Q31" s="38">
        <f>P31*E31</f>
        <v>30.619999999999983</v>
      </c>
      <c r="R31" s="39">
        <f t="shared" ref="R31" si="71">P31/N31</f>
        <v>0.25516666666666654</v>
      </c>
      <c r="S31" s="42"/>
      <c r="T31" s="110">
        <f t="shared" si="5"/>
        <v>1</v>
      </c>
      <c r="U31" s="107">
        <v>0.18</v>
      </c>
      <c r="V31" s="111">
        <f t="shared" si="6"/>
        <v>1.2195121951219512</v>
      </c>
      <c r="W31" s="112">
        <f t="shared" si="7"/>
        <v>0.21951219512195119</v>
      </c>
      <c r="X31" s="112">
        <f t="shared" si="8"/>
        <v>1.9756097560975606E-2</v>
      </c>
      <c r="Y31" s="113">
        <f t="shared" si="9"/>
        <v>0.23926829268292679</v>
      </c>
      <c r="Z31" s="112">
        <f t="shared" si="10"/>
        <v>0.98024390243902437</v>
      </c>
      <c r="AA31" s="114">
        <f t="shared" si="11"/>
        <v>0.24015509662436746</v>
      </c>
      <c r="AB31" s="115">
        <f t="shared" si="12"/>
        <v>-1.5011570042299083E-2</v>
      </c>
      <c r="AC31" s="116" t="s">
        <v>224</v>
      </c>
    </row>
    <row r="32" spans="1:29" ht="45" customHeight="1" x14ac:dyDescent="0.25">
      <c r="A32" s="30">
        <v>25</v>
      </c>
      <c r="B32" s="101" t="s">
        <v>168</v>
      </c>
      <c r="C32" s="31">
        <v>1</v>
      </c>
      <c r="D32" s="32" t="s">
        <v>164</v>
      </c>
      <c r="E32" s="31">
        <f t="shared" ref="E32" si="72">D32*C32</f>
        <v>120</v>
      </c>
      <c r="F32" s="96">
        <v>82</v>
      </c>
      <c r="G32" s="33">
        <f>F32/D32</f>
        <v>0.68333333333333335</v>
      </c>
      <c r="H32" s="34">
        <f>G32*E32</f>
        <v>82</v>
      </c>
      <c r="I32" s="35"/>
      <c r="J32" s="36">
        <f t="shared" ref="J32" si="73">G32/$Q$2</f>
        <v>0.68333333333333335</v>
      </c>
      <c r="K32" s="36">
        <f t="shared" ref="K32" si="74">H32/$Q$2</f>
        <v>82</v>
      </c>
      <c r="L32" s="36">
        <f t="shared" si="2"/>
        <v>0.74483333333333346</v>
      </c>
      <c r="M32" s="36">
        <f>L32*E32</f>
        <v>89.38000000000001</v>
      </c>
      <c r="N32" s="37">
        <v>1</v>
      </c>
      <c r="O32" s="38">
        <f>N32*E32</f>
        <v>120</v>
      </c>
      <c r="P32" s="38">
        <f t="shared" ref="P32" si="75">N32-L32</f>
        <v>0.25516666666666654</v>
      </c>
      <c r="Q32" s="38">
        <f>P32*E32</f>
        <v>30.619999999999983</v>
      </c>
      <c r="R32" s="39">
        <f t="shared" ref="R32" si="76">P32/N32</f>
        <v>0.25516666666666654</v>
      </c>
      <c r="S32" s="42"/>
      <c r="T32" s="110">
        <f t="shared" si="5"/>
        <v>1</v>
      </c>
      <c r="U32" s="107">
        <v>0.18</v>
      </c>
      <c r="V32" s="111">
        <f t="shared" si="6"/>
        <v>1.2195121951219512</v>
      </c>
      <c r="W32" s="112">
        <f t="shared" si="7"/>
        <v>0.21951219512195119</v>
      </c>
      <c r="X32" s="112">
        <f t="shared" si="8"/>
        <v>1.9756097560975606E-2</v>
      </c>
      <c r="Y32" s="113">
        <f t="shared" si="9"/>
        <v>0.23926829268292679</v>
      </c>
      <c r="Z32" s="112">
        <f t="shared" si="10"/>
        <v>0.98024390243902437</v>
      </c>
      <c r="AA32" s="114">
        <f t="shared" si="11"/>
        <v>0.24015509662436746</v>
      </c>
      <c r="AB32" s="115">
        <f t="shared" si="12"/>
        <v>-1.5011570042299083E-2</v>
      </c>
      <c r="AC32" s="116" t="s">
        <v>224</v>
      </c>
    </row>
    <row r="33" spans="1:29" ht="45" customHeight="1" x14ac:dyDescent="0.25">
      <c r="A33" s="30">
        <v>26</v>
      </c>
      <c r="B33" s="101" t="s">
        <v>161</v>
      </c>
      <c r="C33" s="31">
        <v>1</v>
      </c>
      <c r="D33" s="32" t="s">
        <v>164</v>
      </c>
      <c r="E33" s="31">
        <f t="shared" si="0"/>
        <v>120</v>
      </c>
      <c r="F33" s="96">
        <v>82</v>
      </c>
      <c r="G33" s="33">
        <f>F33/D33</f>
        <v>0.68333333333333335</v>
      </c>
      <c r="H33" s="34">
        <f>G33*E33</f>
        <v>82</v>
      </c>
      <c r="I33" s="35"/>
      <c r="J33" s="36">
        <f t="shared" si="1"/>
        <v>0.68333333333333335</v>
      </c>
      <c r="K33" s="36">
        <f t="shared" si="1"/>
        <v>82</v>
      </c>
      <c r="L33" s="36">
        <f t="shared" si="2"/>
        <v>0.74483333333333346</v>
      </c>
      <c r="M33" s="36">
        <f>L33*E33</f>
        <v>89.38000000000001</v>
      </c>
      <c r="N33" s="37">
        <v>1</v>
      </c>
      <c r="O33" s="38">
        <f>N33*E33</f>
        <v>120</v>
      </c>
      <c r="P33" s="38">
        <f t="shared" si="3"/>
        <v>0.25516666666666654</v>
      </c>
      <c r="Q33" s="38">
        <f>P33*E33</f>
        <v>30.619999999999983</v>
      </c>
      <c r="R33" s="39">
        <f t="shared" si="4"/>
        <v>0.25516666666666654</v>
      </c>
      <c r="S33" s="42"/>
      <c r="T33" s="110">
        <f t="shared" si="5"/>
        <v>1</v>
      </c>
      <c r="U33" s="107">
        <v>0.18</v>
      </c>
      <c r="V33" s="111">
        <f t="shared" si="6"/>
        <v>1.2195121951219512</v>
      </c>
      <c r="W33" s="112">
        <f t="shared" si="7"/>
        <v>0.21951219512195119</v>
      </c>
      <c r="X33" s="112">
        <f t="shared" si="8"/>
        <v>1.9756097560975606E-2</v>
      </c>
      <c r="Y33" s="113">
        <f t="shared" si="9"/>
        <v>0.23926829268292679</v>
      </c>
      <c r="Z33" s="112">
        <f t="shared" si="10"/>
        <v>0.98024390243902437</v>
      </c>
      <c r="AA33" s="114">
        <f t="shared" si="11"/>
        <v>0.24015509662436746</v>
      </c>
      <c r="AB33" s="115">
        <f t="shared" si="12"/>
        <v>-1.5011570042299083E-2</v>
      </c>
      <c r="AC33" s="116" t="s">
        <v>224</v>
      </c>
    </row>
    <row r="34" spans="1:29" ht="45" customHeight="1" x14ac:dyDescent="0.25">
      <c r="A34" s="30">
        <v>27</v>
      </c>
      <c r="B34" s="102" t="s">
        <v>44</v>
      </c>
      <c r="C34" s="31">
        <v>1</v>
      </c>
      <c r="D34" s="32" t="s">
        <v>24</v>
      </c>
      <c r="E34" s="31">
        <f t="shared" si="0"/>
        <v>24</v>
      </c>
      <c r="F34" s="96">
        <v>13</v>
      </c>
      <c r="G34" s="33">
        <f>F34/D34</f>
        <v>0.54166666666666663</v>
      </c>
      <c r="H34" s="34">
        <f>G34*E34</f>
        <v>13</v>
      </c>
      <c r="I34" s="35"/>
      <c r="J34" s="36">
        <f t="shared" si="1"/>
        <v>0.54166666666666663</v>
      </c>
      <c r="K34" s="36">
        <f t="shared" si="1"/>
        <v>13</v>
      </c>
      <c r="L34" s="36">
        <f t="shared" si="2"/>
        <v>0.5904166666666667</v>
      </c>
      <c r="M34" s="36">
        <f>L34*E34</f>
        <v>14.170000000000002</v>
      </c>
      <c r="N34" s="37">
        <v>0.8</v>
      </c>
      <c r="O34" s="38">
        <f>N34*E34</f>
        <v>19.200000000000003</v>
      </c>
      <c r="P34" s="38">
        <f t="shared" si="3"/>
        <v>0.20958333333333334</v>
      </c>
      <c r="Q34" s="38">
        <f>P34*E34</f>
        <v>5.03</v>
      </c>
      <c r="R34" s="39">
        <f t="shared" si="4"/>
        <v>0.26197916666666665</v>
      </c>
      <c r="S34" s="42"/>
      <c r="T34" s="110">
        <f t="shared" si="5"/>
        <v>0.8</v>
      </c>
      <c r="U34" s="107">
        <v>0.18</v>
      </c>
      <c r="V34" s="111">
        <f t="shared" si="6"/>
        <v>0.97560975609756095</v>
      </c>
      <c r="W34" s="112">
        <f t="shared" si="7"/>
        <v>0.17560975609756091</v>
      </c>
      <c r="X34" s="112">
        <f t="shared" si="8"/>
        <v>1.5804878048780481E-2</v>
      </c>
      <c r="Y34" s="113">
        <f t="shared" si="9"/>
        <v>0.19141463414634138</v>
      </c>
      <c r="Z34" s="112">
        <f t="shared" si="10"/>
        <v>0.78419512195121954</v>
      </c>
      <c r="AA34" s="114">
        <f t="shared" si="11"/>
        <v>0.24710489756987641</v>
      </c>
      <c r="AB34" s="115">
        <f t="shared" si="12"/>
        <v>-1.4874269096790238E-2</v>
      </c>
      <c r="AC34" s="116">
        <v>0.7</v>
      </c>
    </row>
    <row r="35" spans="1:29" ht="45" customHeight="1" x14ac:dyDescent="0.25">
      <c r="A35" s="30">
        <v>28</v>
      </c>
      <c r="B35" s="103" t="s">
        <v>45</v>
      </c>
      <c r="C35" s="31">
        <v>1</v>
      </c>
      <c r="D35" s="32" t="s">
        <v>84</v>
      </c>
      <c r="E35" s="31">
        <f t="shared" si="0"/>
        <v>8</v>
      </c>
      <c r="F35" s="96">
        <v>11.5</v>
      </c>
      <c r="G35" s="33">
        <f>F35/D35</f>
        <v>1.4375</v>
      </c>
      <c r="H35" s="34">
        <f>G35*E35</f>
        <v>11.5</v>
      </c>
      <c r="I35" s="35"/>
      <c r="J35" s="36">
        <f t="shared" si="1"/>
        <v>1.4375</v>
      </c>
      <c r="K35" s="36">
        <f t="shared" si="1"/>
        <v>11.5</v>
      </c>
      <c r="L35" s="36">
        <f t="shared" si="2"/>
        <v>1.566875</v>
      </c>
      <c r="M35" s="36">
        <f>L35*E35</f>
        <v>12.535</v>
      </c>
      <c r="N35" s="37">
        <v>1.95</v>
      </c>
      <c r="O35" s="38">
        <f>N35*E35</f>
        <v>15.6</v>
      </c>
      <c r="P35" s="38">
        <f t="shared" si="3"/>
        <v>0.38312499999999994</v>
      </c>
      <c r="Q35" s="38">
        <f>P35*E35</f>
        <v>3.0649999999999995</v>
      </c>
      <c r="R35" s="39">
        <f t="shared" si="4"/>
        <v>0.19647435897435894</v>
      </c>
      <c r="S35" s="43"/>
      <c r="T35" s="110">
        <f t="shared" si="5"/>
        <v>1.95</v>
      </c>
      <c r="U35" s="107">
        <v>0.18</v>
      </c>
      <c r="V35" s="111">
        <f t="shared" si="6"/>
        <v>2.3780487804878048</v>
      </c>
      <c r="W35" s="112">
        <f t="shared" si="7"/>
        <v>0.42804878048780481</v>
      </c>
      <c r="X35" s="112">
        <f t="shared" si="8"/>
        <v>3.8524390243902432E-2</v>
      </c>
      <c r="Y35" s="113">
        <f t="shared" si="9"/>
        <v>0.46657317073170723</v>
      </c>
      <c r="Z35" s="112">
        <f t="shared" si="10"/>
        <v>1.9114756097560974</v>
      </c>
      <c r="AA35" s="114">
        <f t="shared" si="11"/>
        <v>0.18027988847844525</v>
      </c>
      <c r="AB35" s="115">
        <f t="shared" si="12"/>
        <v>-1.6194470495913688E-2</v>
      </c>
      <c r="AC35" s="116" t="s">
        <v>224</v>
      </c>
    </row>
    <row r="36" spans="1:29" ht="45" customHeight="1" x14ac:dyDescent="0.25">
      <c r="A36" s="30">
        <v>29</v>
      </c>
      <c r="B36" s="103" t="s">
        <v>197</v>
      </c>
      <c r="C36" s="31">
        <v>1</v>
      </c>
      <c r="D36" s="32" t="s">
        <v>84</v>
      </c>
      <c r="E36" s="31">
        <f t="shared" ref="E36" si="77">D36*C36</f>
        <v>8</v>
      </c>
      <c r="F36" s="96">
        <v>11.5</v>
      </c>
      <c r="G36" s="33">
        <f>F36/D36</f>
        <v>1.4375</v>
      </c>
      <c r="H36" s="34">
        <f>G36*E36</f>
        <v>11.5</v>
      </c>
      <c r="I36" s="35"/>
      <c r="J36" s="36">
        <f t="shared" ref="J36" si="78">G36/$Q$2</f>
        <v>1.4375</v>
      </c>
      <c r="K36" s="36">
        <f t="shared" ref="K36" si="79">H36/$Q$2</f>
        <v>11.5</v>
      </c>
      <c r="L36" s="36">
        <f t="shared" si="2"/>
        <v>1.566875</v>
      </c>
      <c r="M36" s="36">
        <f>L36*E36</f>
        <v>12.535</v>
      </c>
      <c r="N36" s="37">
        <v>1.95</v>
      </c>
      <c r="O36" s="38">
        <f>N36*E36</f>
        <v>15.6</v>
      </c>
      <c r="P36" s="38">
        <f t="shared" ref="P36" si="80">N36-L36</f>
        <v>0.38312499999999994</v>
      </c>
      <c r="Q36" s="38">
        <f>P36*E36</f>
        <v>3.0649999999999995</v>
      </c>
      <c r="R36" s="39">
        <f t="shared" ref="R36" si="81">P36/N36</f>
        <v>0.19647435897435894</v>
      </c>
      <c r="S36" s="43"/>
      <c r="T36" s="110">
        <f t="shared" si="5"/>
        <v>1.95</v>
      </c>
      <c r="U36" s="107">
        <v>0.18</v>
      </c>
      <c r="V36" s="111">
        <f t="shared" si="6"/>
        <v>2.3780487804878048</v>
      </c>
      <c r="W36" s="112">
        <f t="shared" si="7"/>
        <v>0.42804878048780481</v>
      </c>
      <c r="X36" s="112">
        <f t="shared" si="8"/>
        <v>3.8524390243902432E-2</v>
      </c>
      <c r="Y36" s="113">
        <f t="shared" si="9"/>
        <v>0.46657317073170723</v>
      </c>
      <c r="Z36" s="112">
        <f t="shared" si="10"/>
        <v>1.9114756097560974</v>
      </c>
      <c r="AA36" s="114">
        <f t="shared" si="11"/>
        <v>0.18027988847844525</v>
      </c>
      <c r="AB36" s="115">
        <f t="shared" si="12"/>
        <v>-1.6194470495913688E-2</v>
      </c>
      <c r="AC36" s="116" t="s">
        <v>224</v>
      </c>
    </row>
    <row r="37" spans="1:29" ht="45" customHeight="1" x14ac:dyDescent="0.25">
      <c r="A37" s="30">
        <v>30</v>
      </c>
      <c r="B37" s="100" t="s">
        <v>180</v>
      </c>
      <c r="C37" s="31">
        <v>1</v>
      </c>
      <c r="D37" s="32" t="s">
        <v>84</v>
      </c>
      <c r="E37" s="31">
        <f t="shared" ref="E37:E39" si="82">D37*C37</f>
        <v>8</v>
      </c>
      <c r="F37" s="96">
        <v>11.5</v>
      </c>
      <c r="G37" s="33">
        <f>F37/D37</f>
        <v>1.4375</v>
      </c>
      <c r="H37" s="34">
        <f>G37*E37</f>
        <v>11.5</v>
      </c>
      <c r="I37" s="35"/>
      <c r="J37" s="36">
        <f t="shared" ref="J37:J39" si="83">G37/$Q$2</f>
        <v>1.4375</v>
      </c>
      <c r="K37" s="36">
        <f t="shared" ref="K37:K39" si="84">H37/$Q$2</f>
        <v>11.5</v>
      </c>
      <c r="L37" s="36">
        <f t="shared" si="2"/>
        <v>1.566875</v>
      </c>
      <c r="M37" s="36">
        <f>L37*E37</f>
        <v>12.535</v>
      </c>
      <c r="N37" s="37">
        <v>1.95</v>
      </c>
      <c r="O37" s="38">
        <f>N37*E37</f>
        <v>15.6</v>
      </c>
      <c r="P37" s="38">
        <f t="shared" ref="P37:P39" si="85">N37-L37</f>
        <v>0.38312499999999994</v>
      </c>
      <c r="Q37" s="38">
        <f>P37*E37</f>
        <v>3.0649999999999995</v>
      </c>
      <c r="R37" s="39">
        <f t="shared" ref="R37:R39" si="86">P37/N37</f>
        <v>0.19647435897435894</v>
      </c>
      <c r="S37" s="40"/>
      <c r="T37" s="110">
        <f t="shared" si="5"/>
        <v>1.95</v>
      </c>
      <c r="U37" s="107">
        <v>0.18</v>
      </c>
      <c r="V37" s="111">
        <f t="shared" si="6"/>
        <v>2.3780487804878048</v>
      </c>
      <c r="W37" s="112">
        <f t="shared" si="7"/>
        <v>0.42804878048780481</v>
      </c>
      <c r="X37" s="112">
        <f t="shared" si="8"/>
        <v>3.8524390243902432E-2</v>
      </c>
      <c r="Y37" s="113">
        <f t="shared" si="9"/>
        <v>0.46657317073170723</v>
      </c>
      <c r="Z37" s="112">
        <f t="shared" si="10"/>
        <v>1.9114756097560974</v>
      </c>
      <c r="AA37" s="114">
        <f t="shared" si="11"/>
        <v>0.18027988847844525</v>
      </c>
      <c r="AB37" s="115">
        <f t="shared" si="12"/>
        <v>-1.6194470495913688E-2</v>
      </c>
      <c r="AC37" s="116" t="s">
        <v>224</v>
      </c>
    </row>
    <row r="38" spans="1:29" ht="45" customHeight="1" x14ac:dyDescent="0.25">
      <c r="A38" s="30">
        <v>31</v>
      </c>
      <c r="B38" s="100" t="s">
        <v>193</v>
      </c>
      <c r="C38" s="31">
        <v>1</v>
      </c>
      <c r="D38" s="32" t="s">
        <v>84</v>
      </c>
      <c r="E38" s="31">
        <f t="shared" si="82"/>
        <v>8</v>
      </c>
      <c r="F38" s="96">
        <v>11.5</v>
      </c>
      <c r="G38" s="33">
        <f>F38/D38</f>
        <v>1.4375</v>
      </c>
      <c r="H38" s="34">
        <f>G38*E38</f>
        <v>11.5</v>
      </c>
      <c r="I38" s="35"/>
      <c r="J38" s="36">
        <f t="shared" si="83"/>
        <v>1.4375</v>
      </c>
      <c r="K38" s="36">
        <f t="shared" si="84"/>
        <v>11.5</v>
      </c>
      <c r="L38" s="36">
        <f t="shared" si="2"/>
        <v>1.566875</v>
      </c>
      <c r="M38" s="36">
        <f>L38*E38</f>
        <v>12.535</v>
      </c>
      <c r="N38" s="37">
        <v>1.95</v>
      </c>
      <c r="O38" s="38">
        <f>N38*E38</f>
        <v>15.6</v>
      </c>
      <c r="P38" s="38">
        <f t="shared" si="85"/>
        <v>0.38312499999999994</v>
      </c>
      <c r="Q38" s="38">
        <f>P38*E38</f>
        <v>3.0649999999999995</v>
      </c>
      <c r="R38" s="39">
        <f t="shared" si="86"/>
        <v>0.19647435897435894</v>
      </c>
      <c r="S38" s="40"/>
      <c r="T38" s="110">
        <f t="shared" si="5"/>
        <v>1.95</v>
      </c>
      <c r="U38" s="107">
        <v>0.18</v>
      </c>
      <c r="V38" s="111">
        <f t="shared" si="6"/>
        <v>2.3780487804878048</v>
      </c>
      <c r="W38" s="112">
        <f t="shared" si="7"/>
        <v>0.42804878048780481</v>
      </c>
      <c r="X38" s="112">
        <f t="shared" si="8"/>
        <v>3.8524390243902432E-2</v>
      </c>
      <c r="Y38" s="113">
        <f t="shared" si="9"/>
        <v>0.46657317073170723</v>
      </c>
      <c r="Z38" s="112">
        <f t="shared" si="10"/>
        <v>1.9114756097560974</v>
      </c>
      <c r="AA38" s="114">
        <f t="shared" si="11"/>
        <v>0.18027988847844525</v>
      </c>
      <c r="AB38" s="115">
        <f t="shared" si="12"/>
        <v>-1.6194470495913688E-2</v>
      </c>
      <c r="AC38" s="116" t="s">
        <v>224</v>
      </c>
    </row>
    <row r="39" spans="1:29" ht="45" customHeight="1" x14ac:dyDescent="0.25">
      <c r="A39" s="30">
        <v>32</v>
      </c>
      <c r="B39" s="104" t="s">
        <v>196</v>
      </c>
      <c r="C39" s="31">
        <v>1</v>
      </c>
      <c r="D39" s="32" t="s">
        <v>84</v>
      </c>
      <c r="E39" s="31">
        <f t="shared" si="82"/>
        <v>8</v>
      </c>
      <c r="F39" s="96">
        <v>11.5</v>
      </c>
      <c r="G39" s="33">
        <f>F39/D39</f>
        <v>1.4375</v>
      </c>
      <c r="H39" s="34">
        <f>G39*E39</f>
        <v>11.5</v>
      </c>
      <c r="I39" s="35"/>
      <c r="J39" s="36">
        <f t="shared" si="83"/>
        <v>1.4375</v>
      </c>
      <c r="K39" s="36">
        <f t="shared" si="84"/>
        <v>11.5</v>
      </c>
      <c r="L39" s="36">
        <f t="shared" ref="L39:L70" si="87">J39*(1+$M$177+9%)</f>
        <v>1.566875</v>
      </c>
      <c r="M39" s="36">
        <f>L39*E39</f>
        <v>12.535</v>
      </c>
      <c r="N39" s="37">
        <v>1.95</v>
      </c>
      <c r="O39" s="38">
        <f>N39*E39</f>
        <v>15.6</v>
      </c>
      <c r="P39" s="38">
        <f t="shared" si="85"/>
        <v>0.38312499999999994</v>
      </c>
      <c r="Q39" s="38">
        <f>P39*E39</f>
        <v>3.0649999999999995</v>
      </c>
      <c r="R39" s="39">
        <f t="shared" si="86"/>
        <v>0.19647435897435894</v>
      </c>
      <c r="S39" s="43"/>
      <c r="T39" s="110">
        <f t="shared" si="5"/>
        <v>1.95</v>
      </c>
      <c r="U39" s="107">
        <v>0.18</v>
      </c>
      <c r="V39" s="111">
        <f t="shared" si="6"/>
        <v>2.3780487804878048</v>
      </c>
      <c r="W39" s="112">
        <f t="shared" si="7"/>
        <v>0.42804878048780481</v>
      </c>
      <c r="X39" s="112">
        <f t="shared" si="8"/>
        <v>3.8524390243902432E-2</v>
      </c>
      <c r="Y39" s="113">
        <f t="shared" si="9"/>
        <v>0.46657317073170723</v>
      </c>
      <c r="Z39" s="112">
        <f t="shared" si="10"/>
        <v>1.9114756097560974</v>
      </c>
      <c r="AA39" s="114">
        <f t="shared" si="11"/>
        <v>0.18027988847844525</v>
      </c>
      <c r="AB39" s="115">
        <f t="shared" si="12"/>
        <v>-1.6194470495913688E-2</v>
      </c>
      <c r="AC39" s="116" t="s">
        <v>224</v>
      </c>
    </row>
    <row r="40" spans="1:29" ht="45" customHeight="1" x14ac:dyDescent="0.25">
      <c r="A40" s="30">
        <v>33</v>
      </c>
      <c r="B40" s="100" t="s">
        <v>46</v>
      </c>
      <c r="C40" s="31">
        <v>1</v>
      </c>
      <c r="D40" s="32" t="s">
        <v>84</v>
      </c>
      <c r="E40" s="31">
        <f t="shared" si="0"/>
        <v>8</v>
      </c>
      <c r="F40" s="96">
        <v>11.5</v>
      </c>
      <c r="G40" s="33">
        <f>F40/D40</f>
        <v>1.4375</v>
      </c>
      <c r="H40" s="34">
        <f>G40*E40</f>
        <v>11.5</v>
      </c>
      <c r="I40" s="35"/>
      <c r="J40" s="36">
        <f t="shared" si="1"/>
        <v>1.4375</v>
      </c>
      <c r="K40" s="36">
        <f t="shared" si="1"/>
        <v>11.5</v>
      </c>
      <c r="L40" s="36">
        <f t="shared" si="87"/>
        <v>1.566875</v>
      </c>
      <c r="M40" s="36">
        <f>L40*E40</f>
        <v>12.535</v>
      </c>
      <c r="N40" s="37">
        <v>1.95</v>
      </c>
      <c r="O40" s="38">
        <f>N40*E40</f>
        <v>15.6</v>
      </c>
      <c r="P40" s="38">
        <f t="shared" si="3"/>
        <v>0.38312499999999994</v>
      </c>
      <c r="Q40" s="38">
        <f>P40*E40</f>
        <v>3.0649999999999995</v>
      </c>
      <c r="R40" s="39">
        <f t="shared" si="4"/>
        <v>0.19647435897435894</v>
      </c>
      <c r="S40" s="40"/>
      <c r="T40" s="110">
        <f t="shared" si="5"/>
        <v>1.95</v>
      </c>
      <c r="U40" s="107">
        <v>0.18</v>
      </c>
      <c r="V40" s="111">
        <f t="shared" si="6"/>
        <v>2.3780487804878048</v>
      </c>
      <c r="W40" s="112">
        <f t="shared" si="7"/>
        <v>0.42804878048780481</v>
      </c>
      <c r="X40" s="112">
        <f t="shared" si="8"/>
        <v>3.8524390243902432E-2</v>
      </c>
      <c r="Y40" s="113">
        <f t="shared" si="9"/>
        <v>0.46657317073170723</v>
      </c>
      <c r="Z40" s="112">
        <f t="shared" si="10"/>
        <v>1.9114756097560974</v>
      </c>
      <c r="AA40" s="114">
        <f t="shared" si="11"/>
        <v>0.18027988847844525</v>
      </c>
      <c r="AB40" s="115">
        <f t="shared" si="12"/>
        <v>-1.6194470495913688E-2</v>
      </c>
      <c r="AC40" s="116" t="s">
        <v>224</v>
      </c>
    </row>
    <row r="41" spans="1:29" ht="45" customHeight="1" x14ac:dyDescent="0.25">
      <c r="A41" s="30">
        <v>34</v>
      </c>
      <c r="B41" s="100" t="s">
        <v>47</v>
      </c>
      <c r="C41" s="31">
        <v>1</v>
      </c>
      <c r="D41" s="32" t="s">
        <v>84</v>
      </c>
      <c r="E41" s="31">
        <f t="shared" si="0"/>
        <v>8</v>
      </c>
      <c r="F41" s="96">
        <v>15</v>
      </c>
      <c r="G41" s="33">
        <f>F41/D41</f>
        <v>1.875</v>
      </c>
      <c r="H41" s="34">
        <f>G41*E41</f>
        <v>15</v>
      </c>
      <c r="I41" s="35"/>
      <c r="J41" s="36">
        <f t="shared" si="1"/>
        <v>1.875</v>
      </c>
      <c r="K41" s="36">
        <f t="shared" si="1"/>
        <v>15</v>
      </c>
      <c r="L41" s="36">
        <f t="shared" si="87"/>
        <v>2.0437500000000002</v>
      </c>
      <c r="M41" s="36">
        <f>L41*E41</f>
        <v>16.350000000000001</v>
      </c>
      <c r="N41" s="37">
        <v>2.5</v>
      </c>
      <c r="O41" s="38">
        <f>N41*E41</f>
        <v>20</v>
      </c>
      <c r="P41" s="38">
        <f t="shared" si="3"/>
        <v>0.45624999999999982</v>
      </c>
      <c r="Q41" s="38">
        <f>P41*E41</f>
        <v>3.6499999999999986</v>
      </c>
      <c r="R41" s="39">
        <f t="shared" si="4"/>
        <v>0.18249999999999994</v>
      </c>
      <c r="S41" s="41"/>
      <c r="T41" s="110">
        <f t="shared" si="5"/>
        <v>2.5</v>
      </c>
      <c r="U41" s="107">
        <v>0.18</v>
      </c>
      <c r="V41" s="111">
        <f t="shared" si="6"/>
        <v>3.0487804878048776</v>
      </c>
      <c r="W41" s="112">
        <f t="shared" si="7"/>
        <v>0.54878048780487765</v>
      </c>
      <c r="X41" s="112">
        <f t="shared" si="8"/>
        <v>4.9390243902438985E-2</v>
      </c>
      <c r="Y41" s="113">
        <f t="shared" si="9"/>
        <v>0.59817073170731661</v>
      </c>
      <c r="Z41" s="112">
        <f t="shared" si="10"/>
        <v>2.450609756097561</v>
      </c>
      <c r="AA41" s="114">
        <f t="shared" si="11"/>
        <v>0.16602388653893999</v>
      </c>
      <c r="AB41" s="115">
        <f t="shared" si="12"/>
        <v>-1.6476113461059955E-2</v>
      </c>
      <c r="AC41" s="116" t="s">
        <v>224</v>
      </c>
    </row>
    <row r="42" spans="1:29" ht="45" customHeight="1" x14ac:dyDescent="0.25">
      <c r="A42" s="30">
        <v>35</v>
      </c>
      <c r="B42" s="100" t="s">
        <v>48</v>
      </c>
      <c r="C42" s="31">
        <v>1</v>
      </c>
      <c r="D42" s="32" t="s">
        <v>84</v>
      </c>
      <c r="E42" s="31">
        <f t="shared" si="0"/>
        <v>8</v>
      </c>
      <c r="F42" s="96">
        <v>15</v>
      </c>
      <c r="G42" s="33">
        <f>F42/D42</f>
        <v>1.875</v>
      </c>
      <c r="H42" s="34">
        <f>G42*E42</f>
        <v>15</v>
      </c>
      <c r="I42" s="35"/>
      <c r="J42" s="36">
        <f t="shared" si="1"/>
        <v>1.875</v>
      </c>
      <c r="K42" s="36">
        <f t="shared" si="1"/>
        <v>15</v>
      </c>
      <c r="L42" s="36">
        <f t="shared" si="87"/>
        <v>2.0437500000000002</v>
      </c>
      <c r="M42" s="36">
        <f>L42*E42</f>
        <v>16.350000000000001</v>
      </c>
      <c r="N42" s="37">
        <v>2.5</v>
      </c>
      <c r="O42" s="38">
        <f>N42*E42</f>
        <v>20</v>
      </c>
      <c r="P42" s="38">
        <f t="shared" si="3"/>
        <v>0.45624999999999982</v>
      </c>
      <c r="Q42" s="38">
        <f>P42*E42</f>
        <v>3.6499999999999986</v>
      </c>
      <c r="R42" s="39">
        <f t="shared" si="4"/>
        <v>0.18249999999999994</v>
      </c>
      <c r="S42" s="42"/>
      <c r="T42" s="110">
        <f t="shared" si="5"/>
        <v>2.5</v>
      </c>
      <c r="U42" s="107">
        <v>0.18</v>
      </c>
      <c r="V42" s="111">
        <f t="shared" si="6"/>
        <v>3.0487804878048776</v>
      </c>
      <c r="W42" s="112">
        <f t="shared" si="7"/>
        <v>0.54878048780487765</v>
      </c>
      <c r="X42" s="112">
        <f t="shared" si="8"/>
        <v>4.9390243902438985E-2</v>
      </c>
      <c r="Y42" s="113">
        <f t="shared" si="9"/>
        <v>0.59817073170731661</v>
      </c>
      <c r="Z42" s="112">
        <f t="shared" si="10"/>
        <v>2.450609756097561</v>
      </c>
      <c r="AA42" s="114">
        <f t="shared" si="11"/>
        <v>0.16602388653893999</v>
      </c>
      <c r="AB42" s="115">
        <f t="shared" si="12"/>
        <v>-1.6476113461059955E-2</v>
      </c>
      <c r="AC42" s="116" t="s">
        <v>224</v>
      </c>
    </row>
    <row r="43" spans="1:29" ht="45" customHeight="1" x14ac:dyDescent="0.25">
      <c r="A43" s="30">
        <v>36</v>
      </c>
      <c r="B43" s="101" t="s">
        <v>49</v>
      </c>
      <c r="C43" s="31">
        <v>1</v>
      </c>
      <c r="D43" s="32" t="s">
        <v>84</v>
      </c>
      <c r="E43" s="31">
        <f t="shared" si="0"/>
        <v>8</v>
      </c>
      <c r="F43" s="96">
        <v>15</v>
      </c>
      <c r="G43" s="33">
        <f>F43/D43</f>
        <v>1.875</v>
      </c>
      <c r="H43" s="34">
        <f>G43*E43</f>
        <v>15</v>
      </c>
      <c r="I43" s="35"/>
      <c r="J43" s="36">
        <f t="shared" si="1"/>
        <v>1.875</v>
      </c>
      <c r="K43" s="36">
        <f t="shared" si="1"/>
        <v>15</v>
      </c>
      <c r="L43" s="36">
        <f t="shared" si="87"/>
        <v>2.0437500000000002</v>
      </c>
      <c r="M43" s="36">
        <f>L43*E43</f>
        <v>16.350000000000001</v>
      </c>
      <c r="N43" s="37">
        <v>2.5</v>
      </c>
      <c r="O43" s="38">
        <f>N43*E43</f>
        <v>20</v>
      </c>
      <c r="P43" s="38">
        <f t="shared" si="3"/>
        <v>0.45624999999999982</v>
      </c>
      <c r="Q43" s="38">
        <f>P43*E43</f>
        <v>3.6499999999999986</v>
      </c>
      <c r="R43" s="39">
        <f t="shared" si="4"/>
        <v>0.18249999999999994</v>
      </c>
      <c r="S43" s="42"/>
      <c r="T43" s="110">
        <f t="shared" si="5"/>
        <v>2.5</v>
      </c>
      <c r="U43" s="107">
        <v>0.18</v>
      </c>
      <c r="V43" s="111">
        <f t="shared" si="6"/>
        <v>3.0487804878048776</v>
      </c>
      <c r="W43" s="112">
        <f t="shared" si="7"/>
        <v>0.54878048780487765</v>
      </c>
      <c r="X43" s="112">
        <f t="shared" si="8"/>
        <v>4.9390243902438985E-2</v>
      </c>
      <c r="Y43" s="113">
        <f t="shared" si="9"/>
        <v>0.59817073170731661</v>
      </c>
      <c r="Z43" s="112">
        <f t="shared" si="10"/>
        <v>2.450609756097561</v>
      </c>
      <c r="AA43" s="114">
        <f t="shared" si="11"/>
        <v>0.16602388653893999</v>
      </c>
      <c r="AB43" s="115">
        <f t="shared" si="12"/>
        <v>-1.6476113461059955E-2</v>
      </c>
      <c r="AC43" s="116" t="s">
        <v>224</v>
      </c>
    </row>
    <row r="44" spans="1:29" ht="45" customHeight="1" x14ac:dyDescent="0.25">
      <c r="A44" s="30">
        <v>37</v>
      </c>
      <c r="B44" s="102" t="s">
        <v>50</v>
      </c>
      <c r="C44" s="31">
        <v>1</v>
      </c>
      <c r="D44" s="32" t="s">
        <v>73</v>
      </c>
      <c r="E44" s="31">
        <f t="shared" si="0"/>
        <v>12</v>
      </c>
      <c r="F44" s="96">
        <v>20.5</v>
      </c>
      <c r="G44" s="33">
        <f>F44/D44</f>
        <v>1.7083333333333333</v>
      </c>
      <c r="H44" s="34">
        <f>G44*E44</f>
        <v>20.5</v>
      </c>
      <c r="I44" s="35"/>
      <c r="J44" s="36">
        <f t="shared" si="1"/>
        <v>1.7083333333333333</v>
      </c>
      <c r="K44" s="36">
        <f t="shared" si="1"/>
        <v>20.5</v>
      </c>
      <c r="L44" s="36">
        <f t="shared" si="87"/>
        <v>1.8620833333333333</v>
      </c>
      <c r="M44" s="36">
        <f>L44*E44</f>
        <v>22.344999999999999</v>
      </c>
      <c r="N44" s="37">
        <v>2.75</v>
      </c>
      <c r="O44" s="38">
        <f>N44*E44</f>
        <v>33</v>
      </c>
      <c r="P44" s="38">
        <f t="shared" si="3"/>
        <v>0.88791666666666669</v>
      </c>
      <c r="Q44" s="38">
        <f>P44*E44</f>
        <v>10.655000000000001</v>
      </c>
      <c r="R44" s="39">
        <f t="shared" si="4"/>
        <v>0.32287878787878788</v>
      </c>
      <c r="S44" s="42"/>
      <c r="T44" s="110">
        <f t="shared" si="5"/>
        <v>2.75</v>
      </c>
      <c r="U44" s="107">
        <v>0.18</v>
      </c>
      <c r="V44" s="111">
        <f t="shared" si="6"/>
        <v>3.3536585365853657</v>
      </c>
      <c r="W44" s="112">
        <f t="shared" si="7"/>
        <v>0.60365853658536572</v>
      </c>
      <c r="X44" s="112">
        <f t="shared" si="8"/>
        <v>5.4329268292682913E-2</v>
      </c>
      <c r="Y44" s="113">
        <f t="shared" si="9"/>
        <v>0.65798780487804864</v>
      </c>
      <c r="Z44" s="112">
        <f t="shared" si="10"/>
        <v>2.6956707317073172</v>
      </c>
      <c r="AA44" s="114">
        <f t="shared" si="11"/>
        <v>0.30923190602215239</v>
      </c>
      <c r="AB44" s="115">
        <f t="shared" si="12"/>
        <v>-1.3646881856635484E-2</v>
      </c>
      <c r="AC44" s="116" t="s">
        <v>224</v>
      </c>
    </row>
    <row r="45" spans="1:29" ht="45" customHeight="1" x14ac:dyDescent="0.25">
      <c r="A45" s="30">
        <v>38</v>
      </c>
      <c r="B45" s="103" t="s">
        <v>51</v>
      </c>
      <c r="C45" s="31">
        <v>1</v>
      </c>
      <c r="D45" s="32" t="s">
        <v>73</v>
      </c>
      <c r="E45" s="31">
        <f t="shared" si="0"/>
        <v>12</v>
      </c>
      <c r="F45" s="96">
        <v>18.850000000000001</v>
      </c>
      <c r="G45" s="33">
        <f>F45/D45</f>
        <v>1.5708333333333335</v>
      </c>
      <c r="H45" s="34">
        <f>G45*E45</f>
        <v>18.850000000000001</v>
      </c>
      <c r="I45" s="35"/>
      <c r="J45" s="36">
        <f t="shared" si="1"/>
        <v>1.5708333333333335</v>
      </c>
      <c r="K45" s="36">
        <f t="shared" si="1"/>
        <v>18.850000000000001</v>
      </c>
      <c r="L45" s="36">
        <f t="shared" si="87"/>
        <v>1.7122083333333338</v>
      </c>
      <c r="M45" s="36">
        <f>L45*E45</f>
        <v>20.546500000000005</v>
      </c>
      <c r="N45" s="37">
        <v>2.75</v>
      </c>
      <c r="O45" s="38">
        <f>N45*E45</f>
        <v>33</v>
      </c>
      <c r="P45" s="38">
        <f t="shared" si="3"/>
        <v>1.0377916666666662</v>
      </c>
      <c r="Q45" s="38">
        <f>P45*E45</f>
        <v>12.453499999999995</v>
      </c>
      <c r="R45" s="39">
        <f t="shared" si="4"/>
        <v>0.3773787878787877</v>
      </c>
      <c r="S45" s="43"/>
      <c r="T45" s="110">
        <f t="shared" si="5"/>
        <v>2.75</v>
      </c>
      <c r="U45" s="107">
        <v>0.18</v>
      </c>
      <c r="V45" s="111">
        <f t="shared" si="6"/>
        <v>3.3536585365853657</v>
      </c>
      <c r="W45" s="112">
        <f t="shared" si="7"/>
        <v>0.60365853658536572</v>
      </c>
      <c r="X45" s="112">
        <f t="shared" si="8"/>
        <v>5.4329268292682913E-2</v>
      </c>
      <c r="Y45" s="113">
        <f t="shared" si="9"/>
        <v>0.65798780487804864</v>
      </c>
      <c r="Z45" s="112">
        <f t="shared" si="10"/>
        <v>2.6956707317073172</v>
      </c>
      <c r="AA45" s="114">
        <f t="shared" si="11"/>
        <v>0.36483031358622287</v>
      </c>
      <c r="AB45" s="115">
        <f t="shared" si="12"/>
        <v>-1.2548474292564837E-2</v>
      </c>
      <c r="AC45" s="116" t="s">
        <v>224</v>
      </c>
    </row>
    <row r="46" spans="1:29" ht="45" customHeight="1" x14ac:dyDescent="0.25">
      <c r="A46" s="30">
        <v>39</v>
      </c>
      <c r="B46" s="100" t="s">
        <v>52</v>
      </c>
      <c r="C46" s="31">
        <v>1</v>
      </c>
      <c r="D46" s="32" t="s">
        <v>73</v>
      </c>
      <c r="E46" s="31">
        <f t="shared" si="0"/>
        <v>12</v>
      </c>
      <c r="F46" s="96">
        <v>20.5</v>
      </c>
      <c r="G46" s="33">
        <f>F46/D46</f>
        <v>1.7083333333333333</v>
      </c>
      <c r="H46" s="34">
        <f>G46*E46</f>
        <v>20.5</v>
      </c>
      <c r="I46" s="35"/>
      <c r="J46" s="36">
        <f t="shared" si="1"/>
        <v>1.7083333333333333</v>
      </c>
      <c r="K46" s="36">
        <f t="shared" si="1"/>
        <v>20.5</v>
      </c>
      <c r="L46" s="36">
        <f t="shared" si="87"/>
        <v>1.8620833333333333</v>
      </c>
      <c r="M46" s="36">
        <f>L46*E46</f>
        <v>22.344999999999999</v>
      </c>
      <c r="N46" s="37">
        <v>2.75</v>
      </c>
      <c r="O46" s="38">
        <f>N46*E46</f>
        <v>33</v>
      </c>
      <c r="P46" s="38">
        <f t="shared" si="3"/>
        <v>0.88791666666666669</v>
      </c>
      <c r="Q46" s="38">
        <f>P46*E46</f>
        <v>10.655000000000001</v>
      </c>
      <c r="R46" s="39">
        <f t="shared" si="4"/>
        <v>0.32287878787878788</v>
      </c>
      <c r="S46" s="40"/>
      <c r="T46" s="110">
        <f t="shared" si="5"/>
        <v>2.75</v>
      </c>
      <c r="U46" s="107">
        <v>0.18</v>
      </c>
      <c r="V46" s="111">
        <f t="shared" si="6"/>
        <v>3.3536585365853657</v>
      </c>
      <c r="W46" s="112">
        <f t="shared" si="7"/>
        <v>0.60365853658536572</v>
      </c>
      <c r="X46" s="112">
        <f t="shared" si="8"/>
        <v>5.4329268292682913E-2</v>
      </c>
      <c r="Y46" s="113">
        <f t="shared" si="9"/>
        <v>0.65798780487804864</v>
      </c>
      <c r="Z46" s="112">
        <f t="shared" si="10"/>
        <v>2.6956707317073172</v>
      </c>
      <c r="AA46" s="114">
        <f t="shared" si="11"/>
        <v>0.30923190602215239</v>
      </c>
      <c r="AB46" s="115">
        <f t="shared" si="12"/>
        <v>-1.3646881856635484E-2</v>
      </c>
      <c r="AC46" s="116" t="s">
        <v>224</v>
      </c>
    </row>
    <row r="47" spans="1:29" ht="45" customHeight="1" x14ac:dyDescent="0.25">
      <c r="A47" s="30">
        <v>40</v>
      </c>
      <c r="B47" s="100" t="s">
        <v>179</v>
      </c>
      <c r="C47" s="31">
        <v>1</v>
      </c>
      <c r="D47" s="32" t="s">
        <v>73</v>
      </c>
      <c r="E47" s="31">
        <f t="shared" ref="E47" si="88">D47*C47</f>
        <v>12</v>
      </c>
      <c r="F47" s="96">
        <v>20.5</v>
      </c>
      <c r="G47" s="33">
        <f>F47/D47</f>
        <v>1.7083333333333333</v>
      </c>
      <c r="H47" s="34">
        <f>G47*E47</f>
        <v>20.5</v>
      </c>
      <c r="I47" s="35"/>
      <c r="J47" s="36">
        <f t="shared" ref="J47" si="89">G47/$Q$2</f>
        <v>1.7083333333333333</v>
      </c>
      <c r="K47" s="36">
        <f t="shared" ref="K47" si="90">H47/$Q$2</f>
        <v>20.5</v>
      </c>
      <c r="L47" s="36">
        <f t="shared" si="87"/>
        <v>1.8620833333333333</v>
      </c>
      <c r="M47" s="36">
        <f>L47*E47</f>
        <v>22.344999999999999</v>
      </c>
      <c r="N47" s="37">
        <v>2.75</v>
      </c>
      <c r="O47" s="38">
        <f>N47*E47</f>
        <v>33</v>
      </c>
      <c r="P47" s="38">
        <f t="shared" ref="P47" si="91">N47-L47</f>
        <v>0.88791666666666669</v>
      </c>
      <c r="Q47" s="38">
        <f>P47*E47</f>
        <v>10.655000000000001</v>
      </c>
      <c r="R47" s="39">
        <f t="shared" ref="R47" si="92">P47/N47</f>
        <v>0.32287878787878788</v>
      </c>
      <c r="S47" s="41"/>
      <c r="T47" s="110">
        <f t="shared" si="5"/>
        <v>2.75</v>
      </c>
      <c r="U47" s="107">
        <v>0.18</v>
      </c>
      <c r="V47" s="111">
        <f t="shared" si="6"/>
        <v>3.3536585365853657</v>
      </c>
      <c r="W47" s="112">
        <f t="shared" si="7"/>
        <v>0.60365853658536572</v>
      </c>
      <c r="X47" s="112">
        <f t="shared" si="8"/>
        <v>5.4329268292682913E-2</v>
      </c>
      <c r="Y47" s="113">
        <f t="shared" si="9"/>
        <v>0.65798780487804864</v>
      </c>
      <c r="Z47" s="112">
        <f t="shared" si="10"/>
        <v>2.6956707317073172</v>
      </c>
      <c r="AA47" s="114">
        <f t="shared" si="11"/>
        <v>0.30923190602215239</v>
      </c>
      <c r="AB47" s="115">
        <f t="shared" si="12"/>
        <v>-1.3646881856635484E-2</v>
      </c>
      <c r="AC47" s="116" t="s">
        <v>224</v>
      </c>
    </row>
    <row r="48" spans="1:29" ht="45" customHeight="1" x14ac:dyDescent="0.25">
      <c r="A48" s="30">
        <v>41</v>
      </c>
      <c r="B48" s="100" t="s">
        <v>53</v>
      </c>
      <c r="C48" s="31">
        <v>1</v>
      </c>
      <c r="D48" s="32" t="s">
        <v>73</v>
      </c>
      <c r="E48" s="31">
        <f t="shared" si="0"/>
        <v>12</v>
      </c>
      <c r="F48" s="96">
        <v>20.5</v>
      </c>
      <c r="G48" s="33">
        <f>F48/D48</f>
        <v>1.7083333333333333</v>
      </c>
      <c r="H48" s="34">
        <f>G48*E48</f>
        <v>20.5</v>
      </c>
      <c r="I48" s="35"/>
      <c r="J48" s="36">
        <f t="shared" si="1"/>
        <v>1.7083333333333333</v>
      </c>
      <c r="K48" s="36">
        <f t="shared" si="1"/>
        <v>20.5</v>
      </c>
      <c r="L48" s="36">
        <f t="shared" si="87"/>
        <v>1.8620833333333333</v>
      </c>
      <c r="M48" s="36">
        <f>L48*E48</f>
        <v>22.344999999999999</v>
      </c>
      <c r="N48" s="37">
        <v>2.75</v>
      </c>
      <c r="O48" s="38">
        <f>N48*E48</f>
        <v>33</v>
      </c>
      <c r="P48" s="38">
        <f t="shared" si="3"/>
        <v>0.88791666666666669</v>
      </c>
      <c r="Q48" s="38">
        <f>P48*E48</f>
        <v>10.655000000000001</v>
      </c>
      <c r="R48" s="39">
        <f t="shared" si="4"/>
        <v>0.32287878787878788</v>
      </c>
      <c r="S48" s="41"/>
      <c r="T48" s="110">
        <f t="shared" si="5"/>
        <v>2.75</v>
      </c>
      <c r="U48" s="107">
        <v>0.18</v>
      </c>
      <c r="V48" s="111">
        <f t="shared" si="6"/>
        <v>3.3536585365853657</v>
      </c>
      <c r="W48" s="112">
        <f t="shared" si="7"/>
        <v>0.60365853658536572</v>
      </c>
      <c r="X48" s="112">
        <f t="shared" si="8"/>
        <v>5.4329268292682913E-2</v>
      </c>
      <c r="Y48" s="113">
        <f t="shared" si="9"/>
        <v>0.65798780487804864</v>
      </c>
      <c r="Z48" s="112">
        <f t="shared" si="10"/>
        <v>2.6956707317073172</v>
      </c>
      <c r="AA48" s="114">
        <f t="shared" si="11"/>
        <v>0.30923190602215239</v>
      </c>
      <c r="AB48" s="115">
        <f t="shared" si="12"/>
        <v>-1.3646881856635484E-2</v>
      </c>
      <c r="AC48" s="116" t="s">
        <v>224</v>
      </c>
    </row>
    <row r="49" spans="1:29" ht="45" customHeight="1" x14ac:dyDescent="0.25">
      <c r="A49" s="30">
        <v>42</v>
      </c>
      <c r="B49" s="100" t="s">
        <v>54</v>
      </c>
      <c r="C49" s="31">
        <v>1</v>
      </c>
      <c r="D49" s="32" t="s">
        <v>73</v>
      </c>
      <c r="E49" s="31">
        <f t="shared" si="0"/>
        <v>12</v>
      </c>
      <c r="F49" s="96">
        <v>20.5</v>
      </c>
      <c r="G49" s="33">
        <f>F49/D49</f>
        <v>1.7083333333333333</v>
      </c>
      <c r="H49" s="34">
        <f>G49*E49</f>
        <v>20.5</v>
      </c>
      <c r="I49" s="35"/>
      <c r="J49" s="36">
        <f t="shared" si="1"/>
        <v>1.7083333333333333</v>
      </c>
      <c r="K49" s="36">
        <f t="shared" si="1"/>
        <v>20.5</v>
      </c>
      <c r="L49" s="36">
        <f t="shared" si="87"/>
        <v>1.8620833333333333</v>
      </c>
      <c r="M49" s="36">
        <f>L49*E49</f>
        <v>22.344999999999999</v>
      </c>
      <c r="N49" s="37">
        <v>2.75</v>
      </c>
      <c r="O49" s="38">
        <f>N49*E49</f>
        <v>33</v>
      </c>
      <c r="P49" s="38">
        <f t="shared" si="3"/>
        <v>0.88791666666666669</v>
      </c>
      <c r="Q49" s="38">
        <f>P49*E49</f>
        <v>10.655000000000001</v>
      </c>
      <c r="R49" s="39">
        <f t="shared" si="4"/>
        <v>0.32287878787878788</v>
      </c>
      <c r="S49" s="42"/>
      <c r="T49" s="110">
        <f t="shared" si="5"/>
        <v>2.75</v>
      </c>
      <c r="U49" s="107">
        <v>0.18</v>
      </c>
      <c r="V49" s="111">
        <f t="shared" si="6"/>
        <v>3.3536585365853657</v>
      </c>
      <c r="W49" s="112">
        <f t="shared" si="7"/>
        <v>0.60365853658536572</v>
      </c>
      <c r="X49" s="112">
        <f t="shared" si="8"/>
        <v>5.4329268292682913E-2</v>
      </c>
      <c r="Y49" s="113">
        <f t="shared" si="9"/>
        <v>0.65798780487804864</v>
      </c>
      <c r="Z49" s="112">
        <f t="shared" si="10"/>
        <v>2.6956707317073172</v>
      </c>
      <c r="AA49" s="114">
        <f t="shared" si="11"/>
        <v>0.30923190602215239</v>
      </c>
      <c r="AB49" s="115">
        <f t="shared" si="12"/>
        <v>-1.3646881856635484E-2</v>
      </c>
      <c r="AC49" s="116" t="s">
        <v>224</v>
      </c>
    </row>
    <row r="50" spans="1:29" ht="45" customHeight="1" x14ac:dyDescent="0.25">
      <c r="A50" s="30">
        <v>43</v>
      </c>
      <c r="B50" s="105" t="s">
        <v>187</v>
      </c>
      <c r="C50" s="31">
        <v>1</v>
      </c>
      <c r="D50" s="32" t="s">
        <v>73</v>
      </c>
      <c r="E50" s="31">
        <f t="shared" si="0"/>
        <v>12</v>
      </c>
      <c r="F50" s="96">
        <v>36.5</v>
      </c>
      <c r="G50" s="33">
        <f>F50/D50</f>
        <v>3.0416666666666665</v>
      </c>
      <c r="H50" s="34">
        <f>G50*E50</f>
        <v>36.5</v>
      </c>
      <c r="I50" s="35"/>
      <c r="J50" s="36">
        <f t="shared" si="1"/>
        <v>3.0416666666666665</v>
      </c>
      <c r="K50" s="36">
        <f t="shared" si="1"/>
        <v>36.5</v>
      </c>
      <c r="L50" s="36">
        <f t="shared" si="87"/>
        <v>3.3154166666666667</v>
      </c>
      <c r="M50" s="36">
        <f>L50*E50</f>
        <v>39.784999999999997</v>
      </c>
      <c r="N50" s="37">
        <v>4.95</v>
      </c>
      <c r="O50" s="38">
        <f>N50*E50</f>
        <v>59.400000000000006</v>
      </c>
      <c r="P50" s="38">
        <f t="shared" ref="P50" si="93">N50-L50</f>
        <v>1.6345833333333335</v>
      </c>
      <c r="Q50" s="38">
        <f>P50*E50</f>
        <v>19.615000000000002</v>
      </c>
      <c r="R50" s="39">
        <f t="shared" ref="R50" si="94">P50/N50</f>
        <v>0.33021885521885525</v>
      </c>
      <c r="S50" s="42"/>
      <c r="T50" s="110">
        <f t="shared" si="5"/>
        <v>4.95</v>
      </c>
      <c r="U50" s="107">
        <v>0.18</v>
      </c>
      <c r="V50" s="111">
        <f t="shared" si="6"/>
        <v>6.0365853658536581</v>
      </c>
      <c r="W50" s="112">
        <f t="shared" si="7"/>
        <v>1.0865853658536579</v>
      </c>
      <c r="X50" s="112">
        <f t="shared" si="8"/>
        <v>9.7792682926829216E-2</v>
      </c>
      <c r="Y50" s="113">
        <f t="shared" si="9"/>
        <v>1.1843780487804871</v>
      </c>
      <c r="Z50" s="112">
        <f t="shared" si="10"/>
        <v>4.8522073170731712</v>
      </c>
      <c r="AA50" s="114">
        <f t="shared" si="11"/>
        <v>0.31671990704088249</v>
      </c>
      <c r="AB50" s="115">
        <f t="shared" si="12"/>
        <v>-1.3498948177972758E-2</v>
      </c>
      <c r="AC50" s="116" t="s">
        <v>224</v>
      </c>
    </row>
    <row r="51" spans="1:29" ht="45" customHeight="1" x14ac:dyDescent="0.25">
      <c r="A51" s="30">
        <v>44</v>
      </c>
      <c r="B51" s="101" t="s">
        <v>55</v>
      </c>
      <c r="C51" s="31">
        <v>1</v>
      </c>
      <c r="D51" s="32" t="s">
        <v>73</v>
      </c>
      <c r="E51" s="31">
        <f t="shared" si="0"/>
        <v>12</v>
      </c>
      <c r="F51" s="96">
        <v>36.5</v>
      </c>
      <c r="G51" s="33">
        <f>F51/D51</f>
        <v>3.0416666666666665</v>
      </c>
      <c r="H51" s="34">
        <f>G51*E51</f>
        <v>36.5</v>
      </c>
      <c r="I51" s="35"/>
      <c r="J51" s="36">
        <f t="shared" si="1"/>
        <v>3.0416666666666665</v>
      </c>
      <c r="K51" s="36">
        <f t="shared" si="1"/>
        <v>36.5</v>
      </c>
      <c r="L51" s="36">
        <f t="shared" si="87"/>
        <v>3.3154166666666667</v>
      </c>
      <c r="M51" s="36">
        <f>L51*E51</f>
        <v>39.784999999999997</v>
      </c>
      <c r="N51" s="37">
        <v>4.95</v>
      </c>
      <c r="O51" s="38">
        <f>N51*E51</f>
        <v>59.400000000000006</v>
      </c>
      <c r="P51" s="38">
        <f t="shared" si="3"/>
        <v>1.6345833333333335</v>
      </c>
      <c r="Q51" s="38">
        <f>P51*E51</f>
        <v>19.615000000000002</v>
      </c>
      <c r="R51" s="39">
        <f t="shared" si="4"/>
        <v>0.33021885521885525</v>
      </c>
      <c r="S51" s="42"/>
      <c r="T51" s="110">
        <f t="shared" si="5"/>
        <v>4.95</v>
      </c>
      <c r="U51" s="107">
        <v>0.18</v>
      </c>
      <c r="V51" s="111">
        <f t="shared" si="6"/>
        <v>6.0365853658536581</v>
      </c>
      <c r="W51" s="112">
        <f t="shared" si="7"/>
        <v>1.0865853658536579</v>
      </c>
      <c r="X51" s="112">
        <f t="shared" si="8"/>
        <v>9.7792682926829216E-2</v>
      </c>
      <c r="Y51" s="113">
        <f t="shared" si="9"/>
        <v>1.1843780487804871</v>
      </c>
      <c r="Z51" s="112">
        <f t="shared" si="10"/>
        <v>4.8522073170731712</v>
      </c>
      <c r="AA51" s="114">
        <f t="shared" si="11"/>
        <v>0.31671990704088249</v>
      </c>
      <c r="AB51" s="115">
        <f t="shared" si="12"/>
        <v>-1.3498948177972758E-2</v>
      </c>
      <c r="AC51" s="116" t="s">
        <v>224</v>
      </c>
    </row>
    <row r="52" spans="1:29" ht="45" customHeight="1" x14ac:dyDescent="0.25">
      <c r="A52" s="30">
        <v>45</v>
      </c>
      <c r="B52" s="102" t="s">
        <v>56</v>
      </c>
      <c r="C52" s="31">
        <v>1</v>
      </c>
      <c r="D52" s="32" t="s">
        <v>73</v>
      </c>
      <c r="E52" s="31">
        <f t="shared" si="0"/>
        <v>12</v>
      </c>
      <c r="F52" s="96">
        <v>36.5</v>
      </c>
      <c r="G52" s="33">
        <f>F52/D52</f>
        <v>3.0416666666666665</v>
      </c>
      <c r="H52" s="34">
        <f>G52*E52</f>
        <v>36.5</v>
      </c>
      <c r="I52" s="35"/>
      <c r="J52" s="36">
        <f t="shared" ref="J52:K74" si="95">G52/$Q$2</f>
        <v>3.0416666666666665</v>
      </c>
      <c r="K52" s="36">
        <f t="shared" si="95"/>
        <v>36.5</v>
      </c>
      <c r="L52" s="36">
        <f t="shared" si="87"/>
        <v>3.3154166666666667</v>
      </c>
      <c r="M52" s="36">
        <f>L52*E52</f>
        <v>39.784999999999997</v>
      </c>
      <c r="N52" s="37">
        <v>4.95</v>
      </c>
      <c r="O52" s="38">
        <f>N52*E52</f>
        <v>59.400000000000006</v>
      </c>
      <c r="P52" s="38">
        <f t="shared" si="3"/>
        <v>1.6345833333333335</v>
      </c>
      <c r="Q52" s="38">
        <f>P52*E52</f>
        <v>19.615000000000002</v>
      </c>
      <c r="R52" s="39">
        <f t="shared" si="4"/>
        <v>0.33021885521885525</v>
      </c>
      <c r="S52" s="42"/>
      <c r="T52" s="110">
        <f t="shared" si="5"/>
        <v>4.95</v>
      </c>
      <c r="U52" s="107">
        <v>0.18</v>
      </c>
      <c r="V52" s="111">
        <f t="shared" si="6"/>
        <v>6.0365853658536581</v>
      </c>
      <c r="W52" s="112">
        <f t="shared" si="7"/>
        <v>1.0865853658536579</v>
      </c>
      <c r="X52" s="112">
        <f t="shared" si="8"/>
        <v>9.7792682926829216E-2</v>
      </c>
      <c r="Y52" s="113">
        <f t="shared" si="9"/>
        <v>1.1843780487804871</v>
      </c>
      <c r="Z52" s="112">
        <f t="shared" si="10"/>
        <v>4.8522073170731712</v>
      </c>
      <c r="AA52" s="114">
        <f t="shared" si="11"/>
        <v>0.31671990704088249</v>
      </c>
      <c r="AB52" s="115">
        <f t="shared" si="12"/>
        <v>-1.3498948177972758E-2</v>
      </c>
      <c r="AC52" s="116" t="s">
        <v>224</v>
      </c>
    </row>
    <row r="53" spans="1:29" ht="45" customHeight="1" x14ac:dyDescent="0.25">
      <c r="A53" s="30">
        <v>46</v>
      </c>
      <c r="B53" s="103" t="s">
        <v>142</v>
      </c>
      <c r="C53" s="31">
        <v>1</v>
      </c>
      <c r="D53" s="32" t="s">
        <v>144</v>
      </c>
      <c r="E53" s="31">
        <f t="shared" si="0"/>
        <v>30</v>
      </c>
      <c r="F53" s="96">
        <v>16.2</v>
      </c>
      <c r="G53" s="33">
        <f>F53/D53</f>
        <v>0.53999999999999992</v>
      </c>
      <c r="H53" s="34">
        <f>G53*E53</f>
        <v>16.2</v>
      </c>
      <c r="I53" s="35"/>
      <c r="J53" s="36">
        <f t="shared" si="95"/>
        <v>0.53999999999999992</v>
      </c>
      <c r="K53" s="36">
        <f t="shared" si="95"/>
        <v>16.2</v>
      </c>
      <c r="L53" s="36">
        <f t="shared" si="87"/>
        <v>0.58860000000000001</v>
      </c>
      <c r="M53" s="36">
        <f>L53*E53</f>
        <v>17.658000000000001</v>
      </c>
      <c r="N53" s="37">
        <v>1.35</v>
      </c>
      <c r="O53" s="38">
        <f>N53*E53</f>
        <v>40.5</v>
      </c>
      <c r="P53" s="38">
        <f t="shared" si="3"/>
        <v>0.76140000000000008</v>
      </c>
      <c r="Q53" s="38">
        <f>P53*E53</f>
        <v>22.842000000000002</v>
      </c>
      <c r="R53" s="39">
        <f t="shared" si="4"/>
        <v>0.56400000000000006</v>
      </c>
      <c r="S53" s="43"/>
      <c r="T53" s="110">
        <f t="shared" si="5"/>
        <v>1.35</v>
      </c>
      <c r="U53" s="107">
        <v>0.18</v>
      </c>
      <c r="V53" s="111">
        <f t="shared" si="6"/>
        <v>1.6463414634146341</v>
      </c>
      <c r="W53" s="112">
        <f t="shared" si="7"/>
        <v>0.29634146341463397</v>
      </c>
      <c r="X53" s="112">
        <f t="shared" si="8"/>
        <v>2.6670731707317055E-2</v>
      </c>
      <c r="Y53" s="113">
        <f t="shared" si="9"/>
        <v>0.32301219512195101</v>
      </c>
      <c r="Z53" s="112">
        <f t="shared" si="10"/>
        <v>1.3233292682926829</v>
      </c>
      <c r="AA53" s="114">
        <f t="shared" si="11"/>
        <v>0.55521273948743466</v>
      </c>
      <c r="AB53" s="115">
        <f t="shared" si="12"/>
        <v>-8.787260512565398E-3</v>
      </c>
      <c r="AC53" s="116" t="s">
        <v>224</v>
      </c>
    </row>
    <row r="54" spans="1:29" ht="45" customHeight="1" x14ac:dyDescent="0.25">
      <c r="A54" s="30">
        <v>47</v>
      </c>
      <c r="B54" s="103" t="s">
        <v>143</v>
      </c>
      <c r="C54" s="31">
        <v>1</v>
      </c>
      <c r="D54" s="32" t="s">
        <v>177</v>
      </c>
      <c r="E54" s="31">
        <f t="shared" si="0"/>
        <v>40</v>
      </c>
      <c r="F54" s="96">
        <v>21.6</v>
      </c>
      <c r="G54" s="33">
        <f>F54/D54</f>
        <v>0.54</v>
      </c>
      <c r="H54" s="34">
        <f>G54*E54</f>
        <v>21.6</v>
      </c>
      <c r="I54" s="35"/>
      <c r="J54" s="36">
        <f t="shared" si="95"/>
        <v>0.54</v>
      </c>
      <c r="K54" s="36">
        <f t="shared" si="95"/>
        <v>21.6</v>
      </c>
      <c r="L54" s="36">
        <f t="shared" si="87"/>
        <v>0.58860000000000012</v>
      </c>
      <c r="M54" s="36">
        <f>L54*E54</f>
        <v>23.544000000000004</v>
      </c>
      <c r="N54" s="37">
        <v>1.35</v>
      </c>
      <c r="O54" s="38">
        <f>N54*E54</f>
        <v>54</v>
      </c>
      <c r="P54" s="38">
        <f t="shared" si="3"/>
        <v>0.76139999999999997</v>
      </c>
      <c r="Q54" s="38">
        <f>P54*E54</f>
        <v>30.456</v>
      </c>
      <c r="R54" s="39">
        <f t="shared" si="4"/>
        <v>0.56399999999999995</v>
      </c>
      <c r="S54" s="43"/>
      <c r="T54" s="110">
        <f t="shared" si="5"/>
        <v>1.35</v>
      </c>
      <c r="U54" s="107">
        <v>0.18</v>
      </c>
      <c r="V54" s="111">
        <f t="shared" si="6"/>
        <v>1.6463414634146341</v>
      </c>
      <c r="W54" s="112">
        <f t="shared" si="7"/>
        <v>0.29634146341463397</v>
      </c>
      <c r="X54" s="112">
        <f t="shared" si="8"/>
        <v>2.6670731707317055E-2</v>
      </c>
      <c r="Y54" s="113">
        <f t="shared" si="9"/>
        <v>0.32301219512195101</v>
      </c>
      <c r="Z54" s="112">
        <f t="shared" si="10"/>
        <v>1.3233292682926829</v>
      </c>
      <c r="AA54" s="114">
        <f t="shared" si="11"/>
        <v>0.55521273948743455</v>
      </c>
      <c r="AB54" s="115">
        <f t="shared" si="12"/>
        <v>-8.787260512565398E-3</v>
      </c>
      <c r="AC54" s="116" t="s">
        <v>224</v>
      </c>
    </row>
    <row r="55" spans="1:29" ht="45" customHeight="1" x14ac:dyDescent="0.25">
      <c r="A55" s="30">
        <v>48</v>
      </c>
      <c r="B55" s="103" t="s">
        <v>137</v>
      </c>
      <c r="C55" s="31">
        <v>1</v>
      </c>
      <c r="D55" s="32" t="s">
        <v>24</v>
      </c>
      <c r="E55" s="31">
        <f t="shared" ref="E55" si="96">D55*C55</f>
        <v>24</v>
      </c>
      <c r="F55" s="96">
        <v>34.5</v>
      </c>
      <c r="G55" s="33">
        <f>F55/D55</f>
        <v>1.4375</v>
      </c>
      <c r="H55" s="34">
        <f>G55*E55</f>
        <v>34.5</v>
      </c>
      <c r="I55" s="35"/>
      <c r="J55" s="36">
        <f t="shared" ref="J55" si="97">G55/$Q$2</f>
        <v>1.4375</v>
      </c>
      <c r="K55" s="36">
        <f t="shared" ref="K55" si="98">H55/$Q$2</f>
        <v>34.5</v>
      </c>
      <c r="L55" s="36">
        <f t="shared" si="87"/>
        <v>1.566875</v>
      </c>
      <c r="M55" s="36">
        <f>L55*E55</f>
        <v>37.605000000000004</v>
      </c>
      <c r="N55" s="37">
        <v>2.25</v>
      </c>
      <c r="O55" s="38">
        <f>N55*E55</f>
        <v>54</v>
      </c>
      <c r="P55" s="38">
        <f t="shared" ref="P55" si="99">N55-L55</f>
        <v>0.68312499999999998</v>
      </c>
      <c r="Q55" s="38">
        <f>P55*E55</f>
        <v>16.395</v>
      </c>
      <c r="R55" s="39">
        <f t="shared" ref="R55" si="100">P55/N55</f>
        <v>0.30361111111111111</v>
      </c>
      <c r="S55" s="43"/>
      <c r="T55" s="110">
        <f t="shared" si="5"/>
        <v>2.25</v>
      </c>
      <c r="U55" s="107">
        <v>0.18</v>
      </c>
      <c r="V55" s="111">
        <f t="shared" si="6"/>
        <v>2.74390243902439</v>
      </c>
      <c r="W55" s="112">
        <f t="shared" si="7"/>
        <v>0.49390243902439002</v>
      </c>
      <c r="X55" s="112">
        <f t="shared" si="8"/>
        <v>4.4451219512195099E-2</v>
      </c>
      <c r="Y55" s="113">
        <f t="shared" si="9"/>
        <v>0.53835365853658512</v>
      </c>
      <c r="Z55" s="112">
        <f t="shared" si="10"/>
        <v>2.2055487804878049</v>
      </c>
      <c r="AA55" s="114">
        <f t="shared" si="11"/>
        <v>0.28957590334798594</v>
      </c>
      <c r="AB55" s="115">
        <f t="shared" si="12"/>
        <v>-1.4035207763125168E-2</v>
      </c>
      <c r="AC55" s="116" t="s">
        <v>224</v>
      </c>
    </row>
    <row r="56" spans="1:29" ht="45" customHeight="1" x14ac:dyDescent="0.25">
      <c r="A56" s="30">
        <v>49</v>
      </c>
      <c r="B56" s="103" t="s">
        <v>57</v>
      </c>
      <c r="C56" s="31">
        <v>1</v>
      </c>
      <c r="D56" s="32" t="s">
        <v>73</v>
      </c>
      <c r="E56" s="31">
        <f t="shared" si="0"/>
        <v>12</v>
      </c>
      <c r="F56" s="96">
        <v>34.5</v>
      </c>
      <c r="G56" s="33">
        <f>F56/D56</f>
        <v>2.875</v>
      </c>
      <c r="H56" s="34">
        <f>G56*E56</f>
        <v>34.5</v>
      </c>
      <c r="I56" s="35"/>
      <c r="J56" s="36">
        <f t="shared" si="95"/>
        <v>2.875</v>
      </c>
      <c r="K56" s="36">
        <f t="shared" si="95"/>
        <v>34.5</v>
      </c>
      <c r="L56" s="36">
        <f t="shared" si="87"/>
        <v>3.13375</v>
      </c>
      <c r="M56" s="36">
        <f>L56*E56</f>
        <v>37.605000000000004</v>
      </c>
      <c r="N56" s="37">
        <v>4.95</v>
      </c>
      <c r="O56" s="38">
        <f>N56*E56</f>
        <v>59.400000000000006</v>
      </c>
      <c r="P56" s="38">
        <f t="shared" si="3"/>
        <v>1.8162500000000001</v>
      </c>
      <c r="Q56" s="38">
        <f>P56*E56</f>
        <v>21.795000000000002</v>
      </c>
      <c r="R56" s="39">
        <f t="shared" si="4"/>
        <v>0.36691919191919192</v>
      </c>
      <c r="S56" s="43"/>
      <c r="T56" s="110">
        <f t="shared" si="5"/>
        <v>4.95</v>
      </c>
      <c r="U56" s="107">
        <v>0.18</v>
      </c>
      <c r="V56" s="111">
        <f t="shared" si="6"/>
        <v>6.0365853658536581</v>
      </c>
      <c r="W56" s="112">
        <f t="shared" si="7"/>
        <v>1.0865853658536579</v>
      </c>
      <c r="X56" s="112">
        <f t="shared" si="8"/>
        <v>9.7792682926829216E-2</v>
      </c>
      <c r="Y56" s="113">
        <f t="shared" si="9"/>
        <v>1.1843780487804871</v>
      </c>
      <c r="Z56" s="112">
        <f t="shared" si="10"/>
        <v>4.8522073170731712</v>
      </c>
      <c r="AA56" s="114">
        <f t="shared" si="11"/>
        <v>0.35415991213453274</v>
      </c>
      <c r="AB56" s="115">
        <f t="shared" si="12"/>
        <v>-1.2759279784659183E-2</v>
      </c>
      <c r="AC56" s="116" t="s">
        <v>224</v>
      </c>
    </row>
    <row r="57" spans="1:29" ht="45" customHeight="1" x14ac:dyDescent="0.25">
      <c r="A57" s="30">
        <v>50</v>
      </c>
      <c r="B57" s="100" t="s">
        <v>58</v>
      </c>
      <c r="C57" s="31">
        <v>1</v>
      </c>
      <c r="D57" s="32" t="s">
        <v>73</v>
      </c>
      <c r="E57" s="31">
        <f t="shared" si="0"/>
        <v>12</v>
      </c>
      <c r="F57" s="96">
        <v>34.200000000000003</v>
      </c>
      <c r="G57" s="33">
        <f>F57/D57</f>
        <v>2.85</v>
      </c>
      <c r="H57" s="34">
        <f>G57*E57</f>
        <v>34.200000000000003</v>
      </c>
      <c r="I57" s="35"/>
      <c r="J57" s="36">
        <f t="shared" si="95"/>
        <v>2.85</v>
      </c>
      <c r="K57" s="36">
        <f t="shared" si="95"/>
        <v>34.200000000000003</v>
      </c>
      <c r="L57" s="36">
        <f t="shared" si="87"/>
        <v>3.1065000000000005</v>
      </c>
      <c r="M57" s="36">
        <f>L57*E57</f>
        <v>37.278000000000006</v>
      </c>
      <c r="N57" s="37">
        <v>4.5</v>
      </c>
      <c r="O57" s="38">
        <f>N57*E57</f>
        <v>54</v>
      </c>
      <c r="P57" s="38">
        <f t="shared" si="3"/>
        <v>1.3934999999999995</v>
      </c>
      <c r="Q57" s="38">
        <f>P57*E57</f>
        <v>16.721999999999994</v>
      </c>
      <c r="R57" s="39">
        <f t="shared" si="4"/>
        <v>0.30966666666666653</v>
      </c>
      <c r="S57" s="40"/>
      <c r="T57" s="110">
        <f t="shared" si="5"/>
        <v>4.5</v>
      </c>
      <c r="U57" s="107">
        <v>0.18</v>
      </c>
      <c r="V57" s="111">
        <f t="shared" si="6"/>
        <v>5.48780487804878</v>
      </c>
      <c r="W57" s="112">
        <f t="shared" si="7"/>
        <v>0.98780487804878003</v>
      </c>
      <c r="X57" s="112">
        <f t="shared" si="8"/>
        <v>8.8902439024390198E-2</v>
      </c>
      <c r="Y57" s="113">
        <f t="shared" si="9"/>
        <v>1.0767073170731702</v>
      </c>
      <c r="Z57" s="112">
        <f t="shared" si="10"/>
        <v>4.4110975609756098</v>
      </c>
      <c r="AA57" s="114">
        <f t="shared" si="11"/>
        <v>0.29575350418843815</v>
      </c>
      <c r="AB57" s="115">
        <f t="shared" si="12"/>
        <v>-1.391316247822838E-2</v>
      </c>
      <c r="AC57" s="116" t="s">
        <v>224</v>
      </c>
    </row>
    <row r="58" spans="1:29" ht="45" customHeight="1" x14ac:dyDescent="0.25">
      <c r="A58" s="30">
        <v>51</v>
      </c>
      <c r="B58" s="100" t="s">
        <v>154</v>
      </c>
      <c r="C58" s="31">
        <v>1</v>
      </c>
      <c r="D58" s="32" t="s">
        <v>24</v>
      </c>
      <c r="E58" s="31">
        <f t="shared" ref="E58:E62" si="101">D58*C58</f>
        <v>24</v>
      </c>
      <c r="F58" s="96">
        <v>54.5</v>
      </c>
      <c r="G58" s="33">
        <f>F58/D58</f>
        <v>2.2708333333333335</v>
      </c>
      <c r="H58" s="34">
        <f>G58*E58</f>
        <v>54.5</v>
      </c>
      <c r="I58" s="35"/>
      <c r="J58" s="36">
        <f t="shared" ref="J58:J62" si="102">G58/$Q$2</f>
        <v>2.2708333333333335</v>
      </c>
      <c r="K58" s="36">
        <f t="shared" ref="K58:K62" si="103">H58/$Q$2</f>
        <v>54.5</v>
      </c>
      <c r="L58" s="36">
        <f t="shared" si="87"/>
        <v>2.4752083333333337</v>
      </c>
      <c r="M58" s="36">
        <f>L58*E58</f>
        <v>59.405000000000008</v>
      </c>
      <c r="N58" s="37">
        <v>2.95</v>
      </c>
      <c r="O58" s="38">
        <f>N58*E58</f>
        <v>70.800000000000011</v>
      </c>
      <c r="P58" s="38">
        <f t="shared" ref="P58:P62" si="104">N58-L58</f>
        <v>0.4747916666666665</v>
      </c>
      <c r="Q58" s="38">
        <f>P58*E58</f>
        <v>11.394999999999996</v>
      </c>
      <c r="R58" s="99">
        <f t="shared" ref="R58:R62" si="105">P58/N58</f>
        <v>0.16094632768361575</v>
      </c>
      <c r="S58" s="41"/>
      <c r="T58" s="110">
        <f t="shared" si="5"/>
        <v>2.95</v>
      </c>
      <c r="U58" s="107">
        <v>0.18</v>
      </c>
      <c r="V58" s="111">
        <f t="shared" si="6"/>
        <v>3.5975609756097562</v>
      </c>
      <c r="W58" s="112">
        <f t="shared" si="7"/>
        <v>0.64756097560975601</v>
      </c>
      <c r="X58" s="112">
        <f t="shared" si="8"/>
        <v>5.8280487804878038E-2</v>
      </c>
      <c r="Y58" s="113">
        <f t="shared" si="9"/>
        <v>0.70584146341463405</v>
      </c>
      <c r="Z58" s="112">
        <f t="shared" si="10"/>
        <v>2.891719512195122</v>
      </c>
      <c r="AA58" s="114">
        <f t="shared" si="11"/>
        <v>0.14403581575088939</v>
      </c>
      <c r="AB58" s="115">
        <f t="shared" si="12"/>
        <v>-1.6910511932726358E-2</v>
      </c>
      <c r="AC58" s="116" t="s">
        <v>224</v>
      </c>
    </row>
    <row r="59" spans="1:29" ht="45" customHeight="1" x14ac:dyDescent="0.25">
      <c r="A59" s="30">
        <v>52</v>
      </c>
      <c r="B59" s="100" t="s">
        <v>155</v>
      </c>
      <c r="C59" s="31">
        <v>1</v>
      </c>
      <c r="D59" s="32" t="s">
        <v>24</v>
      </c>
      <c r="E59" s="31">
        <f t="shared" si="101"/>
        <v>24</v>
      </c>
      <c r="F59" s="96">
        <v>54.5</v>
      </c>
      <c r="G59" s="33">
        <f>F59/D59</f>
        <v>2.2708333333333335</v>
      </c>
      <c r="H59" s="34">
        <f>G59*E59</f>
        <v>54.5</v>
      </c>
      <c r="I59" s="35"/>
      <c r="J59" s="36">
        <f t="shared" si="102"/>
        <v>2.2708333333333335</v>
      </c>
      <c r="K59" s="36">
        <f t="shared" si="103"/>
        <v>54.5</v>
      </c>
      <c r="L59" s="36">
        <f t="shared" si="87"/>
        <v>2.4752083333333337</v>
      </c>
      <c r="M59" s="36">
        <f>L59*E59</f>
        <v>59.405000000000008</v>
      </c>
      <c r="N59" s="37">
        <v>2.95</v>
      </c>
      <c r="O59" s="38">
        <f>N59*E59</f>
        <v>70.800000000000011</v>
      </c>
      <c r="P59" s="38">
        <f t="shared" si="104"/>
        <v>0.4747916666666665</v>
      </c>
      <c r="Q59" s="38">
        <f>P59*E59</f>
        <v>11.394999999999996</v>
      </c>
      <c r="R59" s="39">
        <f t="shared" si="105"/>
        <v>0.16094632768361575</v>
      </c>
      <c r="S59" s="41"/>
      <c r="T59" s="110">
        <f t="shared" si="5"/>
        <v>2.95</v>
      </c>
      <c r="U59" s="107">
        <v>0.18</v>
      </c>
      <c r="V59" s="111">
        <f t="shared" si="6"/>
        <v>3.5975609756097562</v>
      </c>
      <c r="W59" s="112">
        <f t="shared" si="7"/>
        <v>0.64756097560975601</v>
      </c>
      <c r="X59" s="112">
        <f t="shared" si="8"/>
        <v>5.8280487804878038E-2</v>
      </c>
      <c r="Y59" s="113">
        <f t="shared" si="9"/>
        <v>0.70584146341463405</v>
      </c>
      <c r="Z59" s="112">
        <f t="shared" si="10"/>
        <v>2.891719512195122</v>
      </c>
      <c r="AA59" s="114">
        <f t="shared" si="11"/>
        <v>0.14403581575088939</v>
      </c>
      <c r="AB59" s="115">
        <f t="shared" si="12"/>
        <v>-1.6910511932726358E-2</v>
      </c>
      <c r="AC59" s="116" t="s">
        <v>224</v>
      </c>
    </row>
    <row r="60" spans="1:29" ht="45" customHeight="1" x14ac:dyDescent="0.25">
      <c r="A60" s="30"/>
      <c r="B60" s="100" t="s">
        <v>229</v>
      </c>
      <c r="C60" s="31">
        <v>1</v>
      </c>
      <c r="D60" s="32" t="s">
        <v>73</v>
      </c>
      <c r="E60" s="31">
        <v>12</v>
      </c>
      <c r="F60" s="96">
        <v>27.2</v>
      </c>
      <c r="G60" s="33">
        <f>F60/D60</f>
        <v>2.2666666666666666</v>
      </c>
      <c r="H60" s="34">
        <f>G60*E60</f>
        <v>27.2</v>
      </c>
      <c r="I60" s="35"/>
      <c r="J60" s="36">
        <f t="shared" si="102"/>
        <v>2.2666666666666666</v>
      </c>
      <c r="K60" s="36">
        <f t="shared" si="103"/>
        <v>27.2</v>
      </c>
      <c r="L60" s="36">
        <f t="shared" si="87"/>
        <v>2.4706666666666668</v>
      </c>
      <c r="M60" s="36">
        <f>L60*E60</f>
        <v>29.648000000000003</v>
      </c>
      <c r="N60" s="37">
        <v>4.5</v>
      </c>
      <c r="O60" s="38">
        <f>N60*E60</f>
        <v>54</v>
      </c>
      <c r="P60" s="38">
        <f t="shared" si="104"/>
        <v>2.0293333333333332</v>
      </c>
      <c r="Q60" s="38">
        <f>P60*E60</f>
        <v>24.351999999999997</v>
      </c>
      <c r="R60" s="39">
        <f t="shared" si="105"/>
        <v>0.45096296296296295</v>
      </c>
      <c r="S60" s="40"/>
      <c r="T60" s="110">
        <f t="shared" ref="T60:T61" si="106">N60</f>
        <v>4.5</v>
      </c>
      <c r="U60" s="107">
        <v>0.18</v>
      </c>
      <c r="V60" s="111">
        <f t="shared" ref="V60:V61" si="107">T60/(1-18%)</f>
        <v>5.48780487804878</v>
      </c>
      <c r="W60" s="112">
        <f t="shared" ref="W60:W61" si="108">V60-T60</f>
        <v>0.98780487804878003</v>
      </c>
      <c r="X60" s="112">
        <f t="shared" ref="X60:X61" si="109">W60*0.09</f>
        <v>8.8902439024390198E-2</v>
      </c>
      <c r="Y60" s="113">
        <f t="shared" ref="Y60:Y61" si="110">W60+X60</f>
        <v>1.0767073170731702</v>
      </c>
      <c r="Z60" s="112">
        <f t="shared" ref="Z60:Z61" si="111">V60-Y60</f>
        <v>4.4110975609756098</v>
      </c>
      <c r="AA60" s="114">
        <f t="shared" ref="AA60:AA61" si="112">(Z60-L60)/Z60</f>
        <v>0.43989752379899183</v>
      </c>
      <c r="AB60" s="115">
        <f t="shared" ref="AB60:AB61" si="113">AA60-R60</f>
        <v>-1.1065439163971125E-2</v>
      </c>
      <c r="AC60" s="116"/>
    </row>
    <row r="61" spans="1:29" ht="45" customHeight="1" x14ac:dyDescent="0.25">
      <c r="A61" s="30"/>
      <c r="B61" s="100" t="s">
        <v>230</v>
      </c>
      <c r="C61" s="31">
        <v>1</v>
      </c>
      <c r="D61" s="32" t="s">
        <v>73</v>
      </c>
      <c r="E61" s="31">
        <v>12</v>
      </c>
      <c r="F61" s="96">
        <v>34.200000000000003</v>
      </c>
      <c r="G61" s="33">
        <f>F61/D61</f>
        <v>2.85</v>
      </c>
      <c r="H61" s="34">
        <f>G61*E61</f>
        <v>34.200000000000003</v>
      </c>
      <c r="I61" s="35"/>
      <c r="J61" s="36">
        <f t="shared" si="102"/>
        <v>2.85</v>
      </c>
      <c r="K61" s="36">
        <f t="shared" si="103"/>
        <v>34.200000000000003</v>
      </c>
      <c r="L61" s="36">
        <f t="shared" si="87"/>
        <v>3.1065000000000005</v>
      </c>
      <c r="M61" s="36">
        <f>L61*E61</f>
        <v>37.278000000000006</v>
      </c>
      <c r="N61" s="37">
        <v>4.5</v>
      </c>
      <c r="O61" s="38">
        <f>N61*E61</f>
        <v>54</v>
      </c>
      <c r="P61" s="38">
        <f t="shared" si="104"/>
        <v>1.3934999999999995</v>
      </c>
      <c r="Q61" s="38">
        <f>P61*E61</f>
        <v>16.721999999999994</v>
      </c>
      <c r="R61" s="39">
        <f t="shared" si="105"/>
        <v>0.30966666666666653</v>
      </c>
      <c r="S61" s="40"/>
      <c r="T61" s="110">
        <f t="shared" si="106"/>
        <v>4.5</v>
      </c>
      <c r="U61" s="107">
        <v>0.18</v>
      </c>
      <c r="V61" s="111">
        <f t="shared" si="107"/>
        <v>5.48780487804878</v>
      </c>
      <c r="W61" s="112">
        <f t="shared" si="108"/>
        <v>0.98780487804878003</v>
      </c>
      <c r="X61" s="112">
        <f t="shared" si="109"/>
        <v>8.8902439024390198E-2</v>
      </c>
      <c r="Y61" s="113">
        <f t="shared" si="110"/>
        <v>1.0767073170731702</v>
      </c>
      <c r="Z61" s="112">
        <f t="shared" si="111"/>
        <v>4.4110975609756098</v>
      </c>
      <c r="AA61" s="114">
        <f t="shared" si="112"/>
        <v>0.29575350418843815</v>
      </c>
      <c r="AB61" s="115">
        <f t="shared" si="113"/>
        <v>-1.391316247822838E-2</v>
      </c>
      <c r="AC61" s="116"/>
    </row>
    <row r="62" spans="1:29" ht="45" customHeight="1" x14ac:dyDescent="0.25">
      <c r="A62" s="30">
        <v>53</v>
      </c>
      <c r="B62" s="100" t="s">
        <v>195</v>
      </c>
      <c r="C62" s="31">
        <v>1</v>
      </c>
      <c r="D62" s="32" t="s">
        <v>73</v>
      </c>
      <c r="E62" s="31">
        <f t="shared" si="101"/>
        <v>12</v>
      </c>
      <c r="F62" s="96">
        <v>34.200000000000003</v>
      </c>
      <c r="G62" s="33">
        <f>F62/D62</f>
        <v>2.85</v>
      </c>
      <c r="H62" s="34">
        <f>G62*E62</f>
        <v>34.200000000000003</v>
      </c>
      <c r="I62" s="35"/>
      <c r="J62" s="36">
        <f t="shared" si="102"/>
        <v>2.85</v>
      </c>
      <c r="K62" s="36">
        <f t="shared" si="103"/>
        <v>34.200000000000003</v>
      </c>
      <c r="L62" s="36">
        <f t="shared" si="87"/>
        <v>3.1065000000000005</v>
      </c>
      <c r="M62" s="36">
        <f>L62*E62</f>
        <v>37.278000000000006</v>
      </c>
      <c r="N62" s="37">
        <v>4.5</v>
      </c>
      <c r="O62" s="38">
        <f>N62*E62</f>
        <v>54</v>
      </c>
      <c r="P62" s="38">
        <f t="shared" si="104"/>
        <v>1.3934999999999995</v>
      </c>
      <c r="Q62" s="38">
        <f>P62*E62</f>
        <v>16.721999999999994</v>
      </c>
      <c r="R62" s="39">
        <f t="shared" si="105"/>
        <v>0.30966666666666653</v>
      </c>
      <c r="S62" s="41"/>
      <c r="T62" s="110">
        <f t="shared" si="5"/>
        <v>4.5</v>
      </c>
      <c r="U62" s="107">
        <v>0.18</v>
      </c>
      <c r="V62" s="111">
        <f t="shared" si="6"/>
        <v>5.48780487804878</v>
      </c>
      <c r="W62" s="112">
        <f t="shared" si="7"/>
        <v>0.98780487804878003</v>
      </c>
      <c r="X62" s="112">
        <f t="shared" si="8"/>
        <v>8.8902439024390198E-2</v>
      </c>
      <c r="Y62" s="113">
        <f t="shared" si="9"/>
        <v>1.0767073170731702</v>
      </c>
      <c r="Z62" s="112">
        <f t="shared" si="10"/>
        <v>4.4110975609756098</v>
      </c>
      <c r="AA62" s="114">
        <f t="shared" si="11"/>
        <v>0.29575350418843815</v>
      </c>
      <c r="AB62" s="115">
        <f t="shared" si="12"/>
        <v>-1.391316247822838E-2</v>
      </c>
      <c r="AC62" s="116" t="s">
        <v>224</v>
      </c>
    </row>
    <row r="63" spans="1:29" ht="45" customHeight="1" x14ac:dyDescent="0.25">
      <c r="A63" s="30">
        <v>54</v>
      </c>
      <c r="B63" s="100" t="s">
        <v>59</v>
      </c>
      <c r="C63" s="31">
        <v>1</v>
      </c>
      <c r="D63" s="32" t="s">
        <v>73</v>
      </c>
      <c r="E63" s="31">
        <f t="shared" si="0"/>
        <v>12</v>
      </c>
      <c r="F63" s="96">
        <v>34.200000000000003</v>
      </c>
      <c r="G63" s="33">
        <f>F63/D63</f>
        <v>2.85</v>
      </c>
      <c r="H63" s="34">
        <f>G63*E63</f>
        <v>34.200000000000003</v>
      </c>
      <c r="I63" s="35"/>
      <c r="J63" s="36">
        <f t="shared" si="95"/>
        <v>2.85</v>
      </c>
      <c r="K63" s="36">
        <f t="shared" si="95"/>
        <v>34.200000000000003</v>
      </c>
      <c r="L63" s="36">
        <f t="shared" si="87"/>
        <v>3.1065000000000005</v>
      </c>
      <c r="M63" s="36">
        <f>L63*E63</f>
        <v>37.278000000000006</v>
      </c>
      <c r="N63" s="37">
        <v>4.5</v>
      </c>
      <c r="O63" s="38">
        <f>N63*E63</f>
        <v>54</v>
      </c>
      <c r="P63" s="38">
        <f t="shared" si="3"/>
        <v>1.3934999999999995</v>
      </c>
      <c r="Q63" s="38">
        <f>P63*E63</f>
        <v>16.721999999999994</v>
      </c>
      <c r="R63" s="39">
        <f t="shared" si="4"/>
        <v>0.30966666666666653</v>
      </c>
      <c r="S63" s="41"/>
      <c r="T63" s="110">
        <f t="shared" si="5"/>
        <v>4.5</v>
      </c>
      <c r="U63" s="107">
        <v>0.18</v>
      </c>
      <c r="V63" s="111">
        <f t="shared" si="6"/>
        <v>5.48780487804878</v>
      </c>
      <c r="W63" s="112">
        <f t="shared" si="7"/>
        <v>0.98780487804878003</v>
      </c>
      <c r="X63" s="112">
        <f t="shared" si="8"/>
        <v>8.8902439024390198E-2</v>
      </c>
      <c r="Y63" s="113">
        <f t="shared" si="9"/>
        <v>1.0767073170731702</v>
      </c>
      <c r="Z63" s="112">
        <f t="shared" si="10"/>
        <v>4.4110975609756098</v>
      </c>
      <c r="AA63" s="114">
        <f t="shared" si="11"/>
        <v>0.29575350418843815</v>
      </c>
      <c r="AB63" s="115">
        <f t="shared" si="12"/>
        <v>-1.391316247822838E-2</v>
      </c>
      <c r="AC63" s="116" t="s">
        <v>224</v>
      </c>
    </row>
    <row r="64" spans="1:29" ht="45" customHeight="1" x14ac:dyDescent="0.25">
      <c r="A64" s="30">
        <v>55</v>
      </c>
      <c r="B64" s="100" t="s">
        <v>176</v>
      </c>
      <c r="C64" s="31">
        <v>1</v>
      </c>
      <c r="D64" s="32" t="s">
        <v>24</v>
      </c>
      <c r="E64" s="31">
        <f t="shared" ref="E64" si="114">D64*C64</f>
        <v>24</v>
      </c>
      <c r="F64" s="96">
        <v>22.5</v>
      </c>
      <c r="G64" s="33">
        <f>F64/D64</f>
        <v>0.9375</v>
      </c>
      <c r="H64" s="34">
        <f>G64*E64</f>
        <v>22.5</v>
      </c>
      <c r="I64" s="35"/>
      <c r="J64" s="36">
        <f t="shared" ref="J64" si="115">G64/$Q$2</f>
        <v>0.9375</v>
      </c>
      <c r="K64" s="36">
        <f t="shared" ref="K64" si="116">H64/$Q$2</f>
        <v>22.5</v>
      </c>
      <c r="L64" s="36">
        <f t="shared" si="87"/>
        <v>1.0218750000000001</v>
      </c>
      <c r="M64" s="36">
        <f>L64*E64</f>
        <v>24.525000000000002</v>
      </c>
      <c r="N64" s="37"/>
      <c r="O64" s="38">
        <f>N64*E64</f>
        <v>0</v>
      </c>
      <c r="P64" s="38">
        <f t="shared" ref="P64" si="117">N64-L64</f>
        <v>-1.0218750000000001</v>
      </c>
      <c r="Q64" s="38">
        <f>P64*E64</f>
        <v>-24.525000000000002</v>
      </c>
      <c r="R64" s="39" t="e">
        <f t="shared" ref="R64" si="118">P64/N64</f>
        <v>#DIV/0!</v>
      </c>
      <c r="S64" s="42"/>
      <c r="T64" s="110">
        <f t="shared" si="5"/>
        <v>0</v>
      </c>
      <c r="U64" s="107">
        <v>0.18</v>
      </c>
      <c r="V64" s="111">
        <f t="shared" si="6"/>
        <v>0</v>
      </c>
      <c r="W64" s="112">
        <f t="shared" si="7"/>
        <v>0</v>
      </c>
      <c r="X64" s="112">
        <f t="shared" si="8"/>
        <v>0</v>
      </c>
      <c r="Y64" s="113">
        <f t="shared" si="9"/>
        <v>0</v>
      </c>
      <c r="Z64" s="112">
        <f t="shared" si="10"/>
        <v>0</v>
      </c>
      <c r="AA64" s="114" t="e">
        <f t="shared" si="11"/>
        <v>#DIV/0!</v>
      </c>
      <c r="AB64" s="115" t="e">
        <f t="shared" si="12"/>
        <v>#DIV/0!</v>
      </c>
      <c r="AC64" s="116" t="s">
        <v>224</v>
      </c>
    </row>
    <row r="65" spans="1:29" ht="45" customHeight="1" x14ac:dyDescent="0.25">
      <c r="A65" s="30">
        <v>56</v>
      </c>
      <c r="B65" s="100" t="s">
        <v>60</v>
      </c>
      <c r="C65" s="31">
        <v>1</v>
      </c>
      <c r="D65" s="32" t="s">
        <v>157</v>
      </c>
      <c r="E65" s="31">
        <f t="shared" si="0"/>
        <v>60</v>
      </c>
      <c r="F65" s="96">
        <v>28</v>
      </c>
      <c r="G65" s="33">
        <f>F65/D65</f>
        <v>0.46666666666666667</v>
      </c>
      <c r="H65" s="34">
        <f>G65*E65</f>
        <v>28</v>
      </c>
      <c r="I65" s="35"/>
      <c r="J65" s="36">
        <f t="shared" si="95"/>
        <v>0.46666666666666667</v>
      </c>
      <c r="K65" s="36">
        <f t="shared" si="95"/>
        <v>28</v>
      </c>
      <c r="L65" s="36">
        <f t="shared" si="87"/>
        <v>0.50866666666666671</v>
      </c>
      <c r="M65" s="36">
        <f>L65*E65</f>
        <v>30.520000000000003</v>
      </c>
      <c r="N65" s="37">
        <v>0.85</v>
      </c>
      <c r="O65" s="38">
        <f>N65*E65</f>
        <v>51</v>
      </c>
      <c r="P65" s="38">
        <f t="shared" si="3"/>
        <v>0.34133333333333327</v>
      </c>
      <c r="Q65" s="38">
        <f>P65*E65</f>
        <v>20.479999999999997</v>
      </c>
      <c r="R65" s="39">
        <f t="shared" si="4"/>
        <v>0.40156862745098032</v>
      </c>
      <c r="S65" s="42"/>
      <c r="T65" s="110">
        <f t="shared" si="5"/>
        <v>0.85</v>
      </c>
      <c r="U65" s="107">
        <v>0.18</v>
      </c>
      <c r="V65" s="111">
        <f t="shared" si="6"/>
        <v>1.0365853658536583</v>
      </c>
      <c r="W65" s="112">
        <f t="shared" si="7"/>
        <v>0.18658536585365837</v>
      </c>
      <c r="X65" s="112">
        <f t="shared" si="8"/>
        <v>1.6792682926829252E-2</v>
      </c>
      <c r="Y65" s="113">
        <f t="shared" si="9"/>
        <v>0.20337804878048762</v>
      </c>
      <c r="Z65" s="112">
        <f t="shared" si="10"/>
        <v>0.83320731707317075</v>
      </c>
      <c r="AA65" s="114">
        <f t="shared" si="11"/>
        <v>0.38950768164942012</v>
      </c>
      <c r="AB65" s="115">
        <f t="shared" si="12"/>
        <v>-1.2060945801560197E-2</v>
      </c>
      <c r="AC65" s="116" t="s">
        <v>224</v>
      </c>
    </row>
    <row r="66" spans="1:29" ht="45" customHeight="1" x14ac:dyDescent="0.25">
      <c r="A66" s="30">
        <v>57</v>
      </c>
      <c r="B66" s="101" t="s">
        <v>61</v>
      </c>
      <c r="C66" s="31">
        <v>1</v>
      </c>
      <c r="D66" s="32" t="s">
        <v>136</v>
      </c>
      <c r="E66" s="31">
        <f t="shared" si="0"/>
        <v>10</v>
      </c>
      <c r="F66" s="96">
        <v>8.5</v>
      </c>
      <c r="G66" s="33">
        <f>F66/D66</f>
        <v>0.85</v>
      </c>
      <c r="H66" s="34">
        <f>G66*E66</f>
        <v>8.5</v>
      </c>
      <c r="I66" s="35"/>
      <c r="J66" s="36">
        <f t="shared" si="95"/>
        <v>0.85</v>
      </c>
      <c r="K66" s="36">
        <f t="shared" si="95"/>
        <v>8.5</v>
      </c>
      <c r="L66" s="36">
        <f t="shared" si="87"/>
        <v>0.92649999999999999</v>
      </c>
      <c r="M66" s="36">
        <f>L66*E66</f>
        <v>9.2650000000000006</v>
      </c>
      <c r="N66" s="37">
        <v>1.5</v>
      </c>
      <c r="O66" s="38">
        <f>N66*E66</f>
        <v>15</v>
      </c>
      <c r="P66" s="38">
        <f t="shared" si="3"/>
        <v>0.57350000000000001</v>
      </c>
      <c r="Q66" s="38">
        <f>P66*E66</f>
        <v>5.7350000000000003</v>
      </c>
      <c r="R66" s="39">
        <f t="shared" si="4"/>
        <v>0.38233333333333336</v>
      </c>
      <c r="S66" s="42"/>
      <c r="T66" s="110">
        <f t="shared" si="5"/>
        <v>1.5</v>
      </c>
      <c r="U66" s="107">
        <v>0.18</v>
      </c>
      <c r="V66" s="111">
        <f t="shared" si="6"/>
        <v>1.8292682926829267</v>
      </c>
      <c r="W66" s="112">
        <f t="shared" si="7"/>
        <v>0.32926829268292668</v>
      </c>
      <c r="X66" s="112">
        <f t="shared" si="8"/>
        <v>2.9634146341463399E-2</v>
      </c>
      <c r="Y66" s="113">
        <f t="shared" si="9"/>
        <v>0.35890243902439006</v>
      </c>
      <c r="Z66" s="112">
        <f t="shared" si="10"/>
        <v>1.4703658536585367</v>
      </c>
      <c r="AA66" s="114">
        <f t="shared" si="11"/>
        <v>0.36988471427386582</v>
      </c>
      <c r="AB66" s="115">
        <f t="shared" si="12"/>
        <v>-1.2448619059467536E-2</v>
      </c>
      <c r="AC66" s="116">
        <v>1.5</v>
      </c>
    </row>
    <row r="67" spans="1:29" ht="45" customHeight="1" x14ac:dyDescent="0.25">
      <c r="A67" s="30">
        <v>58</v>
      </c>
      <c r="B67" s="103" t="s">
        <v>62</v>
      </c>
      <c r="C67" s="31">
        <v>1</v>
      </c>
      <c r="D67" s="32" t="s">
        <v>136</v>
      </c>
      <c r="E67" s="31">
        <f t="shared" si="0"/>
        <v>10</v>
      </c>
      <c r="F67" s="96">
        <v>13.5</v>
      </c>
      <c r="G67" s="33">
        <f>F67/D67</f>
        <v>1.35</v>
      </c>
      <c r="H67" s="34">
        <f>G67*E67</f>
        <v>13.5</v>
      </c>
      <c r="I67" s="35"/>
      <c r="J67" s="36">
        <f t="shared" si="95"/>
        <v>1.35</v>
      </c>
      <c r="K67" s="36">
        <f t="shared" si="95"/>
        <v>13.5</v>
      </c>
      <c r="L67" s="36">
        <f t="shared" si="87"/>
        <v>1.4715000000000003</v>
      </c>
      <c r="M67" s="36">
        <f>L67*E67</f>
        <v>14.715000000000003</v>
      </c>
      <c r="N67" s="37">
        <v>1.95</v>
      </c>
      <c r="O67" s="38">
        <f>N67*E67</f>
        <v>19.5</v>
      </c>
      <c r="P67" s="38">
        <f t="shared" si="3"/>
        <v>0.4784999999999997</v>
      </c>
      <c r="Q67" s="38">
        <f>P67*E67</f>
        <v>4.7849999999999966</v>
      </c>
      <c r="R67" s="39">
        <f t="shared" si="4"/>
        <v>0.24538461538461523</v>
      </c>
      <c r="S67" s="43"/>
      <c r="T67" s="110">
        <f t="shared" si="5"/>
        <v>1.95</v>
      </c>
      <c r="U67" s="107">
        <v>0.18</v>
      </c>
      <c r="V67" s="111">
        <f t="shared" si="6"/>
        <v>2.3780487804878048</v>
      </c>
      <c r="W67" s="112">
        <f t="shared" si="7"/>
        <v>0.42804878048780481</v>
      </c>
      <c r="X67" s="112">
        <f t="shared" si="8"/>
        <v>3.8524390243902432E-2</v>
      </c>
      <c r="Y67" s="113">
        <f t="shared" si="9"/>
        <v>0.46657317073170723</v>
      </c>
      <c r="Z67" s="112">
        <f t="shared" si="10"/>
        <v>1.9114756097560974</v>
      </c>
      <c r="AA67" s="114">
        <f t="shared" si="11"/>
        <v>0.2301758952667137</v>
      </c>
      <c r="AB67" s="115">
        <f t="shared" si="12"/>
        <v>-1.5208720117901531E-2</v>
      </c>
      <c r="AC67" s="116">
        <v>1.5</v>
      </c>
    </row>
    <row r="68" spans="1:29" ht="45" customHeight="1" x14ac:dyDescent="0.25">
      <c r="A68" s="30">
        <v>59</v>
      </c>
      <c r="B68" s="100" t="s">
        <v>63</v>
      </c>
      <c r="C68" s="31">
        <v>1</v>
      </c>
      <c r="D68" s="32" t="s">
        <v>157</v>
      </c>
      <c r="E68" s="31">
        <f t="shared" si="0"/>
        <v>60</v>
      </c>
      <c r="F68" s="96">
        <v>34</v>
      </c>
      <c r="G68" s="33">
        <f>F68/D68</f>
        <v>0.56666666666666665</v>
      </c>
      <c r="H68" s="34">
        <f>G68*E68</f>
        <v>34</v>
      </c>
      <c r="I68" s="35"/>
      <c r="J68" s="36">
        <f t="shared" si="95"/>
        <v>0.56666666666666665</v>
      </c>
      <c r="K68" s="36">
        <f t="shared" si="95"/>
        <v>34</v>
      </c>
      <c r="L68" s="36">
        <f t="shared" si="87"/>
        <v>0.6176666666666667</v>
      </c>
      <c r="M68" s="36">
        <f>L68*E68</f>
        <v>37.06</v>
      </c>
      <c r="N68" s="37">
        <v>0.85</v>
      </c>
      <c r="O68" s="38">
        <f>N68*E68</f>
        <v>51</v>
      </c>
      <c r="P68" s="38">
        <f t="shared" si="3"/>
        <v>0.23233333333333328</v>
      </c>
      <c r="Q68" s="38">
        <f>P68*E68</f>
        <v>13.939999999999998</v>
      </c>
      <c r="R68" s="39">
        <f t="shared" si="4"/>
        <v>0.27333333333333326</v>
      </c>
      <c r="S68" s="40"/>
      <c r="T68" s="110">
        <f t="shared" si="5"/>
        <v>0.85</v>
      </c>
      <c r="U68" s="107">
        <v>0.18</v>
      </c>
      <c r="V68" s="111">
        <f t="shared" si="6"/>
        <v>1.0365853658536583</v>
      </c>
      <c r="W68" s="112">
        <f t="shared" si="7"/>
        <v>0.18658536585365837</v>
      </c>
      <c r="X68" s="112">
        <f t="shared" si="8"/>
        <v>1.6792682926829252E-2</v>
      </c>
      <c r="Y68" s="113">
        <f t="shared" si="9"/>
        <v>0.20337804878048762</v>
      </c>
      <c r="Z68" s="112">
        <f t="shared" si="10"/>
        <v>0.83320731707317075</v>
      </c>
      <c r="AA68" s="114">
        <f t="shared" si="11"/>
        <v>0.25868789914572443</v>
      </c>
      <c r="AB68" s="115">
        <f t="shared" si="12"/>
        <v>-1.464543418760883E-2</v>
      </c>
      <c r="AC68" s="116" t="s">
        <v>224</v>
      </c>
    </row>
    <row r="69" spans="1:29" ht="45" customHeight="1" x14ac:dyDescent="0.25">
      <c r="A69" s="30">
        <v>60</v>
      </c>
      <c r="B69" s="100" t="s">
        <v>64</v>
      </c>
      <c r="C69" s="31">
        <v>1</v>
      </c>
      <c r="D69" s="32" t="s">
        <v>144</v>
      </c>
      <c r="E69" s="31">
        <f t="shared" si="0"/>
        <v>30</v>
      </c>
      <c r="F69" s="96">
        <v>37</v>
      </c>
      <c r="G69" s="33">
        <f>F69/D69</f>
        <v>1.2333333333333334</v>
      </c>
      <c r="H69" s="34">
        <f>G69*E69</f>
        <v>37</v>
      </c>
      <c r="I69" s="35"/>
      <c r="J69" s="36">
        <f t="shared" si="95"/>
        <v>1.2333333333333334</v>
      </c>
      <c r="K69" s="36">
        <f t="shared" si="95"/>
        <v>37</v>
      </c>
      <c r="L69" s="36">
        <f t="shared" si="87"/>
        <v>1.3443333333333336</v>
      </c>
      <c r="M69" s="36">
        <f>L69*E69</f>
        <v>40.330000000000005</v>
      </c>
      <c r="N69" s="37">
        <v>1.95</v>
      </c>
      <c r="O69" s="38">
        <f>N69*E69</f>
        <v>58.5</v>
      </c>
      <c r="P69" s="38">
        <f t="shared" si="3"/>
        <v>0.60566666666666635</v>
      </c>
      <c r="Q69" s="38">
        <f>P69*E69</f>
        <v>18.169999999999991</v>
      </c>
      <c r="R69" s="39">
        <f t="shared" si="4"/>
        <v>0.31059829059829047</v>
      </c>
      <c r="S69" s="41"/>
      <c r="T69" s="110">
        <f t="shared" si="5"/>
        <v>1.95</v>
      </c>
      <c r="U69" s="107">
        <v>0.18</v>
      </c>
      <c r="V69" s="111">
        <f t="shared" si="6"/>
        <v>2.3780487804878048</v>
      </c>
      <c r="W69" s="112">
        <f t="shared" si="7"/>
        <v>0.42804878048780481</v>
      </c>
      <c r="X69" s="112">
        <f t="shared" si="8"/>
        <v>3.8524390243902432E-2</v>
      </c>
      <c r="Y69" s="113">
        <f t="shared" si="9"/>
        <v>0.46657317073170723</v>
      </c>
      <c r="Z69" s="112">
        <f t="shared" si="10"/>
        <v>1.9114756097560974</v>
      </c>
      <c r="AA69" s="114">
        <f t="shared" si="11"/>
        <v>0.29670390431773841</v>
      </c>
      <c r="AB69" s="115">
        <f t="shared" si="12"/>
        <v>-1.3894386280552062E-2</v>
      </c>
      <c r="AC69" s="116" t="s">
        <v>224</v>
      </c>
    </row>
    <row r="70" spans="1:29" ht="45" customHeight="1" x14ac:dyDescent="0.25">
      <c r="A70" s="30">
        <v>61</v>
      </c>
      <c r="B70" s="100" t="s">
        <v>147</v>
      </c>
      <c r="C70" s="31">
        <v>1</v>
      </c>
      <c r="D70" s="32" t="s">
        <v>144</v>
      </c>
      <c r="E70" s="31">
        <f t="shared" ref="E70" si="119">D70*C70</f>
        <v>30</v>
      </c>
      <c r="F70" s="96">
        <v>37</v>
      </c>
      <c r="G70" s="33">
        <f>F70/D70</f>
        <v>1.2333333333333334</v>
      </c>
      <c r="H70" s="34">
        <f>G70*E70</f>
        <v>37</v>
      </c>
      <c r="I70" s="35"/>
      <c r="J70" s="36">
        <f t="shared" ref="J70" si="120">G70/$Q$2</f>
        <v>1.2333333333333334</v>
      </c>
      <c r="K70" s="36">
        <f t="shared" ref="K70" si="121">H70/$Q$2</f>
        <v>37</v>
      </c>
      <c r="L70" s="36">
        <f t="shared" si="87"/>
        <v>1.3443333333333336</v>
      </c>
      <c r="M70" s="36">
        <f>L70*E70</f>
        <v>40.330000000000005</v>
      </c>
      <c r="N70" s="37">
        <v>1.95</v>
      </c>
      <c r="O70" s="38">
        <f>N70*E70</f>
        <v>58.5</v>
      </c>
      <c r="P70" s="38">
        <f t="shared" ref="P70" si="122">N70-L70</f>
        <v>0.60566666666666635</v>
      </c>
      <c r="Q70" s="38">
        <f>P70*E70</f>
        <v>18.169999999999991</v>
      </c>
      <c r="R70" s="39">
        <f t="shared" ref="R70" si="123">P70/N70</f>
        <v>0.31059829059829047</v>
      </c>
      <c r="S70" s="42"/>
      <c r="T70" s="110">
        <f t="shared" si="5"/>
        <v>1.95</v>
      </c>
      <c r="U70" s="107">
        <v>0.18</v>
      </c>
      <c r="V70" s="111">
        <f t="shared" si="6"/>
        <v>2.3780487804878048</v>
      </c>
      <c r="W70" s="112">
        <f t="shared" si="7"/>
        <v>0.42804878048780481</v>
      </c>
      <c r="X70" s="112">
        <f t="shared" si="8"/>
        <v>3.8524390243902432E-2</v>
      </c>
      <c r="Y70" s="113">
        <f t="shared" si="9"/>
        <v>0.46657317073170723</v>
      </c>
      <c r="Z70" s="112">
        <f t="shared" si="10"/>
        <v>1.9114756097560974</v>
      </c>
      <c r="AA70" s="114">
        <f t="shared" si="11"/>
        <v>0.29670390431773841</v>
      </c>
      <c r="AB70" s="115">
        <f t="shared" si="12"/>
        <v>-1.3894386280552062E-2</v>
      </c>
      <c r="AC70" s="116" t="s">
        <v>224</v>
      </c>
    </row>
    <row r="71" spans="1:29" ht="45" customHeight="1" x14ac:dyDescent="0.25">
      <c r="A71" s="30">
        <v>62</v>
      </c>
      <c r="B71" s="100" t="s">
        <v>65</v>
      </c>
      <c r="C71" s="31">
        <v>1</v>
      </c>
      <c r="D71" s="32" t="s">
        <v>144</v>
      </c>
      <c r="E71" s="31">
        <f t="shared" si="0"/>
        <v>30</v>
      </c>
      <c r="F71" s="96">
        <v>37</v>
      </c>
      <c r="G71" s="33">
        <f>F71/D71</f>
        <v>1.2333333333333334</v>
      </c>
      <c r="H71" s="34">
        <f>G71*E71</f>
        <v>37</v>
      </c>
      <c r="I71" s="35"/>
      <c r="J71" s="36">
        <f t="shared" si="95"/>
        <v>1.2333333333333334</v>
      </c>
      <c r="K71" s="36">
        <f t="shared" si="95"/>
        <v>37</v>
      </c>
      <c r="L71" s="36">
        <f t="shared" ref="L71:L102" si="124">J71*(1+$M$177+9%)</f>
        <v>1.3443333333333336</v>
      </c>
      <c r="M71" s="36">
        <f>L71*E71</f>
        <v>40.330000000000005</v>
      </c>
      <c r="N71" s="37">
        <v>1.95</v>
      </c>
      <c r="O71" s="38">
        <f>N71*E71</f>
        <v>58.5</v>
      </c>
      <c r="P71" s="38">
        <f t="shared" si="3"/>
        <v>0.60566666666666635</v>
      </c>
      <c r="Q71" s="38">
        <f>P71*E71</f>
        <v>18.169999999999991</v>
      </c>
      <c r="R71" s="39">
        <f t="shared" si="4"/>
        <v>0.31059829059829047</v>
      </c>
      <c r="S71" s="42"/>
      <c r="T71" s="110">
        <f t="shared" si="5"/>
        <v>1.95</v>
      </c>
      <c r="U71" s="107">
        <v>0.18</v>
      </c>
      <c r="V71" s="111">
        <f t="shared" si="6"/>
        <v>2.3780487804878048</v>
      </c>
      <c r="W71" s="112">
        <f t="shared" si="7"/>
        <v>0.42804878048780481</v>
      </c>
      <c r="X71" s="112">
        <f t="shared" si="8"/>
        <v>3.8524390243902432E-2</v>
      </c>
      <c r="Y71" s="113">
        <f t="shared" si="9"/>
        <v>0.46657317073170723</v>
      </c>
      <c r="Z71" s="112">
        <f t="shared" si="10"/>
        <v>1.9114756097560974</v>
      </c>
      <c r="AA71" s="114">
        <f t="shared" si="11"/>
        <v>0.29670390431773841</v>
      </c>
      <c r="AB71" s="115">
        <f t="shared" si="12"/>
        <v>-1.3894386280552062E-2</v>
      </c>
      <c r="AC71" s="116" t="s">
        <v>224</v>
      </c>
    </row>
    <row r="72" spans="1:29" ht="45" customHeight="1" x14ac:dyDescent="0.25">
      <c r="A72" s="30">
        <v>63</v>
      </c>
      <c r="B72" s="101" t="s">
        <v>66</v>
      </c>
      <c r="C72" s="31">
        <v>1</v>
      </c>
      <c r="D72" s="32" t="s">
        <v>144</v>
      </c>
      <c r="E72" s="31">
        <f t="shared" si="0"/>
        <v>30</v>
      </c>
      <c r="F72" s="96">
        <v>37</v>
      </c>
      <c r="G72" s="33">
        <f>F72/D72</f>
        <v>1.2333333333333334</v>
      </c>
      <c r="H72" s="34">
        <f>G72*E72</f>
        <v>37</v>
      </c>
      <c r="I72" s="35"/>
      <c r="J72" s="36">
        <f t="shared" si="95"/>
        <v>1.2333333333333334</v>
      </c>
      <c r="K72" s="36">
        <f t="shared" si="95"/>
        <v>37</v>
      </c>
      <c r="L72" s="36">
        <f t="shared" si="124"/>
        <v>1.3443333333333336</v>
      </c>
      <c r="M72" s="36">
        <f>L72*E72</f>
        <v>40.330000000000005</v>
      </c>
      <c r="N72" s="37">
        <v>1.95</v>
      </c>
      <c r="O72" s="38">
        <f>N72*E72</f>
        <v>58.5</v>
      </c>
      <c r="P72" s="38">
        <f t="shared" si="3"/>
        <v>0.60566666666666635</v>
      </c>
      <c r="Q72" s="38">
        <f>P72*E72</f>
        <v>18.169999999999991</v>
      </c>
      <c r="R72" s="39">
        <f t="shared" si="4"/>
        <v>0.31059829059829047</v>
      </c>
      <c r="S72" s="42"/>
      <c r="T72" s="110">
        <f t="shared" si="5"/>
        <v>1.95</v>
      </c>
      <c r="U72" s="107">
        <v>0.18</v>
      </c>
      <c r="V72" s="111">
        <f t="shared" si="6"/>
        <v>2.3780487804878048</v>
      </c>
      <c r="W72" s="112">
        <f t="shared" si="7"/>
        <v>0.42804878048780481</v>
      </c>
      <c r="X72" s="112">
        <f t="shared" si="8"/>
        <v>3.8524390243902432E-2</v>
      </c>
      <c r="Y72" s="113">
        <f t="shared" si="9"/>
        <v>0.46657317073170723</v>
      </c>
      <c r="Z72" s="112">
        <f t="shared" si="10"/>
        <v>1.9114756097560974</v>
      </c>
      <c r="AA72" s="114">
        <f t="shared" si="11"/>
        <v>0.29670390431773841</v>
      </c>
      <c r="AB72" s="115">
        <f t="shared" si="12"/>
        <v>-1.3894386280552062E-2</v>
      </c>
      <c r="AC72" s="116" t="s">
        <v>224</v>
      </c>
    </row>
    <row r="73" spans="1:29" ht="45" customHeight="1" x14ac:dyDescent="0.25">
      <c r="A73" s="30">
        <v>64</v>
      </c>
      <c r="B73" s="102" t="s">
        <v>67</v>
      </c>
      <c r="C73" s="31">
        <v>1</v>
      </c>
      <c r="D73" s="32" t="s">
        <v>141</v>
      </c>
      <c r="E73" s="31">
        <f t="shared" si="0"/>
        <v>20</v>
      </c>
      <c r="F73" s="96">
        <v>30.5</v>
      </c>
      <c r="G73" s="33">
        <f>F73/D73</f>
        <v>1.5249999999999999</v>
      </c>
      <c r="H73" s="34">
        <f>G73*E73</f>
        <v>30.5</v>
      </c>
      <c r="I73" s="35"/>
      <c r="J73" s="36">
        <f t="shared" si="95"/>
        <v>1.5249999999999999</v>
      </c>
      <c r="K73" s="36">
        <f t="shared" si="95"/>
        <v>30.5</v>
      </c>
      <c r="L73" s="36">
        <f t="shared" si="124"/>
        <v>1.66225</v>
      </c>
      <c r="M73" s="36">
        <f>L73*E73</f>
        <v>33.244999999999997</v>
      </c>
      <c r="N73" s="37">
        <v>2.5</v>
      </c>
      <c r="O73" s="38">
        <f>N73*E73</f>
        <v>50</v>
      </c>
      <c r="P73" s="38">
        <f t="shared" si="3"/>
        <v>0.83774999999999999</v>
      </c>
      <c r="Q73" s="38">
        <f>P73*E73</f>
        <v>16.754999999999999</v>
      </c>
      <c r="R73" s="39">
        <f t="shared" si="4"/>
        <v>0.33510000000000001</v>
      </c>
      <c r="S73" s="42"/>
      <c r="T73" s="110">
        <f t="shared" si="5"/>
        <v>2.5</v>
      </c>
      <c r="U73" s="107">
        <v>0.18</v>
      </c>
      <c r="V73" s="111">
        <f t="shared" si="6"/>
        <v>3.0487804878048776</v>
      </c>
      <c r="W73" s="112">
        <f t="shared" si="7"/>
        <v>0.54878048780487765</v>
      </c>
      <c r="X73" s="112">
        <f t="shared" si="8"/>
        <v>4.9390243902438985E-2</v>
      </c>
      <c r="Y73" s="113">
        <f t="shared" si="9"/>
        <v>0.59817073170731661</v>
      </c>
      <c r="Z73" s="112">
        <f t="shared" si="10"/>
        <v>2.450609756097561</v>
      </c>
      <c r="AA73" s="114">
        <f t="shared" si="11"/>
        <v>0.32169942771833793</v>
      </c>
      <c r="AB73" s="115">
        <f t="shared" si="12"/>
        <v>-1.3400572281662082E-2</v>
      </c>
      <c r="AC73" s="116" t="s">
        <v>224</v>
      </c>
    </row>
    <row r="74" spans="1:29" ht="45" customHeight="1" x14ac:dyDescent="0.25">
      <c r="A74" s="30">
        <v>65</v>
      </c>
      <c r="B74" s="103" t="s">
        <v>68</v>
      </c>
      <c r="C74" s="31">
        <v>1</v>
      </c>
      <c r="D74" s="32" t="s">
        <v>141</v>
      </c>
      <c r="E74" s="31">
        <f t="shared" si="0"/>
        <v>20</v>
      </c>
      <c r="F74" s="96">
        <v>30.5</v>
      </c>
      <c r="G74" s="33">
        <f>F74/D74</f>
        <v>1.5249999999999999</v>
      </c>
      <c r="H74" s="34">
        <f>G74*E74</f>
        <v>30.5</v>
      </c>
      <c r="I74" s="35"/>
      <c r="J74" s="36">
        <f t="shared" si="95"/>
        <v>1.5249999999999999</v>
      </c>
      <c r="K74" s="36">
        <f t="shared" si="95"/>
        <v>30.5</v>
      </c>
      <c r="L74" s="36">
        <f t="shared" si="124"/>
        <v>1.66225</v>
      </c>
      <c r="M74" s="36">
        <f>L74*E74</f>
        <v>33.244999999999997</v>
      </c>
      <c r="N74" s="37">
        <v>2.5</v>
      </c>
      <c r="O74" s="38">
        <f>N74*E74</f>
        <v>50</v>
      </c>
      <c r="P74" s="38">
        <f t="shared" si="3"/>
        <v>0.83774999999999999</v>
      </c>
      <c r="Q74" s="38">
        <f>P74*E74</f>
        <v>16.754999999999999</v>
      </c>
      <c r="R74" s="39">
        <f t="shared" si="4"/>
        <v>0.33510000000000001</v>
      </c>
      <c r="S74" s="43"/>
      <c r="T74" s="110">
        <f t="shared" si="5"/>
        <v>2.5</v>
      </c>
      <c r="U74" s="107">
        <v>0.18</v>
      </c>
      <c r="V74" s="111">
        <f t="shared" si="6"/>
        <v>3.0487804878048776</v>
      </c>
      <c r="W74" s="112">
        <f t="shared" si="7"/>
        <v>0.54878048780487765</v>
      </c>
      <c r="X74" s="112">
        <f t="shared" si="8"/>
        <v>4.9390243902438985E-2</v>
      </c>
      <c r="Y74" s="113">
        <f t="shared" si="9"/>
        <v>0.59817073170731661</v>
      </c>
      <c r="Z74" s="112">
        <f t="shared" si="10"/>
        <v>2.450609756097561</v>
      </c>
      <c r="AA74" s="114">
        <f t="shared" si="11"/>
        <v>0.32169942771833793</v>
      </c>
      <c r="AB74" s="115">
        <f t="shared" si="12"/>
        <v>-1.3400572281662082E-2</v>
      </c>
      <c r="AC74" s="116" t="s">
        <v>224</v>
      </c>
    </row>
    <row r="75" spans="1:29" ht="45" customHeight="1" x14ac:dyDescent="0.25">
      <c r="A75" s="30">
        <v>66</v>
      </c>
      <c r="B75" s="100" t="s">
        <v>69</v>
      </c>
      <c r="C75" s="31">
        <v>1</v>
      </c>
      <c r="D75" s="32" t="s">
        <v>75</v>
      </c>
      <c r="E75" s="31">
        <f t="shared" si="0"/>
        <v>48</v>
      </c>
      <c r="F75" s="96">
        <v>33.5</v>
      </c>
      <c r="G75" s="33">
        <f>F75/D75</f>
        <v>0.69791666666666663</v>
      </c>
      <c r="H75" s="34">
        <f>G75*E75</f>
        <v>33.5</v>
      </c>
      <c r="I75" s="35"/>
      <c r="J75" s="36">
        <f t="shared" ref="J75:K173" si="125">G75/$Q$2</f>
        <v>0.69791666666666663</v>
      </c>
      <c r="K75" s="36">
        <f t="shared" si="125"/>
        <v>33.5</v>
      </c>
      <c r="L75" s="36">
        <f t="shared" si="124"/>
        <v>0.76072916666666668</v>
      </c>
      <c r="M75" s="36">
        <f>L75*E75</f>
        <v>36.515000000000001</v>
      </c>
      <c r="N75" s="37">
        <v>1.25</v>
      </c>
      <c r="O75" s="38">
        <f>N75*E75</f>
        <v>60</v>
      </c>
      <c r="P75" s="38">
        <f t="shared" si="3"/>
        <v>0.48927083333333332</v>
      </c>
      <c r="Q75" s="38">
        <f>P75*E75</f>
        <v>23.484999999999999</v>
      </c>
      <c r="R75" s="39">
        <f t="shared" si="4"/>
        <v>0.39141666666666663</v>
      </c>
      <c r="S75" s="41"/>
      <c r="T75" s="110">
        <f t="shared" ref="T75:T137" si="126">N75</f>
        <v>1.25</v>
      </c>
      <c r="U75" s="107">
        <v>0.18</v>
      </c>
      <c r="V75" s="111">
        <f t="shared" ref="V75:V137" si="127">T75/(1-18%)</f>
        <v>1.5243902439024388</v>
      </c>
      <c r="W75" s="112">
        <f t="shared" ref="W75:W137" si="128">V75-T75</f>
        <v>0.27439024390243882</v>
      </c>
      <c r="X75" s="112">
        <f t="shared" ref="X75:X137" si="129">W75*0.09</f>
        <v>2.4695121951219492E-2</v>
      </c>
      <c r="Y75" s="113">
        <f t="shared" ref="Y75:Y137" si="130">W75+X75</f>
        <v>0.2990853658536583</v>
      </c>
      <c r="Z75" s="112">
        <f t="shared" ref="Z75:Z137" si="131">V75-Y75</f>
        <v>1.2253048780487805</v>
      </c>
      <c r="AA75" s="114">
        <f t="shared" ref="AA75:AA137" si="132">(Z75-L75)/Z75</f>
        <v>0.37915111553454428</v>
      </c>
      <c r="AB75" s="115">
        <f t="shared" ref="AB75:AB137" si="133">AA75-R75</f>
        <v>-1.2265551132122354E-2</v>
      </c>
      <c r="AC75" s="116">
        <v>1.05</v>
      </c>
    </row>
    <row r="76" spans="1:29" ht="45" customHeight="1" x14ac:dyDescent="0.25">
      <c r="A76" s="30">
        <v>67</v>
      </c>
      <c r="B76" s="100" t="s">
        <v>202</v>
      </c>
      <c r="C76" s="31">
        <v>1</v>
      </c>
      <c r="D76" s="32" t="s">
        <v>75</v>
      </c>
      <c r="E76" s="31">
        <f t="shared" si="0"/>
        <v>48</v>
      </c>
      <c r="F76" s="96">
        <v>33.5</v>
      </c>
      <c r="G76" s="33">
        <f>F76/D76</f>
        <v>0.69791666666666663</v>
      </c>
      <c r="H76" s="34">
        <f>G76*E76</f>
        <v>33.5</v>
      </c>
      <c r="I76" s="35"/>
      <c r="J76" s="36">
        <f t="shared" si="125"/>
        <v>0.69791666666666663</v>
      </c>
      <c r="K76" s="36">
        <f t="shared" si="125"/>
        <v>33.5</v>
      </c>
      <c r="L76" s="36">
        <f t="shared" si="124"/>
        <v>0.76072916666666668</v>
      </c>
      <c r="M76" s="36">
        <f>L76*E76</f>
        <v>36.515000000000001</v>
      </c>
      <c r="N76" s="37">
        <v>1.25</v>
      </c>
      <c r="O76" s="38">
        <f>N76*E76</f>
        <v>60</v>
      </c>
      <c r="P76" s="38">
        <f t="shared" si="3"/>
        <v>0.48927083333333332</v>
      </c>
      <c r="Q76" s="38">
        <f>P76*E76</f>
        <v>23.484999999999999</v>
      </c>
      <c r="R76" s="39">
        <f t="shared" si="4"/>
        <v>0.39141666666666663</v>
      </c>
      <c r="S76" s="42"/>
      <c r="T76" s="110">
        <f t="shared" si="126"/>
        <v>1.25</v>
      </c>
      <c r="U76" s="107">
        <v>0.18</v>
      </c>
      <c r="V76" s="111">
        <f t="shared" si="127"/>
        <v>1.5243902439024388</v>
      </c>
      <c r="W76" s="112">
        <f t="shared" si="128"/>
        <v>0.27439024390243882</v>
      </c>
      <c r="X76" s="112">
        <f t="shared" si="129"/>
        <v>2.4695121951219492E-2</v>
      </c>
      <c r="Y76" s="113">
        <f t="shared" si="130"/>
        <v>0.2990853658536583</v>
      </c>
      <c r="Z76" s="112">
        <f t="shared" si="131"/>
        <v>1.2253048780487805</v>
      </c>
      <c r="AA76" s="114">
        <f t="shared" si="132"/>
        <v>0.37915111553454428</v>
      </c>
      <c r="AB76" s="115">
        <f t="shared" si="133"/>
        <v>-1.2265551132122354E-2</v>
      </c>
      <c r="AC76" s="116">
        <v>1.05</v>
      </c>
    </row>
    <row r="77" spans="1:29" ht="45" customHeight="1" x14ac:dyDescent="0.25">
      <c r="A77" s="30">
        <v>68</v>
      </c>
      <c r="B77" s="100" t="s">
        <v>213</v>
      </c>
      <c r="C77" s="31">
        <v>1</v>
      </c>
      <c r="D77" s="32" t="s">
        <v>75</v>
      </c>
      <c r="E77" s="31">
        <f t="shared" si="0"/>
        <v>48</v>
      </c>
      <c r="F77" s="96">
        <v>33.5</v>
      </c>
      <c r="G77" s="33">
        <f>F77/D77</f>
        <v>0.69791666666666663</v>
      </c>
      <c r="H77" s="34">
        <f>G77*E77</f>
        <v>33.5</v>
      </c>
      <c r="I77" s="35"/>
      <c r="J77" s="36">
        <f t="shared" si="125"/>
        <v>0.69791666666666663</v>
      </c>
      <c r="K77" s="36">
        <f t="shared" si="125"/>
        <v>33.5</v>
      </c>
      <c r="L77" s="36">
        <f t="shared" si="124"/>
        <v>0.76072916666666668</v>
      </c>
      <c r="M77" s="36">
        <f>L77*E77</f>
        <v>36.515000000000001</v>
      </c>
      <c r="N77" s="37">
        <v>1.25</v>
      </c>
      <c r="O77" s="38">
        <f>N77*E77</f>
        <v>60</v>
      </c>
      <c r="P77" s="38">
        <f t="shared" si="3"/>
        <v>0.48927083333333332</v>
      </c>
      <c r="Q77" s="38">
        <f>P77*E77</f>
        <v>23.484999999999999</v>
      </c>
      <c r="R77" s="39">
        <f t="shared" si="4"/>
        <v>0.39141666666666663</v>
      </c>
      <c r="S77" s="42"/>
      <c r="T77" s="110">
        <f t="shared" si="126"/>
        <v>1.25</v>
      </c>
      <c r="U77" s="107">
        <v>0.18</v>
      </c>
      <c r="V77" s="111">
        <f t="shared" si="127"/>
        <v>1.5243902439024388</v>
      </c>
      <c r="W77" s="112">
        <f t="shared" si="128"/>
        <v>0.27439024390243882</v>
      </c>
      <c r="X77" s="112">
        <f t="shared" si="129"/>
        <v>2.4695121951219492E-2</v>
      </c>
      <c r="Y77" s="113">
        <f t="shared" si="130"/>
        <v>0.2990853658536583</v>
      </c>
      <c r="Z77" s="112">
        <f t="shared" si="131"/>
        <v>1.2253048780487805</v>
      </c>
      <c r="AA77" s="114">
        <f t="shared" si="132"/>
        <v>0.37915111553454428</v>
      </c>
      <c r="AB77" s="115">
        <f t="shared" si="133"/>
        <v>-1.2265551132122354E-2</v>
      </c>
      <c r="AC77" s="116">
        <v>1.05</v>
      </c>
    </row>
    <row r="78" spans="1:29" ht="45" customHeight="1" x14ac:dyDescent="0.25">
      <c r="A78" s="30">
        <v>69</v>
      </c>
      <c r="B78" s="100" t="s">
        <v>201</v>
      </c>
      <c r="C78" s="31">
        <v>1</v>
      </c>
      <c r="D78" s="32" t="s">
        <v>75</v>
      </c>
      <c r="E78" s="31">
        <f t="shared" ref="E78" si="134">D78*C78</f>
        <v>48</v>
      </c>
      <c r="F78" s="96">
        <v>33.5</v>
      </c>
      <c r="G78" s="33">
        <f>F78/D78</f>
        <v>0.69791666666666663</v>
      </c>
      <c r="H78" s="34">
        <f>G78*E78</f>
        <v>33.5</v>
      </c>
      <c r="I78" s="35"/>
      <c r="J78" s="36">
        <f t="shared" ref="J78" si="135">G78/$Q$2</f>
        <v>0.69791666666666663</v>
      </c>
      <c r="K78" s="36">
        <f t="shared" ref="K78" si="136">H78/$Q$2</f>
        <v>33.5</v>
      </c>
      <c r="L78" s="36">
        <f t="shared" si="124"/>
        <v>0.76072916666666668</v>
      </c>
      <c r="M78" s="36">
        <f>L78*E78</f>
        <v>36.515000000000001</v>
      </c>
      <c r="N78" s="37">
        <v>1.25</v>
      </c>
      <c r="O78" s="38">
        <f>N78*E78</f>
        <v>60</v>
      </c>
      <c r="P78" s="38">
        <f t="shared" ref="P78" si="137">N78-L78</f>
        <v>0.48927083333333332</v>
      </c>
      <c r="Q78" s="38">
        <f>P78*E78</f>
        <v>23.484999999999999</v>
      </c>
      <c r="R78" s="39">
        <f t="shared" ref="R78" si="138">P78/N78</f>
        <v>0.39141666666666663</v>
      </c>
      <c r="S78" s="42"/>
      <c r="T78" s="110">
        <f t="shared" si="126"/>
        <v>1.25</v>
      </c>
      <c r="U78" s="107">
        <v>0.18</v>
      </c>
      <c r="V78" s="111">
        <f t="shared" si="127"/>
        <v>1.5243902439024388</v>
      </c>
      <c r="W78" s="112">
        <f t="shared" si="128"/>
        <v>0.27439024390243882</v>
      </c>
      <c r="X78" s="112">
        <f t="shared" si="129"/>
        <v>2.4695121951219492E-2</v>
      </c>
      <c r="Y78" s="113">
        <f t="shared" si="130"/>
        <v>0.2990853658536583</v>
      </c>
      <c r="Z78" s="112">
        <f t="shared" si="131"/>
        <v>1.2253048780487805</v>
      </c>
      <c r="AA78" s="114">
        <f t="shared" si="132"/>
        <v>0.37915111553454428</v>
      </c>
      <c r="AB78" s="115">
        <f t="shared" si="133"/>
        <v>-1.2265551132122354E-2</v>
      </c>
      <c r="AC78" s="116">
        <v>1.05</v>
      </c>
    </row>
    <row r="79" spans="1:29" ht="45" customHeight="1" x14ac:dyDescent="0.25">
      <c r="A79" s="30">
        <v>70</v>
      </c>
      <c r="B79" s="100" t="s">
        <v>70</v>
      </c>
      <c r="C79" s="31">
        <v>1</v>
      </c>
      <c r="D79" s="32" t="s">
        <v>75</v>
      </c>
      <c r="E79" s="31">
        <f t="shared" si="0"/>
        <v>48</v>
      </c>
      <c r="F79" s="96">
        <v>33.5</v>
      </c>
      <c r="G79" s="33">
        <f>F79/D79</f>
        <v>0.69791666666666663</v>
      </c>
      <c r="H79" s="34">
        <f>G79*E79</f>
        <v>33.5</v>
      </c>
      <c r="I79" s="35"/>
      <c r="J79" s="36">
        <f t="shared" si="125"/>
        <v>0.69791666666666663</v>
      </c>
      <c r="K79" s="36">
        <f t="shared" si="125"/>
        <v>33.5</v>
      </c>
      <c r="L79" s="36">
        <f t="shared" si="124"/>
        <v>0.76072916666666668</v>
      </c>
      <c r="M79" s="36">
        <f>L79*E79</f>
        <v>36.515000000000001</v>
      </c>
      <c r="N79" s="37">
        <v>1.25</v>
      </c>
      <c r="O79" s="38">
        <f>N79*E79</f>
        <v>60</v>
      </c>
      <c r="P79" s="38">
        <f t="shared" si="3"/>
        <v>0.48927083333333332</v>
      </c>
      <c r="Q79" s="38">
        <f>P79*E79</f>
        <v>23.484999999999999</v>
      </c>
      <c r="R79" s="39">
        <f t="shared" si="4"/>
        <v>0.39141666666666663</v>
      </c>
      <c r="S79" s="42"/>
      <c r="T79" s="110">
        <f t="shared" si="126"/>
        <v>1.25</v>
      </c>
      <c r="U79" s="107">
        <v>0.18</v>
      </c>
      <c r="V79" s="111">
        <f t="shared" si="127"/>
        <v>1.5243902439024388</v>
      </c>
      <c r="W79" s="112">
        <f t="shared" si="128"/>
        <v>0.27439024390243882</v>
      </c>
      <c r="X79" s="112">
        <f t="shared" si="129"/>
        <v>2.4695121951219492E-2</v>
      </c>
      <c r="Y79" s="113">
        <f t="shared" si="130"/>
        <v>0.2990853658536583</v>
      </c>
      <c r="Z79" s="112">
        <f t="shared" si="131"/>
        <v>1.2253048780487805</v>
      </c>
      <c r="AA79" s="114">
        <f t="shared" si="132"/>
        <v>0.37915111553454428</v>
      </c>
      <c r="AB79" s="115">
        <f t="shared" si="133"/>
        <v>-1.2265551132122354E-2</v>
      </c>
      <c r="AC79" s="116">
        <v>1.05</v>
      </c>
    </row>
    <row r="80" spans="1:29" ht="45" customHeight="1" x14ac:dyDescent="0.25">
      <c r="A80" s="30">
        <v>71</v>
      </c>
      <c r="B80" s="101" t="s">
        <v>214</v>
      </c>
      <c r="C80" s="31">
        <v>1</v>
      </c>
      <c r="D80" s="32" t="s">
        <v>164</v>
      </c>
      <c r="E80" s="31">
        <f t="shared" ref="E80" si="139">D80*C80</f>
        <v>120</v>
      </c>
      <c r="F80" s="96">
        <v>94</v>
      </c>
      <c r="G80" s="33">
        <f>F80/D80</f>
        <v>0.78333333333333333</v>
      </c>
      <c r="H80" s="34">
        <f>G80*E80</f>
        <v>94</v>
      </c>
      <c r="I80" s="35"/>
      <c r="J80" s="36">
        <f t="shared" ref="J80" si="140">G80/$Q$2</f>
        <v>0.78333333333333333</v>
      </c>
      <c r="K80" s="36">
        <f t="shared" ref="K80" si="141">H80/$Q$2</f>
        <v>94</v>
      </c>
      <c r="L80" s="36">
        <f t="shared" si="124"/>
        <v>0.85383333333333333</v>
      </c>
      <c r="M80" s="36">
        <f>L80*E80</f>
        <v>102.46</v>
      </c>
      <c r="N80" s="37">
        <v>1.25</v>
      </c>
      <c r="O80" s="38">
        <f>N80*E80</f>
        <v>150</v>
      </c>
      <c r="P80" s="38">
        <f t="shared" ref="P80" si="142">N80-L80</f>
        <v>0.39616666666666667</v>
      </c>
      <c r="Q80" s="38">
        <f>P80*E80</f>
        <v>47.54</v>
      </c>
      <c r="R80" s="39">
        <f t="shared" ref="R80" si="143">P80/N80</f>
        <v>0.31693333333333334</v>
      </c>
      <c r="S80" s="42"/>
      <c r="T80" s="110">
        <f t="shared" si="126"/>
        <v>1.25</v>
      </c>
      <c r="U80" s="107">
        <v>0.18</v>
      </c>
      <c r="V80" s="111">
        <f t="shared" si="127"/>
        <v>1.5243902439024388</v>
      </c>
      <c r="W80" s="112">
        <f t="shared" si="128"/>
        <v>0.27439024390243882</v>
      </c>
      <c r="X80" s="112">
        <f t="shared" si="129"/>
        <v>2.4695121951219492E-2</v>
      </c>
      <c r="Y80" s="113">
        <f t="shared" si="130"/>
        <v>0.2990853658536583</v>
      </c>
      <c r="Z80" s="112">
        <f t="shared" si="131"/>
        <v>1.2253048780487805</v>
      </c>
      <c r="AA80" s="114">
        <f t="shared" si="132"/>
        <v>0.30316662519698101</v>
      </c>
      <c r="AB80" s="115">
        <f t="shared" si="133"/>
        <v>-1.3766708136352335E-2</v>
      </c>
      <c r="AC80" s="116">
        <v>1.5</v>
      </c>
    </row>
    <row r="81" spans="1:29" ht="45" customHeight="1" x14ac:dyDescent="0.25">
      <c r="A81" s="30">
        <v>72</v>
      </c>
      <c r="B81" s="101" t="s">
        <v>71</v>
      </c>
      <c r="C81" s="31">
        <v>1</v>
      </c>
      <c r="D81" s="32" t="s">
        <v>164</v>
      </c>
      <c r="E81" s="31">
        <f t="shared" si="0"/>
        <v>120</v>
      </c>
      <c r="F81" s="96">
        <v>94</v>
      </c>
      <c r="G81" s="33">
        <f>F81/D81</f>
        <v>0.78333333333333333</v>
      </c>
      <c r="H81" s="34">
        <f>G81*E81</f>
        <v>94</v>
      </c>
      <c r="I81" s="35"/>
      <c r="J81" s="36">
        <f t="shared" si="125"/>
        <v>0.78333333333333333</v>
      </c>
      <c r="K81" s="36">
        <f t="shared" si="125"/>
        <v>94</v>
      </c>
      <c r="L81" s="36">
        <f t="shared" si="124"/>
        <v>0.85383333333333333</v>
      </c>
      <c r="M81" s="36">
        <f>L81*E81</f>
        <v>102.46</v>
      </c>
      <c r="N81" s="37">
        <v>1.25</v>
      </c>
      <c r="O81" s="38">
        <f>N81*E81</f>
        <v>150</v>
      </c>
      <c r="P81" s="38">
        <f t="shared" si="3"/>
        <v>0.39616666666666667</v>
      </c>
      <c r="Q81" s="38">
        <f>P81*E81</f>
        <v>47.54</v>
      </c>
      <c r="R81" s="39">
        <f t="shared" si="4"/>
        <v>0.31693333333333334</v>
      </c>
      <c r="S81" s="42"/>
      <c r="T81" s="110">
        <f t="shared" si="126"/>
        <v>1.25</v>
      </c>
      <c r="U81" s="107">
        <v>0.18</v>
      </c>
      <c r="V81" s="111">
        <f t="shared" si="127"/>
        <v>1.5243902439024388</v>
      </c>
      <c r="W81" s="112">
        <f t="shared" si="128"/>
        <v>0.27439024390243882</v>
      </c>
      <c r="X81" s="112">
        <f t="shared" si="129"/>
        <v>2.4695121951219492E-2</v>
      </c>
      <c r="Y81" s="113">
        <f t="shared" si="130"/>
        <v>0.2990853658536583</v>
      </c>
      <c r="Z81" s="112">
        <f t="shared" si="131"/>
        <v>1.2253048780487805</v>
      </c>
      <c r="AA81" s="114">
        <f t="shared" si="132"/>
        <v>0.30316662519698101</v>
      </c>
      <c r="AB81" s="115">
        <f t="shared" si="133"/>
        <v>-1.3766708136352335E-2</v>
      </c>
      <c r="AC81" s="116">
        <v>1.5</v>
      </c>
    </row>
    <row r="82" spans="1:29" ht="45" customHeight="1" x14ac:dyDescent="0.25">
      <c r="A82" s="30">
        <v>73</v>
      </c>
      <c r="B82" s="102" t="s">
        <v>72</v>
      </c>
      <c r="C82" s="31">
        <v>1</v>
      </c>
      <c r="D82" s="32" t="s">
        <v>164</v>
      </c>
      <c r="E82" s="31">
        <f t="shared" si="0"/>
        <v>120</v>
      </c>
      <c r="F82" s="96">
        <v>94</v>
      </c>
      <c r="G82" s="33">
        <f>F82/D82</f>
        <v>0.78333333333333333</v>
      </c>
      <c r="H82" s="34">
        <f>G82*E82</f>
        <v>94</v>
      </c>
      <c r="I82" s="35"/>
      <c r="J82" s="36">
        <f t="shared" si="125"/>
        <v>0.78333333333333333</v>
      </c>
      <c r="K82" s="36">
        <f t="shared" si="125"/>
        <v>94</v>
      </c>
      <c r="L82" s="36">
        <f t="shared" si="124"/>
        <v>0.85383333333333333</v>
      </c>
      <c r="M82" s="36">
        <f>L82*E82</f>
        <v>102.46</v>
      </c>
      <c r="N82" s="37">
        <v>1.25</v>
      </c>
      <c r="O82" s="38">
        <f>N82*E82</f>
        <v>150</v>
      </c>
      <c r="P82" s="38">
        <f t="shared" si="3"/>
        <v>0.39616666666666667</v>
      </c>
      <c r="Q82" s="38">
        <f>P82*E82</f>
        <v>47.54</v>
      </c>
      <c r="R82" s="39">
        <f t="shared" si="4"/>
        <v>0.31693333333333334</v>
      </c>
      <c r="S82" s="42"/>
      <c r="T82" s="110">
        <f t="shared" si="126"/>
        <v>1.25</v>
      </c>
      <c r="U82" s="107">
        <v>0.18</v>
      </c>
      <c r="V82" s="111">
        <f t="shared" si="127"/>
        <v>1.5243902439024388</v>
      </c>
      <c r="W82" s="112">
        <f t="shared" si="128"/>
        <v>0.27439024390243882</v>
      </c>
      <c r="X82" s="112">
        <f t="shared" si="129"/>
        <v>2.4695121951219492E-2</v>
      </c>
      <c r="Y82" s="113">
        <f t="shared" si="130"/>
        <v>0.2990853658536583</v>
      </c>
      <c r="Z82" s="112">
        <f t="shared" si="131"/>
        <v>1.2253048780487805</v>
      </c>
      <c r="AA82" s="114">
        <f t="shared" si="132"/>
        <v>0.30316662519698101</v>
      </c>
      <c r="AB82" s="115">
        <f t="shared" si="133"/>
        <v>-1.3766708136352335E-2</v>
      </c>
      <c r="AC82" s="116">
        <v>1.5</v>
      </c>
    </row>
    <row r="83" spans="1:29" ht="45" customHeight="1" x14ac:dyDescent="0.25">
      <c r="A83" s="30">
        <v>74</v>
      </c>
      <c r="B83" s="100" t="s">
        <v>135</v>
      </c>
      <c r="C83" s="31">
        <v>1</v>
      </c>
      <c r="D83" s="32" t="s">
        <v>73</v>
      </c>
      <c r="E83" s="31">
        <f t="shared" si="0"/>
        <v>12</v>
      </c>
      <c r="F83" s="96">
        <v>8.9</v>
      </c>
      <c r="G83" s="33">
        <f>F83/D83</f>
        <v>0.7416666666666667</v>
      </c>
      <c r="H83" s="34">
        <f>G83*E83</f>
        <v>8.9</v>
      </c>
      <c r="I83" s="35"/>
      <c r="J83" s="36">
        <f t="shared" si="125"/>
        <v>0.7416666666666667</v>
      </c>
      <c r="K83" s="36">
        <f t="shared" si="125"/>
        <v>8.9</v>
      </c>
      <c r="L83" s="36">
        <f t="shared" si="124"/>
        <v>0.80841666666666678</v>
      </c>
      <c r="M83" s="36">
        <f>L83*E83</f>
        <v>9.7010000000000005</v>
      </c>
      <c r="N83" s="37">
        <v>1.25</v>
      </c>
      <c r="O83" s="38">
        <f>N83*E83</f>
        <v>15</v>
      </c>
      <c r="P83" s="38">
        <f t="shared" si="3"/>
        <v>0.44158333333333322</v>
      </c>
      <c r="Q83" s="38">
        <f>P83*E83</f>
        <v>5.2989999999999986</v>
      </c>
      <c r="R83" s="39">
        <f t="shared" si="4"/>
        <v>0.35326666666666656</v>
      </c>
      <c r="S83" s="40"/>
      <c r="T83" s="110">
        <f t="shared" si="126"/>
        <v>1.25</v>
      </c>
      <c r="U83" s="107">
        <v>0.18</v>
      </c>
      <c r="V83" s="111">
        <f t="shared" si="127"/>
        <v>1.5243902439024388</v>
      </c>
      <c r="W83" s="112">
        <f t="shared" si="128"/>
        <v>0.27439024390243882</v>
      </c>
      <c r="X83" s="112">
        <f t="shared" si="129"/>
        <v>2.4695121951219492E-2</v>
      </c>
      <c r="Y83" s="113">
        <f t="shared" si="130"/>
        <v>0.2990853658536583</v>
      </c>
      <c r="Z83" s="112">
        <f t="shared" si="131"/>
        <v>1.2253048780487805</v>
      </c>
      <c r="AA83" s="114">
        <f t="shared" si="132"/>
        <v>0.34023223023969473</v>
      </c>
      <c r="AB83" s="115">
        <f t="shared" si="133"/>
        <v>-1.3034436426971829E-2</v>
      </c>
      <c r="AC83" s="116" t="s">
        <v>224</v>
      </c>
    </row>
    <row r="84" spans="1:29" ht="45" customHeight="1" x14ac:dyDescent="0.25">
      <c r="A84" s="30">
        <v>75</v>
      </c>
      <c r="B84" s="100" t="s">
        <v>128</v>
      </c>
      <c r="C84" s="31">
        <v>1</v>
      </c>
      <c r="D84" s="32" t="s">
        <v>73</v>
      </c>
      <c r="E84" s="31">
        <f t="shared" si="0"/>
        <v>12</v>
      </c>
      <c r="F84" s="96">
        <v>8.9</v>
      </c>
      <c r="G84" s="33">
        <f>F84/D84</f>
        <v>0.7416666666666667</v>
      </c>
      <c r="H84" s="34">
        <f>G84*E84</f>
        <v>8.9</v>
      </c>
      <c r="I84" s="35"/>
      <c r="J84" s="36">
        <f t="shared" si="125"/>
        <v>0.7416666666666667</v>
      </c>
      <c r="K84" s="36">
        <f t="shared" si="125"/>
        <v>8.9</v>
      </c>
      <c r="L84" s="36">
        <f t="shared" si="124"/>
        <v>0.80841666666666678</v>
      </c>
      <c r="M84" s="36">
        <f>L84*E84</f>
        <v>9.7010000000000005</v>
      </c>
      <c r="N84" s="37">
        <v>1.25</v>
      </c>
      <c r="O84" s="38">
        <f>N84*E84</f>
        <v>15</v>
      </c>
      <c r="P84" s="38">
        <f t="shared" si="3"/>
        <v>0.44158333333333322</v>
      </c>
      <c r="Q84" s="38">
        <f>P84*E84</f>
        <v>5.2989999999999986</v>
      </c>
      <c r="R84" s="39">
        <f t="shared" si="4"/>
        <v>0.35326666666666656</v>
      </c>
      <c r="S84" s="41"/>
      <c r="T84" s="110">
        <f t="shared" si="126"/>
        <v>1.25</v>
      </c>
      <c r="U84" s="107">
        <v>0.18</v>
      </c>
      <c r="V84" s="111">
        <f t="shared" si="127"/>
        <v>1.5243902439024388</v>
      </c>
      <c r="W84" s="112">
        <f t="shared" si="128"/>
        <v>0.27439024390243882</v>
      </c>
      <c r="X84" s="112">
        <f t="shared" si="129"/>
        <v>2.4695121951219492E-2</v>
      </c>
      <c r="Y84" s="113">
        <f t="shared" si="130"/>
        <v>0.2990853658536583</v>
      </c>
      <c r="Z84" s="112">
        <f t="shared" si="131"/>
        <v>1.2253048780487805</v>
      </c>
      <c r="AA84" s="114">
        <f t="shared" si="132"/>
        <v>0.34023223023969473</v>
      </c>
      <c r="AB84" s="115">
        <f t="shared" si="133"/>
        <v>-1.3034436426971829E-2</v>
      </c>
      <c r="AC84" s="116" t="s">
        <v>224</v>
      </c>
    </row>
    <row r="85" spans="1:29" ht="45" customHeight="1" x14ac:dyDescent="0.25">
      <c r="A85" s="30">
        <v>76</v>
      </c>
      <c r="B85" s="100" t="s">
        <v>129</v>
      </c>
      <c r="C85" s="31">
        <v>1</v>
      </c>
      <c r="D85" s="32" t="s">
        <v>73</v>
      </c>
      <c r="E85" s="31">
        <f t="shared" si="0"/>
        <v>12</v>
      </c>
      <c r="F85" s="96">
        <v>8.9</v>
      </c>
      <c r="G85" s="33">
        <f>F85/D85</f>
        <v>0.7416666666666667</v>
      </c>
      <c r="H85" s="34">
        <f>G85*E85</f>
        <v>8.9</v>
      </c>
      <c r="I85" s="35"/>
      <c r="J85" s="36">
        <f t="shared" si="125"/>
        <v>0.7416666666666667</v>
      </c>
      <c r="K85" s="36">
        <f t="shared" si="125"/>
        <v>8.9</v>
      </c>
      <c r="L85" s="36">
        <f t="shared" si="124"/>
        <v>0.80841666666666678</v>
      </c>
      <c r="M85" s="36">
        <f>L85*E85</f>
        <v>9.7010000000000005</v>
      </c>
      <c r="N85" s="37">
        <v>1.25</v>
      </c>
      <c r="O85" s="38">
        <f>N85*E85</f>
        <v>15</v>
      </c>
      <c r="P85" s="38">
        <f t="shared" si="3"/>
        <v>0.44158333333333322</v>
      </c>
      <c r="Q85" s="38">
        <f>P85*E85</f>
        <v>5.2989999999999986</v>
      </c>
      <c r="R85" s="39">
        <f t="shared" si="4"/>
        <v>0.35326666666666656</v>
      </c>
      <c r="S85" s="42"/>
      <c r="T85" s="110">
        <f t="shared" si="126"/>
        <v>1.25</v>
      </c>
      <c r="U85" s="107">
        <v>0.18</v>
      </c>
      <c r="V85" s="111">
        <f t="shared" si="127"/>
        <v>1.5243902439024388</v>
      </c>
      <c r="W85" s="112">
        <f t="shared" si="128"/>
        <v>0.27439024390243882</v>
      </c>
      <c r="X85" s="112">
        <f t="shared" si="129"/>
        <v>2.4695121951219492E-2</v>
      </c>
      <c r="Y85" s="113">
        <f t="shared" si="130"/>
        <v>0.2990853658536583</v>
      </c>
      <c r="Z85" s="112">
        <f t="shared" si="131"/>
        <v>1.2253048780487805</v>
      </c>
      <c r="AA85" s="114">
        <f t="shared" si="132"/>
        <v>0.34023223023969473</v>
      </c>
      <c r="AB85" s="115">
        <f t="shared" si="133"/>
        <v>-1.3034436426971829E-2</v>
      </c>
      <c r="AC85" s="116">
        <v>1.25</v>
      </c>
    </row>
    <row r="86" spans="1:29" ht="45" customHeight="1" x14ac:dyDescent="0.25">
      <c r="A86" s="30">
        <v>77</v>
      </c>
      <c r="B86" s="100" t="s">
        <v>203</v>
      </c>
      <c r="C86" s="31">
        <v>1</v>
      </c>
      <c r="D86" s="32" t="s">
        <v>24</v>
      </c>
      <c r="E86" s="31">
        <f t="shared" ref="E86" si="144">D86*C86</f>
        <v>24</v>
      </c>
      <c r="F86" s="96">
        <v>9.1999999999999993</v>
      </c>
      <c r="G86" s="33">
        <f>F86/D86</f>
        <v>0.3833333333333333</v>
      </c>
      <c r="H86" s="34">
        <f>G86*E86</f>
        <v>9.1999999999999993</v>
      </c>
      <c r="I86" s="35"/>
      <c r="J86" s="36">
        <f t="shared" ref="J86" si="145">G86/$Q$2</f>
        <v>0.3833333333333333</v>
      </c>
      <c r="K86" s="36">
        <f t="shared" ref="K86" si="146">H86/$Q$2</f>
        <v>9.1999999999999993</v>
      </c>
      <c r="L86" s="36">
        <f t="shared" si="124"/>
        <v>0.41783333333333333</v>
      </c>
      <c r="M86" s="36">
        <f>L86*E86</f>
        <v>10.028</v>
      </c>
      <c r="N86" s="37">
        <v>0.6</v>
      </c>
      <c r="O86" s="38">
        <f>N86*E86</f>
        <v>14.399999999999999</v>
      </c>
      <c r="P86" s="38">
        <f t="shared" ref="P86" si="147">N86-L86</f>
        <v>0.18216666666666664</v>
      </c>
      <c r="Q86" s="38">
        <f>P86*E86</f>
        <v>4.3719999999999999</v>
      </c>
      <c r="R86" s="39">
        <f t="shared" ref="R86" si="148">P86/N86</f>
        <v>0.30361111111111111</v>
      </c>
      <c r="S86" s="41"/>
      <c r="T86" s="110">
        <f t="shared" si="126"/>
        <v>0.6</v>
      </c>
      <c r="U86" s="107">
        <v>0.18</v>
      </c>
      <c r="V86" s="111">
        <f t="shared" si="127"/>
        <v>0.7317073170731706</v>
      </c>
      <c r="W86" s="112">
        <f t="shared" si="128"/>
        <v>0.13170731707317063</v>
      </c>
      <c r="X86" s="112">
        <f t="shared" si="129"/>
        <v>1.1853658536585356E-2</v>
      </c>
      <c r="Y86" s="113">
        <f t="shared" si="130"/>
        <v>0.14356097560975598</v>
      </c>
      <c r="Z86" s="112">
        <f t="shared" si="131"/>
        <v>0.5881463414634146</v>
      </c>
      <c r="AA86" s="114">
        <f t="shared" si="132"/>
        <v>0.28957590334798594</v>
      </c>
      <c r="AB86" s="115">
        <f t="shared" si="133"/>
        <v>-1.4035207763125168E-2</v>
      </c>
      <c r="AC86" s="116">
        <v>0.95</v>
      </c>
    </row>
    <row r="87" spans="1:29" ht="45" customHeight="1" x14ac:dyDescent="0.25">
      <c r="A87" s="30">
        <v>78</v>
      </c>
      <c r="B87" s="104" t="s">
        <v>77</v>
      </c>
      <c r="C87" s="31">
        <v>1</v>
      </c>
      <c r="D87" s="32" t="s">
        <v>84</v>
      </c>
      <c r="E87" s="31">
        <f t="shared" si="0"/>
        <v>8</v>
      </c>
      <c r="F87" s="96">
        <v>11.5</v>
      </c>
      <c r="G87" s="33">
        <f>F87/D87</f>
        <v>1.4375</v>
      </c>
      <c r="H87" s="34">
        <f>G87*E87</f>
        <v>11.5</v>
      </c>
      <c r="I87" s="35"/>
      <c r="J87" s="36">
        <f t="shared" si="125"/>
        <v>1.4375</v>
      </c>
      <c r="K87" s="36">
        <f t="shared" si="125"/>
        <v>11.5</v>
      </c>
      <c r="L87" s="36">
        <f t="shared" si="124"/>
        <v>1.566875</v>
      </c>
      <c r="M87" s="36">
        <f>L87*E87</f>
        <v>12.535</v>
      </c>
      <c r="N87" s="37">
        <v>1.95</v>
      </c>
      <c r="O87" s="38">
        <f>N87*E87</f>
        <v>15.6</v>
      </c>
      <c r="P87" s="38">
        <f t="shared" si="3"/>
        <v>0.38312499999999994</v>
      </c>
      <c r="Q87" s="38">
        <f>P87*E87</f>
        <v>3.0649999999999995</v>
      </c>
      <c r="R87" s="39">
        <f t="shared" si="4"/>
        <v>0.19647435897435894</v>
      </c>
      <c r="S87" s="43"/>
      <c r="T87" s="110">
        <f t="shared" si="126"/>
        <v>1.95</v>
      </c>
      <c r="U87" s="107">
        <v>0.18</v>
      </c>
      <c r="V87" s="111">
        <f t="shared" si="127"/>
        <v>2.3780487804878048</v>
      </c>
      <c r="W87" s="112">
        <f t="shared" si="128"/>
        <v>0.42804878048780481</v>
      </c>
      <c r="X87" s="112">
        <f t="shared" si="129"/>
        <v>3.8524390243902432E-2</v>
      </c>
      <c r="Y87" s="113">
        <f t="shared" si="130"/>
        <v>0.46657317073170723</v>
      </c>
      <c r="Z87" s="112">
        <f t="shared" si="131"/>
        <v>1.9114756097560974</v>
      </c>
      <c r="AA87" s="114">
        <f t="shared" si="132"/>
        <v>0.18027988847844525</v>
      </c>
      <c r="AB87" s="115">
        <f t="shared" si="133"/>
        <v>-1.6194470495913688E-2</v>
      </c>
      <c r="AC87" s="116" t="s">
        <v>224</v>
      </c>
    </row>
    <row r="88" spans="1:29" ht="45" customHeight="1" x14ac:dyDescent="0.25">
      <c r="A88" s="30">
        <v>79</v>
      </c>
      <c r="B88" s="100" t="s">
        <v>78</v>
      </c>
      <c r="C88" s="31">
        <v>1</v>
      </c>
      <c r="D88" s="32" t="s">
        <v>141</v>
      </c>
      <c r="E88" s="31">
        <f t="shared" si="0"/>
        <v>20</v>
      </c>
      <c r="F88" s="96">
        <v>30.5</v>
      </c>
      <c r="G88" s="33">
        <f>F88/D88</f>
        <v>1.5249999999999999</v>
      </c>
      <c r="H88" s="34">
        <f>G88*E88</f>
        <v>30.5</v>
      </c>
      <c r="I88" s="35"/>
      <c r="J88" s="36">
        <f t="shared" si="125"/>
        <v>1.5249999999999999</v>
      </c>
      <c r="K88" s="36">
        <f t="shared" si="125"/>
        <v>30.5</v>
      </c>
      <c r="L88" s="36">
        <f t="shared" si="124"/>
        <v>1.66225</v>
      </c>
      <c r="M88" s="36">
        <f>L88*E88</f>
        <v>33.244999999999997</v>
      </c>
      <c r="N88" s="37">
        <v>2.5</v>
      </c>
      <c r="O88" s="38">
        <f>N88*E88</f>
        <v>50</v>
      </c>
      <c r="P88" s="38">
        <f t="shared" si="3"/>
        <v>0.83774999999999999</v>
      </c>
      <c r="Q88" s="38">
        <f>P88*E88</f>
        <v>16.754999999999999</v>
      </c>
      <c r="R88" s="39">
        <f t="shared" si="4"/>
        <v>0.33510000000000001</v>
      </c>
      <c r="S88" s="41"/>
      <c r="T88" s="110">
        <f t="shared" si="126"/>
        <v>2.5</v>
      </c>
      <c r="U88" s="107">
        <v>0.18</v>
      </c>
      <c r="V88" s="111">
        <f t="shared" si="127"/>
        <v>3.0487804878048776</v>
      </c>
      <c r="W88" s="112">
        <f t="shared" si="128"/>
        <v>0.54878048780487765</v>
      </c>
      <c r="X88" s="112">
        <f t="shared" si="129"/>
        <v>4.9390243902438985E-2</v>
      </c>
      <c r="Y88" s="113">
        <f t="shared" si="130"/>
        <v>0.59817073170731661</v>
      </c>
      <c r="Z88" s="112">
        <f t="shared" si="131"/>
        <v>2.450609756097561</v>
      </c>
      <c r="AA88" s="114">
        <f t="shared" si="132"/>
        <v>0.32169942771833793</v>
      </c>
      <c r="AB88" s="115">
        <f t="shared" si="133"/>
        <v>-1.3400572281662082E-2</v>
      </c>
      <c r="AC88" s="116" t="s">
        <v>224</v>
      </c>
    </row>
    <row r="89" spans="1:29" ht="45" customHeight="1" x14ac:dyDescent="0.25">
      <c r="A89" s="30">
        <v>80</v>
      </c>
      <c r="B89" s="106" t="s">
        <v>79</v>
      </c>
      <c r="C89" s="31">
        <v>1</v>
      </c>
      <c r="D89" s="32" t="s">
        <v>141</v>
      </c>
      <c r="E89" s="31">
        <f t="shared" si="0"/>
        <v>20</v>
      </c>
      <c r="F89" s="96">
        <v>30.5</v>
      </c>
      <c r="G89" s="33">
        <f>F89/D89</f>
        <v>1.5249999999999999</v>
      </c>
      <c r="H89" s="34">
        <f>G89*E89</f>
        <v>30.5</v>
      </c>
      <c r="I89" s="35"/>
      <c r="J89" s="36">
        <f t="shared" si="125"/>
        <v>1.5249999999999999</v>
      </c>
      <c r="K89" s="36">
        <f t="shared" si="125"/>
        <v>30.5</v>
      </c>
      <c r="L89" s="36">
        <f t="shared" si="124"/>
        <v>1.66225</v>
      </c>
      <c r="M89" s="36">
        <f>L89*E89</f>
        <v>33.244999999999997</v>
      </c>
      <c r="N89" s="37">
        <v>2.5</v>
      </c>
      <c r="O89" s="38">
        <f>N89*E89</f>
        <v>50</v>
      </c>
      <c r="P89" s="38">
        <f t="shared" si="3"/>
        <v>0.83774999999999999</v>
      </c>
      <c r="Q89" s="38">
        <f>P89*E89</f>
        <v>16.754999999999999</v>
      </c>
      <c r="R89" s="39">
        <f t="shared" si="4"/>
        <v>0.33510000000000001</v>
      </c>
      <c r="S89" s="42"/>
      <c r="T89" s="110">
        <f t="shared" si="126"/>
        <v>2.5</v>
      </c>
      <c r="U89" s="107">
        <v>0.18</v>
      </c>
      <c r="V89" s="111">
        <f t="shared" si="127"/>
        <v>3.0487804878048776</v>
      </c>
      <c r="W89" s="112">
        <f t="shared" si="128"/>
        <v>0.54878048780487765</v>
      </c>
      <c r="X89" s="112">
        <f t="shared" si="129"/>
        <v>4.9390243902438985E-2</v>
      </c>
      <c r="Y89" s="113">
        <f t="shared" si="130"/>
        <v>0.59817073170731661</v>
      </c>
      <c r="Z89" s="112">
        <f t="shared" si="131"/>
        <v>2.450609756097561</v>
      </c>
      <c r="AA89" s="114">
        <f t="shared" si="132"/>
        <v>0.32169942771833793</v>
      </c>
      <c r="AB89" s="115">
        <f t="shared" si="133"/>
        <v>-1.3400572281662082E-2</v>
      </c>
      <c r="AC89" s="116" t="s">
        <v>224</v>
      </c>
    </row>
    <row r="90" spans="1:29" ht="45" customHeight="1" x14ac:dyDescent="0.25">
      <c r="A90" s="30">
        <v>81</v>
      </c>
      <c r="B90" s="102" t="s">
        <v>80</v>
      </c>
      <c r="C90" s="31">
        <v>1</v>
      </c>
      <c r="D90" s="32" t="s">
        <v>73</v>
      </c>
      <c r="E90" s="31">
        <f t="shared" si="0"/>
        <v>12</v>
      </c>
      <c r="F90" s="96">
        <v>34.5</v>
      </c>
      <c r="G90" s="33">
        <f>F90/D90</f>
        <v>2.875</v>
      </c>
      <c r="H90" s="34">
        <f>G90*E90</f>
        <v>34.5</v>
      </c>
      <c r="I90" s="35"/>
      <c r="J90" s="36">
        <f t="shared" si="125"/>
        <v>2.875</v>
      </c>
      <c r="K90" s="36">
        <f t="shared" si="125"/>
        <v>34.5</v>
      </c>
      <c r="L90" s="36">
        <f t="shared" si="124"/>
        <v>3.13375</v>
      </c>
      <c r="M90" s="36">
        <f>L90*E90</f>
        <v>37.605000000000004</v>
      </c>
      <c r="N90" s="37">
        <v>4.9000000000000004</v>
      </c>
      <c r="O90" s="38">
        <f>N90*E90</f>
        <v>58.800000000000004</v>
      </c>
      <c r="P90" s="38">
        <f t="shared" si="3"/>
        <v>1.7662500000000003</v>
      </c>
      <c r="Q90" s="38">
        <f>P90*E90</f>
        <v>21.195000000000004</v>
      </c>
      <c r="R90" s="39">
        <f t="shared" si="4"/>
        <v>0.36045918367346941</v>
      </c>
      <c r="S90" s="42"/>
      <c r="T90" s="110">
        <f t="shared" si="126"/>
        <v>4.9000000000000004</v>
      </c>
      <c r="U90" s="107">
        <v>0.18</v>
      </c>
      <c r="V90" s="111">
        <f t="shared" si="127"/>
        <v>5.975609756097561</v>
      </c>
      <c r="W90" s="112">
        <f t="shared" si="128"/>
        <v>1.0756097560975606</v>
      </c>
      <c r="X90" s="112">
        <f t="shared" si="129"/>
        <v>9.6804878048780449E-2</v>
      </c>
      <c r="Y90" s="113">
        <f t="shared" si="130"/>
        <v>1.1724146341463411</v>
      </c>
      <c r="Z90" s="112">
        <f t="shared" si="131"/>
        <v>4.8031951219512194</v>
      </c>
      <c r="AA90" s="114">
        <f t="shared" si="132"/>
        <v>0.34756970715631363</v>
      </c>
      <c r="AB90" s="115">
        <f t="shared" si="133"/>
        <v>-1.2889476517155773E-2</v>
      </c>
      <c r="AC90" s="116" t="s">
        <v>224</v>
      </c>
    </row>
    <row r="91" spans="1:29" ht="45" customHeight="1" x14ac:dyDescent="0.25">
      <c r="A91" s="30">
        <v>82</v>
      </c>
      <c r="B91" s="101" t="s">
        <v>81</v>
      </c>
      <c r="C91" s="31">
        <v>1</v>
      </c>
      <c r="D91" s="32" t="s">
        <v>82</v>
      </c>
      <c r="E91" s="31">
        <f t="shared" si="0"/>
        <v>28</v>
      </c>
      <c r="F91" s="96">
        <v>9.1999999999999993</v>
      </c>
      <c r="G91" s="33">
        <f>F91/D91</f>
        <v>0.32857142857142857</v>
      </c>
      <c r="H91" s="34">
        <f>G91*E91</f>
        <v>9.1999999999999993</v>
      </c>
      <c r="I91" s="35"/>
      <c r="J91" s="36">
        <f t="shared" si="125"/>
        <v>0.32857142857142857</v>
      </c>
      <c r="K91" s="36">
        <f t="shared" si="125"/>
        <v>9.1999999999999993</v>
      </c>
      <c r="L91" s="36">
        <f t="shared" si="124"/>
        <v>0.35814285714285715</v>
      </c>
      <c r="M91" s="36">
        <f>L91*E91</f>
        <v>10.028</v>
      </c>
      <c r="N91" s="37">
        <v>0.65</v>
      </c>
      <c r="O91" s="38">
        <f>N91*E91</f>
        <v>18.2</v>
      </c>
      <c r="P91" s="38">
        <f t="shared" si="3"/>
        <v>0.29185714285714287</v>
      </c>
      <c r="Q91" s="38">
        <f>P91*E91</f>
        <v>8.1720000000000006</v>
      </c>
      <c r="R91" s="39">
        <f t="shared" si="4"/>
        <v>0.44901098901098901</v>
      </c>
      <c r="S91" s="42"/>
      <c r="T91" s="110">
        <f t="shared" si="126"/>
        <v>0.65</v>
      </c>
      <c r="U91" s="107">
        <v>0.18</v>
      </c>
      <c r="V91" s="111">
        <f t="shared" si="127"/>
        <v>0.79268292682926822</v>
      </c>
      <c r="W91" s="112">
        <f t="shared" si="128"/>
        <v>0.1426829268292682</v>
      </c>
      <c r="X91" s="112">
        <f t="shared" si="129"/>
        <v>1.2841463414634137E-2</v>
      </c>
      <c r="Y91" s="113">
        <f t="shared" si="130"/>
        <v>0.15552439024390233</v>
      </c>
      <c r="Z91" s="112">
        <f t="shared" si="131"/>
        <v>0.63715853658536592</v>
      </c>
      <c r="AA91" s="114">
        <f t="shared" si="132"/>
        <v>0.43790620924236257</v>
      </c>
      <c r="AB91" s="115">
        <f t="shared" si="133"/>
        <v>-1.1104779768626449E-2</v>
      </c>
      <c r="AC91" s="116" t="s">
        <v>224</v>
      </c>
    </row>
    <row r="92" spans="1:29" ht="45" customHeight="1" x14ac:dyDescent="0.25">
      <c r="A92" s="30">
        <v>83</v>
      </c>
      <c r="B92" s="105" t="s">
        <v>169</v>
      </c>
      <c r="C92" s="31">
        <v>1</v>
      </c>
      <c r="D92" s="32" t="s">
        <v>73</v>
      </c>
      <c r="E92" s="31">
        <f t="shared" si="0"/>
        <v>12</v>
      </c>
      <c r="F92" s="96">
        <v>34.5</v>
      </c>
      <c r="G92" s="33">
        <f>F92/D92</f>
        <v>2.875</v>
      </c>
      <c r="H92" s="34">
        <f>G92*E92</f>
        <v>34.5</v>
      </c>
      <c r="I92" s="35"/>
      <c r="J92" s="36">
        <f t="shared" ref="J92" si="149">G92/$Q$2</f>
        <v>2.875</v>
      </c>
      <c r="K92" s="36">
        <f t="shared" ref="K92" si="150">H92/$Q$2</f>
        <v>34.5</v>
      </c>
      <c r="L92" s="36">
        <f t="shared" si="124"/>
        <v>3.13375</v>
      </c>
      <c r="M92" s="36">
        <f>L92*E92</f>
        <v>37.605000000000004</v>
      </c>
      <c r="N92" s="37"/>
      <c r="O92" s="38"/>
      <c r="P92" s="38"/>
      <c r="Q92" s="38"/>
      <c r="R92" s="39"/>
      <c r="S92" s="43"/>
      <c r="T92" s="110">
        <f t="shared" si="126"/>
        <v>0</v>
      </c>
      <c r="U92" s="107">
        <v>0.18</v>
      </c>
      <c r="V92" s="111">
        <f t="shared" si="127"/>
        <v>0</v>
      </c>
      <c r="W92" s="112">
        <f t="shared" si="128"/>
        <v>0</v>
      </c>
      <c r="X92" s="112">
        <f t="shared" si="129"/>
        <v>0</v>
      </c>
      <c r="Y92" s="113">
        <f t="shared" si="130"/>
        <v>0</v>
      </c>
      <c r="Z92" s="112">
        <f t="shared" si="131"/>
        <v>0</v>
      </c>
      <c r="AA92" s="114" t="e">
        <f t="shared" si="132"/>
        <v>#DIV/0!</v>
      </c>
      <c r="AB92" s="115" t="e">
        <f t="shared" si="133"/>
        <v>#DIV/0!</v>
      </c>
      <c r="AC92" s="116" t="s">
        <v>224</v>
      </c>
    </row>
    <row r="93" spans="1:29" ht="45" customHeight="1" x14ac:dyDescent="0.25">
      <c r="A93" s="30">
        <v>84</v>
      </c>
      <c r="B93" s="100" t="s">
        <v>85</v>
      </c>
      <c r="C93" s="31">
        <v>1</v>
      </c>
      <c r="D93" s="32" t="s">
        <v>25</v>
      </c>
      <c r="E93" s="31">
        <f t="shared" si="0"/>
        <v>6</v>
      </c>
      <c r="F93" s="96">
        <v>20.5</v>
      </c>
      <c r="G93" s="33">
        <f>F93/D93</f>
        <v>3.4166666666666665</v>
      </c>
      <c r="H93" s="34">
        <f>G93*E93</f>
        <v>20.5</v>
      </c>
      <c r="I93" s="35"/>
      <c r="J93" s="36">
        <f t="shared" si="125"/>
        <v>3.4166666666666665</v>
      </c>
      <c r="K93" s="36">
        <f t="shared" si="125"/>
        <v>20.5</v>
      </c>
      <c r="L93" s="36">
        <f t="shared" si="124"/>
        <v>3.7241666666666666</v>
      </c>
      <c r="M93" s="36">
        <f>L93*E93</f>
        <v>22.344999999999999</v>
      </c>
      <c r="N93" s="37">
        <v>4.95</v>
      </c>
      <c r="O93" s="38">
        <f>N93*E93</f>
        <v>29.700000000000003</v>
      </c>
      <c r="P93" s="38">
        <f t="shared" si="3"/>
        <v>1.2258333333333336</v>
      </c>
      <c r="Q93" s="38">
        <f>P93*E93</f>
        <v>7.3550000000000013</v>
      </c>
      <c r="R93" s="39">
        <f t="shared" si="4"/>
        <v>0.24764309764309766</v>
      </c>
      <c r="S93" s="40"/>
      <c r="T93" s="110">
        <f t="shared" si="126"/>
        <v>4.95</v>
      </c>
      <c r="U93" s="107">
        <v>0.18</v>
      </c>
      <c r="V93" s="111">
        <f t="shared" si="127"/>
        <v>6.0365853658536581</v>
      </c>
      <c r="W93" s="112">
        <f t="shared" si="128"/>
        <v>1.0865853658536579</v>
      </c>
      <c r="X93" s="112">
        <f t="shared" si="129"/>
        <v>9.7792682926829216E-2</v>
      </c>
      <c r="Y93" s="113">
        <f t="shared" si="130"/>
        <v>1.1843780487804871</v>
      </c>
      <c r="Z93" s="112">
        <f t="shared" si="131"/>
        <v>4.8522073170731712</v>
      </c>
      <c r="AA93" s="114">
        <f t="shared" si="132"/>
        <v>0.23247989558016938</v>
      </c>
      <c r="AB93" s="115">
        <f t="shared" si="133"/>
        <v>-1.5163202062928288E-2</v>
      </c>
      <c r="AC93" s="116" t="s">
        <v>224</v>
      </c>
    </row>
    <row r="94" spans="1:29" ht="45" customHeight="1" x14ac:dyDescent="0.25">
      <c r="A94" s="30">
        <v>85</v>
      </c>
      <c r="B94" s="100" t="s">
        <v>87</v>
      </c>
      <c r="C94" s="31">
        <v>1</v>
      </c>
      <c r="D94" s="32" t="s">
        <v>83</v>
      </c>
      <c r="E94" s="31">
        <f t="shared" si="0"/>
        <v>4</v>
      </c>
      <c r="F94" s="96">
        <v>25.7</v>
      </c>
      <c r="G94" s="33">
        <f>F94/D94</f>
        <v>6.4249999999999998</v>
      </c>
      <c r="H94" s="34">
        <f>G94*E94</f>
        <v>25.7</v>
      </c>
      <c r="I94" s="35"/>
      <c r="J94" s="36">
        <f t="shared" si="125"/>
        <v>6.4249999999999998</v>
      </c>
      <c r="K94" s="36">
        <f t="shared" si="125"/>
        <v>25.7</v>
      </c>
      <c r="L94" s="36">
        <f t="shared" si="124"/>
        <v>7.0032500000000004</v>
      </c>
      <c r="M94" s="36">
        <f>L94*E94</f>
        <v>28.013000000000002</v>
      </c>
      <c r="N94" s="37">
        <v>8.5</v>
      </c>
      <c r="O94" s="38">
        <f>N94*E94</f>
        <v>34</v>
      </c>
      <c r="P94" s="38">
        <f>N94-L94</f>
        <v>1.4967499999999996</v>
      </c>
      <c r="Q94" s="38">
        <f>P94*E94</f>
        <v>5.9869999999999983</v>
      </c>
      <c r="R94" s="39">
        <f t="shared" si="4"/>
        <v>0.1760882352941176</v>
      </c>
      <c r="S94" s="40"/>
      <c r="T94" s="110">
        <f t="shared" si="126"/>
        <v>8.5</v>
      </c>
      <c r="U94" s="107">
        <v>0.18</v>
      </c>
      <c r="V94" s="111">
        <f t="shared" si="127"/>
        <v>10.365853658536585</v>
      </c>
      <c r="W94" s="112">
        <f t="shared" si="128"/>
        <v>1.8658536585365848</v>
      </c>
      <c r="X94" s="112">
        <f t="shared" si="129"/>
        <v>0.16792682926829264</v>
      </c>
      <c r="Y94" s="113">
        <f t="shared" si="130"/>
        <v>2.0337804878048775</v>
      </c>
      <c r="Z94" s="112">
        <f t="shared" si="131"/>
        <v>8.3320731707317073</v>
      </c>
      <c r="AA94" s="114">
        <f t="shared" si="132"/>
        <v>0.15948289741375521</v>
      </c>
      <c r="AB94" s="115">
        <f t="shared" si="133"/>
        <v>-1.6605337880362392E-2</v>
      </c>
      <c r="AC94" s="116">
        <v>9.9</v>
      </c>
    </row>
    <row r="95" spans="1:29" ht="45" customHeight="1" x14ac:dyDescent="0.25">
      <c r="A95" s="30">
        <v>86</v>
      </c>
      <c r="B95" s="100" t="s">
        <v>86</v>
      </c>
      <c r="C95" s="31">
        <v>1</v>
      </c>
      <c r="D95" s="32" t="s">
        <v>83</v>
      </c>
      <c r="E95" s="31">
        <f t="shared" si="0"/>
        <v>4</v>
      </c>
      <c r="F95" s="96">
        <v>25.7</v>
      </c>
      <c r="G95" s="33">
        <f>F95/D95</f>
        <v>6.4249999999999998</v>
      </c>
      <c r="H95" s="34">
        <f>G95*E95</f>
        <v>25.7</v>
      </c>
      <c r="I95" s="35"/>
      <c r="J95" s="36">
        <f t="shared" si="125"/>
        <v>6.4249999999999998</v>
      </c>
      <c r="K95" s="36">
        <f t="shared" si="125"/>
        <v>25.7</v>
      </c>
      <c r="L95" s="36">
        <f t="shared" si="124"/>
        <v>7.0032500000000004</v>
      </c>
      <c r="M95" s="36">
        <f>L95*E95</f>
        <v>28.013000000000002</v>
      </c>
      <c r="N95" s="37">
        <v>8.5</v>
      </c>
      <c r="O95" s="38">
        <f>N95*E95</f>
        <v>34</v>
      </c>
      <c r="P95" s="38">
        <f t="shared" si="3"/>
        <v>1.4967499999999996</v>
      </c>
      <c r="Q95" s="38">
        <f>P95*E95</f>
        <v>5.9869999999999983</v>
      </c>
      <c r="R95" s="39">
        <f t="shared" si="4"/>
        <v>0.1760882352941176</v>
      </c>
      <c r="S95" s="41"/>
      <c r="T95" s="110">
        <f t="shared" si="126"/>
        <v>8.5</v>
      </c>
      <c r="U95" s="107">
        <v>0.18</v>
      </c>
      <c r="V95" s="111">
        <f t="shared" si="127"/>
        <v>10.365853658536585</v>
      </c>
      <c r="W95" s="112">
        <f t="shared" si="128"/>
        <v>1.8658536585365848</v>
      </c>
      <c r="X95" s="112">
        <f t="shared" si="129"/>
        <v>0.16792682926829264</v>
      </c>
      <c r="Y95" s="113">
        <f t="shared" si="130"/>
        <v>2.0337804878048775</v>
      </c>
      <c r="Z95" s="112">
        <f t="shared" si="131"/>
        <v>8.3320731707317073</v>
      </c>
      <c r="AA95" s="114">
        <f t="shared" si="132"/>
        <v>0.15948289741375521</v>
      </c>
      <c r="AB95" s="115">
        <f t="shared" si="133"/>
        <v>-1.6605337880362392E-2</v>
      </c>
      <c r="AC95" s="116">
        <v>9.9</v>
      </c>
    </row>
    <row r="96" spans="1:29" ht="45" customHeight="1" x14ac:dyDescent="0.25">
      <c r="A96" s="30">
        <v>87</v>
      </c>
      <c r="B96" s="100" t="s">
        <v>181</v>
      </c>
      <c r="C96" s="31">
        <v>1</v>
      </c>
      <c r="D96" s="32" t="s">
        <v>83</v>
      </c>
      <c r="E96" s="31">
        <f t="shared" ref="E96" si="151">D96*C96</f>
        <v>4</v>
      </c>
      <c r="F96" s="96">
        <v>25.7</v>
      </c>
      <c r="G96" s="33">
        <f>F96/D96</f>
        <v>6.4249999999999998</v>
      </c>
      <c r="H96" s="34">
        <f>G96*E96</f>
        <v>25.7</v>
      </c>
      <c r="I96" s="35"/>
      <c r="J96" s="36">
        <f t="shared" ref="J96" si="152">G96/$Q$2</f>
        <v>6.4249999999999998</v>
      </c>
      <c r="K96" s="36">
        <f t="shared" ref="K96" si="153">H96/$Q$2</f>
        <v>25.7</v>
      </c>
      <c r="L96" s="36">
        <f t="shared" si="124"/>
        <v>7.0032500000000004</v>
      </c>
      <c r="M96" s="36">
        <f>L96*E96</f>
        <v>28.013000000000002</v>
      </c>
      <c r="N96" s="37">
        <v>8.5</v>
      </c>
      <c r="O96" s="38">
        <f>N96*E96</f>
        <v>34</v>
      </c>
      <c r="P96" s="38">
        <f t="shared" ref="P96" si="154">N96-L96</f>
        <v>1.4967499999999996</v>
      </c>
      <c r="Q96" s="38">
        <f>P96*E96</f>
        <v>5.9869999999999983</v>
      </c>
      <c r="R96" s="39">
        <f t="shared" ref="R96" si="155">P96/N96</f>
        <v>0.1760882352941176</v>
      </c>
      <c r="S96" s="41"/>
      <c r="T96" s="110">
        <f t="shared" si="126"/>
        <v>8.5</v>
      </c>
      <c r="U96" s="107">
        <v>0.18</v>
      </c>
      <c r="V96" s="111">
        <f t="shared" si="127"/>
        <v>10.365853658536585</v>
      </c>
      <c r="W96" s="112">
        <f t="shared" si="128"/>
        <v>1.8658536585365848</v>
      </c>
      <c r="X96" s="112">
        <f t="shared" si="129"/>
        <v>0.16792682926829264</v>
      </c>
      <c r="Y96" s="113">
        <f t="shared" si="130"/>
        <v>2.0337804878048775</v>
      </c>
      <c r="Z96" s="112">
        <f t="shared" si="131"/>
        <v>8.3320731707317073</v>
      </c>
      <c r="AA96" s="114">
        <f t="shared" si="132"/>
        <v>0.15948289741375521</v>
      </c>
      <c r="AB96" s="115">
        <f t="shared" si="133"/>
        <v>-1.6605337880362392E-2</v>
      </c>
      <c r="AC96" s="116">
        <v>9.9</v>
      </c>
    </row>
    <row r="97" spans="1:29" ht="45" customHeight="1" x14ac:dyDescent="0.25">
      <c r="A97" s="30">
        <v>88</v>
      </c>
      <c r="B97" s="106" t="s">
        <v>88</v>
      </c>
      <c r="C97" s="31">
        <v>1</v>
      </c>
      <c r="D97" s="32" t="s">
        <v>83</v>
      </c>
      <c r="E97" s="31">
        <f t="shared" si="0"/>
        <v>4</v>
      </c>
      <c r="F97" s="96">
        <v>25.7</v>
      </c>
      <c r="G97" s="33">
        <f>F97/D97</f>
        <v>6.4249999999999998</v>
      </c>
      <c r="H97" s="34">
        <f>G97*E97</f>
        <v>25.7</v>
      </c>
      <c r="I97" s="35"/>
      <c r="J97" s="36">
        <f t="shared" si="125"/>
        <v>6.4249999999999998</v>
      </c>
      <c r="K97" s="36">
        <f t="shared" si="125"/>
        <v>25.7</v>
      </c>
      <c r="L97" s="36">
        <f t="shared" si="124"/>
        <v>7.0032500000000004</v>
      </c>
      <c r="M97" s="36">
        <f>L97*E97</f>
        <v>28.013000000000002</v>
      </c>
      <c r="N97" s="37">
        <v>8.5</v>
      </c>
      <c r="O97" s="38">
        <f>N97*E97</f>
        <v>34</v>
      </c>
      <c r="P97" s="38">
        <f t="shared" si="3"/>
        <v>1.4967499999999996</v>
      </c>
      <c r="Q97" s="38">
        <f>P97*E97</f>
        <v>5.9869999999999983</v>
      </c>
      <c r="R97" s="39">
        <f t="shared" si="4"/>
        <v>0.1760882352941176</v>
      </c>
      <c r="S97" s="42"/>
      <c r="T97" s="110">
        <f t="shared" si="126"/>
        <v>8.5</v>
      </c>
      <c r="U97" s="107">
        <v>0.18</v>
      </c>
      <c r="V97" s="111">
        <f t="shared" si="127"/>
        <v>10.365853658536585</v>
      </c>
      <c r="W97" s="112">
        <f t="shared" si="128"/>
        <v>1.8658536585365848</v>
      </c>
      <c r="X97" s="112">
        <f t="shared" si="129"/>
        <v>0.16792682926829264</v>
      </c>
      <c r="Y97" s="113">
        <f t="shared" si="130"/>
        <v>2.0337804878048775</v>
      </c>
      <c r="Z97" s="112">
        <f t="shared" si="131"/>
        <v>8.3320731707317073</v>
      </c>
      <c r="AA97" s="114">
        <f t="shared" si="132"/>
        <v>0.15948289741375521</v>
      </c>
      <c r="AB97" s="115">
        <f t="shared" si="133"/>
        <v>-1.6605337880362392E-2</v>
      </c>
      <c r="AC97" s="116">
        <v>9.9</v>
      </c>
    </row>
    <row r="98" spans="1:29" ht="45" customHeight="1" x14ac:dyDescent="0.25">
      <c r="A98" s="30">
        <v>89</v>
      </c>
      <c r="B98" s="102" t="s">
        <v>162</v>
      </c>
      <c r="C98" s="31">
        <v>1</v>
      </c>
      <c r="D98" s="32" t="s">
        <v>84</v>
      </c>
      <c r="E98" s="31">
        <f t="shared" ref="E98" si="156">D98*C98</f>
        <v>8</v>
      </c>
      <c r="F98" s="96">
        <v>13.6</v>
      </c>
      <c r="G98" s="33">
        <f>F98/D98</f>
        <v>1.7</v>
      </c>
      <c r="H98" s="34">
        <f>G98*E98</f>
        <v>13.6</v>
      </c>
      <c r="I98" s="35"/>
      <c r="J98" s="36">
        <f t="shared" ref="J98" si="157">G98/$Q$2</f>
        <v>1.7</v>
      </c>
      <c r="K98" s="36">
        <f t="shared" ref="K98" si="158">H98/$Q$2</f>
        <v>13.6</v>
      </c>
      <c r="L98" s="36">
        <f t="shared" si="124"/>
        <v>1.853</v>
      </c>
      <c r="M98" s="36">
        <f>L98*E98</f>
        <v>14.824</v>
      </c>
      <c r="N98" s="37">
        <v>2.5</v>
      </c>
      <c r="O98" s="38">
        <f>N98*E98</f>
        <v>20</v>
      </c>
      <c r="P98" s="38">
        <f t="shared" ref="P98" si="159">N98-L98</f>
        <v>0.64700000000000002</v>
      </c>
      <c r="Q98" s="38">
        <f>P98*E98</f>
        <v>5.1760000000000002</v>
      </c>
      <c r="R98" s="39">
        <f t="shared" ref="R98" si="160">P98/N98</f>
        <v>0.25880000000000003</v>
      </c>
      <c r="S98" s="42"/>
      <c r="T98" s="110">
        <f t="shared" si="126"/>
        <v>2.5</v>
      </c>
      <c r="U98" s="107">
        <v>0.18</v>
      </c>
      <c r="V98" s="111">
        <f t="shared" si="127"/>
        <v>3.0487804878048776</v>
      </c>
      <c r="W98" s="112">
        <f t="shared" si="128"/>
        <v>0.54878048780487765</v>
      </c>
      <c r="X98" s="112">
        <f t="shared" si="129"/>
        <v>4.9390243902438985E-2</v>
      </c>
      <c r="Y98" s="113">
        <f t="shared" si="130"/>
        <v>0.59817073170731661</v>
      </c>
      <c r="Z98" s="112">
        <f t="shared" si="131"/>
        <v>2.450609756097561</v>
      </c>
      <c r="AA98" s="114">
        <f t="shared" si="132"/>
        <v>0.243861657128639</v>
      </c>
      <c r="AB98" s="115">
        <f t="shared" si="133"/>
        <v>-1.4938342871361032E-2</v>
      </c>
      <c r="AC98" s="116">
        <v>2.95</v>
      </c>
    </row>
    <row r="99" spans="1:29" ht="45" customHeight="1" x14ac:dyDescent="0.25">
      <c r="A99" s="30">
        <v>90</v>
      </c>
      <c r="B99" s="102" t="s">
        <v>175</v>
      </c>
      <c r="C99" s="31">
        <v>1</v>
      </c>
      <c r="D99" s="32" t="s">
        <v>84</v>
      </c>
      <c r="E99" s="31">
        <f t="shared" ref="E99" si="161">D99*C99</f>
        <v>8</v>
      </c>
      <c r="F99" s="96">
        <v>13.6</v>
      </c>
      <c r="G99" s="33">
        <f>F99/D99</f>
        <v>1.7</v>
      </c>
      <c r="H99" s="34">
        <f>G99*E99</f>
        <v>13.6</v>
      </c>
      <c r="I99" s="35"/>
      <c r="J99" s="36">
        <f t="shared" ref="J99" si="162">G99/$Q$2</f>
        <v>1.7</v>
      </c>
      <c r="K99" s="36">
        <f t="shared" ref="K99" si="163">H99/$Q$2</f>
        <v>13.6</v>
      </c>
      <c r="L99" s="36">
        <f t="shared" si="124"/>
        <v>1.853</v>
      </c>
      <c r="M99" s="36">
        <f>L99*E99</f>
        <v>14.824</v>
      </c>
      <c r="N99" s="37">
        <v>2.5</v>
      </c>
      <c r="O99" s="38">
        <f>N99*E99</f>
        <v>20</v>
      </c>
      <c r="P99" s="38">
        <f t="shared" ref="P99" si="164">N99-L99</f>
        <v>0.64700000000000002</v>
      </c>
      <c r="Q99" s="38">
        <f>P99*E99</f>
        <v>5.1760000000000002</v>
      </c>
      <c r="R99" s="39">
        <f t="shared" ref="R99" si="165">P99/N99</f>
        <v>0.25880000000000003</v>
      </c>
      <c r="S99" s="42"/>
      <c r="T99" s="110">
        <f t="shared" si="126"/>
        <v>2.5</v>
      </c>
      <c r="U99" s="107">
        <v>0.18</v>
      </c>
      <c r="V99" s="111">
        <f t="shared" si="127"/>
        <v>3.0487804878048776</v>
      </c>
      <c r="W99" s="112">
        <f t="shared" si="128"/>
        <v>0.54878048780487765</v>
      </c>
      <c r="X99" s="112">
        <f t="shared" si="129"/>
        <v>4.9390243902438985E-2</v>
      </c>
      <c r="Y99" s="113">
        <f t="shared" si="130"/>
        <v>0.59817073170731661</v>
      </c>
      <c r="Z99" s="112">
        <f t="shared" si="131"/>
        <v>2.450609756097561</v>
      </c>
      <c r="AA99" s="114">
        <f t="shared" si="132"/>
        <v>0.243861657128639</v>
      </c>
      <c r="AB99" s="115">
        <f t="shared" si="133"/>
        <v>-1.4938342871361032E-2</v>
      </c>
      <c r="AC99" s="116">
        <v>2.95</v>
      </c>
    </row>
    <row r="100" spans="1:29" ht="45" customHeight="1" x14ac:dyDescent="0.25">
      <c r="A100" s="30">
        <v>91</v>
      </c>
      <c r="B100" s="102" t="s">
        <v>134</v>
      </c>
      <c r="C100" s="31">
        <v>1</v>
      </c>
      <c r="D100" s="32" t="s">
        <v>84</v>
      </c>
      <c r="E100" s="31">
        <f t="shared" si="0"/>
        <v>8</v>
      </c>
      <c r="F100" s="96">
        <v>13.6</v>
      </c>
      <c r="G100" s="33">
        <f>F100/D100</f>
        <v>1.7</v>
      </c>
      <c r="H100" s="34">
        <f>G100*E100</f>
        <v>13.6</v>
      </c>
      <c r="I100" s="35"/>
      <c r="J100" s="36">
        <f t="shared" si="125"/>
        <v>1.7</v>
      </c>
      <c r="K100" s="36">
        <f t="shared" si="125"/>
        <v>13.6</v>
      </c>
      <c r="L100" s="36">
        <f t="shared" si="124"/>
        <v>1.853</v>
      </c>
      <c r="M100" s="36">
        <f>L100*E100</f>
        <v>14.824</v>
      </c>
      <c r="N100" s="37">
        <v>2.5</v>
      </c>
      <c r="O100" s="38">
        <f>N100*E100</f>
        <v>20</v>
      </c>
      <c r="P100" s="38">
        <f t="shared" si="3"/>
        <v>0.64700000000000002</v>
      </c>
      <c r="Q100" s="38">
        <f>P100*E100</f>
        <v>5.1760000000000002</v>
      </c>
      <c r="R100" s="39">
        <f t="shared" si="4"/>
        <v>0.25880000000000003</v>
      </c>
      <c r="S100" s="42"/>
      <c r="T100" s="110">
        <f t="shared" si="126"/>
        <v>2.5</v>
      </c>
      <c r="U100" s="107">
        <v>0.18</v>
      </c>
      <c r="V100" s="111">
        <f t="shared" si="127"/>
        <v>3.0487804878048776</v>
      </c>
      <c r="W100" s="112">
        <f t="shared" si="128"/>
        <v>0.54878048780487765</v>
      </c>
      <c r="X100" s="112">
        <f t="shared" si="129"/>
        <v>4.9390243902438985E-2</v>
      </c>
      <c r="Y100" s="113">
        <f t="shared" si="130"/>
        <v>0.59817073170731661</v>
      </c>
      <c r="Z100" s="112">
        <f t="shared" si="131"/>
        <v>2.450609756097561</v>
      </c>
      <c r="AA100" s="114">
        <f t="shared" si="132"/>
        <v>0.243861657128639</v>
      </c>
      <c r="AB100" s="115">
        <f t="shared" si="133"/>
        <v>-1.4938342871361032E-2</v>
      </c>
      <c r="AC100" s="116">
        <v>2.95</v>
      </c>
    </row>
    <row r="101" spans="1:29" ht="45" customHeight="1" x14ac:dyDescent="0.25">
      <c r="A101" s="30">
        <v>92</v>
      </c>
      <c r="B101" s="101" t="s">
        <v>130</v>
      </c>
      <c r="C101" s="31">
        <v>1</v>
      </c>
      <c r="D101" s="32" t="s">
        <v>73</v>
      </c>
      <c r="E101" s="31">
        <f t="shared" si="0"/>
        <v>12</v>
      </c>
      <c r="F101" s="96">
        <v>8.9</v>
      </c>
      <c r="G101" s="33">
        <f>F101/D101</f>
        <v>0.7416666666666667</v>
      </c>
      <c r="H101" s="34">
        <f>G101*E101</f>
        <v>8.9</v>
      </c>
      <c r="I101" s="35"/>
      <c r="J101" s="36">
        <f t="shared" si="125"/>
        <v>0.7416666666666667</v>
      </c>
      <c r="K101" s="36">
        <f t="shared" si="125"/>
        <v>8.9</v>
      </c>
      <c r="L101" s="36">
        <f t="shared" si="124"/>
        <v>0.80841666666666678</v>
      </c>
      <c r="M101" s="36">
        <f>L101*E101</f>
        <v>9.7010000000000005</v>
      </c>
      <c r="N101" s="37">
        <v>1.25</v>
      </c>
      <c r="O101" s="38">
        <f>N101*E101</f>
        <v>15</v>
      </c>
      <c r="P101" s="38">
        <f t="shared" si="3"/>
        <v>0.44158333333333322</v>
      </c>
      <c r="Q101" s="38">
        <f>P101*E101</f>
        <v>5.2989999999999986</v>
      </c>
      <c r="R101" s="39">
        <f t="shared" si="4"/>
        <v>0.35326666666666656</v>
      </c>
      <c r="S101" s="42"/>
      <c r="T101" s="110">
        <f t="shared" si="126"/>
        <v>1.25</v>
      </c>
      <c r="U101" s="107">
        <v>0.18</v>
      </c>
      <c r="V101" s="111">
        <f t="shared" si="127"/>
        <v>1.5243902439024388</v>
      </c>
      <c r="W101" s="112">
        <f t="shared" si="128"/>
        <v>0.27439024390243882</v>
      </c>
      <c r="X101" s="112">
        <f t="shared" si="129"/>
        <v>2.4695121951219492E-2</v>
      </c>
      <c r="Y101" s="113">
        <f t="shared" si="130"/>
        <v>0.2990853658536583</v>
      </c>
      <c r="Z101" s="112">
        <f t="shared" si="131"/>
        <v>1.2253048780487805</v>
      </c>
      <c r="AA101" s="114">
        <f t="shared" si="132"/>
        <v>0.34023223023969473</v>
      </c>
      <c r="AB101" s="115">
        <f t="shared" si="133"/>
        <v>-1.3034436426971829E-2</v>
      </c>
      <c r="AC101" s="116" t="s">
        <v>224</v>
      </c>
    </row>
    <row r="102" spans="1:29" ht="45" customHeight="1" x14ac:dyDescent="0.25">
      <c r="A102" s="30">
        <v>93</v>
      </c>
      <c r="B102" s="104" t="s">
        <v>89</v>
      </c>
      <c r="C102" s="31">
        <v>1</v>
      </c>
      <c r="D102" s="32" t="s">
        <v>25</v>
      </c>
      <c r="E102" s="31">
        <f t="shared" si="0"/>
        <v>6</v>
      </c>
      <c r="F102" s="96">
        <v>20.5</v>
      </c>
      <c r="G102" s="33">
        <f>F102/D102</f>
        <v>3.4166666666666665</v>
      </c>
      <c r="H102" s="34">
        <f>G102*E102</f>
        <v>20.5</v>
      </c>
      <c r="I102" s="35"/>
      <c r="J102" s="36">
        <f t="shared" si="125"/>
        <v>3.4166666666666665</v>
      </c>
      <c r="K102" s="36">
        <f t="shared" si="125"/>
        <v>20.5</v>
      </c>
      <c r="L102" s="36">
        <f t="shared" si="124"/>
        <v>3.7241666666666666</v>
      </c>
      <c r="M102" s="36">
        <f>L102*E102</f>
        <v>22.344999999999999</v>
      </c>
      <c r="N102" s="37">
        <v>4.95</v>
      </c>
      <c r="O102" s="38">
        <f>N102*E102</f>
        <v>29.700000000000003</v>
      </c>
      <c r="P102" s="38">
        <f t="shared" si="3"/>
        <v>1.2258333333333336</v>
      </c>
      <c r="Q102" s="38">
        <f>P102*E102</f>
        <v>7.3550000000000013</v>
      </c>
      <c r="R102" s="39">
        <f t="shared" si="4"/>
        <v>0.24764309764309766</v>
      </c>
      <c r="S102" s="43"/>
      <c r="T102" s="110">
        <f t="shared" si="126"/>
        <v>4.95</v>
      </c>
      <c r="U102" s="107">
        <v>0.18</v>
      </c>
      <c r="V102" s="111">
        <f t="shared" si="127"/>
        <v>6.0365853658536581</v>
      </c>
      <c r="W102" s="112">
        <f t="shared" si="128"/>
        <v>1.0865853658536579</v>
      </c>
      <c r="X102" s="112">
        <f t="shared" si="129"/>
        <v>9.7792682926829216E-2</v>
      </c>
      <c r="Y102" s="113">
        <f t="shared" si="130"/>
        <v>1.1843780487804871</v>
      </c>
      <c r="Z102" s="112">
        <f t="shared" si="131"/>
        <v>4.8522073170731712</v>
      </c>
      <c r="AA102" s="114">
        <f t="shared" si="132"/>
        <v>0.23247989558016938</v>
      </c>
      <c r="AB102" s="115">
        <f t="shared" si="133"/>
        <v>-1.5163202062928288E-2</v>
      </c>
      <c r="AC102" s="116" t="s">
        <v>224</v>
      </c>
    </row>
    <row r="103" spans="1:29" ht="45" customHeight="1" x14ac:dyDescent="0.25">
      <c r="A103" s="30">
        <v>94</v>
      </c>
      <c r="B103" s="100" t="s">
        <v>198</v>
      </c>
      <c r="C103" s="31">
        <v>1</v>
      </c>
      <c r="D103" s="32" t="s">
        <v>24</v>
      </c>
      <c r="E103" s="31">
        <f t="shared" ref="E103:E104" si="166">D103*C103</f>
        <v>24</v>
      </c>
      <c r="F103" s="96">
        <v>10</v>
      </c>
      <c r="G103" s="33">
        <f>F103/D103</f>
        <v>0.41666666666666669</v>
      </c>
      <c r="H103" s="34">
        <f>G103*E103</f>
        <v>10</v>
      </c>
      <c r="I103" s="35"/>
      <c r="J103" s="36">
        <f t="shared" ref="J103:J104" si="167">G103/$Q$2</f>
        <v>0.41666666666666669</v>
      </c>
      <c r="K103" s="36">
        <f t="shared" ref="K103:K104" si="168">H103/$Q$2</f>
        <v>10</v>
      </c>
      <c r="L103" s="36">
        <f t="shared" ref="L103:L136" si="169">J103*(1+$M$177+9%)</f>
        <v>0.45416666666666672</v>
      </c>
      <c r="M103" s="36">
        <f>L103*E103</f>
        <v>10.900000000000002</v>
      </c>
      <c r="N103" s="37"/>
      <c r="O103" s="38">
        <f>N103*E103</f>
        <v>0</v>
      </c>
      <c r="P103" s="38">
        <f t="shared" ref="P103:P104" si="170">N103-L103</f>
        <v>-0.45416666666666672</v>
      </c>
      <c r="Q103" s="38">
        <f>P103*E103</f>
        <v>-10.900000000000002</v>
      </c>
      <c r="R103" s="39" t="e">
        <f t="shared" ref="R103:R104" si="171">P103/N103</f>
        <v>#DIV/0!</v>
      </c>
      <c r="S103" s="41"/>
      <c r="T103" s="110">
        <f t="shared" si="126"/>
        <v>0</v>
      </c>
      <c r="U103" s="107">
        <v>0.18</v>
      </c>
      <c r="V103" s="111">
        <f t="shared" si="127"/>
        <v>0</v>
      </c>
      <c r="W103" s="112">
        <f t="shared" si="128"/>
        <v>0</v>
      </c>
      <c r="X103" s="112">
        <f t="shared" si="129"/>
        <v>0</v>
      </c>
      <c r="Y103" s="113">
        <f t="shared" si="130"/>
        <v>0</v>
      </c>
      <c r="Z103" s="112">
        <f t="shared" si="131"/>
        <v>0</v>
      </c>
      <c r="AA103" s="114" t="e">
        <f t="shared" si="132"/>
        <v>#DIV/0!</v>
      </c>
      <c r="AB103" s="115" t="e">
        <f t="shared" si="133"/>
        <v>#DIV/0!</v>
      </c>
      <c r="AC103" s="116" t="s">
        <v>224</v>
      </c>
    </row>
    <row r="104" spans="1:29" ht="45" customHeight="1" x14ac:dyDescent="0.25">
      <c r="A104" s="30">
        <v>95</v>
      </c>
      <c r="B104" s="100" t="s">
        <v>211</v>
      </c>
      <c r="C104" s="31">
        <v>1</v>
      </c>
      <c r="D104" s="32" t="s">
        <v>73</v>
      </c>
      <c r="E104" s="31">
        <f t="shared" si="166"/>
        <v>12</v>
      </c>
      <c r="F104" s="96">
        <v>19</v>
      </c>
      <c r="G104" s="33">
        <f>F104/D104</f>
        <v>1.5833333333333333</v>
      </c>
      <c r="H104" s="34">
        <f>G104*E104</f>
        <v>19</v>
      </c>
      <c r="I104" s="35"/>
      <c r="J104" s="36">
        <f t="shared" si="167"/>
        <v>1.5833333333333333</v>
      </c>
      <c r="K104" s="36">
        <f t="shared" si="168"/>
        <v>19</v>
      </c>
      <c r="L104" s="36">
        <f t="shared" si="169"/>
        <v>1.7258333333333333</v>
      </c>
      <c r="M104" s="36">
        <f>L104*E104</f>
        <v>20.71</v>
      </c>
      <c r="N104" s="37"/>
      <c r="O104" s="38">
        <f>N104*E104</f>
        <v>0</v>
      </c>
      <c r="P104" s="38">
        <f t="shared" si="170"/>
        <v>-1.7258333333333333</v>
      </c>
      <c r="Q104" s="38">
        <f>P104*E104</f>
        <v>-20.71</v>
      </c>
      <c r="R104" s="39" t="e">
        <f t="shared" si="171"/>
        <v>#DIV/0!</v>
      </c>
      <c r="S104" s="41"/>
      <c r="T104" s="110">
        <f t="shared" si="126"/>
        <v>0</v>
      </c>
      <c r="U104" s="107">
        <v>0.18</v>
      </c>
      <c r="V104" s="111">
        <f t="shared" si="127"/>
        <v>0</v>
      </c>
      <c r="W104" s="112">
        <f t="shared" si="128"/>
        <v>0</v>
      </c>
      <c r="X104" s="112">
        <f t="shared" si="129"/>
        <v>0</v>
      </c>
      <c r="Y104" s="113">
        <f t="shared" si="130"/>
        <v>0</v>
      </c>
      <c r="Z104" s="112">
        <f t="shared" si="131"/>
        <v>0</v>
      </c>
      <c r="AA104" s="114" t="e">
        <f t="shared" si="132"/>
        <v>#DIV/0!</v>
      </c>
      <c r="AB104" s="115" t="e">
        <f t="shared" si="133"/>
        <v>#DIV/0!</v>
      </c>
      <c r="AC104" s="116" t="s">
        <v>224</v>
      </c>
    </row>
    <row r="105" spans="1:29" ht="45" customHeight="1" x14ac:dyDescent="0.25">
      <c r="A105" s="30">
        <v>96</v>
      </c>
      <c r="B105" s="100" t="s">
        <v>207</v>
      </c>
      <c r="C105" s="31">
        <v>1</v>
      </c>
      <c r="D105" s="32" t="s">
        <v>24</v>
      </c>
      <c r="E105" s="31">
        <f t="shared" ref="E105" si="172">D105*C105</f>
        <v>24</v>
      </c>
      <c r="F105" s="96">
        <v>17.2</v>
      </c>
      <c r="G105" s="33">
        <f>F105/D105</f>
        <v>0.71666666666666667</v>
      </c>
      <c r="H105" s="34">
        <f>G105*E105</f>
        <v>17.2</v>
      </c>
      <c r="I105" s="35"/>
      <c r="J105" s="36">
        <f t="shared" ref="J105" si="173">G105/$Q$2</f>
        <v>0.71666666666666667</v>
      </c>
      <c r="K105" s="36">
        <f t="shared" ref="K105" si="174">H105/$Q$2</f>
        <v>17.2</v>
      </c>
      <c r="L105" s="36">
        <f t="shared" si="169"/>
        <v>0.78116666666666679</v>
      </c>
      <c r="M105" s="36">
        <f>L105*E105</f>
        <v>18.748000000000005</v>
      </c>
      <c r="N105" s="37"/>
      <c r="O105" s="38">
        <f>N105*E105</f>
        <v>0</v>
      </c>
      <c r="P105" s="38">
        <f t="shared" ref="P105" si="175">N105-L105</f>
        <v>-0.78116666666666679</v>
      </c>
      <c r="Q105" s="38">
        <f>P105*E105</f>
        <v>-18.748000000000005</v>
      </c>
      <c r="R105" s="39" t="e">
        <f t="shared" ref="R105" si="176">P105/N105</f>
        <v>#DIV/0!</v>
      </c>
      <c r="S105" s="41"/>
      <c r="T105" s="110">
        <f t="shared" si="126"/>
        <v>0</v>
      </c>
      <c r="U105" s="107">
        <v>0.18</v>
      </c>
      <c r="V105" s="111">
        <f t="shared" si="127"/>
        <v>0</v>
      </c>
      <c r="W105" s="112">
        <f t="shared" si="128"/>
        <v>0</v>
      </c>
      <c r="X105" s="112">
        <f t="shared" si="129"/>
        <v>0</v>
      </c>
      <c r="Y105" s="113">
        <f t="shared" si="130"/>
        <v>0</v>
      </c>
      <c r="Z105" s="112">
        <f t="shared" si="131"/>
        <v>0</v>
      </c>
      <c r="AA105" s="114" t="e">
        <f t="shared" si="132"/>
        <v>#DIV/0!</v>
      </c>
      <c r="AB105" s="115" t="e">
        <f t="shared" si="133"/>
        <v>#DIV/0!</v>
      </c>
      <c r="AC105" s="116">
        <v>1.05</v>
      </c>
    </row>
    <row r="106" spans="1:29" ht="45" customHeight="1" x14ac:dyDescent="0.25">
      <c r="A106" s="30">
        <v>97</v>
      </c>
      <c r="B106" s="100" t="s">
        <v>92</v>
      </c>
      <c r="C106" s="31">
        <v>1</v>
      </c>
      <c r="D106" s="32" t="s">
        <v>83</v>
      </c>
      <c r="E106" s="31">
        <f t="shared" si="0"/>
        <v>4</v>
      </c>
      <c r="F106" s="96">
        <v>8.9</v>
      </c>
      <c r="G106" s="33">
        <f>F106/D106</f>
        <v>2.2250000000000001</v>
      </c>
      <c r="H106" s="34">
        <f>G106*E106</f>
        <v>8.9</v>
      </c>
      <c r="I106" s="35"/>
      <c r="J106" s="36">
        <f t="shared" si="125"/>
        <v>2.2250000000000001</v>
      </c>
      <c r="K106" s="36">
        <f t="shared" si="125"/>
        <v>8.9</v>
      </c>
      <c r="L106" s="36">
        <f t="shared" si="169"/>
        <v>2.4252500000000001</v>
      </c>
      <c r="M106" s="36">
        <f>L106*E106</f>
        <v>9.7010000000000005</v>
      </c>
      <c r="N106" s="37">
        <v>3.25</v>
      </c>
      <c r="O106" s="38">
        <f>N106*E106</f>
        <v>13</v>
      </c>
      <c r="P106" s="38">
        <f t="shared" si="3"/>
        <v>0.82474999999999987</v>
      </c>
      <c r="Q106" s="38">
        <f>P106*E106</f>
        <v>3.2989999999999995</v>
      </c>
      <c r="R106" s="39">
        <f t="shared" si="4"/>
        <v>0.25376923076923075</v>
      </c>
      <c r="S106" s="41"/>
      <c r="T106" s="110">
        <f t="shared" si="126"/>
        <v>3.25</v>
      </c>
      <c r="U106" s="107">
        <v>0.18</v>
      </c>
      <c r="V106" s="111">
        <f t="shared" si="127"/>
        <v>3.963414634146341</v>
      </c>
      <c r="W106" s="112">
        <f t="shared" si="128"/>
        <v>0.71341463414634099</v>
      </c>
      <c r="X106" s="112">
        <f t="shared" si="129"/>
        <v>6.4207317073170692E-2</v>
      </c>
      <c r="Y106" s="113">
        <f t="shared" si="130"/>
        <v>0.77762195121951172</v>
      </c>
      <c r="Z106" s="112">
        <f t="shared" si="131"/>
        <v>3.185792682926829</v>
      </c>
      <c r="AA106" s="114">
        <f t="shared" si="132"/>
        <v>0.23872949643041697</v>
      </c>
      <c r="AB106" s="115">
        <f t="shared" si="133"/>
        <v>-1.5039734338813782E-2</v>
      </c>
      <c r="AC106" s="116" t="s">
        <v>224</v>
      </c>
    </row>
    <row r="107" spans="1:29" ht="45" customHeight="1" x14ac:dyDescent="0.25">
      <c r="A107" s="30">
        <v>98</v>
      </c>
      <c r="B107" s="100" t="s">
        <v>93</v>
      </c>
      <c r="C107" s="31">
        <v>1</v>
      </c>
      <c r="D107" s="32" t="s">
        <v>73</v>
      </c>
      <c r="E107" s="31">
        <f t="shared" si="0"/>
        <v>12</v>
      </c>
      <c r="F107" s="96">
        <v>12.3</v>
      </c>
      <c r="G107" s="33">
        <f>F107/D107</f>
        <v>1.0250000000000001</v>
      </c>
      <c r="H107" s="34">
        <f>G107*E107</f>
        <v>12.3</v>
      </c>
      <c r="I107" s="35"/>
      <c r="J107" s="36">
        <f t="shared" si="125"/>
        <v>1.0250000000000001</v>
      </c>
      <c r="K107" s="36">
        <f t="shared" si="125"/>
        <v>12.3</v>
      </c>
      <c r="L107" s="36">
        <f t="shared" si="169"/>
        <v>1.1172500000000003</v>
      </c>
      <c r="M107" s="36">
        <f>L107*E107</f>
        <v>13.407000000000004</v>
      </c>
      <c r="N107" s="37">
        <v>1.75</v>
      </c>
      <c r="O107" s="38">
        <f>N107*E107</f>
        <v>21</v>
      </c>
      <c r="P107" s="38">
        <f t="shared" si="3"/>
        <v>0.6327499999999997</v>
      </c>
      <c r="Q107" s="38">
        <f>P107*E107</f>
        <v>7.5929999999999964</v>
      </c>
      <c r="R107" s="39">
        <f t="shared" si="4"/>
        <v>0.36157142857142838</v>
      </c>
      <c r="S107" s="42"/>
      <c r="T107" s="110">
        <f t="shared" si="126"/>
        <v>1.75</v>
      </c>
      <c r="U107" s="107">
        <v>0.18</v>
      </c>
      <c r="V107" s="111">
        <f t="shared" si="127"/>
        <v>2.1341463414634143</v>
      </c>
      <c r="W107" s="112">
        <f t="shared" si="128"/>
        <v>0.38414634146341431</v>
      </c>
      <c r="X107" s="112">
        <f t="shared" si="129"/>
        <v>3.4573170731707285E-2</v>
      </c>
      <c r="Y107" s="113">
        <f t="shared" si="130"/>
        <v>0.4187195121951216</v>
      </c>
      <c r="Z107" s="112">
        <f t="shared" si="131"/>
        <v>1.7154268292682926</v>
      </c>
      <c r="AA107" s="114">
        <f t="shared" si="132"/>
        <v>0.348704368535172</v>
      </c>
      <c r="AB107" s="115">
        <f t="shared" si="133"/>
        <v>-1.2867060036256373E-2</v>
      </c>
      <c r="AC107" s="116">
        <v>1.55</v>
      </c>
    </row>
    <row r="108" spans="1:29" ht="45" customHeight="1" x14ac:dyDescent="0.25">
      <c r="A108" s="30">
        <v>99</v>
      </c>
      <c r="B108" s="101" t="s">
        <v>94</v>
      </c>
      <c r="C108" s="31">
        <v>1</v>
      </c>
      <c r="D108" s="32" t="s">
        <v>24</v>
      </c>
      <c r="E108" s="31">
        <f t="shared" si="0"/>
        <v>24</v>
      </c>
      <c r="F108" s="96">
        <v>13</v>
      </c>
      <c r="G108" s="33">
        <f>F108/D108</f>
        <v>0.54166666666666663</v>
      </c>
      <c r="H108" s="34">
        <f>G108*E108</f>
        <v>13</v>
      </c>
      <c r="I108" s="35"/>
      <c r="J108" s="36">
        <f t="shared" si="125"/>
        <v>0.54166666666666663</v>
      </c>
      <c r="K108" s="36">
        <f t="shared" si="125"/>
        <v>13</v>
      </c>
      <c r="L108" s="36">
        <f t="shared" si="169"/>
        <v>0.5904166666666667</v>
      </c>
      <c r="M108" s="36">
        <f>L108*E108</f>
        <v>14.170000000000002</v>
      </c>
      <c r="N108" s="37">
        <v>0.8</v>
      </c>
      <c r="O108" s="38">
        <f>N108*E108</f>
        <v>19.200000000000003</v>
      </c>
      <c r="P108" s="38">
        <f t="shared" si="3"/>
        <v>0.20958333333333334</v>
      </c>
      <c r="Q108" s="38">
        <f>P108*E108</f>
        <v>5.03</v>
      </c>
      <c r="R108" s="39">
        <f t="shared" si="4"/>
        <v>0.26197916666666665</v>
      </c>
      <c r="S108" s="42"/>
      <c r="T108" s="110">
        <f t="shared" si="126"/>
        <v>0.8</v>
      </c>
      <c r="U108" s="107">
        <v>0.18</v>
      </c>
      <c r="V108" s="111">
        <f t="shared" si="127"/>
        <v>0.97560975609756095</v>
      </c>
      <c r="W108" s="112">
        <f t="shared" si="128"/>
        <v>0.17560975609756091</v>
      </c>
      <c r="X108" s="112">
        <f t="shared" si="129"/>
        <v>1.5804878048780481E-2</v>
      </c>
      <c r="Y108" s="113">
        <f t="shared" si="130"/>
        <v>0.19141463414634138</v>
      </c>
      <c r="Z108" s="112">
        <f t="shared" si="131"/>
        <v>0.78419512195121954</v>
      </c>
      <c r="AA108" s="114">
        <f t="shared" si="132"/>
        <v>0.24710489756987641</v>
      </c>
      <c r="AB108" s="115">
        <f t="shared" si="133"/>
        <v>-1.4874269096790238E-2</v>
      </c>
      <c r="AC108" s="116">
        <v>0.7</v>
      </c>
    </row>
    <row r="109" spans="1:29" ht="45" customHeight="1" x14ac:dyDescent="0.25">
      <c r="A109" s="30">
        <v>100</v>
      </c>
      <c r="B109" s="103" t="s">
        <v>95</v>
      </c>
      <c r="C109" s="31">
        <v>1</v>
      </c>
      <c r="D109" s="32" t="s">
        <v>24</v>
      </c>
      <c r="E109" s="31">
        <f t="shared" si="0"/>
        <v>24</v>
      </c>
      <c r="F109" s="96">
        <v>13</v>
      </c>
      <c r="G109" s="33">
        <f>F109/D109</f>
        <v>0.54166666666666663</v>
      </c>
      <c r="H109" s="34">
        <f>G109*E109</f>
        <v>13</v>
      </c>
      <c r="I109" s="35"/>
      <c r="J109" s="36">
        <f t="shared" si="125"/>
        <v>0.54166666666666663</v>
      </c>
      <c r="K109" s="36">
        <f t="shared" si="125"/>
        <v>13</v>
      </c>
      <c r="L109" s="36">
        <f t="shared" si="169"/>
        <v>0.5904166666666667</v>
      </c>
      <c r="M109" s="36">
        <f>L109*E109</f>
        <v>14.170000000000002</v>
      </c>
      <c r="N109" s="37">
        <v>0.8</v>
      </c>
      <c r="O109" s="38">
        <f>N109*E109</f>
        <v>19.200000000000003</v>
      </c>
      <c r="P109" s="38">
        <f t="shared" si="3"/>
        <v>0.20958333333333334</v>
      </c>
      <c r="Q109" s="38">
        <f>P109*E109</f>
        <v>5.03</v>
      </c>
      <c r="R109" s="39">
        <f t="shared" si="4"/>
        <v>0.26197916666666665</v>
      </c>
      <c r="S109" s="43"/>
      <c r="T109" s="110">
        <f t="shared" si="126"/>
        <v>0.8</v>
      </c>
      <c r="U109" s="107">
        <v>0.18</v>
      </c>
      <c r="V109" s="111">
        <f t="shared" si="127"/>
        <v>0.97560975609756095</v>
      </c>
      <c r="W109" s="112">
        <f t="shared" si="128"/>
        <v>0.17560975609756091</v>
      </c>
      <c r="X109" s="112">
        <f t="shared" si="129"/>
        <v>1.5804878048780481E-2</v>
      </c>
      <c r="Y109" s="113">
        <f t="shared" si="130"/>
        <v>0.19141463414634138</v>
      </c>
      <c r="Z109" s="112">
        <f t="shared" si="131"/>
        <v>0.78419512195121954</v>
      </c>
      <c r="AA109" s="114">
        <f t="shared" si="132"/>
        <v>0.24710489756987641</v>
      </c>
      <c r="AB109" s="115">
        <f t="shared" si="133"/>
        <v>-1.4874269096790238E-2</v>
      </c>
      <c r="AC109" s="116">
        <v>0.7</v>
      </c>
    </row>
    <row r="110" spans="1:29" ht="45" customHeight="1" x14ac:dyDescent="0.25">
      <c r="A110" s="30">
        <v>101</v>
      </c>
      <c r="B110" s="106" t="s">
        <v>96</v>
      </c>
      <c r="C110" s="31">
        <v>1</v>
      </c>
      <c r="D110" s="32" t="s">
        <v>24</v>
      </c>
      <c r="E110" s="31">
        <f t="shared" si="0"/>
        <v>24</v>
      </c>
      <c r="F110" s="96">
        <v>13</v>
      </c>
      <c r="G110" s="33">
        <f>F110/D110</f>
        <v>0.54166666666666663</v>
      </c>
      <c r="H110" s="34">
        <f>G110*E110</f>
        <v>13</v>
      </c>
      <c r="I110" s="35"/>
      <c r="J110" s="36">
        <f t="shared" si="125"/>
        <v>0.54166666666666663</v>
      </c>
      <c r="K110" s="36">
        <f t="shared" si="125"/>
        <v>13</v>
      </c>
      <c r="L110" s="36">
        <f t="shared" si="169"/>
        <v>0.5904166666666667</v>
      </c>
      <c r="M110" s="36">
        <f>L110*E110</f>
        <v>14.170000000000002</v>
      </c>
      <c r="N110" s="37">
        <v>0.8</v>
      </c>
      <c r="O110" s="38">
        <f>N110*E110</f>
        <v>19.200000000000003</v>
      </c>
      <c r="P110" s="38">
        <f t="shared" si="3"/>
        <v>0.20958333333333334</v>
      </c>
      <c r="Q110" s="38">
        <f>P110*E110</f>
        <v>5.03</v>
      </c>
      <c r="R110" s="39">
        <f t="shared" si="4"/>
        <v>0.26197916666666665</v>
      </c>
      <c r="S110" s="40"/>
      <c r="T110" s="110">
        <f t="shared" si="126"/>
        <v>0.8</v>
      </c>
      <c r="U110" s="107">
        <v>0.18</v>
      </c>
      <c r="V110" s="111">
        <f t="shared" si="127"/>
        <v>0.97560975609756095</v>
      </c>
      <c r="W110" s="112">
        <f t="shared" si="128"/>
        <v>0.17560975609756091</v>
      </c>
      <c r="X110" s="112">
        <f t="shared" si="129"/>
        <v>1.5804878048780481E-2</v>
      </c>
      <c r="Y110" s="113">
        <f t="shared" si="130"/>
        <v>0.19141463414634138</v>
      </c>
      <c r="Z110" s="112">
        <f t="shared" si="131"/>
        <v>0.78419512195121954</v>
      </c>
      <c r="AA110" s="114">
        <f t="shared" si="132"/>
        <v>0.24710489756987641</v>
      </c>
      <c r="AB110" s="115">
        <f t="shared" si="133"/>
        <v>-1.4874269096790238E-2</v>
      </c>
      <c r="AC110" s="116">
        <v>0.7</v>
      </c>
    </row>
    <row r="111" spans="1:29" ht="45" customHeight="1" x14ac:dyDescent="0.25">
      <c r="A111" s="30">
        <v>102</v>
      </c>
      <c r="B111" s="106" t="s">
        <v>200</v>
      </c>
      <c r="C111" s="31">
        <v>1</v>
      </c>
      <c r="D111" s="32" t="s">
        <v>25</v>
      </c>
      <c r="E111" s="31">
        <f t="shared" ref="E111" si="177">D111*C111</f>
        <v>6</v>
      </c>
      <c r="F111" s="96">
        <v>26.5</v>
      </c>
      <c r="G111" s="33">
        <f>F111/D111</f>
        <v>4.416666666666667</v>
      </c>
      <c r="H111" s="34">
        <f>G111*E111</f>
        <v>26.5</v>
      </c>
      <c r="I111" s="35"/>
      <c r="J111" s="36">
        <f t="shared" si="125"/>
        <v>4.416666666666667</v>
      </c>
      <c r="K111" s="36">
        <f t="shared" si="125"/>
        <v>26.5</v>
      </c>
      <c r="L111" s="36">
        <f t="shared" si="169"/>
        <v>4.8141666666666669</v>
      </c>
      <c r="M111" s="36">
        <f>L111*E111</f>
        <v>28.885000000000002</v>
      </c>
      <c r="N111" s="37"/>
      <c r="O111" s="38">
        <f>N111*E111</f>
        <v>0</v>
      </c>
      <c r="P111" s="38">
        <f t="shared" ref="P111" si="178">N111-L111</f>
        <v>-4.8141666666666669</v>
      </c>
      <c r="Q111" s="38">
        <f>P111*E111</f>
        <v>-28.885000000000002</v>
      </c>
      <c r="R111" s="39" t="e">
        <f t="shared" ref="R111" si="179">P111/N111</f>
        <v>#DIV/0!</v>
      </c>
      <c r="S111" s="42"/>
      <c r="T111" s="110">
        <f t="shared" si="126"/>
        <v>0</v>
      </c>
      <c r="U111" s="107">
        <v>0.18</v>
      </c>
      <c r="V111" s="111">
        <f t="shared" si="127"/>
        <v>0</v>
      </c>
      <c r="W111" s="112">
        <f t="shared" si="128"/>
        <v>0</v>
      </c>
      <c r="X111" s="112">
        <f t="shared" si="129"/>
        <v>0</v>
      </c>
      <c r="Y111" s="113">
        <f t="shared" si="130"/>
        <v>0</v>
      </c>
      <c r="Z111" s="112">
        <f t="shared" si="131"/>
        <v>0</v>
      </c>
      <c r="AA111" s="114" t="e">
        <f t="shared" si="132"/>
        <v>#DIV/0!</v>
      </c>
      <c r="AB111" s="115" t="e">
        <f t="shared" si="133"/>
        <v>#DIV/0!</v>
      </c>
      <c r="AC111" s="116" t="s">
        <v>224</v>
      </c>
    </row>
    <row r="112" spans="1:29" ht="45" customHeight="1" x14ac:dyDescent="0.25">
      <c r="A112" s="30">
        <v>103</v>
      </c>
      <c r="B112" s="106" t="s">
        <v>199</v>
      </c>
      <c r="C112" s="31">
        <v>1</v>
      </c>
      <c r="D112" s="32" t="s">
        <v>73</v>
      </c>
      <c r="E112" s="31">
        <f t="shared" ref="E112" si="180">D112*C112</f>
        <v>12</v>
      </c>
      <c r="F112" s="96">
        <v>18.850000000000001</v>
      </c>
      <c r="G112" s="33">
        <f>F112/D112</f>
        <v>1.5708333333333335</v>
      </c>
      <c r="H112" s="34">
        <f>G112*E112</f>
        <v>18.850000000000001</v>
      </c>
      <c r="I112" s="35"/>
      <c r="J112" s="36">
        <f>G112/$Q$2</f>
        <v>1.5708333333333335</v>
      </c>
      <c r="K112" s="36">
        <f>H112/$Q$2</f>
        <v>18.850000000000001</v>
      </c>
      <c r="L112" s="36">
        <f t="shared" si="169"/>
        <v>1.7122083333333338</v>
      </c>
      <c r="M112" s="36">
        <f>L112*E112</f>
        <v>20.546500000000005</v>
      </c>
      <c r="N112" s="37">
        <v>2.5</v>
      </c>
      <c r="O112" s="38">
        <f>N112*E112</f>
        <v>30</v>
      </c>
      <c r="P112" s="38">
        <f t="shared" ref="P112" si="181">N112-L112</f>
        <v>0.78779166666666622</v>
      </c>
      <c r="Q112" s="38">
        <f>P112*E112</f>
        <v>9.4534999999999947</v>
      </c>
      <c r="R112" s="39">
        <f t="shared" ref="R112" si="182">P112/N112</f>
        <v>0.31511666666666649</v>
      </c>
      <c r="S112" s="42"/>
      <c r="T112" s="110">
        <f t="shared" si="126"/>
        <v>2.5</v>
      </c>
      <c r="U112" s="107">
        <v>0.18</v>
      </c>
      <c r="V112" s="111">
        <f t="shared" si="127"/>
        <v>3.0487804878048776</v>
      </c>
      <c r="W112" s="112">
        <f t="shared" si="128"/>
        <v>0.54878048780487765</v>
      </c>
      <c r="X112" s="112">
        <f t="shared" si="129"/>
        <v>4.9390243902438985E-2</v>
      </c>
      <c r="Y112" s="113">
        <f t="shared" si="130"/>
        <v>0.59817073170731661</v>
      </c>
      <c r="Z112" s="112">
        <f t="shared" si="131"/>
        <v>2.450609756097561</v>
      </c>
      <c r="AA112" s="114">
        <f t="shared" si="132"/>
        <v>0.30131334494484513</v>
      </c>
      <c r="AB112" s="115">
        <f t="shared" si="133"/>
        <v>-1.380332172182136E-2</v>
      </c>
      <c r="AC112" s="116" t="s">
        <v>224</v>
      </c>
    </row>
    <row r="113" spans="1:29" ht="45" customHeight="1" x14ac:dyDescent="0.25">
      <c r="A113" s="30">
        <v>105</v>
      </c>
      <c r="B113" s="106" t="s">
        <v>90</v>
      </c>
      <c r="C113" s="31">
        <v>1</v>
      </c>
      <c r="D113" s="32" t="s">
        <v>73</v>
      </c>
      <c r="E113" s="31">
        <f t="shared" ref="E113:E173" si="183">D113*C113</f>
        <v>12</v>
      </c>
      <c r="F113" s="96">
        <v>18.850000000000001</v>
      </c>
      <c r="G113" s="33">
        <f>F113/D113</f>
        <v>1.5708333333333335</v>
      </c>
      <c r="H113" s="34">
        <f>G113*E113</f>
        <v>18.850000000000001</v>
      </c>
      <c r="I113" s="35"/>
      <c r="J113" s="36">
        <f t="shared" si="125"/>
        <v>1.5708333333333335</v>
      </c>
      <c r="K113" s="36">
        <f t="shared" si="125"/>
        <v>18.850000000000001</v>
      </c>
      <c r="L113" s="36">
        <f t="shared" si="169"/>
        <v>1.7122083333333338</v>
      </c>
      <c r="M113" s="36">
        <f>L113*E113</f>
        <v>20.546500000000005</v>
      </c>
      <c r="N113" s="37">
        <v>2.5</v>
      </c>
      <c r="O113" s="38">
        <f>N113*E113</f>
        <v>30</v>
      </c>
      <c r="P113" s="38">
        <f t="shared" ref="P113:P173" si="184">N113-L113</f>
        <v>0.78779166666666622</v>
      </c>
      <c r="Q113" s="38">
        <f>P113*E113</f>
        <v>9.4534999999999947</v>
      </c>
      <c r="R113" s="39">
        <f t="shared" ref="R113:R173" si="185">P113/N113</f>
        <v>0.31511666666666649</v>
      </c>
      <c r="S113" s="42"/>
      <c r="T113" s="110">
        <f t="shared" si="126"/>
        <v>2.5</v>
      </c>
      <c r="U113" s="107">
        <v>0.18</v>
      </c>
      <c r="V113" s="111">
        <f t="shared" si="127"/>
        <v>3.0487804878048776</v>
      </c>
      <c r="W113" s="112">
        <f t="shared" si="128"/>
        <v>0.54878048780487765</v>
      </c>
      <c r="X113" s="112">
        <f t="shared" si="129"/>
        <v>4.9390243902438985E-2</v>
      </c>
      <c r="Y113" s="113">
        <f t="shared" si="130"/>
        <v>0.59817073170731661</v>
      </c>
      <c r="Z113" s="112">
        <f t="shared" si="131"/>
        <v>2.450609756097561</v>
      </c>
      <c r="AA113" s="114">
        <f t="shared" si="132"/>
        <v>0.30131334494484513</v>
      </c>
      <c r="AB113" s="115">
        <f t="shared" si="133"/>
        <v>-1.380332172182136E-2</v>
      </c>
      <c r="AC113" s="116" t="s">
        <v>224</v>
      </c>
    </row>
    <row r="114" spans="1:29" ht="45" customHeight="1" x14ac:dyDescent="0.25">
      <c r="A114" s="30">
        <v>106</v>
      </c>
      <c r="B114" s="101" t="s">
        <v>139</v>
      </c>
      <c r="C114" s="31">
        <v>1</v>
      </c>
      <c r="D114" s="32" t="s">
        <v>75</v>
      </c>
      <c r="E114" s="31">
        <f t="shared" si="183"/>
        <v>48</v>
      </c>
      <c r="F114" s="96">
        <v>20.5</v>
      </c>
      <c r="G114" s="33">
        <f>F114/D114</f>
        <v>0.42708333333333331</v>
      </c>
      <c r="H114" s="34">
        <f>G114*E114</f>
        <v>20.5</v>
      </c>
      <c r="I114" s="35"/>
      <c r="J114" s="36">
        <f t="shared" si="125"/>
        <v>0.42708333333333331</v>
      </c>
      <c r="K114" s="36">
        <f t="shared" si="125"/>
        <v>20.5</v>
      </c>
      <c r="L114" s="36">
        <f t="shared" si="169"/>
        <v>0.46552083333333333</v>
      </c>
      <c r="M114" s="36">
        <f>L114*E114</f>
        <v>22.344999999999999</v>
      </c>
      <c r="N114" s="37">
        <v>0.6</v>
      </c>
      <c r="O114" s="38">
        <f>N114*E114</f>
        <v>28.799999999999997</v>
      </c>
      <c r="P114" s="38">
        <f t="shared" si="184"/>
        <v>0.13447916666666665</v>
      </c>
      <c r="Q114" s="38">
        <f>P114*E114</f>
        <v>6.4549999999999992</v>
      </c>
      <c r="R114" s="39">
        <f t="shared" si="185"/>
        <v>0.22413194444444443</v>
      </c>
      <c r="S114" s="42"/>
      <c r="T114" s="110">
        <f t="shared" si="126"/>
        <v>0.6</v>
      </c>
      <c r="U114" s="107">
        <v>0.18</v>
      </c>
      <c r="V114" s="111">
        <f t="shared" si="127"/>
        <v>0.7317073170731706</v>
      </c>
      <c r="W114" s="112">
        <f t="shared" si="128"/>
        <v>0.13170731707317063</v>
      </c>
      <c r="X114" s="112">
        <f t="shared" si="129"/>
        <v>1.1853658536585356E-2</v>
      </c>
      <c r="Y114" s="113">
        <f t="shared" si="130"/>
        <v>0.14356097560975598</v>
      </c>
      <c r="Z114" s="112">
        <f t="shared" si="131"/>
        <v>0.5881463414634146</v>
      </c>
      <c r="AA114" s="114">
        <f t="shared" si="132"/>
        <v>0.20849489231704954</v>
      </c>
      <c r="AB114" s="115">
        <f t="shared" si="133"/>
        <v>-1.5637052127394885E-2</v>
      </c>
      <c r="AC114" s="116" t="s">
        <v>224</v>
      </c>
    </row>
    <row r="115" spans="1:29" ht="45" customHeight="1" x14ac:dyDescent="0.25">
      <c r="A115" s="30">
        <v>107</v>
      </c>
      <c r="B115" s="101" t="s">
        <v>146</v>
      </c>
      <c r="C115" s="31">
        <v>1</v>
      </c>
      <c r="D115" s="32" t="s">
        <v>73</v>
      </c>
      <c r="E115" s="31">
        <f t="shared" si="183"/>
        <v>12</v>
      </c>
      <c r="F115" s="96">
        <v>21</v>
      </c>
      <c r="G115" s="33">
        <f>F115/D115</f>
        <v>1.75</v>
      </c>
      <c r="H115" s="34">
        <f>G115*E115</f>
        <v>21</v>
      </c>
      <c r="I115" s="35"/>
      <c r="J115" s="36">
        <f t="shared" si="125"/>
        <v>1.75</v>
      </c>
      <c r="K115" s="36">
        <f t="shared" si="125"/>
        <v>21</v>
      </c>
      <c r="L115" s="36">
        <f t="shared" si="169"/>
        <v>1.9075000000000002</v>
      </c>
      <c r="M115" s="36">
        <f>L115*E115</f>
        <v>22.89</v>
      </c>
      <c r="N115" s="37">
        <v>2.25</v>
      </c>
      <c r="O115" s="38">
        <f>N115*E115</f>
        <v>27</v>
      </c>
      <c r="P115" s="38">
        <f t="shared" si="184"/>
        <v>0.3424999999999998</v>
      </c>
      <c r="Q115" s="38">
        <f>P115*E115</f>
        <v>4.1099999999999977</v>
      </c>
      <c r="R115" s="39">
        <f t="shared" si="185"/>
        <v>0.15222222222222215</v>
      </c>
      <c r="S115" s="42"/>
      <c r="T115" s="110">
        <f t="shared" si="126"/>
        <v>2.25</v>
      </c>
      <c r="U115" s="107">
        <v>0.18</v>
      </c>
      <c r="V115" s="111">
        <f t="shared" si="127"/>
        <v>2.74390243902439</v>
      </c>
      <c r="W115" s="112">
        <f t="shared" si="128"/>
        <v>0.49390243902439002</v>
      </c>
      <c r="X115" s="112">
        <f t="shared" si="129"/>
        <v>4.4451219512195099E-2</v>
      </c>
      <c r="Y115" s="113">
        <f t="shared" si="130"/>
        <v>0.53835365853658512</v>
      </c>
      <c r="Z115" s="112">
        <f t="shared" si="131"/>
        <v>2.2055487804878049</v>
      </c>
      <c r="AA115" s="114">
        <f t="shared" si="132"/>
        <v>0.13513588233667848</v>
      </c>
      <c r="AB115" s="115">
        <f t="shared" si="133"/>
        <v>-1.7086339885543672E-2</v>
      </c>
      <c r="AC115" s="116" t="s">
        <v>224</v>
      </c>
    </row>
    <row r="116" spans="1:29" ht="45" customHeight="1" x14ac:dyDescent="0.25">
      <c r="A116" s="30">
        <v>108</v>
      </c>
      <c r="B116" s="101" t="s">
        <v>163</v>
      </c>
      <c r="C116" s="31">
        <v>1</v>
      </c>
      <c r="D116" s="32" t="s">
        <v>73</v>
      </c>
      <c r="E116" s="31">
        <f t="shared" ref="E116" si="186">D116*C116</f>
        <v>12</v>
      </c>
      <c r="F116" s="96">
        <v>21</v>
      </c>
      <c r="G116" s="33">
        <f>F116/D116</f>
        <v>1.75</v>
      </c>
      <c r="H116" s="34">
        <f>G116*E116</f>
        <v>21</v>
      </c>
      <c r="I116" s="35"/>
      <c r="J116" s="36">
        <f t="shared" ref="J116" si="187">G116/$Q$2</f>
        <v>1.75</v>
      </c>
      <c r="K116" s="36">
        <f t="shared" ref="K116" si="188">H116/$Q$2</f>
        <v>21</v>
      </c>
      <c r="L116" s="36">
        <f t="shared" si="169"/>
        <v>1.9075000000000002</v>
      </c>
      <c r="M116" s="36">
        <f>L116*E116</f>
        <v>22.89</v>
      </c>
      <c r="N116" s="37">
        <v>2.25</v>
      </c>
      <c r="O116" s="38">
        <f>N116*E116</f>
        <v>27</v>
      </c>
      <c r="P116" s="38">
        <f t="shared" ref="P116" si="189">N116-L116</f>
        <v>0.3424999999999998</v>
      </c>
      <c r="Q116" s="38">
        <f>P116*E116</f>
        <v>4.1099999999999977</v>
      </c>
      <c r="R116" s="39">
        <f t="shared" ref="R116" si="190">P116/N116</f>
        <v>0.15222222222222215</v>
      </c>
      <c r="S116" s="42"/>
      <c r="T116" s="110">
        <f t="shared" si="126"/>
        <v>2.25</v>
      </c>
      <c r="U116" s="107">
        <v>0.18</v>
      </c>
      <c r="V116" s="111">
        <f t="shared" si="127"/>
        <v>2.74390243902439</v>
      </c>
      <c r="W116" s="112">
        <f t="shared" si="128"/>
        <v>0.49390243902439002</v>
      </c>
      <c r="X116" s="112">
        <f t="shared" si="129"/>
        <v>4.4451219512195099E-2</v>
      </c>
      <c r="Y116" s="113">
        <f t="shared" si="130"/>
        <v>0.53835365853658512</v>
      </c>
      <c r="Z116" s="112">
        <f t="shared" si="131"/>
        <v>2.2055487804878049</v>
      </c>
      <c r="AA116" s="114">
        <f t="shared" si="132"/>
        <v>0.13513588233667848</v>
      </c>
      <c r="AB116" s="115">
        <f t="shared" si="133"/>
        <v>-1.7086339885543672E-2</v>
      </c>
      <c r="AC116" s="116" t="s">
        <v>224</v>
      </c>
    </row>
    <row r="117" spans="1:29" ht="45" customHeight="1" x14ac:dyDescent="0.25">
      <c r="A117" s="30">
        <v>109</v>
      </c>
      <c r="B117" s="101" t="s">
        <v>140</v>
      </c>
      <c r="C117" s="31">
        <v>1</v>
      </c>
      <c r="D117" s="32" t="s">
        <v>75</v>
      </c>
      <c r="E117" s="31">
        <f t="shared" ref="E117:E118" si="191">D117*C117</f>
        <v>48</v>
      </c>
      <c r="F117" s="96">
        <v>20.5</v>
      </c>
      <c r="G117" s="33">
        <f>F117/D117</f>
        <v>0.42708333333333331</v>
      </c>
      <c r="H117" s="34">
        <f>G117*E117</f>
        <v>20.5</v>
      </c>
      <c r="I117" s="35"/>
      <c r="J117" s="36">
        <f t="shared" ref="J117:J118" si="192">G117/$Q$2</f>
        <v>0.42708333333333331</v>
      </c>
      <c r="K117" s="36">
        <f t="shared" ref="K117:K118" si="193">H117/$Q$2</f>
        <v>20.5</v>
      </c>
      <c r="L117" s="36">
        <f t="shared" si="169"/>
        <v>0.46552083333333333</v>
      </c>
      <c r="M117" s="36">
        <f>L117*E117</f>
        <v>22.344999999999999</v>
      </c>
      <c r="N117" s="37">
        <v>0.6</v>
      </c>
      <c r="O117" s="38">
        <f>N117*E117</f>
        <v>28.799999999999997</v>
      </c>
      <c r="P117" s="38">
        <f t="shared" ref="P117:P118" si="194">N117-L117</f>
        <v>0.13447916666666665</v>
      </c>
      <c r="Q117" s="38">
        <f>P117*E117</f>
        <v>6.4549999999999992</v>
      </c>
      <c r="R117" s="39">
        <f t="shared" ref="R117:R118" si="195">P117/N117</f>
        <v>0.22413194444444443</v>
      </c>
      <c r="S117" s="42"/>
      <c r="T117" s="110">
        <f t="shared" si="126"/>
        <v>0.6</v>
      </c>
      <c r="U117" s="107">
        <v>0.18</v>
      </c>
      <c r="V117" s="111">
        <f t="shared" si="127"/>
        <v>0.7317073170731706</v>
      </c>
      <c r="W117" s="112">
        <f t="shared" si="128"/>
        <v>0.13170731707317063</v>
      </c>
      <c r="X117" s="112">
        <f t="shared" si="129"/>
        <v>1.1853658536585356E-2</v>
      </c>
      <c r="Y117" s="113">
        <f t="shared" si="130"/>
        <v>0.14356097560975598</v>
      </c>
      <c r="Z117" s="112">
        <f t="shared" si="131"/>
        <v>0.5881463414634146</v>
      </c>
      <c r="AA117" s="114">
        <f t="shared" si="132"/>
        <v>0.20849489231704954</v>
      </c>
      <c r="AB117" s="115">
        <f t="shared" si="133"/>
        <v>-1.5637052127394885E-2</v>
      </c>
      <c r="AC117" s="116" t="s">
        <v>224</v>
      </c>
    </row>
    <row r="118" spans="1:29" ht="45" customHeight="1" x14ac:dyDescent="0.25">
      <c r="A118" s="30">
        <v>110</v>
      </c>
      <c r="B118" s="101" t="s">
        <v>91</v>
      </c>
      <c r="C118" s="31">
        <v>1</v>
      </c>
      <c r="D118" s="32" t="s">
        <v>73</v>
      </c>
      <c r="E118" s="31">
        <f t="shared" si="191"/>
        <v>12</v>
      </c>
      <c r="F118" s="96">
        <v>18.850000000000001</v>
      </c>
      <c r="G118" s="33">
        <f>F118/D118</f>
        <v>1.5708333333333335</v>
      </c>
      <c r="H118" s="34">
        <f>G118*E118</f>
        <v>18.850000000000001</v>
      </c>
      <c r="I118" s="35"/>
      <c r="J118" s="36">
        <f t="shared" si="192"/>
        <v>1.5708333333333335</v>
      </c>
      <c r="K118" s="36">
        <f t="shared" si="193"/>
        <v>18.850000000000001</v>
      </c>
      <c r="L118" s="36">
        <f t="shared" si="169"/>
        <v>1.7122083333333338</v>
      </c>
      <c r="M118" s="36">
        <f>L118*E118</f>
        <v>20.546500000000005</v>
      </c>
      <c r="N118" s="37">
        <v>2.5</v>
      </c>
      <c r="O118" s="38">
        <f>N118*E118</f>
        <v>30</v>
      </c>
      <c r="P118" s="38">
        <f t="shared" si="194"/>
        <v>0.78779166666666622</v>
      </c>
      <c r="Q118" s="38">
        <f>P118*E118</f>
        <v>9.4534999999999947</v>
      </c>
      <c r="R118" s="39">
        <f t="shared" si="195"/>
        <v>0.31511666666666649</v>
      </c>
      <c r="S118" s="42"/>
      <c r="T118" s="110">
        <f t="shared" si="126"/>
        <v>2.5</v>
      </c>
      <c r="U118" s="107">
        <v>0.18</v>
      </c>
      <c r="V118" s="111">
        <f t="shared" si="127"/>
        <v>3.0487804878048776</v>
      </c>
      <c r="W118" s="112">
        <f t="shared" si="128"/>
        <v>0.54878048780487765</v>
      </c>
      <c r="X118" s="112">
        <f t="shared" si="129"/>
        <v>4.9390243902438985E-2</v>
      </c>
      <c r="Y118" s="113">
        <f t="shared" si="130"/>
        <v>0.59817073170731661</v>
      </c>
      <c r="Z118" s="112">
        <f t="shared" si="131"/>
        <v>2.450609756097561</v>
      </c>
      <c r="AA118" s="114">
        <f t="shared" si="132"/>
        <v>0.30131334494484513</v>
      </c>
      <c r="AB118" s="115">
        <f t="shared" si="133"/>
        <v>-1.380332172182136E-2</v>
      </c>
      <c r="AC118" s="116" t="s">
        <v>224</v>
      </c>
    </row>
    <row r="119" spans="1:29" ht="45" customHeight="1" x14ac:dyDescent="0.25">
      <c r="A119" s="30">
        <v>111</v>
      </c>
      <c r="B119" s="101" t="s">
        <v>97</v>
      </c>
      <c r="C119" s="31">
        <v>1</v>
      </c>
      <c r="D119" s="32" t="s">
        <v>136</v>
      </c>
      <c r="E119" s="31">
        <f t="shared" si="183"/>
        <v>10</v>
      </c>
      <c r="F119" s="96">
        <v>13.5</v>
      </c>
      <c r="G119" s="33">
        <f>F119/D119</f>
        <v>1.35</v>
      </c>
      <c r="H119" s="34">
        <f>G119*E119</f>
        <v>13.5</v>
      </c>
      <c r="I119" s="35"/>
      <c r="J119" s="36">
        <f t="shared" si="125"/>
        <v>1.35</v>
      </c>
      <c r="K119" s="36">
        <f t="shared" si="125"/>
        <v>13.5</v>
      </c>
      <c r="L119" s="36">
        <f t="shared" si="169"/>
        <v>1.4715000000000003</v>
      </c>
      <c r="M119" s="36">
        <f>L119*E119</f>
        <v>14.715000000000003</v>
      </c>
      <c r="N119" s="37">
        <v>1.95</v>
      </c>
      <c r="O119" s="38">
        <f>N119*E119</f>
        <v>19.5</v>
      </c>
      <c r="P119" s="38">
        <f t="shared" si="184"/>
        <v>0.4784999999999997</v>
      </c>
      <c r="Q119" s="38">
        <f>P119*E119</f>
        <v>4.7849999999999966</v>
      </c>
      <c r="R119" s="39">
        <f t="shared" si="185"/>
        <v>0.24538461538461523</v>
      </c>
      <c r="S119" s="42"/>
      <c r="T119" s="110">
        <f t="shared" si="126"/>
        <v>1.95</v>
      </c>
      <c r="U119" s="107">
        <v>0.18</v>
      </c>
      <c r="V119" s="111">
        <f t="shared" si="127"/>
        <v>2.3780487804878048</v>
      </c>
      <c r="W119" s="112">
        <f t="shared" si="128"/>
        <v>0.42804878048780481</v>
      </c>
      <c r="X119" s="112">
        <f t="shared" si="129"/>
        <v>3.8524390243902432E-2</v>
      </c>
      <c r="Y119" s="113">
        <f t="shared" si="130"/>
        <v>0.46657317073170723</v>
      </c>
      <c r="Z119" s="112">
        <f t="shared" si="131"/>
        <v>1.9114756097560974</v>
      </c>
      <c r="AA119" s="114">
        <f t="shared" si="132"/>
        <v>0.2301758952667137</v>
      </c>
      <c r="AB119" s="115">
        <f t="shared" si="133"/>
        <v>-1.5208720117901531E-2</v>
      </c>
      <c r="AC119" s="116">
        <v>1.5</v>
      </c>
    </row>
    <row r="120" spans="1:29" ht="45" customHeight="1" x14ac:dyDescent="0.25">
      <c r="A120" s="30">
        <v>112</v>
      </c>
      <c r="B120" s="104" t="s">
        <v>209</v>
      </c>
      <c r="C120" s="31">
        <v>1</v>
      </c>
      <c r="D120" s="32" t="s">
        <v>84</v>
      </c>
      <c r="E120" s="31">
        <f t="shared" si="183"/>
        <v>8</v>
      </c>
      <c r="F120" s="96">
        <v>11.8</v>
      </c>
      <c r="G120" s="33">
        <f>F120/D120</f>
        <v>1.4750000000000001</v>
      </c>
      <c r="H120" s="34">
        <f>G120*E120</f>
        <v>11.8</v>
      </c>
      <c r="I120" s="35"/>
      <c r="J120" s="36">
        <f t="shared" si="125"/>
        <v>1.4750000000000001</v>
      </c>
      <c r="K120" s="36">
        <f t="shared" si="125"/>
        <v>11.8</v>
      </c>
      <c r="L120" s="36">
        <f t="shared" si="169"/>
        <v>1.6077500000000002</v>
      </c>
      <c r="M120" s="36">
        <f>L120*E120</f>
        <v>12.862000000000002</v>
      </c>
      <c r="N120" s="37"/>
      <c r="O120" s="38"/>
      <c r="P120" s="38"/>
      <c r="Q120" s="38"/>
      <c r="R120" s="39"/>
      <c r="S120" s="43"/>
      <c r="T120" s="110">
        <f t="shared" si="126"/>
        <v>0</v>
      </c>
      <c r="U120" s="107">
        <v>0.18</v>
      </c>
      <c r="V120" s="111">
        <f t="shared" si="127"/>
        <v>0</v>
      </c>
      <c r="W120" s="112">
        <f t="shared" si="128"/>
        <v>0</v>
      </c>
      <c r="X120" s="112">
        <f t="shared" si="129"/>
        <v>0</v>
      </c>
      <c r="Y120" s="113">
        <f t="shared" si="130"/>
        <v>0</v>
      </c>
      <c r="Z120" s="112">
        <f t="shared" si="131"/>
        <v>0</v>
      </c>
      <c r="AA120" s="114" t="e">
        <f t="shared" si="132"/>
        <v>#DIV/0!</v>
      </c>
      <c r="AB120" s="115" t="e">
        <f t="shared" si="133"/>
        <v>#DIV/0!</v>
      </c>
      <c r="AC120" s="116" t="s">
        <v>224</v>
      </c>
    </row>
    <row r="121" spans="1:29" ht="45" customHeight="1" x14ac:dyDescent="0.25">
      <c r="A121" s="30">
        <v>113</v>
      </c>
      <c r="B121" s="104" t="s">
        <v>170</v>
      </c>
      <c r="C121" s="31">
        <v>1</v>
      </c>
      <c r="D121" s="32" t="s">
        <v>73</v>
      </c>
      <c r="E121" s="31">
        <f t="shared" ref="E121" si="196">D121*C121</f>
        <v>12</v>
      </c>
      <c r="F121" s="96">
        <v>18.5</v>
      </c>
      <c r="G121" s="33">
        <f>F121/D121</f>
        <v>1.5416666666666667</v>
      </c>
      <c r="H121" s="34">
        <f>G121*E121</f>
        <v>18.5</v>
      </c>
      <c r="I121" s="35"/>
      <c r="J121" s="36">
        <f t="shared" ref="J121" si="197">G121/$Q$2</f>
        <v>1.5416666666666667</v>
      </c>
      <c r="K121" s="36">
        <f t="shared" ref="K121" si="198">H121/$Q$2</f>
        <v>18.5</v>
      </c>
      <c r="L121" s="36">
        <f t="shared" si="169"/>
        <v>1.6804166666666669</v>
      </c>
      <c r="M121" s="36">
        <f>L121*E121</f>
        <v>20.165000000000003</v>
      </c>
      <c r="N121" s="37"/>
      <c r="O121" s="38"/>
      <c r="P121" s="38"/>
      <c r="Q121" s="38"/>
      <c r="R121" s="39"/>
      <c r="S121" s="43"/>
      <c r="T121" s="110">
        <f t="shared" si="126"/>
        <v>0</v>
      </c>
      <c r="U121" s="107">
        <v>0.18</v>
      </c>
      <c r="V121" s="111">
        <f t="shared" si="127"/>
        <v>0</v>
      </c>
      <c r="W121" s="112">
        <f t="shared" si="128"/>
        <v>0</v>
      </c>
      <c r="X121" s="112">
        <f t="shared" si="129"/>
        <v>0</v>
      </c>
      <c r="Y121" s="113">
        <f t="shared" si="130"/>
        <v>0</v>
      </c>
      <c r="Z121" s="112">
        <f t="shared" si="131"/>
        <v>0</v>
      </c>
      <c r="AA121" s="114" t="e">
        <f t="shared" si="132"/>
        <v>#DIV/0!</v>
      </c>
      <c r="AB121" s="115" t="e">
        <f t="shared" si="133"/>
        <v>#DIV/0!</v>
      </c>
      <c r="AC121" s="116" t="s">
        <v>224</v>
      </c>
    </row>
    <row r="122" spans="1:29" ht="45" customHeight="1" x14ac:dyDescent="0.25">
      <c r="A122" s="30">
        <v>114</v>
      </c>
      <c r="B122" s="104" t="s">
        <v>98</v>
      </c>
      <c r="C122" s="31">
        <v>1</v>
      </c>
      <c r="D122" s="32" t="s">
        <v>157</v>
      </c>
      <c r="E122" s="31">
        <f t="shared" si="183"/>
        <v>60</v>
      </c>
      <c r="F122" s="96">
        <v>34</v>
      </c>
      <c r="G122" s="33">
        <f>F122/D122</f>
        <v>0.56666666666666665</v>
      </c>
      <c r="H122" s="34">
        <f>G122*E122</f>
        <v>34</v>
      </c>
      <c r="I122" s="35"/>
      <c r="J122" s="36">
        <f t="shared" si="125"/>
        <v>0.56666666666666665</v>
      </c>
      <c r="K122" s="36">
        <f t="shared" si="125"/>
        <v>34</v>
      </c>
      <c r="L122" s="36">
        <f t="shared" si="169"/>
        <v>0.6176666666666667</v>
      </c>
      <c r="M122" s="36">
        <f>L122*E122</f>
        <v>37.06</v>
      </c>
      <c r="N122" s="37">
        <v>0.85</v>
      </c>
      <c r="O122" s="38">
        <f>N122*E122</f>
        <v>51</v>
      </c>
      <c r="P122" s="38">
        <f t="shared" si="184"/>
        <v>0.23233333333333328</v>
      </c>
      <c r="Q122" s="38">
        <f>P122*E122</f>
        <v>13.939999999999998</v>
      </c>
      <c r="R122" s="39">
        <f t="shared" si="185"/>
        <v>0.27333333333333326</v>
      </c>
      <c r="S122" s="43"/>
      <c r="T122" s="110">
        <f t="shared" si="126"/>
        <v>0.85</v>
      </c>
      <c r="U122" s="107">
        <v>0.18</v>
      </c>
      <c r="V122" s="111">
        <f t="shared" si="127"/>
        <v>1.0365853658536583</v>
      </c>
      <c r="W122" s="112">
        <f t="shared" si="128"/>
        <v>0.18658536585365837</v>
      </c>
      <c r="X122" s="112">
        <f t="shared" si="129"/>
        <v>1.6792682926829252E-2</v>
      </c>
      <c r="Y122" s="113">
        <f t="shared" si="130"/>
        <v>0.20337804878048762</v>
      </c>
      <c r="Z122" s="112">
        <f t="shared" si="131"/>
        <v>0.83320731707317075</v>
      </c>
      <c r="AA122" s="114">
        <f t="shared" si="132"/>
        <v>0.25868789914572443</v>
      </c>
      <c r="AB122" s="115">
        <f t="shared" si="133"/>
        <v>-1.464543418760883E-2</v>
      </c>
      <c r="AC122" s="116" t="s">
        <v>224</v>
      </c>
    </row>
    <row r="123" spans="1:29" ht="45" customHeight="1" x14ac:dyDescent="0.25">
      <c r="A123" s="30">
        <v>115</v>
      </c>
      <c r="B123" s="100" t="s">
        <v>99</v>
      </c>
      <c r="C123" s="31">
        <v>1</v>
      </c>
      <c r="D123" s="32" t="s">
        <v>157</v>
      </c>
      <c r="E123" s="31">
        <f t="shared" si="183"/>
        <v>60</v>
      </c>
      <c r="F123" s="96">
        <v>34</v>
      </c>
      <c r="G123" s="33">
        <f>F123/D123</f>
        <v>0.56666666666666665</v>
      </c>
      <c r="H123" s="34">
        <f>G123*E123</f>
        <v>34</v>
      </c>
      <c r="I123" s="35"/>
      <c r="J123" s="36">
        <f t="shared" si="125"/>
        <v>0.56666666666666665</v>
      </c>
      <c r="K123" s="36">
        <f t="shared" si="125"/>
        <v>34</v>
      </c>
      <c r="L123" s="36">
        <f t="shared" si="169"/>
        <v>0.6176666666666667</v>
      </c>
      <c r="M123" s="36">
        <f>L123*E123</f>
        <v>37.06</v>
      </c>
      <c r="N123" s="37">
        <v>0.85</v>
      </c>
      <c r="O123" s="38">
        <f>N123*E123</f>
        <v>51</v>
      </c>
      <c r="P123" s="38">
        <f t="shared" si="184"/>
        <v>0.23233333333333328</v>
      </c>
      <c r="Q123" s="38">
        <f>P123*E123</f>
        <v>13.939999999999998</v>
      </c>
      <c r="R123" s="39">
        <f t="shared" si="185"/>
        <v>0.27333333333333326</v>
      </c>
      <c r="S123" s="40"/>
      <c r="T123" s="110">
        <f t="shared" si="126"/>
        <v>0.85</v>
      </c>
      <c r="U123" s="107">
        <v>0.18</v>
      </c>
      <c r="V123" s="111">
        <f t="shared" si="127"/>
        <v>1.0365853658536583</v>
      </c>
      <c r="W123" s="112">
        <f t="shared" si="128"/>
        <v>0.18658536585365837</v>
      </c>
      <c r="X123" s="112">
        <f t="shared" si="129"/>
        <v>1.6792682926829252E-2</v>
      </c>
      <c r="Y123" s="113">
        <f t="shared" si="130"/>
        <v>0.20337804878048762</v>
      </c>
      <c r="Z123" s="112">
        <f t="shared" si="131"/>
        <v>0.83320731707317075</v>
      </c>
      <c r="AA123" s="114">
        <f t="shared" si="132"/>
        <v>0.25868789914572443</v>
      </c>
      <c r="AB123" s="115">
        <f t="shared" si="133"/>
        <v>-1.464543418760883E-2</v>
      </c>
      <c r="AC123" s="116" t="s">
        <v>224</v>
      </c>
    </row>
    <row r="124" spans="1:29" ht="45" customHeight="1" x14ac:dyDescent="0.25">
      <c r="A124" s="30">
        <v>116</v>
      </c>
      <c r="B124" s="100" t="s">
        <v>100</v>
      </c>
      <c r="C124" s="31">
        <v>1</v>
      </c>
      <c r="D124" s="32" t="s">
        <v>165</v>
      </c>
      <c r="E124" s="31">
        <f t="shared" si="183"/>
        <v>72</v>
      </c>
      <c r="F124" s="96">
        <v>52.2</v>
      </c>
      <c r="G124" s="33">
        <f>F124/D124</f>
        <v>0.72500000000000009</v>
      </c>
      <c r="H124" s="34">
        <f>G124*E124</f>
        <v>52.2</v>
      </c>
      <c r="I124" s="35"/>
      <c r="J124" s="36">
        <f t="shared" si="125"/>
        <v>0.72500000000000009</v>
      </c>
      <c r="K124" s="36">
        <f t="shared" si="125"/>
        <v>52.2</v>
      </c>
      <c r="L124" s="36">
        <f t="shared" si="169"/>
        <v>0.79025000000000012</v>
      </c>
      <c r="M124" s="36">
        <f>L124*E124</f>
        <v>56.89800000000001</v>
      </c>
      <c r="N124" s="37">
        <v>1</v>
      </c>
      <c r="O124" s="38">
        <f>N124*E124</f>
        <v>72</v>
      </c>
      <c r="P124" s="38">
        <f t="shared" si="184"/>
        <v>0.20974999999999988</v>
      </c>
      <c r="Q124" s="38">
        <f>P124*E124</f>
        <v>15.101999999999991</v>
      </c>
      <c r="R124" s="39">
        <f t="shared" si="185"/>
        <v>0.20974999999999988</v>
      </c>
      <c r="S124" s="41"/>
      <c r="T124" s="110">
        <f t="shared" si="126"/>
        <v>1</v>
      </c>
      <c r="U124" s="107">
        <v>0.18</v>
      </c>
      <c r="V124" s="111">
        <f t="shared" si="127"/>
        <v>1.2195121951219512</v>
      </c>
      <c r="W124" s="112">
        <f t="shared" si="128"/>
        <v>0.21951219512195119</v>
      </c>
      <c r="X124" s="112">
        <f t="shared" si="129"/>
        <v>1.9756097560975606E-2</v>
      </c>
      <c r="Y124" s="113">
        <f t="shared" si="130"/>
        <v>0.23926829268292679</v>
      </c>
      <c r="Z124" s="112">
        <f t="shared" si="131"/>
        <v>0.98024390243902437</v>
      </c>
      <c r="AA124" s="114">
        <f t="shared" si="132"/>
        <v>0.19382309032097522</v>
      </c>
      <c r="AB124" s="115">
        <f t="shared" si="133"/>
        <v>-1.5926909679024659E-2</v>
      </c>
      <c r="AC124" s="116" t="s">
        <v>224</v>
      </c>
    </row>
    <row r="125" spans="1:29" ht="45" customHeight="1" x14ac:dyDescent="0.25">
      <c r="A125" s="30">
        <v>117</v>
      </c>
      <c r="B125" s="100" t="s">
        <v>101</v>
      </c>
      <c r="C125" s="31">
        <v>1</v>
      </c>
      <c r="D125" s="32" t="s">
        <v>165</v>
      </c>
      <c r="E125" s="31">
        <f t="shared" si="183"/>
        <v>72</v>
      </c>
      <c r="F125" s="96">
        <v>52.2</v>
      </c>
      <c r="G125" s="33">
        <f>F125/D125</f>
        <v>0.72500000000000009</v>
      </c>
      <c r="H125" s="34">
        <f>G125*E125</f>
        <v>52.2</v>
      </c>
      <c r="I125" s="35"/>
      <c r="J125" s="36">
        <f t="shared" si="125"/>
        <v>0.72500000000000009</v>
      </c>
      <c r="K125" s="36">
        <f t="shared" si="125"/>
        <v>52.2</v>
      </c>
      <c r="L125" s="36">
        <f t="shared" si="169"/>
        <v>0.79025000000000012</v>
      </c>
      <c r="M125" s="36">
        <f>L125*E125</f>
        <v>56.89800000000001</v>
      </c>
      <c r="N125" s="37">
        <v>1</v>
      </c>
      <c r="O125" s="38">
        <f>N125*E125</f>
        <v>72</v>
      </c>
      <c r="P125" s="38">
        <f t="shared" si="184"/>
        <v>0.20974999999999988</v>
      </c>
      <c r="Q125" s="38">
        <f>P125*E125</f>
        <v>15.101999999999991</v>
      </c>
      <c r="R125" s="39">
        <f t="shared" si="185"/>
        <v>0.20974999999999988</v>
      </c>
      <c r="S125" s="42"/>
      <c r="T125" s="110">
        <f t="shared" si="126"/>
        <v>1</v>
      </c>
      <c r="U125" s="107">
        <v>0.18</v>
      </c>
      <c r="V125" s="111">
        <f t="shared" si="127"/>
        <v>1.2195121951219512</v>
      </c>
      <c r="W125" s="112">
        <f t="shared" si="128"/>
        <v>0.21951219512195119</v>
      </c>
      <c r="X125" s="112">
        <f t="shared" si="129"/>
        <v>1.9756097560975606E-2</v>
      </c>
      <c r="Y125" s="113">
        <f t="shared" si="130"/>
        <v>0.23926829268292679</v>
      </c>
      <c r="Z125" s="112">
        <f t="shared" si="131"/>
        <v>0.98024390243902437</v>
      </c>
      <c r="AA125" s="114">
        <f t="shared" si="132"/>
        <v>0.19382309032097522</v>
      </c>
      <c r="AB125" s="115">
        <f t="shared" si="133"/>
        <v>-1.5926909679024659E-2</v>
      </c>
      <c r="AC125" s="116" t="s">
        <v>224</v>
      </c>
    </row>
    <row r="126" spans="1:29" ht="45" customHeight="1" x14ac:dyDescent="0.25">
      <c r="A126" s="30">
        <v>118</v>
      </c>
      <c r="B126" s="101" t="s">
        <v>210</v>
      </c>
      <c r="C126" s="31">
        <v>1</v>
      </c>
      <c r="D126" s="32" t="s">
        <v>24</v>
      </c>
      <c r="E126" s="31">
        <f t="shared" si="183"/>
        <v>24</v>
      </c>
      <c r="F126" s="96">
        <v>39</v>
      </c>
      <c r="G126" s="33">
        <f>F126/D126</f>
        <v>1.625</v>
      </c>
      <c r="H126" s="34">
        <f>G126*E126</f>
        <v>39</v>
      </c>
      <c r="I126" s="35"/>
      <c r="J126" s="36">
        <f t="shared" si="125"/>
        <v>1.625</v>
      </c>
      <c r="K126" s="36">
        <f t="shared" si="125"/>
        <v>39</v>
      </c>
      <c r="L126" s="36">
        <f t="shared" si="169"/>
        <v>1.7712500000000002</v>
      </c>
      <c r="M126" s="36">
        <f>L126*E126</f>
        <v>42.510000000000005</v>
      </c>
      <c r="N126" s="37"/>
      <c r="O126" s="38">
        <f>N126*E126</f>
        <v>0</v>
      </c>
      <c r="P126" s="38">
        <f t="shared" si="184"/>
        <v>-1.7712500000000002</v>
      </c>
      <c r="Q126" s="38">
        <f>P126*E126</f>
        <v>-42.510000000000005</v>
      </c>
      <c r="R126" s="39" t="e">
        <f t="shared" si="185"/>
        <v>#DIV/0!</v>
      </c>
      <c r="S126" s="42"/>
      <c r="T126" s="110">
        <f t="shared" si="126"/>
        <v>0</v>
      </c>
      <c r="U126" s="107">
        <v>0.18</v>
      </c>
      <c r="V126" s="111">
        <f t="shared" si="127"/>
        <v>0</v>
      </c>
      <c r="W126" s="112">
        <f t="shared" si="128"/>
        <v>0</v>
      </c>
      <c r="X126" s="112">
        <f t="shared" si="129"/>
        <v>0</v>
      </c>
      <c r="Y126" s="113">
        <f t="shared" si="130"/>
        <v>0</v>
      </c>
      <c r="Z126" s="112">
        <f t="shared" si="131"/>
        <v>0</v>
      </c>
      <c r="AA126" s="114" t="e">
        <f t="shared" si="132"/>
        <v>#DIV/0!</v>
      </c>
      <c r="AB126" s="115" t="e">
        <f t="shared" si="133"/>
        <v>#DIV/0!</v>
      </c>
      <c r="AC126" s="116" t="s">
        <v>224</v>
      </c>
    </row>
    <row r="127" spans="1:29" ht="45" customHeight="1" x14ac:dyDescent="0.25">
      <c r="A127" s="30">
        <v>119</v>
      </c>
      <c r="B127" s="101" t="s">
        <v>192</v>
      </c>
      <c r="C127" s="31">
        <v>1</v>
      </c>
      <c r="D127" s="32" t="s">
        <v>165</v>
      </c>
      <c r="E127" s="31">
        <f t="shared" ref="E127" si="199">D127*C127</f>
        <v>72</v>
      </c>
      <c r="F127" s="96">
        <v>52.2</v>
      </c>
      <c r="G127" s="33">
        <f>F127/D127</f>
        <v>0.72500000000000009</v>
      </c>
      <c r="H127" s="34">
        <f>G127*E127</f>
        <v>52.2</v>
      </c>
      <c r="I127" s="35"/>
      <c r="J127" s="36">
        <f t="shared" ref="J127" si="200">G127/$Q$2</f>
        <v>0.72500000000000009</v>
      </c>
      <c r="K127" s="36">
        <f t="shared" ref="K127" si="201">H127/$Q$2</f>
        <v>52.2</v>
      </c>
      <c r="L127" s="36">
        <f t="shared" si="169"/>
        <v>0.79025000000000012</v>
      </c>
      <c r="M127" s="36">
        <f>L127*E127</f>
        <v>56.89800000000001</v>
      </c>
      <c r="N127" s="37">
        <v>1</v>
      </c>
      <c r="O127" s="38">
        <f>N127*E127</f>
        <v>72</v>
      </c>
      <c r="P127" s="38">
        <f t="shared" ref="P127" si="202">N127-L127</f>
        <v>0.20974999999999988</v>
      </c>
      <c r="Q127" s="38">
        <f>P127*E127</f>
        <v>15.101999999999991</v>
      </c>
      <c r="R127" s="39">
        <f t="shared" ref="R127" si="203">P127/N127</f>
        <v>0.20974999999999988</v>
      </c>
      <c r="S127" s="42"/>
      <c r="T127" s="110">
        <f t="shared" si="126"/>
        <v>1</v>
      </c>
      <c r="U127" s="107">
        <v>0.18</v>
      </c>
      <c r="V127" s="111">
        <f t="shared" si="127"/>
        <v>1.2195121951219512</v>
      </c>
      <c r="W127" s="112">
        <f t="shared" si="128"/>
        <v>0.21951219512195119</v>
      </c>
      <c r="X127" s="112">
        <f t="shared" si="129"/>
        <v>1.9756097560975606E-2</v>
      </c>
      <c r="Y127" s="113">
        <f t="shared" si="130"/>
        <v>0.23926829268292679</v>
      </c>
      <c r="Z127" s="112">
        <f t="shared" si="131"/>
        <v>0.98024390243902437</v>
      </c>
      <c r="AA127" s="114">
        <f t="shared" si="132"/>
        <v>0.19382309032097522</v>
      </c>
      <c r="AB127" s="115">
        <f t="shared" si="133"/>
        <v>-1.5926909679024659E-2</v>
      </c>
      <c r="AC127" s="116" t="s">
        <v>224</v>
      </c>
    </row>
    <row r="128" spans="1:29" ht="45" customHeight="1" x14ac:dyDescent="0.25">
      <c r="A128" s="30">
        <v>120</v>
      </c>
      <c r="B128" s="101" t="s">
        <v>102</v>
      </c>
      <c r="C128" s="31">
        <v>1</v>
      </c>
      <c r="D128" s="32" t="s">
        <v>165</v>
      </c>
      <c r="E128" s="31">
        <f t="shared" si="183"/>
        <v>72</v>
      </c>
      <c r="F128" s="96">
        <v>52.2</v>
      </c>
      <c r="G128" s="33">
        <f>F128/D128</f>
        <v>0.72500000000000009</v>
      </c>
      <c r="H128" s="34">
        <f>G128*E128</f>
        <v>52.2</v>
      </c>
      <c r="I128" s="35"/>
      <c r="J128" s="36">
        <f t="shared" si="125"/>
        <v>0.72500000000000009</v>
      </c>
      <c r="K128" s="36">
        <f t="shared" si="125"/>
        <v>52.2</v>
      </c>
      <c r="L128" s="36">
        <f t="shared" si="169"/>
        <v>0.79025000000000012</v>
      </c>
      <c r="M128" s="36">
        <f>L128*E128</f>
        <v>56.89800000000001</v>
      </c>
      <c r="N128" s="37">
        <v>1</v>
      </c>
      <c r="O128" s="38">
        <f>N128*E128</f>
        <v>72</v>
      </c>
      <c r="P128" s="38">
        <f t="shared" si="184"/>
        <v>0.20974999999999988</v>
      </c>
      <c r="Q128" s="38">
        <f>P128*E128</f>
        <v>15.101999999999991</v>
      </c>
      <c r="R128" s="39">
        <f t="shared" si="185"/>
        <v>0.20974999999999988</v>
      </c>
      <c r="S128" s="42"/>
      <c r="T128" s="110">
        <f t="shared" si="126"/>
        <v>1</v>
      </c>
      <c r="U128" s="107">
        <v>0.18</v>
      </c>
      <c r="V128" s="111">
        <f t="shared" si="127"/>
        <v>1.2195121951219512</v>
      </c>
      <c r="W128" s="112">
        <f t="shared" si="128"/>
        <v>0.21951219512195119</v>
      </c>
      <c r="X128" s="112">
        <f t="shared" si="129"/>
        <v>1.9756097560975606E-2</v>
      </c>
      <c r="Y128" s="113">
        <f t="shared" si="130"/>
        <v>0.23926829268292679</v>
      </c>
      <c r="Z128" s="112">
        <f t="shared" si="131"/>
        <v>0.98024390243902437</v>
      </c>
      <c r="AA128" s="114">
        <f t="shared" si="132"/>
        <v>0.19382309032097522</v>
      </c>
      <c r="AB128" s="115">
        <f t="shared" si="133"/>
        <v>-1.5926909679024659E-2</v>
      </c>
      <c r="AC128" s="116" t="s">
        <v>224</v>
      </c>
    </row>
    <row r="129" spans="1:29" ht="45" customHeight="1" x14ac:dyDescent="0.25">
      <c r="A129" s="30">
        <v>126</v>
      </c>
      <c r="B129" s="106" t="s">
        <v>194</v>
      </c>
      <c r="C129" s="31">
        <v>1</v>
      </c>
      <c r="D129" s="32" t="s">
        <v>83</v>
      </c>
      <c r="E129" s="31">
        <f t="shared" ref="E129" si="204">D129*C129</f>
        <v>4</v>
      </c>
      <c r="F129" s="96">
        <v>25.7</v>
      </c>
      <c r="G129" s="33">
        <f>F129/D129</f>
        <v>6.4249999999999998</v>
      </c>
      <c r="H129" s="34">
        <f>G129*E129</f>
        <v>25.7</v>
      </c>
      <c r="I129" s="35"/>
      <c r="J129" s="36">
        <f t="shared" ref="J129" si="205">G129/$Q$2</f>
        <v>6.4249999999999998</v>
      </c>
      <c r="K129" s="36">
        <f t="shared" ref="K129" si="206">H129/$Q$2</f>
        <v>25.7</v>
      </c>
      <c r="L129" s="36">
        <f t="shared" si="169"/>
        <v>7.0032500000000004</v>
      </c>
      <c r="M129" s="36">
        <f>L129*E129</f>
        <v>28.013000000000002</v>
      </c>
      <c r="N129" s="37">
        <v>8.5</v>
      </c>
      <c r="O129" s="38">
        <f>N129*E129</f>
        <v>34</v>
      </c>
      <c r="P129" s="38">
        <f t="shared" ref="P129" si="207">N129-L129</f>
        <v>1.4967499999999996</v>
      </c>
      <c r="Q129" s="38">
        <f>P129*E129</f>
        <v>5.9869999999999983</v>
      </c>
      <c r="R129" s="39">
        <f t="shared" ref="R129" si="208">P129/N129</f>
        <v>0.1760882352941176</v>
      </c>
      <c r="S129" s="40"/>
      <c r="T129" s="110">
        <f t="shared" si="126"/>
        <v>8.5</v>
      </c>
      <c r="U129" s="107">
        <v>0.18</v>
      </c>
      <c r="V129" s="111">
        <f t="shared" si="127"/>
        <v>10.365853658536585</v>
      </c>
      <c r="W129" s="112">
        <f t="shared" si="128"/>
        <v>1.8658536585365848</v>
      </c>
      <c r="X129" s="112">
        <f t="shared" si="129"/>
        <v>0.16792682926829264</v>
      </c>
      <c r="Y129" s="113">
        <f t="shared" si="130"/>
        <v>2.0337804878048775</v>
      </c>
      <c r="Z129" s="112">
        <f t="shared" si="131"/>
        <v>8.3320731707317073</v>
      </c>
      <c r="AA129" s="114">
        <f t="shared" si="132"/>
        <v>0.15948289741375521</v>
      </c>
      <c r="AB129" s="115">
        <f t="shared" si="133"/>
        <v>-1.6605337880362392E-2</v>
      </c>
      <c r="AC129" s="116">
        <v>9.9</v>
      </c>
    </row>
    <row r="130" spans="1:29" ht="45" customHeight="1" x14ac:dyDescent="0.25">
      <c r="A130" s="30">
        <v>127</v>
      </c>
      <c r="B130" s="106" t="s">
        <v>103</v>
      </c>
      <c r="C130" s="31">
        <v>1</v>
      </c>
      <c r="D130" s="32" t="s">
        <v>83</v>
      </c>
      <c r="E130" s="31">
        <f t="shared" si="183"/>
        <v>4</v>
      </c>
      <c r="F130" s="96">
        <v>25.7</v>
      </c>
      <c r="G130" s="33">
        <f>F130/D130</f>
        <v>6.4249999999999998</v>
      </c>
      <c r="H130" s="34">
        <f>G130*E130</f>
        <v>25.7</v>
      </c>
      <c r="I130" s="35"/>
      <c r="J130" s="36">
        <f t="shared" si="125"/>
        <v>6.4249999999999998</v>
      </c>
      <c r="K130" s="36">
        <f t="shared" si="125"/>
        <v>25.7</v>
      </c>
      <c r="L130" s="36">
        <f t="shared" si="169"/>
        <v>7.0032500000000004</v>
      </c>
      <c r="M130" s="36">
        <f>L130*E130</f>
        <v>28.013000000000002</v>
      </c>
      <c r="N130" s="37">
        <v>8.5</v>
      </c>
      <c r="O130" s="38">
        <f>N130*E130</f>
        <v>34</v>
      </c>
      <c r="P130" s="38">
        <f t="shared" si="184"/>
        <v>1.4967499999999996</v>
      </c>
      <c r="Q130" s="38">
        <f>P130*E130</f>
        <v>5.9869999999999983</v>
      </c>
      <c r="R130" s="39">
        <f t="shared" si="185"/>
        <v>0.1760882352941176</v>
      </c>
      <c r="S130" s="40"/>
      <c r="T130" s="110">
        <f t="shared" si="126"/>
        <v>8.5</v>
      </c>
      <c r="U130" s="107">
        <v>0.18</v>
      </c>
      <c r="V130" s="111">
        <f t="shared" si="127"/>
        <v>10.365853658536585</v>
      </c>
      <c r="W130" s="112">
        <f t="shared" si="128"/>
        <v>1.8658536585365848</v>
      </c>
      <c r="X130" s="112">
        <f t="shared" si="129"/>
        <v>0.16792682926829264</v>
      </c>
      <c r="Y130" s="113">
        <f t="shared" si="130"/>
        <v>2.0337804878048775</v>
      </c>
      <c r="Z130" s="112">
        <f t="shared" si="131"/>
        <v>8.3320731707317073</v>
      </c>
      <c r="AA130" s="114">
        <f t="shared" si="132"/>
        <v>0.15948289741375521</v>
      </c>
      <c r="AB130" s="115">
        <f t="shared" si="133"/>
        <v>-1.6605337880362392E-2</v>
      </c>
      <c r="AC130" s="116">
        <v>9.9</v>
      </c>
    </row>
    <row r="131" spans="1:29" ht="45" customHeight="1" x14ac:dyDescent="0.25">
      <c r="A131" s="30">
        <v>128</v>
      </c>
      <c r="B131" s="100" t="s">
        <v>182</v>
      </c>
      <c r="C131" s="31">
        <v>1</v>
      </c>
      <c r="D131" s="32" t="s">
        <v>83</v>
      </c>
      <c r="E131" s="31">
        <f t="shared" ref="E131" si="209">D131*C131</f>
        <v>4</v>
      </c>
      <c r="F131" s="96">
        <v>25.7</v>
      </c>
      <c r="G131" s="33">
        <f>F131/D131</f>
        <v>6.4249999999999998</v>
      </c>
      <c r="H131" s="34">
        <f>G131*E131</f>
        <v>25.7</v>
      </c>
      <c r="I131" s="35"/>
      <c r="J131" s="36">
        <f t="shared" ref="J131" si="210">G131/$Q$2</f>
        <v>6.4249999999999998</v>
      </c>
      <c r="K131" s="36">
        <f t="shared" ref="K131" si="211">H131/$Q$2</f>
        <v>25.7</v>
      </c>
      <c r="L131" s="36">
        <f t="shared" si="169"/>
        <v>7.0032500000000004</v>
      </c>
      <c r="M131" s="36">
        <f>L131*E131</f>
        <v>28.013000000000002</v>
      </c>
      <c r="N131" s="37">
        <v>8.5</v>
      </c>
      <c r="O131" s="38">
        <f>N131*E131</f>
        <v>34</v>
      </c>
      <c r="P131" s="38">
        <f t="shared" ref="P131" si="212">N131-L131</f>
        <v>1.4967499999999996</v>
      </c>
      <c r="Q131" s="38">
        <f>P131*E131</f>
        <v>5.9869999999999983</v>
      </c>
      <c r="R131" s="39">
        <f t="shared" ref="R131" si="213">P131/N131</f>
        <v>0.1760882352941176</v>
      </c>
      <c r="S131" s="41"/>
      <c r="T131" s="110">
        <f t="shared" si="126"/>
        <v>8.5</v>
      </c>
      <c r="U131" s="107">
        <v>0.18</v>
      </c>
      <c r="V131" s="111">
        <f t="shared" si="127"/>
        <v>10.365853658536585</v>
      </c>
      <c r="W131" s="112">
        <f t="shared" si="128"/>
        <v>1.8658536585365848</v>
      </c>
      <c r="X131" s="112">
        <f t="shared" si="129"/>
        <v>0.16792682926829264</v>
      </c>
      <c r="Y131" s="113">
        <f t="shared" si="130"/>
        <v>2.0337804878048775</v>
      </c>
      <c r="Z131" s="112">
        <f t="shared" si="131"/>
        <v>8.3320731707317073</v>
      </c>
      <c r="AA131" s="114">
        <f t="shared" si="132"/>
        <v>0.15948289741375521</v>
      </c>
      <c r="AB131" s="115">
        <f t="shared" si="133"/>
        <v>-1.6605337880362392E-2</v>
      </c>
      <c r="AC131" s="116">
        <v>9.9</v>
      </c>
    </row>
    <row r="132" spans="1:29" ht="45" customHeight="1" x14ac:dyDescent="0.25">
      <c r="A132" s="30">
        <v>129</v>
      </c>
      <c r="B132" s="100" t="s">
        <v>104</v>
      </c>
      <c r="C132" s="31">
        <v>1</v>
      </c>
      <c r="D132" s="32" t="s">
        <v>83</v>
      </c>
      <c r="E132" s="31">
        <f t="shared" si="183"/>
        <v>4</v>
      </c>
      <c r="F132" s="96">
        <v>25.7</v>
      </c>
      <c r="G132" s="33">
        <f>F132/D132</f>
        <v>6.4249999999999998</v>
      </c>
      <c r="H132" s="34">
        <f>G132*E132</f>
        <v>25.7</v>
      </c>
      <c r="I132" s="35"/>
      <c r="J132" s="36">
        <f t="shared" si="125"/>
        <v>6.4249999999999998</v>
      </c>
      <c r="K132" s="36">
        <f t="shared" si="125"/>
        <v>25.7</v>
      </c>
      <c r="L132" s="36">
        <f t="shared" si="169"/>
        <v>7.0032500000000004</v>
      </c>
      <c r="M132" s="36">
        <f>L132*E132</f>
        <v>28.013000000000002</v>
      </c>
      <c r="N132" s="37">
        <v>8.5</v>
      </c>
      <c r="O132" s="38">
        <f>N132*E132</f>
        <v>34</v>
      </c>
      <c r="P132" s="38">
        <f t="shared" si="184"/>
        <v>1.4967499999999996</v>
      </c>
      <c r="Q132" s="38">
        <f>P132*E132</f>
        <v>5.9869999999999983</v>
      </c>
      <c r="R132" s="39">
        <f t="shared" si="185"/>
        <v>0.1760882352941176</v>
      </c>
      <c r="S132" s="41"/>
      <c r="T132" s="110">
        <f t="shared" si="126"/>
        <v>8.5</v>
      </c>
      <c r="U132" s="107">
        <v>0.18</v>
      </c>
      <c r="V132" s="111">
        <f t="shared" si="127"/>
        <v>10.365853658536585</v>
      </c>
      <c r="W132" s="112">
        <f t="shared" si="128"/>
        <v>1.8658536585365848</v>
      </c>
      <c r="X132" s="112">
        <f t="shared" si="129"/>
        <v>0.16792682926829264</v>
      </c>
      <c r="Y132" s="113">
        <f t="shared" si="130"/>
        <v>2.0337804878048775</v>
      </c>
      <c r="Z132" s="112">
        <f t="shared" si="131"/>
        <v>8.3320731707317073</v>
      </c>
      <c r="AA132" s="114">
        <f t="shared" si="132"/>
        <v>0.15948289741375521</v>
      </c>
      <c r="AB132" s="115">
        <f t="shared" si="133"/>
        <v>-1.6605337880362392E-2</v>
      </c>
      <c r="AC132" s="116">
        <v>9.9</v>
      </c>
    </row>
    <row r="133" spans="1:29" ht="45" customHeight="1" x14ac:dyDescent="0.25">
      <c r="A133" s="30">
        <v>130</v>
      </c>
      <c r="B133" s="100" t="s">
        <v>105</v>
      </c>
      <c r="C133" s="31">
        <v>1</v>
      </c>
      <c r="D133" s="32" t="s">
        <v>73</v>
      </c>
      <c r="E133" s="31">
        <f t="shared" si="183"/>
        <v>12</v>
      </c>
      <c r="F133" s="96">
        <v>25.5</v>
      </c>
      <c r="G133" s="33">
        <f>F133/D133</f>
        <v>2.125</v>
      </c>
      <c r="H133" s="34">
        <f>G133*E133</f>
        <v>25.5</v>
      </c>
      <c r="I133" s="35"/>
      <c r="J133" s="36">
        <f t="shared" si="125"/>
        <v>2.125</v>
      </c>
      <c r="K133" s="36">
        <f t="shared" si="125"/>
        <v>25.5</v>
      </c>
      <c r="L133" s="36">
        <f t="shared" si="169"/>
        <v>2.3162500000000001</v>
      </c>
      <c r="M133" s="36">
        <f>L133*E133</f>
        <v>27.795000000000002</v>
      </c>
      <c r="N133" s="37">
        <v>3.9</v>
      </c>
      <c r="O133" s="38">
        <f>N133*E133</f>
        <v>46.8</v>
      </c>
      <c r="P133" s="38">
        <f t="shared" si="184"/>
        <v>1.5837499999999998</v>
      </c>
      <c r="Q133" s="38">
        <f>P133*E133</f>
        <v>19.004999999999995</v>
      </c>
      <c r="R133" s="39">
        <f t="shared" si="185"/>
        <v>0.40608974358974353</v>
      </c>
      <c r="S133" s="42"/>
      <c r="T133" s="110">
        <f t="shared" si="126"/>
        <v>3.9</v>
      </c>
      <c r="U133" s="107">
        <v>0.18</v>
      </c>
      <c r="V133" s="111">
        <f t="shared" si="127"/>
        <v>4.7560975609756095</v>
      </c>
      <c r="W133" s="112">
        <f t="shared" si="128"/>
        <v>0.85609756097560963</v>
      </c>
      <c r="X133" s="112">
        <f t="shared" si="129"/>
        <v>7.7048780487804863E-2</v>
      </c>
      <c r="Y133" s="113">
        <f t="shared" si="130"/>
        <v>0.93314634146341446</v>
      </c>
      <c r="Z133" s="112">
        <f t="shared" si="131"/>
        <v>3.8229512195121949</v>
      </c>
      <c r="AA133" s="114">
        <f t="shared" si="132"/>
        <v>0.39411991757102471</v>
      </c>
      <c r="AB133" s="115">
        <f t="shared" si="133"/>
        <v>-1.1969826018718821E-2</v>
      </c>
      <c r="AC133" s="116" t="s">
        <v>224</v>
      </c>
    </row>
    <row r="134" spans="1:29" ht="45" customHeight="1" x14ac:dyDescent="0.25">
      <c r="A134" s="30">
        <v>131</v>
      </c>
      <c r="B134" s="100" t="s">
        <v>183</v>
      </c>
      <c r="C134" s="31">
        <v>1</v>
      </c>
      <c r="D134" s="32" t="s">
        <v>24</v>
      </c>
      <c r="E134" s="31">
        <f t="shared" si="183"/>
        <v>24</v>
      </c>
      <c r="F134" s="96">
        <v>49</v>
      </c>
      <c r="G134" s="33">
        <f>F134/D134</f>
        <v>2.0416666666666665</v>
      </c>
      <c r="H134" s="34">
        <f>G134*E134</f>
        <v>49</v>
      </c>
      <c r="I134" s="35"/>
      <c r="J134" s="36">
        <f t="shared" si="125"/>
        <v>2.0416666666666665</v>
      </c>
      <c r="K134" s="36">
        <f t="shared" si="125"/>
        <v>49</v>
      </c>
      <c r="L134" s="36">
        <f t="shared" si="169"/>
        <v>2.2254166666666668</v>
      </c>
      <c r="M134" s="36">
        <f>L134*E134</f>
        <v>53.410000000000004</v>
      </c>
      <c r="N134" s="37">
        <v>3.9</v>
      </c>
      <c r="O134" s="38">
        <f>N134*E134</f>
        <v>93.6</v>
      </c>
      <c r="P134" s="38">
        <f t="shared" si="184"/>
        <v>1.6745833333333331</v>
      </c>
      <c r="Q134" s="38">
        <f>P134*E134</f>
        <v>40.19</v>
      </c>
      <c r="R134" s="39">
        <f t="shared" si="185"/>
        <v>0.42938034188034185</v>
      </c>
      <c r="S134" s="42"/>
      <c r="T134" s="110">
        <f t="shared" si="126"/>
        <v>3.9</v>
      </c>
      <c r="U134" s="107">
        <v>0.18</v>
      </c>
      <c r="V134" s="111">
        <f t="shared" si="127"/>
        <v>4.7560975609756095</v>
      </c>
      <c r="W134" s="112">
        <f t="shared" si="128"/>
        <v>0.85609756097560963</v>
      </c>
      <c r="X134" s="112">
        <f t="shared" si="129"/>
        <v>7.7048780487804863E-2</v>
      </c>
      <c r="Y134" s="113">
        <f t="shared" si="130"/>
        <v>0.93314634146341446</v>
      </c>
      <c r="Z134" s="112">
        <f t="shared" si="131"/>
        <v>3.8229512195121949</v>
      </c>
      <c r="AA134" s="114">
        <f t="shared" si="132"/>
        <v>0.41787992080353359</v>
      </c>
      <c r="AB134" s="115">
        <f t="shared" si="133"/>
        <v>-1.1500421076808265E-2</v>
      </c>
      <c r="AC134" s="116" t="s">
        <v>224</v>
      </c>
    </row>
    <row r="135" spans="1:29" ht="45" customHeight="1" x14ac:dyDescent="0.25">
      <c r="A135" s="30">
        <v>132</v>
      </c>
      <c r="B135" s="100" t="s">
        <v>184</v>
      </c>
      <c r="C135" s="31">
        <v>1</v>
      </c>
      <c r="D135" s="32" t="s">
        <v>73</v>
      </c>
      <c r="E135" s="31">
        <f t="shared" si="183"/>
        <v>12</v>
      </c>
      <c r="F135" s="96">
        <v>24</v>
      </c>
      <c r="G135" s="33">
        <f>F135/D135</f>
        <v>2</v>
      </c>
      <c r="H135" s="34">
        <f>G135*E135</f>
        <v>24</v>
      </c>
      <c r="I135" s="35"/>
      <c r="J135" s="36">
        <f t="shared" si="125"/>
        <v>2</v>
      </c>
      <c r="K135" s="36">
        <f t="shared" si="125"/>
        <v>24</v>
      </c>
      <c r="L135" s="36">
        <f t="shared" si="169"/>
        <v>2.1800000000000002</v>
      </c>
      <c r="M135" s="36">
        <f>L135*E135</f>
        <v>26.160000000000004</v>
      </c>
      <c r="N135" s="37"/>
      <c r="O135" s="38">
        <f>N135*E135</f>
        <v>0</v>
      </c>
      <c r="P135" s="38">
        <f t="shared" si="184"/>
        <v>-2.1800000000000002</v>
      </c>
      <c r="Q135" s="38">
        <f>P135*E135</f>
        <v>-26.160000000000004</v>
      </c>
      <c r="R135" s="39" t="e">
        <f t="shared" si="185"/>
        <v>#DIV/0!</v>
      </c>
      <c r="S135" s="42"/>
      <c r="T135" s="110">
        <f t="shared" si="126"/>
        <v>0</v>
      </c>
      <c r="U135" s="107">
        <v>0.18</v>
      </c>
      <c r="V135" s="111">
        <f t="shared" si="127"/>
        <v>0</v>
      </c>
      <c r="W135" s="112">
        <f t="shared" si="128"/>
        <v>0</v>
      </c>
      <c r="X135" s="112">
        <f t="shared" si="129"/>
        <v>0</v>
      </c>
      <c r="Y135" s="113">
        <f t="shared" si="130"/>
        <v>0</v>
      </c>
      <c r="Z135" s="112">
        <f t="shared" si="131"/>
        <v>0</v>
      </c>
      <c r="AA135" s="114" t="e">
        <f t="shared" si="132"/>
        <v>#DIV/0!</v>
      </c>
      <c r="AB135" s="115" t="e">
        <f t="shared" si="133"/>
        <v>#DIV/0!</v>
      </c>
      <c r="AC135" s="116" t="s">
        <v>224</v>
      </c>
    </row>
    <row r="136" spans="1:29" ht="45" customHeight="1" x14ac:dyDescent="0.25">
      <c r="A136" s="30">
        <v>133</v>
      </c>
      <c r="B136" s="100" t="s">
        <v>178</v>
      </c>
      <c r="C136" s="31">
        <v>1</v>
      </c>
      <c r="D136" s="32" t="s">
        <v>24</v>
      </c>
      <c r="E136" s="31">
        <f t="shared" ref="E136" si="214">D136*C136</f>
        <v>24</v>
      </c>
      <c r="F136" s="96">
        <v>49.8</v>
      </c>
      <c r="G136" s="33">
        <f>F136/D136</f>
        <v>2.0749999999999997</v>
      </c>
      <c r="H136" s="34">
        <f>G136*E136</f>
        <v>49.8</v>
      </c>
      <c r="I136" s="35"/>
      <c r="J136" s="36">
        <f t="shared" ref="J136" si="215">G136/$Q$2</f>
        <v>2.0749999999999997</v>
      </c>
      <c r="K136" s="36">
        <f t="shared" ref="K136" si="216">H136/$Q$2</f>
        <v>49.8</v>
      </c>
      <c r="L136" s="36">
        <f t="shared" si="169"/>
        <v>2.2617499999999997</v>
      </c>
      <c r="M136" s="36">
        <f>L136*E136</f>
        <v>54.281999999999996</v>
      </c>
      <c r="N136" s="37">
        <v>3.9</v>
      </c>
      <c r="O136" s="38">
        <f>N136*E136</f>
        <v>93.6</v>
      </c>
      <c r="P136" s="38">
        <f t="shared" ref="P136" si="217">N136-L136</f>
        <v>1.6382500000000002</v>
      </c>
      <c r="Q136" s="38">
        <f>P136*E136</f>
        <v>39.318000000000005</v>
      </c>
      <c r="R136" s="39">
        <f t="shared" ref="R136" si="218">P136/N136</f>
        <v>0.42006410256410265</v>
      </c>
      <c r="S136" s="42"/>
      <c r="T136" s="110">
        <f t="shared" si="126"/>
        <v>3.9</v>
      </c>
      <c r="U136" s="107">
        <v>0.18</v>
      </c>
      <c r="V136" s="111">
        <f t="shared" si="127"/>
        <v>4.7560975609756095</v>
      </c>
      <c r="W136" s="112">
        <f t="shared" si="128"/>
        <v>0.85609756097560963</v>
      </c>
      <c r="X136" s="112">
        <f t="shared" si="129"/>
        <v>7.7048780487804863E-2</v>
      </c>
      <c r="Y136" s="113">
        <f t="shared" si="130"/>
        <v>0.93314634146341446</v>
      </c>
      <c r="Z136" s="112">
        <f t="shared" si="131"/>
        <v>3.8229512195121949</v>
      </c>
      <c r="AA136" s="114">
        <f t="shared" si="132"/>
        <v>0.40837591951053015</v>
      </c>
      <c r="AB136" s="115">
        <f t="shared" si="133"/>
        <v>-1.1688183053572498E-2</v>
      </c>
      <c r="AC136" s="116" t="s">
        <v>224</v>
      </c>
    </row>
    <row r="137" spans="1:29" ht="45" customHeight="1" x14ac:dyDescent="0.25">
      <c r="A137" s="30">
        <v>134</v>
      </c>
      <c r="B137" s="100" t="s">
        <v>148</v>
      </c>
      <c r="C137" s="31">
        <v>1</v>
      </c>
      <c r="D137" s="32" t="s">
        <v>24</v>
      </c>
      <c r="E137" s="31">
        <f t="shared" ref="E137" si="219">D137*C137</f>
        <v>24</v>
      </c>
      <c r="F137" s="96">
        <v>58</v>
      </c>
      <c r="G137" s="33">
        <f>F137/D137</f>
        <v>2.4166666666666665</v>
      </c>
      <c r="H137" s="34">
        <f>G137*E137</f>
        <v>58</v>
      </c>
      <c r="I137" s="35"/>
      <c r="J137" s="36">
        <f t="shared" ref="J137" si="220">G137/$Q$2</f>
        <v>2.4166666666666665</v>
      </c>
      <c r="K137" s="36">
        <f t="shared" ref="K137" si="221">H137/$Q$2</f>
        <v>58</v>
      </c>
      <c r="L137" s="36">
        <f t="shared" ref="L137:L142" si="222">J137*(1+$M$177+9%)</f>
        <v>2.6341666666666668</v>
      </c>
      <c r="M137" s="36">
        <f>L137*E137</f>
        <v>63.22</v>
      </c>
      <c r="N137" s="37">
        <v>3.95</v>
      </c>
      <c r="O137" s="38">
        <f>N137*E137</f>
        <v>94.800000000000011</v>
      </c>
      <c r="P137" s="38">
        <f t="shared" ref="P137" si="223">N137-L137</f>
        <v>1.3158333333333334</v>
      </c>
      <c r="Q137" s="38">
        <f>P137*E137</f>
        <v>31.580000000000002</v>
      </c>
      <c r="R137" s="39">
        <f t="shared" ref="R137" si="224">P137/N137</f>
        <v>0.33312236286919833</v>
      </c>
      <c r="S137" s="42"/>
      <c r="T137" s="110">
        <f t="shared" si="126"/>
        <v>3.95</v>
      </c>
      <c r="U137" s="107">
        <v>0.18</v>
      </c>
      <c r="V137" s="111">
        <f t="shared" si="127"/>
        <v>4.8170731707317076</v>
      </c>
      <c r="W137" s="112">
        <f t="shared" si="128"/>
        <v>0.86707317073170742</v>
      </c>
      <c r="X137" s="112">
        <f t="shared" si="129"/>
        <v>7.8036585365853658E-2</v>
      </c>
      <c r="Y137" s="113">
        <f t="shared" si="130"/>
        <v>0.94510975609756109</v>
      </c>
      <c r="Z137" s="112">
        <f t="shared" si="131"/>
        <v>3.8719634146341466</v>
      </c>
      <c r="AA137" s="114">
        <f t="shared" si="132"/>
        <v>0.31968193276031681</v>
      </c>
      <c r="AB137" s="115">
        <f t="shared" si="133"/>
        <v>-1.3440430108881518E-2</v>
      </c>
      <c r="AC137" s="116" t="s">
        <v>224</v>
      </c>
    </row>
    <row r="138" spans="1:29" ht="45" customHeight="1" x14ac:dyDescent="0.25">
      <c r="A138" s="30">
        <v>135</v>
      </c>
      <c r="B138" s="102" t="s">
        <v>106</v>
      </c>
      <c r="C138" s="31">
        <v>1</v>
      </c>
      <c r="D138" s="32" t="s">
        <v>136</v>
      </c>
      <c r="E138" s="31">
        <f t="shared" si="183"/>
        <v>10</v>
      </c>
      <c r="F138" s="96">
        <v>13.5</v>
      </c>
      <c r="G138" s="33">
        <f>F138/D138</f>
        <v>1.35</v>
      </c>
      <c r="H138" s="34">
        <f>G138*E138</f>
        <v>13.5</v>
      </c>
      <c r="I138" s="35"/>
      <c r="J138" s="36">
        <f t="shared" si="125"/>
        <v>1.35</v>
      </c>
      <c r="K138" s="36">
        <f t="shared" si="125"/>
        <v>13.5</v>
      </c>
      <c r="L138" s="36">
        <f t="shared" si="222"/>
        <v>1.4715000000000003</v>
      </c>
      <c r="M138" s="36">
        <f>L138*E138</f>
        <v>14.715000000000003</v>
      </c>
      <c r="N138" s="37">
        <v>1.95</v>
      </c>
      <c r="O138" s="38">
        <f>N138*E138</f>
        <v>19.5</v>
      </c>
      <c r="P138" s="38">
        <f t="shared" si="184"/>
        <v>0.4784999999999997</v>
      </c>
      <c r="Q138" s="38">
        <f>P138*E138</f>
        <v>4.7849999999999966</v>
      </c>
      <c r="R138" s="39">
        <f t="shared" si="185"/>
        <v>0.24538461538461523</v>
      </c>
      <c r="S138" s="42"/>
      <c r="T138" s="110">
        <f t="shared" ref="T138:T173" si="225">N138</f>
        <v>1.95</v>
      </c>
      <c r="U138" s="107">
        <v>0.18</v>
      </c>
      <c r="V138" s="111">
        <f t="shared" ref="V138:V173" si="226">T138/(1-18%)</f>
        <v>2.3780487804878048</v>
      </c>
      <c r="W138" s="112">
        <f t="shared" ref="W138:W173" si="227">V138-T138</f>
        <v>0.42804878048780481</v>
      </c>
      <c r="X138" s="112">
        <f t="shared" ref="X138:X173" si="228">W138*0.09</f>
        <v>3.8524390243902432E-2</v>
      </c>
      <c r="Y138" s="113">
        <f t="shared" ref="Y138:Y173" si="229">W138+X138</f>
        <v>0.46657317073170723</v>
      </c>
      <c r="Z138" s="112">
        <f t="shared" ref="Z138:Z173" si="230">V138-Y138</f>
        <v>1.9114756097560974</v>
      </c>
      <c r="AA138" s="114">
        <f t="shared" ref="AA138:AA173" si="231">(Z138-L138)/Z138</f>
        <v>0.2301758952667137</v>
      </c>
      <c r="AB138" s="115">
        <f t="shared" ref="AB138:AB173" si="232">AA138-R138</f>
        <v>-1.5208720117901531E-2</v>
      </c>
      <c r="AC138" s="116">
        <v>1.5</v>
      </c>
    </row>
    <row r="139" spans="1:29" ht="45" customHeight="1" x14ac:dyDescent="0.25">
      <c r="A139" s="30">
        <v>136</v>
      </c>
      <c r="B139" s="100" t="s">
        <v>216</v>
      </c>
      <c r="C139" s="31">
        <v>1</v>
      </c>
      <c r="D139" s="32" t="s">
        <v>157</v>
      </c>
      <c r="E139" s="31">
        <f t="shared" si="183"/>
        <v>60</v>
      </c>
      <c r="F139" s="96">
        <v>34</v>
      </c>
      <c r="G139" s="33">
        <f>F139/D139</f>
        <v>0.56666666666666665</v>
      </c>
      <c r="H139" s="34">
        <f>G139*E139</f>
        <v>34</v>
      </c>
      <c r="I139" s="35"/>
      <c r="J139" s="36">
        <f t="shared" si="125"/>
        <v>0.56666666666666665</v>
      </c>
      <c r="K139" s="36">
        <f t="shared" si="125"/>
        <v>34</v>
      </c>
      <c r="L139" s="36">
        <f t="shared" si="222"/>
        <v>0.6176666666666667</v>
      </c>
      <c r="M139" s="36">
        <f>L139*E139</f>
        <v>37.06</v>
      </c>
      <c r="N139" s="37">
        <v>0.85</v>
      </c>
      <c r="O139" s="38">
        <f>N139*E139</f>
        <v>51</v>
      </c>
      <c r="P139" s="38">
        <f t="shared" si="184"/>
        <v>0.23233333333333328</v>
      </c>
      <c r="Q139" s="38">
        <f>P139*E139</f>
        <v>13.939999999999998</v>
      </c>
      <c r="R139" s="39">
        <f t="shared" si="185"/>
        <v>0.27333333333333326</v>
      </c>
      <c r="S139" s="42"/>
      <c r="T139" s="110">
        <f t="shared" si="225"/>
        <v>0.85</v>
      </c>
      <c r="U139" s="107">
        <v>0.18</v>
      </c>
      <c r="V139" s="111">
        <f t="shared" si="226"/>
        <v>1.0365853658536583</v>
      </c>
      <c r="W139" s="112">
        <f t="shared" si="227"/>
        <v>0.18658536585365837</v>
      </c>
      <c r="X139" s="112">
        <f t="shared" si="228"/>
        <v>1.6792682926829252E-2</v>
      </c>
      <c r="Y139" s="113">
        <f t="shared" si="229"/>
        <v>0.20337804878048762</v>
      </c>
      <c r="Z139" s="112">
        <f t="shared" si="230"/>
        <v>0.83320731707317075</v>
      </c>
      <c r="AA139" s="114">
        <f t="shared" si="231"/>
        <v>0.25868789914572443</v>
      </c>
      <c r="AB139" s="115">
        <f t="shared" si="232"/>
        <v>-1.464543418760883E-2</v>
      </c>
      <c r="AC139" s="116" t="s">
        <v>224</v>
      </c>
    </row>
    <row r="140" spans="1:29" ht="45" customHeight="1" x14ac:dyDescent="0.25">
      <c r="A140" s="30">
        <v>137</v>
      </c>
      <c r="B140" s="104" t="s">
        <v>107</v>
      </c>
      <c r="C140" s="31">
        <v>1</v>
      </c>
      <c r="D140" s="32" t="s">
        <v>157</v>
      </c>
      <c r="E140" s="31">
        <f t="shared" si="183"/>
        <v>60</v>
      </c>
      <c r="F140" s="96">
        <v>34</v>
      </c>
      <c r="G140" s="33">
        <f>F140/D140</f>
        <v>0.56666666666666665</v>
      </c>
      <c r="H140" s="34">
        <f>G140*E140</f>
        <v>34</v>
      </c>
      <c r="I140" s="35"/>
      <c r="J140" s="36">
        <f t="shared" si="125"/>
        <v>0.56666666666666665</v>
      </c>
      <c r="K140" s="36">
        <f t="shared" si="125"/>
        <v>34</v>
      </c>
      <c r="L140" s="36">
        <f t="shared" si="222"/>
        <v>0.6176666666666667</v>
      </c>
      <c r="M140" s="36">
        <f>L140*E140</f>
        <v>37.06</v>
      </c>
      <c r="N140" s="37">
        <v>0.85</v>
      </c>
      <c r="O140" s="38">
        <f>N140*E140</f>
        <v>51</v>
      </c>
      <c r="P140" s="38">
        <f t="shared" si="184"/>
        <v>0.23233333333333328</v>
      </c>
      <c r="Q140" s="38">
        <f>P140*E140</f>
        <v>13.939999999999998</v>
      </c>
      <c r="R140" s="39">
        <f t="shared" si="185"/>
        <v>0.27333333333333326</v>
      </c>
      <c r="S140" s="43"/>
      <c r="T140" s="110">
        <f t="shared" si="225"/>
        <v>0.85</v>
      </c>
      <c r="U140" s="107">
        <v>0.18</v>
      </c>
      <c r="V140" s="111">
        <f t="shared" si="226"/>
        <v>1.0365853658536583</v>
      </c>
      <c r="W140" s="112">
        <f t="shared" si="227"/>
        <v>0.18658536585365837</v>
      </c>
      <c r="X140" s="112">
        <f t="shared" si="228"/>
        <v>1.6792682926829252E-2</v>
      </c>
      <c r="Y140" s="113">
        <f t="shared" si="229"/>
        <v>0.20337804878048762</v>
      </c>
      <c r="Z140" s="112">
        <f t="shared" si="230"/>
        <v>0.83320731707317075</v>
      </c>
      <c r="AA140" s="114">
        <f t="shared" si="231"/>
        <v>0.25868789914572443</v>
      </c>
      <c r="AB140" s="115">
        <f t="shared" si="232"/>
        <v>-1.464543418760883E-2</v>
      </c>
      <c r="AC140" s="116" t="s">
        <v>224</v>
      </c>
    </row>
    <row r="141" spans="1:29" ht="45" customHeight="1" x14ac:dyDescent="0.25">
      <c r="A141" s="30">
        <v>138</v>
      </c>
      <c r="B141" s="106" t="s">
        <v>108</v>
      </c>
      <c r="C141" s="31">
        <v>1</v>
      </c>
      <c r="D141" s="32" t="s">
        <v>25</v>
      </c>
      <c r="E141" s="31">
        <f t="shared" si="183"/>
        <v>6</v>
      </c>
      <c r="F141" s="96">
        <v>21</v>
      </c>
      <c r="G141" s="33">
        <f>F141/D141</f>
        <v>3.5</v>
      </c>
      <c r="H141" s="34">
        <f>G141*E141</f>
        <v>21</v>
      </c>
      <c r="I141" s="35"/>
      <c r="J141" s="36">
        <f t="shared" si="125"/>
        <v>3.5</v>
      </c>
      <c r="K141" s="36">
        <f t="shared" si="125"/>
        <v>21</v>
      </c>
      <c r="L141" s="36">
        <f t="shared" si="222"/>
        <v>3.8150000000000004</v>
      </c>
      <c r="M141" s="36">
        <f>L141*E141</f>
        <v>22.89</v>
      </c>
      <c r="N141" s="37">
        <v>4.95</v>
      </c>
      <c r="O141" s="38">
        <f>N141*E141</f>
        <v>29.700000000000003</v>
      </c>
      <c r="P141" s="38">
        <f t="shared" si="184"/>
        <v>1.1349999999999998</v>
      </c>
      <c r="Q141" s="38">
        <f>P141*E141</f>
        <v>6.8099999999999987</v>
      </c>
      <c r="R141" s="39">
        <f t="shared" si="185"/>
        <v>0.22929292929292924</v>
      </c>
      <c r="S141" s="40"/>
      <c r="T141" s="110">
        <f t="shared" si="225"/>
        <v>4.95</v>
      </c>
      <c r="U141" s="107">
        <v>0.18</v>
      </c>
      <c r="V141" s="111">
        <f t="shared" si="226"/>
        <v>6.0365853658536581</v>
      </c>
      <c r="W141" s="112">
        <f t="shared" si="227"/>
        <v>1.0865853658536579</v>
      </c>
      <c r="X141" s="112">
        <f t="shared" si="228"/>
        <v>9.7792682926829216E-2</v>
      </c>
      <c r="Y141" s="113">
        <f t="shared" si="229"/>
        <v>1.1843780487804871</v>
      </c>
      <c r="Z141" s="112">
        <f t="shared" si="230"/>
        <v>4.8522073170731712</v>
      </c>
      <c r="AA141" s="114">
        <f t="shared" si="231"/>
        <v>0.21375989303334414</v>
      </c>
      <c r="AB141" s="115">
        <f t="shared" si="232"/>
        <v>-1.5533036259585103E-2</v>
      </c>
      <c r="AC141" s="116" t="s">
        <v>224</v>
      </c>
    </row>
    <row r="142" spans="1:29" ht="45" customHeight="1" x14ac:dyDescent="0.25">
      <c r="A142" s="30">
        <v>139</v>
      </c>
      <c r="B142" s="104" t="s">
        <v>109</v>
      </c>
      <c r="C142" s="31">
        <v>1</v>
      </c>
      <c r="D142" s="32" t="s">
        <v>73</v>
      </c>
      <c r="E142" s="31">
        <f t="shared" si="183"/>
        <v>12</v>
      </c>
      <c r="F142" s="96">
        <v>19</v>
      </c>
      <c r="G142" s="33">
        <f>F142/D142</f>
        <v>1.5833333333333333</v>
      </c>
      <c r="H142" s="34">
        <f>G142*E142</f>
        <v>19</v>
      </c>
      <c r="I142" s="35"/>
      <c r="J142" s="36">
        <f t="shared" si="125"/>
        <v>1.5833333333333333</v>
      </c>
      <c r="K142" s="36">
        <f t="shared" si="125"/>
        <v>19</v>
      </c>
      <c r="L142" s="36">
        <f t="shared" si="222"/>
        <v>1.7258333333333333</v>
      </c>
      <c r="M142" s="36">
        <f>L142*E142</f>
        <v>20.71</v>
      </c>
      <c r="N142" s="37">
        <v>2.5</v>
      </c>
      <c r="O142" s="38">
        <f>N142*E142</f>
        <v>30</v>
      </c>
      <c r="P142" s="38">
        <f t="shared" si="184"/>
        <v>0.77416666666666667</v>
      </c>
      <c r="Q142" s="38">
        <f>P142*E142</f>
        <v>9.2899999999999991</v>
      </c>
      <c r="R142" s="39">
        <f t="shared" si="185"/>
        <v>0.30966666666666665</v>
      </c>
      <c r="S142" s="43"/>
      <c r="T142" s="110">
        <f t="shared" si="225"/>
        <v>2.5</v>
      </c>
      <c r="U142" s="107">
        <v>0.18</v>
      </c>
      <c r="V142" s="111">
        <f t="shared" si="226"/>
        <v>3.0487804878048776</v>
      </c>
      <c r="W142" s="112">
        <f t="shared" si="227"/>
        <v>0.54878048780487765</v>
      </c>
      <c r="X142" s="112">
        <f t="shared" si="228"/>
        <v>4.9390243902438985E-2</v>
      </c>
      <c r="Y142" s="113">
        <f t="shared" si="229"/>
        <v>0.59817073170731661</v>
      </c>
      <c r="Z142" s="112">
        <f t="shared" si="230"/>
        <v>2.450609756097561</v>
      </c>
      <c r="AA142" s="114">
        <f t="shared" si="231"/>
        <v>0.29575350418843827</v>
      </c>
      <c r="AB142" s="115">
        <f t="shared" si="232"/>
        <v>-1.391316247822838E-2</v>
      </c>
      <c r="AC142" s="116" t="s">
        <v>224</v>
      </c>
    </row>
    <row r="143" spans="1:29" ht="45" customHeight="1" x14ac:dyDescent="0.25">
      <c r="A143" s="30">
        <v>140</v>
      </c>
      <c r="B143" s="103" t="s">
        <v>189</v>
      </c>
      <c r="C143" s="31">
        <v>1</v>
      </c>
      <c r="D143" s="32" t="s">
        <v>73</v>
      </c>
      <c r="E143" s="31">
        <f t="shared" ref="E143:E144" si="233">D143*C143</f>
        <v>12</v>
      </c>
      <c r="F143" s="96">
        <v>19</v>
      </c>
      <c r="G143" s="33">
        <f>F143/D143</f>
        <v>1.5833333333333333</v>
      </c>
      <c r="H143" s="34">
        <f>G143*E143</f>
        <v>19</v>
      </c>
      <c r="I143" s="35"/>
      <c r="J143" s="36">
        <f t="shared" ref="J143:J144" si="234">G143/$Q$2</f>
        <v>1.5833333333333333</v>
      </c>
      <c r="K143" s="36">
        <f t="shared" ref="K143:K144" si="235">H143/$Q$2</f>
        <v>19</v>
      </c>
      <c r="L143" s="36">
        <f t="shared" ref="L143:L144" si="236">J143*(1+$M$177+9%)</f>
        <v>1.7258333333333333</v>
      </c>
      <c r="M143" s="36">
        <f>L143*E143</f>
        <v>20.71</v>
      </c>
      <c r="N143" s="37"/>
      <c r="O143" s="38">
        <f>N143*E143</f>
        <v>0</v>
      </c>
      <c r="P143" s="38">
        <f t="shared" ref="P143:P144" si="237">N143-L143</f>
        <v>-1.7258333333333333</v>
      </c>
      <c r="Q143" s="38">
        <f>P143*E143</f>
        <v>-20.71</v>
      </c>
      <c r="R143" s="39" t="e">
        <f t="shared" ref="R143:R144" si="238">P143/N143</f>
        <v>#DIV/0!</v>
      </c>
      <c r="S143" s="43"/>
      <c r="T143" s="110">
        <f t="shared" si="225"/>
        <v>0</v>
      </c>
      <c r="U143" s="107">
        <v>0.18</v>
      </c>
      <c r="V143" s="111">
        <f t="shared" si="226"/>
        <v>0</v>
      </c>
      <c r="W143" s="112">
        <f t="shared" si="227"/>
        <v>0</v>
      </c>
      <c r="X143" s="112">
        <f t="shared" si="228"/>
        <v>0</v>
      </c>
      <c r="Y143" s="113">
        <f t="shared" si="229"/>
        <v>0</v>
      </c>
      <c r="Z143" s="112">
        <f t="shared" si="230"/>
        <v>0</v>
      </c>
      <c r="AA143" s="114" t="e">
        <f t="shared" si="231"/>
        <v>#DIV/0!</v>
      </c>
      <c r="AB143" s="115" t="e">
        <f t="shared" si="232"/>
        <v>#DIV/0!</v>
      </c>
      <c r="AC143" s="116" t="s">
        <v>224</v>
      </c>
    </row>
    <row r="144" spans="1:29" ht="45" customHeight="1" x14ac:dyDescent="0.25">
      <c r="A144" s="30">
        <v>141</v>
      </c>
      <c r="B144" s="104" t="s">
        <v>190</v>
      </c>
      <c r="C144" s="31">
        <v>1</v>
      </c>
      <c r="D144" s="32" t="s">
        <v>73</v>
      </c>
      <c r="E144" s="31">
        <f t="shared" si="233"/>
        <v>12</v>
      </c>
      <c r="F144" s="96">
        <v>19.5</v>
      </c>
      <c r="G144" s="33">
        <f>F144/D144</f>
        <v>1.625</v>
      </c>
      <c r="H144" s="34">
        <f>G144*E144</f>
        <v>19.5</v>
      </c>
      <c r="I144" s="35"/>
      <c r="J144" s="36">
        <f t="shared" si="234"/>
        <v>1.625</v>
      </c>
      <c r="K144" s="36">
        <f t="shared" si="235"/>
        <v>19.5</v>
      </c>
      <c r="L144" s="36">
        <f t="shared" si="236"/>
        <v>1.7712500000000002</v>
      </c>
      <c r="M144" s="36">
        <f>L144*E144</f>
        <v>21.255000000000003</v>
      </c>
      <c r="N144" s="37"/>
      <c r="O144" s="38">
        <f>N144*E144</f>
        <v>0</v>
      </c>
      <c r="P144" s="38">
        <f t="shared" si="237"/>
        <v>-1.7712500000000002</v>
      </c>
      <c r="Q144" s="38">
        <f>P144*E144</f>
        <v>-21.255000000000003</v>
      </c>
      <c r="R144" s="39" t="e">
        <f t="shared" si="238"/>
        <v>#DIV/0!</v>
      </c>
      <c r="S144" s="43"/>
      <c r="T144" s="110">
        <f t="shared" si="225"/>
        <v>0</v>
      </c>
      <c r="U144" s="107">
        <v>0.18</v>
      </c>
      <c r="V144" s="111">
        <f t="shared" si="226"/>
        <v>0</v>
      </c>
      <c r="W144" s="112">
        <f t="shared" si="227"/>
        <v>0</v>
      </c>
      <c r="X144" s="112">
        <f t="shared" si="228"/>
        <v>0</v>
      </c>
      <c r="Y144" s="113">
        <f t="shared" si="229"/>
        <v>0</v>
      </c>
      <c r="Z144" s="112">
        <f t="shared" si="230"/>
        <v>0</v>
      </c>
      <c r="AA144" s="114" t="e">
        <f t="shared" si="231"/>
        <v>#DIV/0!</v>
      </c>
      <c r="AB144" s="115" t="e">
        <f t="shared" si="232"/>
        <v>#DIV/0!</v>
      </c>
      <c r="AC144" s="116" t="s">
        <v>224</v>
      </c>
    </row>
    <row r="145" spans="1:29" ht="45" customHeight="1" x14ac:dyDescent="0.25">
      <c r="A145" s="30">
        <v>142</v>
      </c>
      <c r="B145" s="103" t="s">
        <v>110</v>
      </c>
      <c r="C145" s="31">
        <v>1</v>
      </c>
      <c r="D145" s="32" t="s">
        <v>73</v>
      </c>
      <c r="E145" s="31">
        <f t="shared" si="183"/>
        <v>12</v>
      </c>
      <c r="F145" s="96">
        <v>19</v>
      </c>
      <c r="G145" s="33">
        <f>F145/D145</f>
        <v>1.5833333333333333</v>
      </c>
      <c r="H145" s="34">
        <f>G145*E145</f>
        <v>19</v>
      </c>
      <c r="I145" s="35"/>
      <c r="J145" s="36">
        <f t="shared" si="125"/>
        <v>1.5833333333333333</v>
      </c>
      <c r="K145" s="36">
        <f t="shared" si="125"/>
        <v>19</v>
      </c>
      <c r="L145" s="36">
        <f>J145*(1+$M$177+9%)</f>
        <v>1.7258333333333333</v>
      </c>
      <c r="M145" s="36">
        <f>L145*E145</f>
        <v>20.71</v>
      </c>
      <c r="N145" s="37">
        <v>2.5</v>
      </c>
      <c r="O145" s="38">
        <f>N145*E145</f>
        <v>30</v>
      </c>
      <c r="P145" s="38">
        <f t="shared" si="184"/>
        <v>0.77416666666666667</v>
      </c>
      <c r="Q145" s="38">
        <f>P145*E145</f>
        <v>9.2899999999999991</v>
      </c>
      <c r="R145" s="39">
        <f t="shared" si="185"/>
        <v>0.30966666666666665</v>
      </c>
      <c r="S145" s="43"/>
      <c r="T145" s="110">
        <f t="shared" si="225"/>
        <v>2.5</v>
      </c>
      <c r="U145" s="107">
        <v>0.18</v>
      </c>
      <c r="V145" s="111">
        <f t="shared" si="226"/>
        <v>3.0487804878048776</v>
      </c>
      <c r="W145" s="112">
        <f t="shared" si="227"/>
        <v>0.54878048780487765</v>
      </c>
      <c r="X145" s="112">
        <f t="shared" si="228"/>
        <v>4.9390243902438985E-2</v>
      </c>
      <c r="Y145" s="113">
        <f t="shared" si="229"/>
        <v>0.59817073170731661</v>
      </c>
      <c r="Z145" s="112">
        <f t="shared" si="230"/>
        <v>2.450609756097561</v>
      </c>
      <c r="AA145" s="114">
        <f t="shared" si="231"/>
        <v>0.29575350418843827</v>
      </c>
      <c r="AB145" s="115">
        <f t="shared" si="232"/>
        <v>-1.391316247822838E-2</v>
      </c>
      <c r="AC145" s="116" t="s">
        <v>224</v>
      </c>
    </row>
    <row r="146" spans="1:29" ht="45" customHeight="1" x14ac:dyDescent="0.25">
      <c r="A146" s="30">
        <v>143</v>
      </c>
      <c r="B146" s="100" t="s">
        <v>112</v>
      </c>
      <c r="C146" s="31">
        <v>1</v>
      </c>
      <c r="D146" s="32" t="s">
        <v>141</v>
      </c>
      <c r="E146" s="31">
        <f t="shared" si="183"/>
        <v>20</v>
      </c>
      <c r="F146" s="96">
        <v>12.5</v>
      </c>
      <c r="G146" s="33">
        <f>F146/D146</f>
        <v>0.625</v>
      </c>
      <c r="H146" s="34">
        <f>G146*E146</f>
        <v>12.5</v>
      </c>
      <c r="I146" s="35"/>
      <c r="J146" s="36">
        <f t="shared" si="125"/>
        <v>0.625</v>
      </c>
      <c r="K146" s="36">
        <f t="shared" si="125"/>
        <v>12.5</v>
      </c>
      <c r="L146" s="36">
        <f>J146*(1+$M$177+9%)</f>
        <v>0.68125000000000002</v>
      </c>
      <c r="M146" s="36">
        <f>L146*E146</f>
        <v>13.625</v>
      </c>
      <c r="N146" s="37">
        <v>1</v>
      </c>
      <c r="O146" s="38">
        <f>N146*E146</f>
        <v>20</v>
      </c>
      <c r="P146" s="38">
        <f t="shared" si="184"/>
        <v>0.31874999999999998</v>
      </c>
      <c r="Q146" s="38">
        <f>P146*E146</f>
        <v>6.375</v>
      </c>
      <c r="R146" s="39">
        <f t="shared" si="185"/>
        <v>0.31874999999999998</v>
      </c>
      <c r="S146" s="41"/>
      <c r="T146" s="110">
        <f t="shared" si="225"/>
        <v>1</v>
      </c>
      <c r="U146" s="107">
        <v>0.18</v>
      </c>
      <c r="V146" s="111">
        <f t="shared" si="226"/>
        <v>1.2195121951219512</v>
      </c>
      <c r="W146" s="112">
        <f t="shared" si="227"/>
        <v>0.21951219512195119</v>
      </c>
      <c r="X146" s="112">
        <f t="shared" si="228"/>
        <v>1.9756097560975606E-2</v>
      </c>
      <c r="Y146" s="113">
        <f t="shared" si="229"/>
        <v>0.23926829268292679</v>
      </c>
      <c r="Z146" s="112">
        <f t="shared" si="230"/>
        <v>0.98024390243902437</v>
      </c>
      <c r="AA146" s="114">
        <f t="shared" si="231"/>
        <v>0.30501990544911667</v>
      </c>
      <c r="AB146" s="115">
        <f t="shared" si="232"/>
        <v>-1.3730094550883309E-2</v>
      </c>
      <c r="AC146" s="116" t="s">
        <v>224</v>
      </c>
    </row>
    <row r="147" spans="1:29" ht="45" customHeight="1" x14ac:dyDescent="0.25">
      <c r="A147" s="30">
        <v>144</v>
      </c>
      <c r="B147" s="100" t="s">
        <v>191</v>
      </c>
      <c r="C147" s="31">
        <v>1</v>
      </c>
      <c r="D147" s="32" t="s">
        <v>141</v>
      </c>
      <c r="E147" s="31">
        <f t="shared" ref="E147" si="239">D147*C147</f>
        <v>20</v>
      </c>
      <c r="F147" s="96">
        <v>12.5</v>
      </c>
      <c r="G147" s="33">
        <f>F147/D147</f>
        <v>0.625</v>
      </c>
      <c r="H147" s="34">
        <f>G147*E147</f>
        <v>12.5</v>
      </c>
      <c r="I147" s="35"/>
      <c r="J147" s="36">
        <f t="shared" ref="J147" si="240">G147/$Q$2</f>
        <v>0.625</v>
      </c>
      <c r="K147" s="36">
        <f t="shared" ref="K147" si="241">H147/$Q$2</f>
        <v>12.5</v>
      </c>
      <c r="L147" s="36">
        <f t="shared" ref="L147" si="242">J147*(1+$M$177+9%)</f>
        <v>0.68125000000000002</v>
      </c>
      <c r="M147" s="36">
        <f>L147*E147</f>
        <v>13.625</v>
      </c>
      <c r="N147" s="37">
        <v>1</v>
      </c>
      <c r="O147" s="38">
        <f>N147*E147</f>
        <v>20</v>
      </c>
      <c r="P147" s="38">
        <f t="shared" ref="P147" si="243">N147-L147</f>
        <v>0.31874999999999998</v>
      </c>
      <c r="Q147" s="38">
        <f>P147*E147</f>
        <v>6.375</v>
      </c>
      <c r="R147" s="39">
        <f t="shared" ref="R147" si="244">P147/N147</f>
        <v>0.31874999999999998</v>
      </c>
      <c r="S147" s="42"/>
      <c r="T147" s="110">
        <f t="shared" si="225"/>
        <v>1</v>
      </c>
      <c r="U147" s="107">
        <v>0.18</v>
      </c>
      <c r="V147" s="111">
        <f t="shared" si="226"/>
        <v>1.2195121951219512</v>
      </c>
      <c r="W147" s="112">
        <f t="shared" si="227"/>
        <v>0.21951219512195119</v>
      </c>
      <c r="X147" s="112">
        <f t="shared" si="228"/>
        <v>1.9756097560975606E-2</v>
      </c>
      <c r="Y147" s="113">
        <f t="shared" si="229"/>
        <v>0.23926829268292679</v>
      </c>
      <c r="Z147" s="112">
        <f t="shared" si="230"/>
        <v>0.98024390243902437</v>
      </c>
      <c r="AA147" s="114">
        <f t="shared" si="231"/>
        <v>0.30501990544911667</v>
      </c>
      <c r="AB147" s="115">
        <f t="shared" si="232"/>
        <v>-1.3730094550883309E-2</v>
      </c>
      <c r="AC147" s="116" t="s">
        <v>224</v>
      </c>
    </row>
    <row r="148" spans="1:29" ht="45" customHeight="1" x14ac:dyDescent="0.25">
      <c r="A148" s="30">
        <v>145</v>
      </c>
      <c r="B148" s="100" t="s">
        <v>111</v>
      </c>
      <c r="C148" s="31">
        <v>1</v>
      </c>
      <c r="D148" s="32" t="s">
        <v>141</v>
      </c>
      <c r="E148" s="31">
        <f t="shared" si="183"/>
        <v>20</v>
      </c>
      <c r="F148" s="96">
        <v>12.5</v>
      </c>
      <c r="G148" s="33">
        <f>F148/D148</f>
        <v>0.625</v>
      </c>
      <c r="H148" s="34">
        <f>G148*E148</f>
        <v>12.5</v>
      </c>
      <c r="I148" s="35"/>
      <c r="J148" s="36">
        <f t="shared" si="125"/>
        <v>0.625</v>
      </c>
      <c r="K148" s="36">
        <f t="shared" si="125"/>
        <v>12.5</v>
      </c>
      <c r="L148" s="36">
        <f t="shared" ref="L148:L153" si="245">J148*(1+$M$177+9%)</f>
        <v>0.68125000000000002</v>
      </c>
      <c r="M148" s="36">
        <f>L148*E148</f>
        <v>13.625</v>
      </c>
      <c r="N148" s="37">
        <v>1</v>
      </c>
      <c r="O148" s="38">
        <f>N148*E148</f>
        <v>20</v>
      </c>
      <c r="P148" s="38">
        <f t="shared" si="184"/>
        <v>0.31874999999999998</v>
      </c>
      <c r="Q148" s="38">
        <f>P148*E148</f>
        <v>6.375</v>
      </c>
      <c r="R148" s="39">
        <f t="shared" si="185"/>
        <v>0.31874999999999998</v>
      </c>
      <c r="S148" s="42"/>
      <c r="T148" s="110">
        <f t="shared" si="225"/>
        <v>1</v>
      </c>
      <c r="U148" s="107">
        <v>0.18</v>
      </c>
      <c r="V148" s="111">
        <f t="shared" si="226"/>
        <v>1.2195121951219512</v>
      </c>
      <c r="W148" s="112">
        <f t="shared" si="227"/>
        <v>0.21951219512195119</v>
      </c>
      <c r="X148" s="112">
        <f t="shared" si="228"/>
        <v>1.9756097560975606E-2</v>
      </c>
      <c r="Y148" s="113">
        <f t="shared" si="229"/>
        <v>0.23926829268292679</v>
      </c>
      <c r="Z148" s="112">
        <f t="shared" si="230"/>
        <v>0.98024390243902437</v>
      </c>
      <c r="AA148" s="114">
        <f t="shared" si="231"/>
        <v>0.30501990544911667</v>
      </c>
      <c r="AB148" s="115">
        <f t="shared" si="232"/>
        <v>-1.3730094550883309E-2</v>
      </c>
      <c r="AC148" s="116" t="s">
        <v>224</v>
      </c>
    </row>
    <row r="149" spans="1:29" ht="45" customHeight="1" x14ac:dyDescent="0.25">
      <c r="A149" s="30">
        <v>146</v>
      </c>
      <c r="B149" s="102" t="s">
        <v>113</v>
      </c>
      <c r="C149" s="31">
        <v>1</v>
      </c>
      <c r="D149" s="32" t="s">
        <v>24</v>
      </c>
      <c r="E149" s="31">
        <f t="shared" si="183"/>
        <v>24</v>
      </c>
      <c r="F149" s="96">
        <v>22</v>
      </c>
      <c r="G149" s="33">
        <f>F149/D149</f>
        <v>0.91666666666666663</v>
      </c>
      <c r="H149" s="34">
        <f>G149*E149</f>
        <v>22</v>
      </c>
      <c r="I149" s="35"/>
      <c r="J149" s="36">
        <f t="shared" si="125"/>
        <v>0.91666666666666663</v>
      </c>
      <c r="K149" s="36">
        <f t="shared" si="125"/>
        <v>22</v>
      </c>
      <c r="L149" s="36">
        <f t="shared" si="245"/>
        <v>0.99916666666666665</v>
      </c>
      <c r="M149" s="36">
        <f>L149*E149</f>
        <v>23.98</v>
      </c>
      <c r="N149" s="37">
        <v>1.5</v>
      </c>
      <c r="O149" s="38">
        <f>N149*E149</f>
        <v>36</v>
      </c>
      <c r="P149" s="38">
        <f t="shared" si="184"/>
        <v>0.50083333333333335</v>
      </c>
      <c r="Q149" s="38">
        <f>P149*E149</f>
        <v>12.02</v>
      </c>
      <c r="R149" s="39">
        <f t="shared" si="185"/>
        <v>0.3338888888888889</v>
      </c>
      <c r="S149" s="42"/>
      <c r="T149" s="110">
        <f t="shared" si="225"/>
        <v>1.5</v>
      </c>
      <c r="U149" s="107">
        <v>0.18</v>
      </c>
      <c r="V149" s="111">
        <f t="shared" si="226"/>
        <v>1.8292682926829267</v>
      </c>
      <c r="W149" s="112">
        <f t="shared" si="227"/>
        <v>0.32926829268292668</v>
      </c>
      <c r="X149" s="112">
        <f t="shared" si="228"/>
        <v>2.9634146341463399E-2</v>
      </c>
      <c r="Y149" s="113">
        <f t="shared" si="229"/>
        <v>0.35890243902439006</v>
      </c>
      <c r="Z149" s="112">
        <f t="shared" si="230"/>
        <v>1.4703658536585367</v>
      </c>
      <c r="AA149" s="114">
        <f t="shared" si="231"/>
        <v>0.32046390755024751</v>
      </c>
      <c r="AB149" s="115">
        <f t="shared" si="232"/>
        <v>-1.3424981338641395E-2</v>
      </c>
      <c r="AC149" s="116" t="s">
        <v>224</v>
      </c>
    </row>
    <row r="150" spans="1:29" ht="45" customHeight="1" x14ac:dyDescent="0.25">
      <c r="A150" s="30">
        <v>147</v>
      </c>
      <c r="B150" s="102" t="s">
        <v>151</v>
      </c>
      <c r="C150" s="31">
        <v>1</v>
      </c>
      <c r="D150" s="32" t="s">
        <v>24</v>
      </c>
      <c r="E150" s="31">
        <f t="shared" ref="E150" si="246">D150*C150</f>
        <v>24</v>
      </c>
      <c r="F150" s="96">
        <v>22</v>
      </c>
      <c r="G150" s="33">
        <f>F150/D150</f>
        <v>0.91666666666666663</v>
      </c>
      <c r="H150" s="34">
        <f>G150*E150</f>
        <v>22</v>
      </c>
      <c r="I150" s="35"/>
      <c r="J150" s="36">
        <f t="shared" ref="J150" si="247">G150/$Q$2</f>
        <v>0.91666666666666663</v>
      </c>
      <c r="K150" s="36">
        <f t="shared" ref="K150" si="248">H150/$Q$2</f>
        <v>22</v>
      </c>
      <c r="L150" s="36">
        <f t="shared" si="245"/>
        <v>0.99916666666666665</v>
      </c>
      <c r="M150" s="36">
        <f>L150*E150</f>
        <v>23.98</v>
      </c>
      <c r="N150" s="37">
        <v>1.5</v>
      </c>
      <c r="O150" s="38">
        <f>N150*E150</f>
        <v>36</v>
      </c>
      <c r="P150" s="38">
        <f t="shared" ref="P150" si="249">N150-L150</f>
        <v>0.50083333333333335</v>
      </c>
      <c r="Q150" s="38">
        <f>P150*E150</f>
        <v>12.02</v>
      </c>
      <c r="R150" s="39">
        <f t="shared" ref="R150" si="250">P150/N150</f>
        <v>0.3338888888888889</v>
      </c>
      <c r="S150" s="42"/>
      <c r="T150" s="110">
        <f t="shared" si="225"/>
        <v>1.5</v>
      </c>
      <c r="U150" s="107">
        <v>0.18</v>
      </c>
      <c r="V150" s="111">
        <f t="shared" si="226"/>
        <v>1.8292682926829267</v>
      </c>
      <c r="W150" s="112">
        <f t="shared" si="227"/>
        <v>0.32926829268292668</v>
      </c>
      <c r="X150" s="112">
        <f t="shared" si="228"/>
        <v>2.9634146341463399E-2</v>
      </c>
      <c r="Y150" s="113">
        <f t="shared" si="229"/>
        <v>0.35890243902439006</v>
      </c>
      <c r="Z150" s="112">
        <f t="shared" si="230"/>
        <v>1.4703658536585367</v>
      </c>
      <c r="AA150" s="114">
        <f t="shared" si="231"/>
        <v>0.32046390755024751</v>
      </c>
      <c r="AB150" s="115">
        <f t="shared" si="232"/>
        <v>-1.3424981338641395E-2</v>
      </c>
      <c r="AC150" s="116" t="s">
        <v>224</v>
      </c>
    </row>
    <row r="151" spans="1:29" ht="45" customHeight="1" x14ac:dyDescent="0.25">
      <c r="A151" s="30">
        <v>148</v>
      </c>
      <c r="B151" s="102" t="s">
        <v>114</v>
      </c>
      <c r="C151" s="31">
        <v>1</v>
      </c>
      <c r="D151" s="32" t="s">
        <v>24</v>
      </c>
      <c r="E151" s="31">
        <f t="shared" si="183"/>
        <v>24</v>
      </c>
      <c r="F151" s="96">
        <v>22</v>
      </c>
      <c r="G151" s="33">
        <f>F151/D151</f>
        <v>0.91666666666666663</v>
      </c>
      <c r="H151" s="34">
        <f>G151*E151</f>
        <v>22</v>
      </c>
      <c r="I151" s="35"/>
      <c r="J151" s="36">
        <f t="shared" si="125"/>
        <v>0.91666666666666663</v>
      </c>
      <c r="K151" s="36">
        <f t="shared" si="125"/>
        <v>22</v>
      </c>
      <c r="L151" s="36">
        <f t="shared" si="245"/>
        <v>0.99916666666666665</v>
      </c>
      <c r="M151" s="36">
        <f>L151*E151</f>
        <v>23.98</v>
      </c>
      <c r="N151" s="37">
        <v>1.5</v>
      </c>
      <c r="O151" s="38">
        <f>N151*E151</f>
        <v>36</v>
      </c>
      <c r="P151" s="38">
        <f t="shared" si="184"/>
        <v>0.50083333333333335</v>
      </c>
      <c r="Q151" s="38">
        <f>P151*E151</f>
        <v>12.02</v>
      </c>
      <c r="R151" s="39">
        <f t="shared" si="185"/>
        <v>0.3338888888888889</v>
      </c>
      <c r="S151" s="42"/>
      <c r="T151" s="110">
        <f t="shared" si="225"/>
        <v>1.5</v>
      </c>
      <c r="U151" s="107">
        <v>0.18</v>
      </c>
      <c r="V151" s="111">
        <f t="shared" si="226"/>
        <v>1.8292682926829267</v>
      </c>
      <c r="W151" s="112">
        <f t="shared" si="227"/>
        <v>0.32926829268292668</v>
      </c>
      <c r="X151" s="112">
        <f t="shared" si="228"/>
        <v>2.9634146341463399E-2</v>
      </c>
      <c r="Y151" s="113">
        <f t="shared" si="229"/>
        <v>0.35890243902439006</v>
      </c>
      <c r="Z151" s="112">
        <f t="shared" si="230"/>
        <v>1.4703658536585367</v>
      </c>
      <c r="AA151" s="114">
        <f t="shared" si="231"/>
        <v>0.32046390755024751</v>
      </c>
      <c r="AB151" s="115">
        <f t="shared" si="232"/>
        <v>-1.3424981338641395E-2</v>
      </c>
      <c r="AC151" s="116" t="s">
        <v>224</v>
      </c>
    </row>
    <row r="152" spans="1:29" ht="45" customHeight="1" x14ac:dyDescent="0.25">
      <c r="A152" s="30">
        <v>149</v>
      </c>
      <c r="B152" s="103" t="s">
        <v>115</v>
      </c>
      <c r="C152" s="31">
        <v>1</v>
      </c>
      <c r="D152" s="32" t="s">
        <v>136</v>
      </c>
      <c r="E152" s="31">
        <f t="shared" si="183"/>
        <v>10</v>
      </c>
      <c r="F152" s="96">
        <v>8.5</v>
      </c>
      <c r="G152" s="33">
        <f>F152/D152</f>
        <v>0.85</v>
      </c>
      <c r="H152" s="34">
        <f>G152*E152</f>
        <v>8.5</v>
      </c>
      <c r="I152" s="35"/>
      <c r="J152" s="36">
        <f t="shared" si="125"/>
        <v>0.85</v>
      </c>
      <c r="K152" s="36">
        <f t="shared" si="125"/>
        <v>8.5</v>
      </c>
      <c r="L152" s="36">
        <f t="shared" si="245"/>
        <v>0.92649999999999999</v>
      </c>
      <c r="M152" s="36">
        <f>L152*E152</f>
        <v>9.2650000000000006</v>
      </c>
      <c r="N152" s="37">
        <v>1.5</v>
      </c>
      <c r="O152" s="38">
        <f>N152*E152</f>
        <v>15</v>
      </c>
      <c r="P152" s="38">
        <f t="shared" si="184"/>
        <v>0.57350000000000001</v>
      </c>
      <c r="Q152" s="38">
        <f>P152*E152</f>
        <v>5.7350000000000003</v>
      </c>
      <c r="R152" s="39">
        <f t="shared" si="185"/>
        <v>0.38233333333333336</v>
      </c>
      <c r="S152" s="43"/>
      <c r="T152" s="110">
        <f t="shared" si="225"/>
        <v>1.5</v>
      </c>
      <c r="U152" s="107">
        <v>0.18</v>
      </c>
      <c r="V152" s="111">
        <f t="shared" si="226"/>
        <v>1.8292682926829267</v>
      </c>
      <c r="W152" s="112">
        <f t="shared" si="227"/>
        <v>0.32926829268292668</v>
      </c>
      <c r="X152" s="112">
        <f t="shared" si="228"/>
        <v>2.9634146341463399E-2</v>
      </c>
      <c r="Y152" s="113">
        <f t="shared" si="229"/>
        <v>0.35890243902439006</v>
      </c>
      <c r="Z152" s="112">
        <f t="shared" si="230"/>
        <v>1.4703658536585367</v>
      </c>
      <c r="AA152" s="114">
        <f t="shared" si="231"/>
        <v>0.36988471427386582</v>
      </c>
      <c r="AB152" s="115">
        <f t="shared" si="232"/>
        <v>-1.2448619059467536E-2</v>
      </c>
      <c r="AC152" s="116">
        <v>1.5</v>
      </c>
    </row>
    <row r="153" spans="1:29" ht="45" customHeight="1" x14ac:dyDescent="0.25">
      <c r="A153" s="30">
        <v>150</v>
      </c>
      <c r="B153" s="100" t="s">
        <v>116</v>
      </c>
      <c r="C153" s="31">
        <v>1</v>
      </c>
      <c r="D153" s="32" t="s">
        <v>136</v>
      </c>
      <c r="E153" s="31">
        <f t="shared" si="183"/>
        <v>10</v>
      </c>
      <c r="F153" s="96">
        <v>8.5</v>
      </c>
      <c r="G153" s="33">
        <f>F153/D153</f>
        <v>0.85</v>
      </c>
      <c r="H153" s="34">
        <f>G153*E153</f>
        <v>8.5</v>
      </c>
      <c r="I153" s="35"/>
      <c r="J153" s="36">
        <f t="shared" si="125"/>
        <v>0.85</v>
      </c>
      <c r="K153" s="36">
        <f t="shared" si="125"/>
        <v>8.5</v>
      </c>
      <c r="L153" s="36">
        <f t="shared" si="245"/>
        <v>0.92649999999999999</v>
      </c>
      <c r="M153" s="36">
        <f>L153*E153</f>
        <v>9.2650000000000006</v>
      </c>
      <c r="N153" s="37">
        <v>1.5</v>
      </c>
      <c r="O153" s="38">
        <f>N153*E153</f>
        <v>15</v>
      </c>
      <c r="P153" s="38">
        <f t="shared" si="184"/>
        <v>0.57350000000000001</v>
      </c>
      <c r="Q153" s="38">
        <f>P153*E153</f>
        <v>5.7350000000000003</v>
      </c>
      <c r="R153" s="39">
        <f t="shared" si="185"/>
        <v>0.38233333333333336</v>
      </c>
      <c r="S153" s="40"/>
      <c r="T153" s="110">
        <f t="shared" si="225"/>
        <v>1.5</v>
      </c>
      <c r="U153" s="107">
        <v>0.18</v>
      </c>
      <c r="V153" s="111">
        <f t="shared" si="226"/>
        <v>1.8292682926829267</v>
      </c>
      <c r="W153" s="112">
        <f t="shared" si="227"/>
        <v>0.32926829268292668</v>
      </c>
      <c r="X153" s="112">
        <f t="shared" si="228"/>
        <v>2.9634146341463399E-2</v>
      </c>
      <c r="Y153" s="113">
        <f t="shared" si="229"/>
        <v>0.35890243902439006</v>
      </c>
      <c r="Z153" s="112">
        <f t="shared" si="230"/>
        <v>1.4703658536585367</v>
      </c>
      <c r="AA153" s="114">
        <f t="shared" si="231"/>
        <v>0.36988471427386582</v>
      </c>
      <c r="AB153" s="115">
        <f t="shared" si="232"/>
        <v>-1.2448619059467536E-2</v>
      </c>
      <c r="AC153" s="116">
        <v>1.5</v>
      </c>
    </row>
    <row r="154" spans="1:29" ht="45" customHeight="1" x14ac:dyDescent="0.25">
      <c r="A154" s="30">
        <v>151</v>
      </c>
      <c r="B154" s="100" t="s">
        <v>188</v>
      </c>
      <c r="C154" s="31">
        <v>1</v>
      </c>
      <c r="D154" s="32" t="s">
        <v>165</v>
      </c>
      <c r="E154" s="31">
        <f t="shared" si="183"/>
        <v>72</v>
      </c>
      <c r="F154" s="98">
        <v>47.9</v>
      </c>
      <c r="G154" s="33">
        <f>F154/D154</f>
        <v>0.66527777777777775</v>
      </c>
      <c r="H154" s="34">
        <f>G154*E154</f>
        <v>47.9</v>
      </c>
      <c r="I154" s="35"/>
      <c r="J154" s="36">
        <f t="shared" ref="J154:J155" si="251">G154/$Q$2</f>
        <v>0.66527777777777775</v>
      </c>
      <c r="K154" s="36">
        <f t="shared" ref="K154:K155" si="252">H154/$Q$2</f>
        <v>47.9</v>
      </c>
      <c r="L154" s="36">
        <f t="shared" ref="L154" si="253">J154*(1+$M$177+9%)</f>
        <v>0.72515277777777776</v>
      </c>
      <c r="M154" s="36">
        <f>L154*E154</f>
        <v>52.210999999999999</v>
      </c>
      <c r="N154" s="37"/>
      <c r="O154" s="38">
        <f>N154*E154</f>
        <v>0</v>
      </c>
      <c r="P154" s="38">
        <f t="shared" ref="P154:P155" si="254">N154-L154</f>
        <v>-0.72515277777777776</v>
      </c>
      <c r="Q154" s="38">
        <f>P154*E154</f>
        <v>-52.210999999999999</v>
      </c>
      <c r="R154" s="39" t="e">
        <f t="shared" ref="R154:R155" si="255">P154/N154</f>
        <v>#DIV/0!</v>
      </c>
      <c r="S154" s="40"/>
      <c r="T154" s="110">
        <f t="shared" si="225"/>
        <v>0</v>
      </c>
      <c r="U154" s="107">
        <v>0.18</v>
      </c>
      <c r="V154" s="111">
        <f t="shared" si="226"/>
        <v>0</v>
      </c>
      <c r="W154" s="112">
        <f t="shared" si="227"/>
        <v>0</v>
      </c>
      <c r="X154" s="112">
        <f t="shared" si="228"/>
        <v>0</v>
      </c>
      <c r="Y154" s="113">
        <f t="shared" si="229"/>
        <v>0</v>
      </c>
      <c r="Z154" s="112">
        <f t="shared" si="230"/>
        <v>0</v>
      </c>
      <c r="AA154" s="114" t="e">
        <f t="shared" si="231"/>
        <v>#DIV/0!</v>
      </c>
      <c r="AB154" s="115" t="e">
        <f t="shared" si="232"/>
        <v>#DIV/0!</v>
      </c>
      <c r="AC154" s="116" t="s">
        <v>224</v>
      </c>
    </row>
    <row r="155" spans="1:29" ht="45" customHeight="1" x14ac:dyDescent="0.25">
      <c r="A155" s="30">
        <v>152</v>
      </c>
      <c r="B155" s="100" t="s">
        <v>208</v>
      </c>
      <c r="C155" s="31">
        <v>1</v>
      </c>
      <c r="D155" s="32" t="s">
        <v>165</v>
      </c>
      <c r="E155" s="31">
        <f t="shared" ref="E155" si="256">D155*C155</f>
        <v>72</v>
      </c>
      <c r="F155" s="96">
        <v>47.9</v>
      </c>
      <c r="G155" s="33">
        <f>F155/D155</f>
        <v>0.66527777777777775</v>
      </c>
      <c r="H155" s="34">
        <f>G155*E155</f>
        <v>47.9</v>
      </c>
      <c r="I155" s="35"/>
      <c r="J155" s="36">
        <f t="shared" si="251"/>
        <v>0.66527777777777775</v>
      </c>
      <c r="K155" s="36">
        <f t="shared" si="252"/>
        <v>47.9</v>
      </c>
      <c r="L155" s="36">
        <f t="shared" ref="L155:L173" si="257">J155*(1+$M$177+9%)</f>
        <v>0.72515277777777776</v>
      </c>
      <c r="M155" s="36">
        <f>L155*E155</f>
        <v>52.210999999999999</v>
      </c>
      <c r="N155" s="37"/>
      <c r="O155" s="38">
        <f>N155*E155</f>
        <v>0</v>
      </c>
      <c r="P155" s="38">
        <f t="shared" si="254"/>
        <v>-0.72515277777777776</v>
      </c>
      <c r="Q155" s="38">
        <f>P155*E155</f>
        <v>-52.210999999999999</v>
      </c>
      <c r="R155" s="39" t="e">
        <f t="shared" si="255"/>
        <v>#DIV/0!</v>
      </c>
      <c r="S155" s="41"/>
      <c r="T155" s="110">
        <f t="shared" si="225"/>
        <v>0</v>
      </c>
      <c r="U155" s="107">
        <v>0.18</v>
      </c>
      <c r="V155" s="111">
        <f t="shared" si="226"/>
        <v>0</v>
      </c>
      <c r="W155" s="112">
        <f t="shared" si="227"/>
        <v>0</v>
      </c>
      <c r="X155" s="112">
        <f t="shared" si="228"/>
        <v>0</v>
      </c>
      <c r="Y155" s="113">
        <f t="shared" si="229"/>
        <v>0</v>
      </c>
      <c r="Z155" s="112">
        <f t="shared" si="230"/>
        <v>0</v>
      </c>
      <c r="AA155" s="114" t="e">
        <f t="shared" si="231"/>
        <v>#DIV/0!</v>
      </c>
      <c r="AB155" s="115" t="e">
        <f t="shared" si="232"/>
        <v>#DIV/0!</v>
      </c>
      <c r="AC155" s="116" t="s">
        <v>224</v>
      </c>
    </row>
    <row r="156" spans="1:29" ht="45" customHeight="1" x14ac:dyDescent="0.25">
      <c r="A156" s="30">
        <v>153</v>
      </c>
      <c r="B156" s="100" t="s">
        <v>117</v>
      </c>
      <c r="C156" s="31">
        <v>1</v>
      </c>
      <c r="D156" s="32" t="s">
        <v>165</v>
      </c>
      <c r="E156" s="31">
        <f t="shared" si="183"/>
        <v>72</v>
      </c>
      <c r="F156" s="96">
        <v>47.9</v>
      </c>
      <c r="G156" s="33">
        <f>F156/D156</f>
        <v>0.66527777777777775</v>
      </c>
      <c r="H156" s="34">
        <f>G156*E156</f>
        <v>47.9</v>
      </c>
      <c r="I156" s="35"/>
      <c r="J156" s="36">
        <f t="shared" si="125"/>
        <v>0.66527777777777775</v>
      </c>
      <c r="K156" s="36">
        <f t="shared" si="125"/>
        <v>47.9</v>
      </c>
      <c r="L156" s="36">
        <f t="shared" si="257"/>
        <v>0.72515277777777776</v>
      </c>
      <c r="M156" s="36">
        <f>L156*E156</f>
        <v>52.210999999999999</v>
      </c>
      <c r="N156" s="37"/>
      <c r="O156" s="38">
        <f>N156*E156</f>
        <v>0</v>
      </c>
      <c r="P156" s="38">
        <f t="shared" si="184"/>
        <v>-0.72515277777777776</v>
      </c>
      <c r="Q156" s="38">
        <f>P156*E156</f>
        <v>-52.210999999999999</v>
      </c>
      <c r="R156" s="39" t="e">
        <f t="shared" si="185"/>
        <v>#DIV/0!</v>
      </c>
      <c r="S156" s="41"/>
      <c r="T156" s="110">
        <f t="shared" si="225"/>
        <v>0</v>
      </c>
      <c r="U156" s="107">
        <v>0.18</v>
      </c>
      <c r="V156" s="111">
        <f t="shared" si="226"/>
        <v>0</v>
      </c>
      <c r="W156" s="112">
        <f t="shared" si="227"/>
        <v>0</v>
      </c>
      <c r="X156" s="112">
        <f t="shared" si="228"/>
        <v>0</v>
      </c>
      <c r="Y156" s="113">
        <f t="shared" si="229"/>
        <v>0</v>
      </c>
      <c r="Z156" s="112">
        <f t="shared" si="230"/>
        <v>0</v>
      </c>
      <c r="AA156" s="114" t="e">
        <f t="shared" si="231"/>
        <v>#DIV/0!</v>
      </c>
      <c r="AB156" s="115" t="e">
        <f t="shared" si="232"/>
        <v>#DIV/0!</v>
      </c>
      <c r="AC156" s="116" t="s">
        <v>224</v>
      </c>
    </row>
    <row r="157" spans="1:29" ht="45" customHeight="1" x14ac:dyDescent="0.25">
      <c r="A157" s="30">
        <v>154</v>
      </c>
      <c r="B157" s="106" t="s">
        <v>118</v>
      </c>
      <c r="C157" s="31">
        <v>1</v>
      </c>
      <c r="D157" s="32" t="s">
        <v>165</v>
      </c>
      <c r="E157" s="31">
        <f t="shared" si="183"/>
        <v>72</v>
      </c>
      <c r="F157" s="96">
        <v>47.9</v>
      </c>
      <c r="G157" s="33">
        <f>F157/D157</f>
        <v>0.66527777777777775</v>
      </c>
      <c r="H157" s="34">
        <f>G157*E157</f>
        <v>47.9</v>
      </c>
      <c r="I157" s="35"/>
      <c r="J157" s="36">
        <f t="shared" si="125"/>
        <v>0.66527777777777775</v>
      </c>
      <c r="K157" s="36">
        <f t="shared" si="125"/>
        <v>47.9</v>
      </c>
      <c r="L157" s="36">
        <f t="shared" si="257"/>
        <v>0.72515277777777776</v>
      </c>
      <c r="M157" s="36">
        <f>L157*E157</f>
        <v>52.210999999999999</v>
      </c>
      <c r="N157" s="37"/>
      <c r="O157" s="38">
        <f>N157*E157</f>
        <v>0</v>
      </c>
      <c r="P157" s="38">
        <f t="shared" si="184"/>
        <v>-0.72515277777777776</v>
      </c>
      <c r="Q157" s="38">
        <f>P157*E157</f>
        <v>-52.210999999999999</v>
      </c>
      <c r="R157" s="39" t="e">
        <f t="shared" si="185"/>
        <v>#DIV/0!</v>
      </c>
      <c r="S157" s="40"/>
      <c r="T157" s="110">
        <f t="shared" si="225"/>
        <v>0</v>
      </c>
      <c r="U157" s="107">
        <v>0.18</v>
      </c>
      <c r="V157" s="111">
        <f t="shared" si="226"/>
        <v>0</v>
      </c>
      <c r="W157" s="112">
        <f t="shared" si="227"/>
        <v>0</v>
      </c>
      <c r="X157" s="112">
        <f t="shared" si="228"/>
        <v>0</v>
      </c>
      <c r="Y157" s="113">
        <f t="shared" si="229"/>
        <v>0</v>
      </c>
      <c r="Z157" s="112">
        <f t="shared" si="230"/>
        <v>0</v>
      </c>
      <c r="AA157" s="114" t="e">
        <f t="shared" si="231"/>
        <v>#DIV/0!</v>
      </c>
      <c r="AB157" s="115" t="e">
        <f t="shared" si="232"/>
        <v>#DIV/0!</v>
      </c>
      <c r="AC157" s="116" t="s">
        <v>224</v>
      </c>
    </row>
    <row r="158" spans="1:29" ht="45" customHeight="1" x14ac:dyDescent="0.25">
      <c r="A158" s="30">
        <v>155</v>
      </c>
      <c r="B158" s="106" t="s">
        <v>119</v>
      </c>
      <c r="C158" s="31">
        <v>1</v>
      </c>
      <c r="D158" s="32" t="s">
        <v>75</v>
      </c>
      <c r="E158" s="31">
        <f t="shared" si="183"/>
        <v>48</v>
      </c>
      <c r="F158" s="96">
        <v>33.5</v>
      </c>
      <c r="G158" s="33">
        <f>F158/D158</f>
        <v>0.69791666666666663</v>
      </c>
      <c r="H158" s="34">
        <f>G158*E158</f>
        <v>33.5</v>
      </c>
      <c r="I158" s="35"/>
      <c r="J158" s="36">
        <f t="shared" si="125"/>
        <v>0.69791666666666663</v>
      </c>
      <c r="K158" s="36">
        <f t="shared" si="125"/>
        <v>33.5</v>
      </c>
      <c r="L158" s="36">
        <f t="shared" si="257"/>
        <v>0.76072916666666668</v>
      </c>
      <c r="M158" s="36">
        <f>L158*E158</f>
        <v>36.515000000000001</v>
      </c>
      <c r="N158" s="37">
        <v>1.25</v>
      </c>
      <c r="O158" s="38">
        <f>N158*E158</f>
        <v>60</v>
      </c>
      <c r="P158" s="38">
        <f t="shared" si="184"/>
        <v>0.48927083333333332</v>
      </c>
      <c r="Q158" s="38">
        <f>P158*E158</f>
        <v>23.484999999999999</v>
      </c>
      <c r="R158" s="39">
        <f t="shared" si="185"/>
        <v>0.39141666666666663</v>
      </c>
      <c r="S158" s="41"/>
      <c r="T158" s="110">
        <f t="shared" si="225"/>
        <v>1.25</v>
      </c>
      <c r="U158" s="107">
        <v>0.18</v>
      </c>
      <c r="V158" s="111">
        <f t="shared" si="226"/>
        <v>1.5243902439024388</v>
      </c>
      <c r="W158" s="112">
        <f t="shared" si="227"/>
        <v>0.27439024390243882</v>
      </c>
      <c r="X158" s="112">
        <f t="shared" si="228"/>
        <v>2.4695121951219492E-2</v>
      </c>
      <c r="Y158" s="113">
        <f t="shared" si="229"/>
        <v>0.2990853658536583</v>
      </c>
      <c r="Z158" s="112">
        <f t="shared" si="230"/>
        <v>1.2253048780487805</v>
      </c>
      <c r="AA158" s="114">
        <f t="shared" si="231"/>
        <v>0.37915111553454428</v>
      </c>
      <c r="AB158" s="115">
        <f t="shared" si="232"/>
        <v>-1.2265551132122354E-2</v>
      </c>
      <c r="AC158" s="116">
        <v>1.05</v>
      </c>
    </row>
    <row r="159" spans="1:29" ht="45" customHeight="1" x14ac:dyDescent="0.25">
      <c r="A159" s="30">
        <v>156</v>
      </c>
      <c r="B159" s="100" t="s">
        <v>120</v>
      </c>
      <c r="C159" s="31">
        <v>1</v>
      </c>
      <c r="D159" s="32" t="s">
        <v>144</v>
      </c>
      <c r="E159" s="31">
        <f t="shared" si="183"/>
        <v>30</v>
      </c>
      <c r="F159" s="96">
        <v>20.8</v>
      </c>
      <c r="G159" s="33">
        <f>F159/D159</f>
        <v>0.69333333333333336</v>
      </c>
      <c r="H159" s="34">
        <f>G159*E159</f>
        <v>20.8</v>
      </c>
      <c r="I159" s="35"/>
      <c r="J159" s="36">
        <f t="shared" si="125"/>
        <v>0.69333333333333336</v>
      </c>
      <c r="K159" s="36">
        <f t="shared" si="125"/>
        <v>20.8</v>
      </c>
      <c r="L159" s="36">
        <f t="shared" si="257"/>
        <v>0.75573333333333337</v>
      </c>
      <c r="M159" s="36">
        <f>L159*E159</f>
        <v>22.672000000000001</v>
      </c>
      <c r="N159" s="37">
        <v>1</v>
      </c>
      <c r="O159" s="38">
        <f>N159*E159</f>
        <v>30</v>
      </c>
      <c r="P159" s="38">
        <f t="shared" si="184"/>
        <v>0.24426666666666663</v>
      </c>
      <c r="Q159" s="38">
        <f>P159*E159</f>
        <v>7.3279999999999994</v>
      </c>
      <c r="R159" s="39">
        <f t="shared" si="185"/>
        <v>0.24426666666666663</v>
      </c>
      <c r="S159" s="42"/>
      <c r="T159" s="110">
        <f t="shared" si="225"/>
        <v>1</v>
      </c>
      <c r="U159" s="107">
        <v>0.18</v>
      </c>
      <c r="V159" s="111">
        <f t="shared" si="226"/>
        <v>1.2195121951219512</v>
      </c>
      <c r="W159" s="112">
        <f t="shared" si="227"/>
        <v>0.21951219512195119</v>
      </c>
      <c r="X159" s="112">
        <f t="shared" si="228"/>
        <v>1.9756097560975606E-2</v>
      </c>
      <c r="Y159" s="113">
        <f t="shared" si="229"/>
        <v>0.23926829268292679</v>
      </c>
      <c r="Z159" s="112">
        <f t="shared" si="230"/>
        <v>0.98024390243902437</v>
      </c>
      <c r="AA159" s="114">
        <f t="shared" si="231"/>
        <v>0.2290354151115534</v>
      </c>
      <c r="AB159" s="115">
        <f t="shared" si="232"/>
        <v>-1.5231251555113234E-2</v>
      </c>
      <c r="AC159" s="116" t="s">
        <v>224</v>
      </c>
    </row>
    <row r="160" spans="1:29" ht="45" customHeight="1" x14ac:dyDescent="0.25">
      <c r="A160" s="30">
        <v>157</v>
      </c>
      <c r="B160" s="101" t="s">
        <v>121</v>
      </c>
      <c r="C160" s="31">
        <v>1</v>
      </c>
      <c r="D160" s="32" t="s">
        <v>73</v>
      </c>
      <c r="E160" s="31">
        <f t="shared" si="183"/>
        <v>12</v>
      </c>
      <c r="F160" s="96">
        <v>8.4</v>
      </c>
      <c r="G160" s="33">
        <f>F160/D160</f>
        <v>0.70000000000000007</v>
      </c>
      <c r="H160" s="34">
        <f>G160*E160</f>
        <v>8.4</v>
      </c>
      <c r="I160" s="35"/>
      <c r="J160" s="36">
        <f t="shared" si="125"/>
        <v>0.70000000000000007</v>
      </c>
      <c r="K160" s="36">
        <f t="shared" si="125"/>
        <v>8.4</v>
      </c>
      <c r="L160" s="36">
        <f t="shared" si="257"/>
        <v>0.76300000000000012</v>
      </c>
      <c r="M160" s="36">
        <f>L160*E160</f>
        <v>9.1560000000000024</v>
      </c>
      <c r="N160" s="37">
        <v>1</v>
      </c>
      <c r="O160" s="38">
        <f>N160*E160</f>
        <v>12</v>
      </c>
      <c r="P160" s="38">
        <f t="shared" si="184"/>
        <v>0.23699999999999988</v>
      </c>
      <c r="Q160" s="38">
        <f>P160*E160</f>
        <v>2.8439999999999985</v>
      </c>
      <c r="R160" s="39">
        <f t="shared" si="185"/>
        <v>0.23699999999999988</v>
      </c>
      <c r="S160" s="42"/>
      <c r="T160" s="110">
        <f t="shared" si="225"/>
        <v>1</v>
      </c>
      <c r="U160" s="107">
        <v>0.18</v>
      </c>
      <c r="V160" s="111">
        <f t="shared" si="226"/>
        <v>1.2195121951219512</v>
      </c>
      <c r="W160" s="112">
        <f t="shared" si="227"/>
        <v>0.21951219512195119</v>
      </c>
      <c r="X160" s="112">
        <f t="shared" si="228"/>
        <v>1.9756097560975606E-2</v>
      </c>
      <c r="Y160" s="113">
        <f t="shared" si="229"/>
        <v>0.23926829268292679</v>
      </c>
      <c r="Z160" s="112">
        <f t="shared" si="230"/>
        <v>0.98024390243902437</v>
      </c>
      <c r="AA160" s="114">
        <f t="shared" si="231"/>
        <v>0.22162229410301057</v>
      </c>
      <c r="AB160" s="115">
        <f t="shared" si="232"/>
        <v>-1.5377705896989308E-2</v>
      </c>
      <c r="AC160" s="116" t="s">
        <v>224</v>
      </c>
    </row>
    <row r="161" spans="1:29" ht="45" customHeight="1" x14ac:dyDescent="0.25">
      <c r="A161" s="30">
        <v>158</v>
      </c>
      <c r="B161" s="101" t="s">
        <v>122</v>
      </c>
      <c r="C161" s="31">
        <v>1</v>
      </c>
      <c r="D161" s="32" t="s">
        <v>73</v>
      </c>
      <c r="E161" s="31">
        <f t="shared" si="183"/>
        <v>12</v>
      </c>
      <c r="F161" s="96">
        <v>8.4</v>
      </c>
      <c r="G161" s="33">
        <f>F161/D161</f>
        <v>0.70000000000000007</v>
      </c>
      <c r="H161" s="34">
        <f>G161*E161</f>
        <v>8.4</v>
      </c>
      <c r="I161" s="35"/>
      <c r="J161" s="36">
        <f t="shared" si="125"/>
        <v>0.70000000000000007</v>
      </c>
      <c r="K161" s="36">
        <f t="shared" si="125"/>
        <v>8.4</v>
      </c>
      <c r="L161" s="36">
        <f t="shared" si="257"/>
        <v>0.76300000000000012</v>
      </c>
      <c r="M161" s="36">
        <f>L161*E161</f>
        <v>9.1560000000000024</v>
      </c>
      <c r="N161" s="37">
        <v>1</v>
      </c>
      <c r="O161" s="38">
        <f>N161*E161</f>
        <v>12</v>
      </c>
      <c r="P161" s="38">
        <f t="shared" si="184"/>
        <v>0.23699999999999988</v>
      </c>
      <c r="Q161" s="38">
        <f>P161*E161</f>
        <v>2.8439999999999985</v>
      </c>
      <c r="R161" s="39">
        <f t="shared" si="185"/>
        <v>0.23699999999999988</v>
      </c>
      <c r="S161" s="42"/>
      <c r="T161" s="110">
        <f t="shared" si="225"/>
        <v>1</v>
      </c>
      <c r="U161" s="107">
        <v>0.18</v>
      </c>
      <c r="V161" s="111">
        <f t="shared" si="226"/>
        <v>1.2195121951219512</v>
      </c>
      <c r="W161" s="112">
        <f t="shared" si="227"/>
        <v>0.21951219512195119</v>
      </c>
      <c r="X161" s="112">
        <f t="shared" si="228"/>
        <v>1.9756097560975606E-2</v>
      </c>
      <c r="Y161" s="113">
        <f t="shared" si="229"/>
        <v>0.23926829268292679</v>
      </c>
      <c r="Z161" s="112">
        <f t="shared" si="230"/>
        <v>0.98024390243902437</v>
      </c>
      <c r="AA161" s="114">
        <f t="shared" si="231"/>
        <v>0.22162229410301057</v>
      </c>
      <c r="AB161" s="115">
        <f t="shared" si="232"/>
        <v>-1.5377705896989308E-2</v>
      </c>
      <c r="AC161" s="116" t="s">
        <v>224</v>
      </c>
    </row>
    <row r="162" spans="1:29" ht="45" customHeight="1" x14ac:dyDescent="0.25">
      <c r="A162" s="30">
        <v>159</v>
      </c>
      <c r="B162" s="104" t="s">
        <v>123</v>
      </c>
      <c r="C162" s="31">
        <v>1</v>
      </c>
      <c r="D162" s="32" t="s">
        <v>73</v>
      </c>
      <c r="E162" s="31">
        <f t="shared" si="183"/>
        <v>12</v>
      </c>
      <c r="F162" s="96">
        <v>8.4</v>
      </c>
      <c r="G162" s="33">
        <f>F162/D162</f>
        <v>0.70000000000000007</v>
      </c>
      <c r="H162" s="34">
        <f>G162*E162</f>
        <v>8.4</v>
      </c>
      <c r="I162" s="35"/>
      <c r="J162" s="36">
        <f t="shared" si="125"/>
        <v>0.70000000000000007</v>
      </c>
      <c r="K162" s="36">
        <f t="shared" si="125"/>
        <v>8.4</v>
      </c>
      <c r="L162" s="36">
        <f t="shared" si="257"/>
        <v>0.76300000000000012</v>
      </c>
      <c r="M162" s="36">
        <f>L162*E162</f>
        <v>9.1560000000000024</v>
      </c>
      <c r="N162" s="37">
        <v>1</v>
      </c>
      <c r="O162" s="38">
        <f>N162*E162</f>
        <v>12</v>
      </c>
      <c r="P162" s="38">
        <f t="shared" si="184"/>
        <v>0.23699999999999988</v>
      </c>
      <c r="Q162" s="38">
        <f>P162*E162</f>
        <v>2.8439999999999985</v>
      </c>
      <c r="R162" s="39">
        <f t="shared" si="185"/>
        <v>0.23699999999999988</v>
      </c>
      <c r="S162" s="43"/>
      <c r="T162" s="110">
        <f t="shared" si="225"/>
        <v>1</v>
      </c>
      <c r="U162" s="107">
        <v>0.18</v>
      </c>
      <c r="V162" s="111">
        <f t="shared" si="226"/>
        <v>1.2195121951219512</v>
      </c>
      <c r="W162" s="112">
        <f t="shared" si="227"/>
        <v>0.21951219512195119</v>
      </c>
      <c r="X162" s="112">
        <f t="shared" si="228"/>
        <v>1.9756097560975606E-2</v>
      </c>
      <c r="Y162" s="113">
        <f t="shared" si="229"/>
        <v>0.23926829268292679</v>
      </c>
      <c r="Z162" s="112">
        <f t="shared" si="230"/>
        <v>0.98024390243902437</v>
      </c>
      <c r="AA162" s="114">
        <f t="shared" si="231"/>
        <v>0.22162229410301057</v>
      </c>
      <c r="AB162" s="115">
        <f t="shared" si="232"/>
        <v>-1.5377705896989308E-2</v>
      </c>
      <c r="AC162" s="116" t="s">
        <v>224</v>
      </c>
    </row>
    <row r="163" spans="1:29" ht="45" customHeight="1" x14ac:dyDescent="0.25">
      <c r="A163" s="30">
        <v>160</v>
      </c>
      <c r="B163" s="106" t="s">
        <v>124</v>
      </c>
      <c r="C163" s="31">
        <v>1</v>
      </c>
      <c r="D163" s="32" t="s">
        <v>73</v>
      </c>
      <c r="E163" s="31">
        <f t="shared" si="183"/>
        <v>12</v>
      </c>
      <c r="F163" s="96">
        <v>8.4</v>
      </c>
      <c r="G163" s="33">
        <f>F163/D163</f>
        <v>0.70000000000000007</v>
      </c>
      <c r="H163" s="34">
        <f>G163*E163</f>
        <v>8.4</v>
      </c>
      <c r="I163" s="35"/>
      <c r="J163" s="36">
        <f t="shared" si="125"/>
        <v>0.70000000000000007</v>
      </c>
      <c r="K163" s="36">
        <f t="shared" si="125"/>
        <v>8.4</v>
      </c>
      <c r="L163" s="36">
        <f t="shared" si="257"/>
        <v>0.76300000000000012</v>
      </c>
      <c r="M163" s="36">
        <f>L163*E163</f>
        <v>9.1560000000000024</v>
      </c>
      <c r="N163" s="37">
        <v>1</v>
      </c>
      <c r="O163" s="38">
        <f>N163*E163</f>
        <v>12</v>
      </c>
      <c r="P163" s="38">
        <f t="shared" si="184"/>
        <v>0.23699999999999988</v>
      </c>
      <c r="Q163" s="38">
        <f>P163*E163</f>
        <v>2.8439999999999985</v>
      </c>
      <c r="R163" s="39">
        <f t="shared" si="185"/>
        <v>0.23699999999999988</v>
      </c>
      <c r="S163" s="40"/>
      <c r="T163" s="110">
        <f t="shared" si="225"/>
        <v>1</v>
      </c>
      <c r="U163" s="107">
        <v>0.18</v>
      </c>
      <c r="V163" s="111">
        <f t="shared" si="226"/>
        <v>1.2195121951219512</v>
      </c>
      <c r="W163" s="112">
        <f t="shared" si="227"/>
        <v>0.21951219512195119</v>
      </c>
      <c r="X163" s="112">
        <f t="shared" si="228"/>
        <v>1.9756097560975606E-2</v>
      </c>
      <c r="Y163" s="113">
        <f t="shared" si="229"/>
        <v>0.23926829268292679</v>
      </c>
      <c r="Z163" s="112">
        <f t="shared" si="230"/>
        <v>0.98024390243902437</v>
      </c>
      <c r="AA163" s="114">
        <f t="shared" si="231"/>
        <v>0.22162229410301057</v>
      </c>
      <c r="AB163" s="115">
        <f t="shared" si="232"/>
        <v>-1.5377705896989308E-2</v>
      </c>
      <c r="AC163" s="116" t="s">
        <v>224</v>
      </c>
    </row>
    <row r="164" spans="1:29" ht="56.1" customHeight="1" x14ac:dyDescent="0.25">
      <c r="A164" s="30">
        <v>161</v>
      </c>
      <c r="B164" s="106" t="s">
        <v>125</v>
      </c>
      <c r="C164" s="31">
        <v>1</v>
      </c>
      <c r="D164" s="32" t="s">
        <v>73</v>
      </c>
      <c r="E164" s="31">
        <f t="shared" si="183"/>
        <v>12</v>
      </c>
      <c r="F164" s="96">
        <v>8.4</v>
      </c>
      <c r="G164" s="33">
        <f>F164/D164</f>
        <v>0.70000000000000007</v>
      </c>
      <c r="H164" s="34">
        <f>G164*E164</f>
        <v>8.4</v>
      </c>
      <c r="I164" s="35"/>
      <c r="J164" s="36">
        <f t="shared" si="125"/>
        <v>0.70000000000000007</v>
      </c>
      <c r="K164" s="36">
        <f t="shared" si="125"/>
        <v>8.4</v>
      </c>
      <c r="L164" s="36">
        <f t="shared" si="257"/>
        <v>0.76300000000000012</v>
      </c>
      <c r="M164" s="36">
        <f>L164*E164</f>
        <v>9.1560000000000024</v>
      </c>
      <c r="N164" s="37">
        <v>1</v>
      </c>
      <c r="O164" s="38">
        <f>N164*E164</f>
        <v>12</v>
      </c>
      <c r="P164" s="38">
        <f t="shared" si="184"/>
        <v>0.23699999999999988</v>
      </c>
      <c r="Q164" s="38">
        <f>P164*E164</f>
        <v>2.8439999999999985</v>
      </c>
      <c r="R164" s="39">
        <f t="shared" si="185"/>
        <v>0.23699999999999988</v>
      </c>
      <c r="S164" s="41"/>
      <c r="T164" s="110">
        <f t="shared" si="225"/>
        <v>1</v>
      </c>
      <c r="U164" s="107">
        <v>0.18</v>
      </c>
      <c r="V164" s="111">
        <f t="shared" si="226"/>
        <v>1.2195121951219512</v>
      </c>
      <c r="W164" s="112">
        <f t="shared" si="227"/>
        <v>0.21951219512195119</v>
      </c>
      <c r="X164" s="112">
        <f t="shared" si="228"/>
        <v>1.9756097560975606E-2</v>
      </c>
      <c r="Y164" s="113">
        <f t="shared" si="229"/>
        <v>0.23926829268292679</v>
      </c>
      <c r="Z164" s="112">
        <f t="shared" si="230"/>
        <v>0.98024390243902437</v>
      </c>
      <c r="AA164" s="114">
        <f t="shared" si="231"/>
        <v>0.22162229410301057</v>
      </c>
      <c r="AB164" s="115">
        <f t="shared" si="232"/>
        <v>-1.5377705896989308E-2</v>
      </c>
      <c r="AC164" s="116" t="s">
        <v>224</v>
      </c>
    </row>
    <row r="165" spans="1:29" ht="39.950000000000003" customHeight="1" x14ac:dyDescent="0.25">
      <c r="A165" s="30">
        <v>162</v>
      </c>
      <c r="B165" s="100" t="s">
        <v>126</v>
      </c>
      <c r="C165" s="31">
        <v>1</v>
      </c>
      <c r="D165" s="32" t="s">
        <v>136</v>
      </c>
      <c r="E165" s="31">
        <f t="shared" si="183"/>
        <v>10</v>
      </c>
      <c r="F165" s="96">
        <v>17.899999999999999</v>
      </c>
      <c r="G165" s="33">
        <f>F165/D165</f>
        <v>1.7899999999999998</v>
      </c>
      <c r="H165" s="34">
        <f>G165*E165</f>
        <v>17.899999999999999</v>
      </c>
      <c r="I165" s="35"/>
      <c r="J165" s="36">
        <f t="shared" si="125"/>
        <v>1.7899999999999998</v>
      </c>
      <c r="K165" s="36">
        <f t="shared" si="125"/>
        <v>17.899999999999999</v>
      </c>
      <c r="L165" s="36">
        <f t="shared" si="257"/>
        <v>1.9510999999999998</v>
      </c>
      <c r="M165" s="36">
        <f>L165*E165</f>
        <v>19.510999999999999</v>
      </c>
      <c r="N165" s="37">
        <v>2.75</v>
      </c>
      <c r="O165" s="38">
        <f>N165*E165</f>
        <v>27.5</v>
      </c>
      <c r="P165" s="38">
        <f t="shared" si="184"/>
        <v>0.79890000000000017</v>
      </c>
      <c r="Q165" s="38">
        <f>P165*E165</f>
        <v>7.9890000000000017</v>
      </c>
      <c r="R165" s="39">
        <f t="shared" si="185"/>
        <v>0.29050909090909099</v>
      </c>
      <c r="S165" s="42"/>
      <c r="T165" s="110">
        <f t="shared" si="225"/>
        <v>2.75</v>
      </c>
      <c r="U165" s="107">
        <v>0.18</v>
      </c>
      <c r="V165" s="111">
        <f t="shared" si="226"/>
        <v>3.3536585365853657</v>
      </c>
      <c r="W165" s="112">
        <f t="shared" si="227"/>
        <v>0.60365853658536572</v>
      </c>
      <c r="X165" s="112">
        <f t="shared" si="228"/>
        <v>5.4329268292682913E-2</v>
      </c>
      <c r="Y165" s="113">
        <f t="shared" si="229"/>
        <v>0.65798780487804864</v>
      </c>
      <c r="Z165" s="112">
        <f t="shared" si="230"/>
        <v>2.6956707317073172</v>
      </c>
      <c r="AA165" s="114">
        <f t="shared" si="231"/>
        <v>0.27620982152955292</v>
      </c>
      <c r="AB165" s="115">
        <f t="shared" si="232"/>
        <v>-1.4299269379538071E-2</v>
      </c>
      <c r="AC165" s="116" t="s">
        <v>224</v>
      </c>
    </row>
    <row r="166" spans="1:29" ht="39.950000000000003" customHeight="1" x14ac:dyDescent="0.25">
      <c r="A166" s="30">
        <v>163</v>
      </c>
      <c r="B166" s="101" t="s">
        <v>138</v>
      </c>
      <c r="C166" s="31">
        <v>1</v>
      </c>
      <c r="D166" s="32" t="s">
        <v>73</v>
      </c>
      <c r="E166" s="31">
        <f t="shared" ref="E166:E168" si="258">D166*C166</f>
        <v>12</v>
      </c>
      <c r="F166" s="96">
        <v>8.4</v>
      </c>
      <c r="G166" s="33">
        <f>F166/D166</f>
        <v>0.70000000000000007</v>
      </c>
      <c r="H166" s="34">
        <f>G166*E166</f>
        <v>8.4</v>
      </c>
      <c r="I166" s="35"/>
      <c r="J166" s="36">
        <f t="shared" ref="J166:J168" si="259">G166/$Q$2</f>
        <v>0.70000000000000007</v>
      </c>
      <c r="K166" s="36">
        <f t="shared" ref="K166:K168" si="260">H166/$Q$2</f>
        <v>8.4</v>
      </c>
      <c r="L166" s="36">
        <f t="shared" si="257"/>
        <v>0.76300000000000012</v>
      </c>
      <c r="M166" s="36">
        <f>L166*E166</f>
        <v>9.1560000000000024</v>
      </c>
      <c r="N166" s="37">
        <v>1</v>
      </c>
      <c r="O166" s="38">
        <f>N166*E166</f>
        <v>12</v>
      </c>
      <c r="P166" s="38">
        <f t="shared" ref="P166:P168" si="261">N166-L166</f>
        <v>0.23699999999999988</v>
      </c>
      <c r="Q166" s="38">
        <f>P166*E166</f>
        <v>2.8439999999999985</v>
      </c>
      <c r="R166" s="39">
        <f t="shared" ref="R166:R168" si="262">P166/N166</f>
        <v>0.23699999999999988</v>
      </c>
      <c r="S166" s="42"/>
      <c r="T166" s="110">
        <f t="shared" si="225"/>
        <v>1</v>
      </c>
      <c r="U166" s="107">
        <v>0.18</v>
      </c>
      <c r="V166" s="111">
        <f t="shared" si="226"/>
        <v>1.2195121951219512</v>
      </c>
      <c r="W166" s="112">
        <f t="shared" si="227"/>
        <v>0.21951219512195119</v>
      </c>
      <c r="X166" s="112">
        <f t="shared" si="228"/>
        <v>1.9756097560975606E-2</v>
      </c>
      <c r="Y166" s="113">
        <f t="shared" si="229"/>
        <v>0.23926829268292679</v>
      </c>
      <c r="Z166" s="112">
        <f t="shared" si="230"/>
        <v>0.98024390243902437</v>
      </c>
      <c r="AA166" s="114">
        <f t="shared" si="231"/>
        <v>0.22162229410301057</v>
      </c>
      <c r="AB166" s="115">
        <f t="shared" si="232"/>
        <v>-1.5377705896989308E-2</v>
      </c>
      <c r="AC166" s="116" t="s">
        <v>224</v>
      </c>
    </row>
    <row r="167" spans="1:29" ht="39.950000000000003" customHeight="1" x14ac:dyDescent="0.25">
      <c r="A167" s="30">
        <v>164</v>
      </c>
      <c r="B167" s="101" t="s">
        <v>233</v>
      </c>
      <c r="C167" s="31">
        <v>1</v>
      </c>
      <c r="D167" s="32" t="s">
        <v>144</v>
      </c>
      <c r="E167" s="31">
        <f t="shared" ref="E167" si="263">D167*C167</f>
        <v>30</v>
      </c>
      <c r="F167" s="96">
        <v>22.5</v>
      </c>
      <c r="G167" s="33">
        <f>F167/D167</f>
        <v>0.75</v>
      </c>
      <c r="H167" s="34">
        <f>G167*E167</f>
        <v>22.5</v>
      </c>
      <c r="I167" s="35"/>
      <c r="J167" s="36">
        <f t="shared" ref="J167" si="264">G167/$Q$2</f>
        <v>0.75</v>
      </c>
      <c r="K167" s="36">
        <f t="shared" ref="K167" si="265">H167/$Q$2</f>
        <v>22.5</v>
      </c>
      <c r="L167" s="36">
        <f t="shared" ref="L167" si="266">J167*(1+$M$177+9%)</f>
        <v>0.81750000000000012</v>
      </c>
      <c r="M167" s="36">
        <f>L167*E167</f>
        <v>24.525000000000002</v>
      </c>
      <c r="N167" s="37">
        <v>1.25</v>
      </c>
      <c r="O167" s="38">
        <f>N167*E167</f>
        <v>37.5</v>
      </c>
      <c r="P167" s="38">
        <f t="shared" ref="P167" si="267">N167-L167</f>
        <v>0.43249999999999988</v>
      </c>
      <c r="Q167" s="38">
        <f>P167*E167</f>
        <v>12.974999999999996</v>
      </c>
      <c r="R167" s="39">
        <f t="shared" ref="R167" si="268">P167/N167</f>
        <v>0.34599999999999992</v>
      </c>
      <c r="S167" s="42"/>
      <c r="T167" s="110">
        <f t="shared" ref="T167" si="269">N167</f>
        <v>1.25</v>
      </c>
      <c r="U167" s="107">
        <v>0.18</v>
      </c>
      <c r="V167" s="111">
        <f t="shared" ref="V167" si="270">T167/(1-18%)</f>
        <v>1.5243902439024388</v>
      </c>
      <c r="W167" s="112">
        <f t="shared" ref="W167" si="271">V167-T167</f>
        <v>0.27439024390243882</v>
      </c>
      <c r="X167" s="112">
        <f t="shared" ref="X167" si="272">W167*0.09</f>
        <v>2.4695121951219492E-2</v>
      </c>
      <c r="Y167" s="113">
        <f t="shared" ref="Y167" si="273">W167+X167</f>
        <v>0.2990853658536583</v>
      </c>
      <c r="Z167" s="112">
        <f t="shared" ref="Z167" si="274">V167-Y167</f>
        <v>1.2253048780487805</v>
      </c>
      <c r="AA167" s="114">
        <f t="shared" ref="AA167" si="275">(Z167-L167)/Z167</f>
        <v>0.33281910923115193</v>
      </c>
      <c r="AB167" s="115">
        <f t="shared" ref="AB167" si="276">AA167-R167</f>
        <v>-1.3180890768847986E-2</v>
      </c>
      <c r="AC167" s="116">
        <v>1.05</v>
      </c>
    </row>
    <row r="168" spans="1:29" ht="39.950000000000003" customHeight="1" x14ac:dyDescent="0.25">
      <c r="A168" s="30">
        <v>164</v>
      </c>
      <c r="B168" s="101" t="s">
        <v>149</v>
      </c>
      <c r="C168" s="31">
        <v>1</v>
      </c>
      <c r="D168" s="32" t="s">
        <v>144</v>
      </c>
      <c r="E168" s="31">
        <f t="shared" si="258"/>
        <v>30</v>
      </c>
      <c r="F168" s="96">
        <v>22.5</v>
      </c>
      <c r="G168" s="33">
        <f>F168/D168</f>
        <v>0.75</v>
      </c>
      <c r="H168" s="34">
        <f>G168*E168</f>
        <v>22.5</v>
      </c>
      <c r="I168" s="35"/>
      <c r="J168" s="36">
        <f t="shared" si="259"/>
        <v>0.75</v>
      </c>
      <c r="K168" s="36">
        <f t="shared" si="260"/>
        <v>22.5</v>
      </c>
      <c r="L168" s="36">
        <f t="shared" si="257"/>
        <v>0.81750000000000012</v>
      </c>
      <c r="M168" s="36">
        <f>L168*E168</f>
        <v>24.525000000000002</v>
      </c>
      <c r="N168" s="37">
        <v>1.25</v>
      </c>
      <c r="O168" s="38">
        <f>N168*E168</f>
        <v>37.5</v>
      </c>
      <c r="P168" s="38">
        <f t="shared" si="261"/>
        <v>0.43249999999999988</v>
      </c>
      <c r="Q168" s="38">
        <f>P168*E168</f>
        <v>12.974999999999996</v>
      </c>
      <c r="R168" s="39">
        <f t="shared" si="262"/>
        <v>0.34599999999999992</v>
      </c>
      <c r="S168" s="42"/>
      <c r="T168" s="110">
        <f t="shared" si="225"/>
        <v>1.25</v>
      </c>
      <c r="U168" s="107">
        <v>0.18</v>
      </c>
      <c r="V168" s="111">
        <f t="shared" si="226"/>
        <v>1.5243902439024388</v>
      </c>
      <c r="W168" s="112">
        <f t="shared" si="227"/>
        <v>0.27439024390243882</v>
      </c>
      <c r="X168" s="112">
        <f t="shared" si="228"/>
        <v>2.4695121951219492E-2</v>
      </c>
      <c r="Y168" s="113">
        <f t="shared" si="229"/>
        <v>0.2990853658536583</v>
      </c>
      <c r="Z168" s="112">
        <f t="shared" si="230"/>
        <v>1.2253048780487805</v>
      </c>
      <c r="AA168" s="114">
        <f t="shared" si="231"/>
        <v>0.33281910923115193</v>
      </c>
      <c r="AB168" s="115">
        <f t="shared" si="232"/>
        <v>-1.3180890768847986E-2</v>
      </c>
      <c r="AC168" s="116">
        <v>1.05</v>
      </c>
    </row>
    <row r="169" spans="1:29" ht="45" customHeight="1" x14ac:dyDescent="0.25">
      <c r="A169" s="30">
        <v>165</v>
      </c>
      <c r="B169" s="101" t="s">
        <v>127</v>
      </c>
      <c r="C169" s="31">
        <v>1</v>
      </c>
      <c r="D169" s="32" t="s">
        <v>73</v>
      </c>
      <c r="E169" s="31">
        <f t="shared" si="183"/>
        <v>12</v>
      </c>
      <c r="F169" s="96">
        <v>8.4</v>
      </c>
      <c r="G169" s="33">
        <f>F169/D169</f>
        <v>0.70000000000000007</v>
      </c>
      <c r="H169" s="34">
        <f>G169*E169</f>
        <v>8.4</v>
      </c>
      <c r="I169" s="35"/>
      <c r="J169" s="36">
        <f t="shared" si="125"/>
        <v>0.70000000000000007</v>
      </c>
      <c r="K169" s="36">
        <f t="shared" si="125"/>
        <v>8.4</v>
      </c>
      <c r="L169" s="36">
        <f t="shared" si="257"/>
        <v>0.76300000000000012</v>
      </c>
      <c r="M169" s="36">
        <f>L169*E169</f>
        <v>9.1560000000000024</v>
      </c>
      <c r="N169" s="37">
        <v>1</v>
      </c>
      <c r="O169" s="38">
        <f>N169*E169</f>
        <v>12</v>
      </c>
      <c r="P169" s="38">
        <f t="shared" si="184"/>
        <v>0.23699999999999988</v>
      </c>
      <c r="Q169" s="38">
        <f>P169*E169</f>
        <v>2.8439999999999985</v>
      </c>
      <c r="R169" s="39">
        <f t="shared" si="185"/>
        <v>0.23699999999999988</v>
      </c>
      <c r="S169" s="42"/>
      <c r="T169" s="110">
        <f t="shared" si="225"/>
        <v>1</v>
      </c>
      <c r="U169" s="107">
        <v>0.18</v>
      </c>
      <c r="V169" s="111">
        <f t="shared" si="226"/>
        <v>1.2195121951219512</v>
      </c>
      <c r="W169" s="112">
        <f t="shared" si="227"/>
        <v>0.21951219512195119</v>
      </c>
      <c r="X169" s="112">
        <f t="shared" si="228"/>
        <v>1.9756097560975606E-2</v>
      </c>
      <c r="Y169" s="113">
        <f t="shared" si="229"/>
        <v>0.23926829268292679</v>
      </c>
      <c r="Z169" s="112">
        <f t="shared" si="230"/>
        <v>0.98024390243902437</v>
      </c>
      <c r="AA169" s="114">
        <f t="shared" si="231"/>
        <v>0.22162229410301057</v>
      </c>
      <c r="AB169" s="115">
        <f t="shared" si="232"/>
        <v>-1.5377705896989308E-2</v>
      </c>
      <c r="AC169" s="116" t="s">
        <v>224</v>
      </c>
    </row>
    <row r="170" spans="1:29" ht="45" customHeight="1" x14ac:dyDescent="0.25">
      <c r="A170" s="30">
        <v>166</v>
      </c>
      <c r="B170" s="101" t="s">
        <v>150</v>
      </c>
      <c r="C170" s="31">
        <v>1</v>
      </c>
      <c r="D170" s="32" t="s">
        <v>73</v>
      </c>
      <c r="E170" s="31">
        <f t="shared" si="183"/>
        <v>12</v>
      </c>
      <c r="F170" s="96">
        <v>12.85</v>
      </c>
      <c r="G170" s="33">
        <f>F170/D170</f>
        <v>1.0708333333333333</v>
      </c>
      <c r="H170" s="34">
        <f>G170*E170</f>
        <v>12.85</v>
      </c>
      <c r="I170" s="35"/>
      <c r="J170" s="36">
        <f t="shared" si="125"/>
        <v>1.0708333333333333</v>
      </c>
      <c r="K170" s="36">
        <f t="shared" si="125"/>
        <v>12.85</v>
      </c>
      <c r="L170" s="36">
        <f t="shared" si="257"/>
        <v>1.1672083333333334</v>
      </c>
      <c r="M170" s="36">
        <f>L170*E170</f>
        <v>14.006500000000001</v>
      </c>
      <c r="N170" s="37">
        <v>1.75</v>
      </c>
      <c r="O170" s="38">
        <f>N170*E170</f>
        <v>21</v>
      </c>
      <c r="P170" s="38">
        <f t="shared" si="184"/>
        <v>0.5827916666666666</v>
      </c>
      <c r="Q170" s="38">
        <f>P170*E170</f>
        <v>6.9934999999999992</v>
      </c>
      <c r="R170" s="39">
        <f t="shared" si="185"/>
        <v>0.3330238095238095</v>
      </c>
      <c r="S170" s="42"/>
      <c r="T170" s="110">
        <f t="shared" si="225"/>
        <v>1.75</v>
      </c>
      <c r="U170" s="107">
        <v>0.18</v>
      </c>
      <c r="V170" s="111">
        <f t="shared" si="226"/>
        <v>2.1341463414634143</v>
      </c>
      <c r="W170" s="112">
        <f t="shared" si="227"/>
        <v>0.38414634146341431</v>
      </c>
      <c r="X170" s="112">
        <f t="shared" si="228"/>
        <v>3.4573170731707285E-2</v>
      </c>
      <c r="Y170" s="113">
        <f t="shared" si="229"/>
        <v>0.4187195121951216</v>
      </c>
      <c r="Z170" s="112">
        <f t="shared" si="230"/>
        <v>1.7154268292682926</v>
      </c>
      <c r="AA170" s="114">
        <f t="shared" si="231"/>
        <v>0.31958139314446848</v>
      </c>
      <c r="AB170" s="115">
        <f t="shared" si="232"/>
        <v>-1.3442416379341016E-2</v>
      </c>
      <c r="AC170" s="116" t="s">
        <v>224</v>
      </c>
    </row>
    <row r="171" spans="1:29" ht="45" customHeight="1" x14ac:dyDescent="0.25">
      <c r="A171" s="30">
        <v>167</v>
      </c>
      <c r="B171" s="102" t="s">
        <v>131</v>
      </c>
      <c r="C171" s="31">
        <v>1</v>
      </c>
      <c r="D171" s="32" t="s">
        <v>136</v>
      </c>
      <c r="E171" s="31">
        <f t="shared" si="183"/>
        <v>10</v>
      </c>
      <c r="F171" s="96">
        <v>7.9</v>
      </c>
      <c r="G171" s="33">
        <f>F171/D171</f>
        <v>0.79</v>
      </c>
      <c r="H171" s="34">
        <f>G171*E171</f>
        <v>7.9</v>
      </c>
      <c r="I171" s="35"/>
      <c r="J171" s="36">
        <f t="shared" si="125"/>
        <v>0.79</v>
      </c>
      <c r="K171" s="36">
        <f t="shared" si="125"/>
        <v>7.9</v>
      </c>
      <c r="L171" s="36">
        <f t="shared" si="257"/>
        <v>0.86110000000000009</v>
      </c>
      <c r="M171" s="36">
        <f>L171*E171</f>
        <v>8.6110000000000007</v>
      </c>
      <c r="N171" s="37">
        <v>1.25</v>
      </c>
      <c r="O171" s="38">
        <f>N171*E171</f>
        <v>12.5</v>
      </c>
      <c r="P171" s="38">
        <f t="shared" si="184"/>
        <v>0.38889999999999991</v>
      </c>
      <c r="Q171" s="38">
        <f>P171*E171</f>
        <v>3.8889999999999993</v>
      </c>
      <c r="R171" s="39">
        <f t="shared" si="185"/>
        <v>0.31111999999999995</v>
      </c>
      <c r="S171" s="42"/>
      <c r="T171" s="110">
        <f t="shared" si="225"/>
        <v>1.25</v>
      </c>
      <c r="U171" s="107">
        <v>0.18</v>
      </c>
      <c r="V171" s="111">
        <f t="shared" si="226"/>
        <v>1.5243902439024388</v>
      </c>
      <c r="W171" s="112">
        <f t="shared" si="227"/>
        <v>0.27439024390243882</v>
      </c>
      <c r="X171" s="112">
        <f t="shared" si="228"/>
        <v>2.4695121951219492E-2</v>
      </c>
      <c r="Y171" s="113">
        <f t="shared" si="229"/>
        <v>0.2990853658536583</v>
      </c>
      <c r="Z171" s="112">
        <f t="shared" si="230"/>
        <v>1.2253048780487805</v>
      </c>
      <c r="AA171" s="114">
        <f t="shared" si="231"/>
        <v>0.29723612839014674</v>
      </c>
      <c r="AB171" s="115">
        <f t="shared" si="232"/>
        <v>-1.3883871609853216E-2</v>
      </c>
      <c r="AC171" s="116" t="s">
        <v>224</v>
      </c>
    </row>
    <row r="172" spans="1:29" ht="45" customHeight="1" x14ac:dyDescent="0.25">
      <c r="A172" s="30">
        <v>168</v>
      </c>
      <c r="B172" s="100" t="s">
        <v>132</v>
      </c>
      <c r="C172" s="31">
        <v>1</v>
      </c>
      <c r="D172" s="32" t="s">
        <v>73</v>
      </c>
      <c r="E172" s="31">
        <f t="shared" si="183"/>
        <v>12</v>
      </c>
      <c r="F172" s="96">
        <v>18.850000000000001</v>
      </c>
      <c r="G172" s="33">
        <f>F172/D172</f>
        <v>1.5708333333333335</v>
      </c>
      <c r="H172" s="34">
        <f>G172*E172</f>
        <v>18.850000000000001</v>
      </c>
      <c r="I172" s="35"/>
      <c r="J172" s="36">
        <f t="shared" si="125"/>
        <v>1.5708333333333335</v>
      </c>
      <c r="K172" s="36">
        <f t="shared" si="125"/>
        <v>18.850000000000001</v>
      </c>
      <c r="L172" s="36">
        <f t="shared" si="257"/>
        <v>1.7122083333333338</v>
      </c>
      <c r="M172" s="36">
        <f>L172*E172</f>
        <v>20.546500000000005</v>
      </c>
      <c r="N172" s="37">
        <v>2.5</v>
      </c>
      <c r="O172" s="38">
        <f>N172*E172</f>
        <v>30</v>
      </c>
      <c r="P172" s="38">
        <f t="shared" si="184"/>
        <v>0.78779166666666622</v>
      </c>
      <c r="Q172" s="38">
        <f>P172*E172</f>
        <v>9.4534999999999947</v>
      </c>
      <c r="R172" s="39">
        <f t="shared" si="185"/>
        <v>0.31511666666666649</v>
      </c>
      <c r="S172" s="40"/>
      <c r="T172" s="110">
        <f t="shared" si="225"/>
        <v>2.5</v>
      </c>
      <c r="U172" s="107">
        <v>0.18</v>
      </c>
      <c r="V172" s="111">
        <f t="shared" si="226"/>
        <v>3.0487804878048776</v>
      </c>
      <c r="W172" s="112">
        <f t="shared" si="227"/>
        <v>0.54878048780487765</v>
      </c>
      <c r="X172" s="112">
        <f t="shared" si="228"/>
        <v>4.9390243902438985E-2</v>
      </c>
      <c r="Y172" s="113">
        <f t="shared" si="229"/>
        <v>0.59817073170731661</v>
      </c>
      <c r="Z172" s="112">
        <f t="shared" si="230"/>
        <v>2.450609756097561</v>
      </c>
      <c r="AA172" s="114">
        <f t="shared" si="231"/>
        <v>0.30131334494484513</v>
      </c>
      <c r="AB172" s="115">
        <f t="shared" si="232"/>
        <v>-1.380332172182136E-2</v>
      </c>
      <c r="AC172" s="116" t="s">
        <v>224</v>
      </c>
    </row>
    <row r="173" spans="1:29" ht="45" customHeight="1" x14ac:dyDescent="0.25">
      <c r="A173" s="30">
        <v>169</v>
      </c>
      <c r="B173" s="100" t="s">
        <v>133</v>
      </c>
      <c r="C173" s="31">
        <v>1</v>
      </c>
      <c r="D173" s="32" t="s">
        <v>73</v>
      </c>
      <c r="E173" s="31">
        <f t="shared" si="183"/>
        <v>12</v>
      </c>
      <c r="F173" s="96">
        <v>19</v>
      </c>
      <c r="G173" s="33">
        <f>F173/D173</f>
        <v>1.5833333333333333</v>
      </c>
      <c r="H173" s="34">
        <f>G173*E173</f>
        <v>19</v>
      </c>
      <c r="I173" s="35"/>
      <c r="J173" s="36">
        <f t="shared" si="125"/>
        <v>1.5833333333333333</v>
      </c>
      <c r="K173" s="36">
        <f t="shared" si="125"/>
        <v>19</v>
      </c>
      <c r="L173" s="36">
        <f t="shared" si="257"/>
        <v>1.7258333333333333</v>
      </c>
      <c r="M173" s="36">
        <f>L173*E173</f>
        <v>20.71</v>
      </c>
      <c r="N173" s="37">
        <v>2.5</v>
      </c>
      <c r="O173" s="38">
        <f>N173*E173</f>
        <v>30</v>
      </c>
      <c r="P173" s="38">
        <f t="shared" si="184"/>
        <v>0.77416666666666667</v>
      </c>
      <c r="Q173" s="38">
        <f>P173*E173</f>
        <v>9.2899999999999991</v>
      </c>
      <c r="R173" s="39">
        <f t="shared" si="185"/>
        <v>0.30966666666666665</v>
      </c>
      <c r="S173" s="40"/>
      <c r="T173" s="110">
        <f t="shared" si="225"/>
        <v>2.5</v>
      </c>
      <c r="U173" s="107">
        <v>0.18</v>
      </c>
      <c r="V173" s="111">
        <f t="shared" si="226"/>
        <v>3.0487804878048776</v>
      </c>
      <c r="W173" s="112">
        <f t="shared" si="227"/>
        <v>0.54878048780487765</v>
      </c>
      <c r="X173" s="112">
        <f t="shared" si="228"/>
        <v>4.9390243902438985E-2</v>
      </c>
      <c r="Y173" s="113">
        <f t="shared" si="229"/>
        <v>0.59817073170731661</v>
      </c>
      <c r="Z173" s="112">
        <f t="shared" si="230"/>
        <v>2.450609756097561</v>
      </c>
      <c r="AA173" s="114">
        <f t="shared" si="231"/>
        <v>0.29575350418843827</v>
      </c>
      <c r="AB173" s="115">
        <f t="shared" si="232"/>
        <v>-1.391316247822838E-2</v>
      </c>
      <c r="AC173" s="116" t="s">
        <v>224</v>
      </c>
    </row>
    <row r="174" spans="1:29" ht="30.75" thickBot="1" x14ac:dyDescent="0.3">
      <c r="A174" s="133" t="s">
        <v>39</v>
      </c>
      <c r="B174" s="134"/>
      <c r="C174" s="134"/>
      <c r="D174" s="135"/>
      <c r="E174" s="44"/>
      <c r="F174" s="45"/>
      <c r="G174" s="139" t="s">
        <v>26</v>
      </c>
      <c r="H174" s="141">
        <f>SUM(H7:H173)</f>
        <v>4541.2999999999947</v>
      </c>
      <c r="I174" s="46"/>
      <c r="J174" s="47" t="s">
        <v>27</v>
      </c>
      <c r="K174" s="48">
        <f>SUM(K7:K173)</f>
        <v>4541.2999999999947</v>
      </c>
      <c r="L174" s="143" t="s">
        <v>28</v>
      </c>
      <c r="M174" s="144"/>
      <c r="N174" s="145">
        <f>SUM(O7:O173)</f>
        <v>5831.9000000000005</v>
      </c>
      <c r="O174" s="146"/>
      <c r="P174" s="147" t="s">
        <v>29</v>
      </c>
      <c r="Q174" s="148"/>
      <c r="R174" s="151">
        <f>N174-K177</f>
        <v>881.88300000000618</v>
      </c>
      <c r="S174" s="49"/>
    </row>
    <row r="175" spans="1:29" ht="16.5" thickBot="1" x14ac:dyDescent="0.3">
      <c r="A175" s="133"/>
      <c r="B175" s="134"/>
      <c r="C175" s="134"/>
      <c r="D175" s="135"/>
      <c r="E175" s="44"/>
      <c r="F175" s="50"/>
      <c r="G175" s="140"/>
      <c r="H175" s="142"/>
      <c r="I175" s="51"/>
      <c r="J175" s="52" t="s">
        <v>30</v>
      </c>
      <c r="K175" s="53">
        <f>K174*0.09</f>
        <v>408.71699999999953</v>
      </c>
      <c r="L175" s="153"/>
      <c r="M175" s="154"/>
      <c r="N175" s="154"/>
      <c r="O175" s="155"/>
      <c r="P175" s="149"/>
      <c r="Q175" s="150"/>
      <c r="R175" s="152"/>
      <c r="S175" s="54"/>
    </row>
    <row r="176" spans="1:29" ht="32.25" thickBot="1" x14ac:dyDescent="0.3">
      <c r="A176" s="133"/>
      <c r="B176" s="134"/>
      <c r="C176" s="134"/>
      <c r="D176" s="135"/>
      <c r="E176" s="55"/>
      <c r="F176" s="56"/>
      <c r="G176" s="57" t="s">
        <v>31</v>
      </c>
      <c r="H176" s="58" t="s">
        <v>32</v>
      </c>
      <c r="I176" s="51"/>
      <c r="J176" s="59" t="s">
        <v>76</v>
      </c>
      <c r="K176" s="60"/>
      <c r="L176" s="156"/>
      <c r="M176" s="157"/>
      <c r="N176" s="157"/>
      <c r="O176" s="158"/>
      <c r="P176" s="159" t="s">
        <v>33</v>
      </c>
      <c r="Q176" s="160"/>
      <c r="R176" s="61">
        <f>R174/N174</f>
        <v>0.15121709905862687</v>
      </c>
      <c r="S176" s="62"/>
    </row>
    <row r="177" spans="1:19" ht="48" thickBot="1" x14ac:dyDescent="0.3">
      <c r="A177" s="136"/>
      <c r="B177" s="137"/>
      <c r="C177" s="137"/>
      <c r="D177" s="138"/>
      <c r="E177" s="63"/>
      <c r="F177" s="64"/>
      <c r="G177" s="65" t="s">
        <v>34</v>
      </c>
      <c r="H177" s="66">
        <f>SUM(H174:H176)</f>
        <v>4541.2999999999947</v>
      </c>
      <c r="I177" s="51"/>
      <c r="J177" s="67" t="s">
        <v>34</v>
      </c>
      <c r="K177" s="68">
        <f>SUM(K174:K176)</f>
        <v>4950.0169999999944</v>
      </c>
      <c r="L177" s="69" t="s">
        <v>35</v>
      </c>
      <c r="M177" s="161">
        <f>K176/K174</f>
        <v>0</v>
      </c>
      <c r="N177" s="162"/>
      <c r="O177" s="70"/>
      <c r="P177" s="11"/>
      <c r="Q177" s="11"/>
      <c r="R177" s="11"/>
      <c r="S177" s="71"/>
    </row>
    <row r="178" spans="1:19" x14ac:dyDescent="0.25">
      <c r="A178" s="72"/>
      <c r="B178" s="11"/>
      <c r="C178" s="11"/>
      <c r="D178" s="11"/>
      <c r="E178" s="73"/>
      <c r="F178" s="73"/>
      <c r="G178" s="73"/>
      <c r="H178" s="74"/>
      <c r="I178" s="75"/>
      <c r="J178" s="11"/>
      <c r="K178" s="11"/>
      <c r="L178" s="76"/>
      <c r="M178" s="76"/>
      <c r="N178" s="77"/>
      <c r="O178" s="78"/>
      <c r="P178" s="78"/>
      <c r="Q178" s="79"/>
      <c r="R178" s="78"/>
      <c r="S178" s="71"/>
    </row>
    <row r="179" spans="1:19" x14ac:dyDescent="0.25">
      <c r="A179" s="75"/>
      <c r="B179" s="78"/>
      <c r="C179" s="78"/>
      <c r="D179" s="78"/>
      <c r="E179" s="80"/>
      <c r="F179" s="80"/>
      <c r="G179" s="80"/>
      <c r="H179" s="81"/>
      <c r="I179" s="75"/>
      <c r="J179" s="117"/>
      <c r="K179" s="118"/>
      <c r="L179" s="118"/>
      <c r="M179" s="118"/>
      <c r="N179" s="119"/>
      <c r="O179" s="78"/>
      <c r="P179" s="78"/>
      <c r="Q179" s="78"/>
      <c r="R179" s="78"/>
      <c r="S179" s="71"/>
    </row>
    <row r="180" spans="1:19" x14ac:dyDescent="0.25">
      <c r="A180" s="75"/>
      <c r="B180" s="78"/>
      <c r="C180" s="78"/>
      <c r="D180" s="78"/>
      <c r="E180" s="80"/>
      <c r="F180" s="80"/>
      <c r="G180" s="80"/>
      <c r="H180" s="81"/>
      <c r="I180" s="75"/>
      <c r="J180" s="82"/>
      <c r="K180" s="83"/>
      <c r="L180" s="84"/>
      <c r="M180" s="84"/>
      <c r="N180" s="85"/>
      <c r="O180" s="78"/>
      <c r="P180" s="78"/>
      <c r="Q180" s="78"/>
      <c r="R180" s="78"/>
      <c r="S180" s="71"/>
    </row>
    <row r="181" spans="1:19" x14ac:dyDescent="0.25">
      <c r="A181" s="86" t="s">
        <v>36</v>
      </c>
      <c r="B181" s="78"/>
      <c r="C181" s="78"/>
      <c r="D181" s="78"/>
      <c r="E181" s="80"/>
      <c r="F181" s="80"/>
      <c r="G181" s="80"/>
      <c r="H181" s="81"/>
      <c r="I181" s="75"/>
      <c r="J181" s="87"/>
      <c r="K181" s="87"/>
      <c r="L181" s="87"/>
      <c r="M181" s="87"/>
      <c r="N181" s="85"/>
      <c r="O181" s="78"/>
      <c r="P181" s="78"/>
      <c r="Q181" s="78"/>
      <c r="R181" s="78"/>
      <c r="S181" s="71"/>
    </row>
    <row r="182" spans="1:19" x14ac:dyDescent="0.25">
      <c r="A182" s="86" t="s">
        <v>37</v>
      </c>
      <c r="B182" s="78"/>
      <c r="C182" s="78"/>
      <c r="D182" s="78"/>
      <c r="E182" s="80"/>
      <c r="F182" s="80"/>
      <c r="G182" s="80"/>
      <c r="H182" s="81"/>
      <c r="I182" s="75"/>
      <c r="J182" s="87"/>
      <c r="K182" s="87"/>
      <c r="L182" s="82"/>
      <c r="M182" s="82"/>
      <c r="N182" s="88"/>
      <c r="O182" s="78"/>
      <c r="P182" s="89"/>
      <c r="Q182" s="78"/>
      <c r="R182" s="78"/>
      <c r="S182" s="71"/>
    </row>
    <row r="183" spans="1:19" ht="16.5" thickBot="1" x14ac:dyDescent="0.3">
      <c r="A183" s="90"/>
      <c r="B183" s="91"/>
      <c r="C183" s="91"/>
      <c r="D183" s="91"/>
      <c r="E183" s="92"/>
      <c r="F183" s="92"/>
      <c r="G183" s="92"/>
      <c r="H183" s="93"/>
      <c r="I183" s="75"/>
      <c r="J183" s="94"/>
      <c r="K183" s="94"/>
      <c r="L183" s="94"/>
      <c r="M183" s="94"/>
      <c r="N183" s="95"/>
      <c r="O183" s="78"/>
      <c r="P183" s="78"/>
      <c r="Q183" s="78"/>
      <c r="R183" s="78"/>
      <c r="S183" s="71"/>
    </row>
    <row r="197" spans="2:2" x14ac:dyDescent="0.25">
      <c r="B197" s="97"/>
    </row>
  </sheetData>
  <autoFilter ref="A6:S177" xr:uid="{BA9FDF3B-44B9-AF41-A0D0-5108CC497DF7}"/>
  <mergeCells count="16">
    <mergeCell ref="J179:N179"/>
    <mergeCell ref="A1:O1"/>
    <mergeCell ref="Q1:R1"/>
    <mergeCell ref="A2:O2"/>
    <mergeCell ref="A4:H4"/>
    <mergeCell ref="J4:S4"/>
    <mergeCell ref="A174:D177"/>
    <mergeCell ref="G174:G175"/>
    <mergeCell ref="H174:H175"/>
    <mergeCell ref="L174:M174"/>
    <mergeCell ref="N174:O174"/>
    <mergeCell ref="P174:Q175"/>
    <mergeCell ref="R174:R175"/>
    <mergeCell ref="L175:O176"/>
    <mergeCell ref="P176:Q176"/>
    <mergeCell ref="M177:N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Rajvir ARORA</dc:creator>
  <cp:lastModifiedBy>banpreet.saluja@gmail.com</cp:lastModifiedBy>
  <dcterms:created xsi:type="dcterms:W3CDTF">2026-01-23T01:46:06Z</dcterms:created>
  <dcterms:modified xsi:type="dcterms:W3CDTF">2026-05-07T11:21:51Z</dcterms:modified>
</cp:coreProperties>
</file>